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桌面\日报\季度任务监控\"/>
    </mc:Choice>
  </mc:AlternateContent>
  <bookViews>
    <workbookView xWindow="-105" yWindow="-105" windowWidth="20730" windowHeight="11760" tabRatio="553"/>
  </bookViews>
  <sheets>
    <sheet name="Q3任务监控表" sheetId="1" r:id="rId1"/>
    <sheet name="消费汇总" sheetId="2" r:id="rId2"/>
    <sheet name="二级地市消费汇总" sheetId="3" r:id="rId3"/>
    <sheet name="新单数据" sheetId="4" r:id="rId4"/>
    <sheet name="潜力行业" sheetId="5" r:id="rId5"/>
  </sheets>
  <calcPr calcId="152511"/>
</workbook>
</file>

<file path=xl/calcChain.xml><?xml version="1.0" encoding="utf-8"?>
<calcChain xmlns="http://schemas.openxmlformats.org/spreadsheetml/2006/main">
  <c r="B97" i="4" l="1"/>
  <c r="H97" i="4"/>
  <c r="I97" i="4"/>
  <c r="O97" i="4"/>
  <c r="V97" i="4" s="1"/>
  <c r="P97" i="4"/>
  <c r="Q97" i="4"/>
  <c r="R97" i="4"/>
  <c r="S97" i="4"/>
  <c r="T97" i="4"/>
  <c r="W97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AE99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U99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K99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X98" i="2"/>
  <c r="H98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J6" i="5"/>
  <c r="I6" i="5"/>
  <c r="H6" i="5"/>
  <c r="G6" i="5"/>
  <c r="G3" i="5" s="1"/>
  <c r="F6" i="5"/>
  <c r="E6" i="5"/>
  <c r="D6" i="5"/>
  <c r="C6" i="5"/>
  <c r="C3" i="5" s="1"/>
  <c r="B6" i="5"/>
  <c r="J5" i="5"/>
  <c r="I5" i="5"/>
  <c r="H5" i="5"/>
  <c r="G5" i="5"/>
  <c r="F5" i="5"/>
  <c r="E5" i="5"/>
  <c r="D5" i="5"/>
  <c r="C5" i="5"/>
  <c r="B5" i="5"/>
  <c r="J4" i="5"/>
  <c r="I4" i="5"/>
  <c r="I3" i="5" s="1"/>
  <c r="H4" i="5"/>
  <c r="G4" i="5"/>
  <c r="F4" i="5"/>
  <c r="E4" i="5"/>
  <c r="E3" i="5" s="1"/>
  <c r="D4" i="5"/>
  <c r="C4" i="5"/>
  <c r="B4" i="5"/>
  <c r="J3" i="5"/>
  <c r="F3" i="5"/>
  <c r="B3" i="5"/>
  <c r="W96" i="4"/>
  <c r="T96" i="4"/>
  <c r="S96" i="4"/>
  <c r="R96" i="4"/>
  <c r="Q96" i="4"/>
  <c r="I96" i="4"/>
  <c r="P96" i="4" s="1"/>
  <c r="B96" i="4"/>
  <c r="W95" i="4"/>
  <c r="T95" i="4"/>
  <c r="S95" i="4"/>
  <c r="R95" i="4"/>
  <c r="Q95" i="4"/>
  <c r="I95" i="4"/>
  <c r="P95" i="4" s="1"/>
  <c r="B95" i="4"/>
  <c r="W94" i="4"/>
  <c r="T94" i="4"/>
  <c r="S94" i="4"/>
  <c r="R94" i="4"/>
  <c r="Q94" i="4"/>
  <c r="I94" i="4"/>
  <c r="P94" i="4" s="1"/>
  <c r="B94" i="4"/>
  <c r="W93" i="4"/>
  <c r="T93" i="4"/>
  <c r="S93" i="4"/>
  <c r="R93" i="4"/>
  <c r="Q93" i="4"/>
  <c r="P93" i="4"/>
  <c r="I93" i="4"/>
  <c r="B93" i="4"/>
  <c r="W92" i="4"/>
  <c r="T92" i="4"/>
  <c r="S92" i="4"/>
  <c r="R92" i="4"/>
  <c r="Q92" i="4"/>
  <c r="I92" i="4"/>
  <c r="P92" i="4" s="1"/>
  <c r="B92" i="4"/>
  <c r="W91" i="4"/>
  <c r="T91" i="4"/>
  <c r="S91" i="4"/>
  <c r="R91" i="4"/>
  <c r="Q91" i="4"/>
  <c r="I91" i="4"/>
  <c r="P91" i="4" s="1"/>
  <c r="B91" i="4"/>
  <c r="W90" i="4"/>
  <c r="T90" i="4"/>
  <c r="S90" i="4"/>
  <c r="R90" i="4"/>
  <c r="Q90" i="4"/>
  <c r="P90" i="4"/>
  <c r="I90" i="4"/>
  <c r="B90" i="4"/>
  <c r="W89" i="4"/>
  <c r="T89" i="4"/>
  <c r="S89" i="4"/>
  <c r="R89" i="4"/>
  <c r="Q89" i="4"/>
  <c r="P89" i="4"/>
  <c r="I89" i="4"/>
  <c r="B89" i="4"/>
  <c r="W88" i="4"/>
  <c r="T88" i="4"/>
  <c r="S88" i="4"/>
  <c r="R88" i="4"/>
  <c r="Q88" i="4"/>
  <c r="I88" i="4"/>
  <c r="P88" i="4" s="1"/>
  <c r="B88" i="4"/>
  <c r="W87" i="4"/>
  <c r="T87" i="4"/>
  <c r="S87" i="4"/>
  <c r="R87" i="4"/>
  <c r="Q87" i="4"/>
  <c r="I87" i="4"/>
  <c r="P87" i="4" s="1"/>
  <c r="B87" i="4"/>
  <c r="W86" i="4"/>
  <c r="T86" i="4"/>
  <c r="S86" i="4"/>
  <c r="R86" i="4"/>
  <c r="Q86" i="4"/>
  <c r="P86" i="4"/>
  <c r="I86" i="4"/>
  <c r="B86" i="4"/>
  <c r="W85" i="4"/>
  <c r="T85" i="4"/>
  <c r="S85" i="4"/>
  <c r="R85" i="4"/>
  <c r="Q85" i="4"/>
  <c r="P85" i="4"/>
  <c r="I85" i="4"/>
  <c r="B85" i="4"/>
  <c r="W84" i="4"/>
  <c r="T84" i="4"/>
  <c r="S84" i="4"/>
  <c r="R84" i="4"/>
  <c r="Q84" i="4"/>
  <c r="I84" i="4"/>
  <c r="P84" i="4" s="1"/>
  <c r="B84" i="4"/>
  <c r="W83" i="4"/>
  <c r="T83" i="4"/>
  <c r="S83" i="4"/>
  <c r="R83" i="4"/>
  <c r="Q83" i="4"/>
  <c r="I83" i="4"/>
  <c r="P83" i="4" s="1"/>
  <c r="B83" i="4"/>
  <c r="W82" i="4"/>
  <c r="T82" i="4"/>
  <c r="S82" i="4"/>
  <c r="R82" i="4"/>
  <c r="Q82" i="4"/>
  <c r="I82" i="4"/>
  <c r="P82" i="4" s="1"/>
  <c r="B82" i="4"/>
  <c r="W81" i="4"/>
  <c r="T81" i="4"/>
  <c r="S81" i="4"/>
  <c r="R81" i="4"/>
  <c r="Q81" i="4"/>
  <c r="I81" i="4"/>
  <c r="P81" i="4" s="1"/>
  <c r="B81" i="4"/>
  <c r="W80" i="4"/>
  <c r="T80" i="4"/>
  <c r="S80" i="4"/>
  <c r="R80" i="4"/>
  <c r="Q80" i="4"/>
  <c r="I80" i="4"/>
  <c r="P80" i="4" s="1"/>
  <c r="B80" i="4"/>
  <c r="W79" i="4"/>
  <c r="T79" i="4"/>
  <c r="S79" i="4"/>
  <c r="R79" i="4"/>
  <c r="Q79" i="4"/>
  <c r="I79" i="4"/>
  <c r="P79" i="4" s="1"/>
  <c r="B79" i="4"/>
  <c r="W78" i="4"/>
  <c r="T78" i="4"/>
  <c r="S78" i="4"/>
  <c r="R78" i="4"/>
  <c r="Q78" i="4"/>
  <c r="P78" i="4"/>
  <c r="I78" i="4"/>
  <c r="B78" i="4"/>
  <c r="W77" i="4"/>
  <c r="T77" i="4"/>
  <c r="S77" i="4"/>
  <c r="R77" i="4"/>
  <c r="Q77" i="4"/>
  <c r="P77" i="4"/>
  <c r="I77" i="4"/>
  <c r="B77" i="4"/>
  <c r="W76" i="4"/>
  <c r="T76" i="4"/>
  <c r="S76" i="4"/>
  <c r="R76" i="4"/>
  <c r="Q76" i="4"/>
  <c r="I76" i="4"/>
  <c r="P76" i="4" s="1"/>
  <c r="B76" i="4"/>
  <c r="W75" i="4"/>
  <c r="T75" i="4"/>
  <c r="S75" i="4"/>
  <c r="R75" i="4"/>
  <c r="Q75" i="4"/>
  <c r="I75" i="4"/>
  <c r="P75" i="4" s="1"/>
  <c r="B75" i="4"/>
  <c r="W74" i="4"/>
  <c r="T74" i="4"/>
  <c r="S74" i="4"/>
  <c r="R74" i="4"/>
  <c r="Q74" i="4"/>
  <c r="P74" i="4"/>
  <c r="I74" i="4"/>
  <c r="B74" i="4"/>
  <c r="W73" i="4"/>
  <c r="T73" i="4"/>
  <c r="S73" i="4"/>
  <c r="R73" i="4"/>
  <c r="Q73" i="4"/>
  <c r="I73" i="4"/>
  <c r="P73" i="4" s="1"/>
  <c r="B73" i="4"/>
  <c r="W72" i="4"/>
  <c r="T72" i="4"/>
  <c r="S72" i="4"/>
  <c r="R72" i="4"/>
  <c r="Q72" i="4"/>
  <c r="I72" i="4"/>
  <c r="P72" i="4" s="1"/>
  <c r="B72" i="4"/>
  <c r="W71" i="4"/>
  <c r="T71" i="4"/>
  <c r="S71" i="4"/>
  <c r="R71" i="4"/>
  <c r="Q71" i="4"/>
  <c r="I71" i="4"/>
  <c r="P71" i="4" s="1"/>
  <c r="B71" i="4"/>
  <c r="W70" i="4"/>
  <c r="T70" i="4"/>
  <c r="S70" i="4"/>
  <c r="R70" i="4"/>
  <c r="Q70" i="4"/>
  <c r="I70" i="4"/>
  <c r="P70" i="4" s="1"/>
  <c r="B70" i="4"/>
  <c r="W69" i="4"/>
  <c r="T69" i="4"/>
  <c r="S69" i="4"/>
  <c r="R69" i="4"/>
  <c r="Q69" i="4"/>
  <c r="P69" i="4"/>
  <c r="I69" i="4"/>
  <c r="B69" i="4"/>
  <c r="W68" i="4"/>
  <c r="T68" i="4"/>
  <c r="S68" i="4"/>
  <c r="R68" i="4"/>
  <c r="Q68" i="4"/>
  <c r="I68" i="4"/>
  <c r="P68" i="4" s="1"/>
  <c r="B68" i="4"/>
  <c r="W67" i="4"/>
  <c r="W5" i="4" s="1"/>
  <c r="T67" i="4"/>
  <c r="S67" i="4"/>
  <c r="R67" i="4"/>
  <c r="Q67" i="4"/>
  <c r="I67" i="4"/>
  <c r="P67" i="4" s="1"/>
  <c r="B67" i="4"/>
  <c r="B5" i="4" s="1"/>
  <c r="W66" i="4"/>
  <c r="T66" i="4"/>
  <c r="S66" i="4"/>
  <c r="R66" i="4"/>
  <c r="Q66" i="4"/>
  <c r="P66" i="4"/>
  <c r="I66" i="4"/>
  <c r="B66" i="4"/>
  <c r="W65" i="4"/>
  <c r="T65" i="4"/>
  <c r="S65" i="4"/>
  <c r="R65" i="4"/>
  <c r="Q65" i="4"/>
  <c r="P65" i="4"/>
  <c r="I65" i="4"/>
  <c r="B65" i="4"/>
  <c r="W64" i="4"/>
  <c r="T64" i="4"/>
  <c r="S64" i="4"/>
  <c r="R64" i="4"/>
  <c r="Q64" i="4"/>
  <c r="I64" i="4"/>
  <c r="P64" i="4" s="1"/>
  <c r="B64" i="4"/>
  <c r="W63" i="4"/>
  <c r="T63" i="4"/>
  <c r="S63" i="4"/>
  <c r="R63" i="4"/>
  <c r="Q63" i="4"/>
  <c r="I63" i="4"/>
  <c r="P63" i="4" s="1"/>
  <c r="B63" i="4"/>
  <c r="W62" i="4"/>
  <c r="T62" i="4"/>
  <c r="S62" i="4"/>
  <c r="R62" i="4"/>
  <c r="Q62" i="4"/>
  <c r="P62" i="4"/>
  <c r="I62" i="4"/>
  <c r="B62" i="4"/>
  <c r="W61" i="4"/>
  <c r="T61" i="4"/>
  <c r="S61" i="4"/>
  <c r="R61" i="4"/>
  <c r="Q61" i="4"/>
  <c r="P61" i="4"/>
  <c r="I61" i="4"/>
  <c r="B61" i="4"/>
  <c r="W60" i="4"/>
  <c r="T60" i="4"/>
  <c r="S60" i="4"/>
  <c r="R60" i="4"/>
  <c r="Q60" i="4"/>
  <c r="I60" i="4"/>
  <c r="P60" i="4" s="1"/>
  <c r="B60" i="4"/>
  <c r="W59" i="4"/>
  <c r="T59" i="4"/>
  <c r="S59" i="4"/>
  <c r="R59" i="4"/>
  <c r="Q59" i="4"/>
  <c r="I59" i="4"/>
  <c r="P59" i="4" s="1"/>
  <c r="B59" i="4"/>
  <c r="W58" i="4"/>
  <c r="T58" i="4"/>
  <c r="S58" i="4"/>
  <c r="R58" i="4"/>
  <c r="Q58" i="4"/>
  <c r="I58" i="4"/>
  <c r="P58" i="4" s="1"/>
  <c r="B58" i="4"/>
  <c r="W57" i="4"/>
  <c r="T57" i="4"/>
  <c r="S57" i="4"/>
  <c r="R57" i="4"/>
  <c r="Q57" i="4"/>
  <c r="I57" i="4"/>
  <c r="P57" i="4" s="1"/>
  <c r="B57" i="4"/>
  <c r="W56" i="4"/>
  <c r="T56" i="4"/>
  <c r="S56" i="4"/>
  <c r="R56" i="4"/>
  <c r="Q56" i="4"/>
  <c r="I56" i="4"/>
  <c r="P56" i="4" s="1"/>
  <c r="B56" i="4"/>
  <c r="W55" i="4"/>
  <c r="T55" i="4"/>
  <c r="S55" i="4"/>
  <c r="R55" i="4"/>
  <c r="Q55" i="4"/>
  <c r="I55" i="4"/>
  <c r="P55" i="4" s="1"/>
  <c r="B55" i="4"/>
  <c r="W54" i="4"/>
  <c r="T54" i="4"/>
  <c r="S54" i="4"/>
  <c r="R54" i="4"/>
  <c r="Q54" i="4"/>
  <c r="P54" i="4"/>
  <c r="I54" i="4"/>
  <c r="B54" i="4"/>
  <c r="W53" i="4"/>
  <c r="T53" i="4"/>
  <c r="S53" i="4"/>
  <c r="R53" i="4"/>
  <c r="Q53" i="4"/>
  <c r="P53" i="4"/>
  <c r="I53" i="4"/>
  <c r="B53" i="4"/>
  <c r="W52" i="4"/>
  <c r="T52" i="4"/>
  <c r="S52" i="4"/>
  <c r="R52" i="4"/>
  <c r="Q52" i="4"/>
  <c r="I52" i="4"/>
  <c r="P52" i="4" s="1"/>
  <c r="B52" i="4"/>
  <c r="W51" i="4"/>
  <c r="T51" i="4"/>
  <c r="S51" i="4"/>
  <c r="R51" i="4"/>
  <c r="Q51" i="4"/>
  <c r="I51" i="4"/>
  <c r="P51" i="4" s="1"/>
  <c r="B51" i="4"/>
  <c r="W50" i="4"/>
  <c r="T50" i="4"/>
  <c r="S50" i="4"/>
  <c r="R50" i="4"/>
  <c r="Q50" i="4"/>
  <c r="P50" i="4"/>
  <c r="I50" i="4"/>
  <c r="B50" i="4"/>
  <c r="W49" i="4"/>
  <c r="T49" i="4"/>
  <c r="S49" i="4"/>
  <c r="R49" i="4"/>
  <c r="Q49" i="4"/>
  <c r="P49" i="4"/>
  <c r="I49" i="4"/>
  <c r="B49" i="4"/>
  <c r="W48" i="4"/>
  <c r="T48" i="4"/>
  <c r="S48" i="4"/>
  <c r="R48" i="4"/>
  <c r="Q48" i="4"/>
  <c r="I48" i="4"/>
  <c r="P48" i="4" s="1"/>
  <c r="B48" i="4"/>
  <c r="W47" i="4"/>
  <c r="T47" i="4"/>
  <c r="S47" i="4"/>
  <c r="R47" i="4"/>
  <c r="Q47" i="4"/>
  <c r="I47" i="4"/>
  <c r="P47" i="4" s="1"/>
  <c r="B47" i="4"/>
  <c r="W46" i="4"/>
  <c r="T46" i="4"/>
  <c r="S46" i="4"/>
  <c r="R46" i="4"/>
  <c r="Q46" i="4"/>
  <c r="P46" i="4"/>
  <c r="I46" i="4"/>
  <c r="B46" i="4"/>
  <c r="W45" i="4"/>
  <c r="T45" i="4"/>
  <c r="S45" i="4"/>
  <c r="R45" i="4"/>
  <c r="Q45" i="4"/>
  <c r="P45" i="4"/>
  <c r="I45" i="4"/>
  <c r="B45" i="4"/>
  <c r="W44" i="4"/>
  <c r="T44" i="4"/>
  <c r="S44" i="4"/>
  <c r="R44" i="4"/>
  <c r="Q44" i="4"/>
  <c r="I44" i="4"/>
  <c r="P44" i="4" s="1"/>
  <c r="B44" i="4"/>
  <c r="W43" i="4"/>
  <c r="T43" i="4"/>
  <c r="S43" i="4"/>
  <c r="R43" i="4"/>
  <c r="Q43" i="4"/>
  <c r="I43" i="4"/>
  <c r="P43" i="4" s="1"/>
  <c r="B43" i="4"/>
  <c r="W42" i="4"/>
  <c r="T42" i="4"/>
  <c r="S42" i="4"/>
  <c r="R42" i="4"/>
  <c r="Q42" i="4"/>
  <c r="I42" i="4"/>
  <c r="P42" i="4" s="1"/>
  <c r="B42" i="4"/>
  <c r="W41" i="4"/>
  <c r="T41" i="4"/>
  <c r="S41" i="4"/>
  <c r="R41" i="4"/>
  <c r="Q41" i="4"/>
  <c r="P41" i="4"/>
  <c r="I41" i="4"/>
  <c r="B41" i="4"/>
  <c r="W40" i="4"/>
  <c r="T40" i="4"/>
  <c r="S40" i="4"/>
  <c r="R40" i="4"/>
  <c r="Q40" i="4"/>
  <c r="I40" i="4"/>
  <c r="P40" i="4" s="1"/>
  <c r="B40" i="4"/>
  <c r="W39" i="4"/>
  <c r="T39" i="4"/>
  <c r="S39" i="4"/>
  <c r="R39" i="4"/>
  <c r="Q39" i="4"/>
  <c r="I39" i="4"/>
  <c r="P39" i="4" s="1"/>
  <c r="B39" i="4"/>
  <c r="W38" i="4"/>
  <c r="T38" i="4"/>
  <c r="S38" i="4"/>
  <c r="R38" i="4"/>
  <c r="Q38" i="4"/>
  <c r="I38" i="4"/>
  <c r="P38" i="4" s="1"/>
  <c r="B38" i="4"/>
  <c r="W37" i="4"/>
  <c r="T37" i="4"/>
  <c r="S37" i="4"/>
  <c r="R37" i="4"/>
  <c r="Q37" i="4"/>
  <c r="P37" i="4"/>
  <c r="I37" i="4"/>
  <c r="B37" i="4"/>
  <c r="W36" i="4"/>
  <c r="T36" i="4"/>
  <c r="S36" i="4"/>
  <c r="R36" i="4"/>
  <c r="Q36" i="4"/>
  <c r="I36" i="4"/>
  <c r="P36" i="4" s="1"/>
  <c r="B36" i="4"/>
  <c r="B4" i="4" s="1"/>
  <c r="W35" i="4"/>
  <c r="T35" i="4"/>
  <c r="S35" i="4"/>
  <c r="R35" i="4"/>
  <c r="Q35" i="4"/>
  <c r="I35" i="4"/>
  <c r="P35" i="4" s="1"/>
  <c r="B35" i="4"/>
  <c r="W34" i="4"/>
  <c r="T34" i="4"/>
  <c r="S34" i="4"/>
  <c r="R34" i="4"/>
  <c r="Q34" i="4"/>
  <c r="P34" i="4"/>
  <c r="I34" i="4"/>
  <c r="B34" i="4"/>
  <c r="W33" i="4"/>
  <c r="T33" i="4"/>
  <c r="S33" i="4"/>
  <c r="R33" i="4"/>
  <c r="Q33" i="4"/>
  <c r="I33" i="4"/>
  <c r="P33" i="4" s="1"/>
  <c r="B33" i="4"/>
  <c r="W32" i="4"/>
  <c r="T32" i="4"/>
  <c r="S32" i="4"/>
  <c r="R32" i="4"/>
  <c r="Q32" i="4"/>
  <c r="I32" i="4"/>
  <c r="P32" i="4" s="1"/>
  <c r="B32" i="4"/>
  <c r="W31" i="4"/>
  <c r="T31" i="4"/>
  <c r="S31" i="4"/>
  <c r="R31" i="4"/>
  <c r="Q31" i="4"/>
  <c r="I31" i="4"/>
  <c r="P31" i="4" s="1"/>
  <c r="B31" i="4"/>
  <c r="W30" i="4"/>
  <c r="T30" i="4"/>
  <c r="S30" i="4"/>
  <c r="R30" i="4"/>
  <c r="Q30" i="4"/>
  <c r="P30" i="4"/>
  <c r="I30" i="4"/>
  <c r="B30" i="4"/>
  <c r="W29" i="4"/>
  <c r="T29" i="4"/>
  <c r="S29" i="4"/>
  <c r="R29" i="4"/>
  <c r="Q29" i="4"/>
  <c r="P29" i="4"/>
  <c r="I29" i="4"/>
  <c r="B29" i="4"/>
  <c r="W28" i="4"/>
  <c r="T28" i="4"/>
  <c r="S28" i="4"/>
  <c r="R28" i="4"/>
  <c r="Q28" i="4"/>
  <c r="I28" i="4"/>
  <c r="P28" i="4" s="1"/>
  <c r="B28" i="4"/>
  <c r="W27" i="4"/>
  <c r="T27" i="4"/>
  <c r="S27" i="4"/>
  <c r="R27" i="4"/>
  <c r="Q27" i="4"/>
  <c r="I27" i="4"/>
  <c r="P27" i="4" s="1"/>
  <c r="B27" i="4"/>
  <c r="W26" i="4"/>
  <c r="T26" i="4"/>
  <c r="S26" i="4"/>
  <c r="R26" i="4"/>
  <c r="Q26" i="4"/>
  <c r="I26" i="4"/>
  <c r="P26" i="4" s="1"/>
  <c r="B26" i="4"/>
  <c r="W25" i="4"/>
  <c r="T25" i="4"/>
  <c r="S25" i="4"/>
  <c r="R25" i="4"/>
  <c r="Q25" i="4"/>
  <c r="I25" i="4"/>
  <c r="P25" i="4" s="1"/>
  <c r="B25" i="4"/>
  <c r="W24" i="4"/>
  <c r="T24" i="4"/>
  <c r="S24" i="4"/>
  <c r="R24" i="4"/>
  <c r="Q24" i="4"/>
  <c r="I24" i="4"/>
  <c r="P24" i="4" s="1"/>
  <c r="B24" i="4"/>
  <c r="W23" i="4"/>
  <c r="T23" i="4"/>
  <c r="S23" i="4"/>
  <c r="R23" i="4"/>
  <c r="Q23" i="4"/>
  <c r="I23" i="4"/>
  <c r="P23" i="4" s="1"/>
  <c r="B23" i="4"/>
  <c r="W22" i="4"/>
  <c r="T22" i="4"/>
  <c r="S22" i="4"/>
  <c r="R22" i="4"/>
  <c r="Q22" i="4"/>
  <c r="I22" i="4"/>
  <c r="P22" i="4" s="1"/>
  <c r="B22" i="4"/>
  <c r="W21" i="4"/>
  <c r="T21" i="4"/>
  <c r="S21" i="4"/>
  <c r="R21" i="4"/>
  <c r="Q21" i="4"/>
  <c r="I21" i="4"/>
  <c r="P21" i="4" s="1"/>
  <c r="B21" i="4"/>
  <c r="W20" i="4"/>
  <c r="T20" i="4"/>
  <c r="S20" i="4"/>
  <c r="R20" i="4"/>
  <c r="Q20" i="4"/>
  <c r="I20" i="4"/>
  <c r="P20" i="4" s="1"/>
  <c r="B20" i="4"/>
  <c r="W19" i="4"/>
  <c r="T19" i="4"/>
  <c r="S19" i="4"/>
  <c r="R19" i="4"/>
  <c r="Q19" i="4"/>
  <c r="I19" i="4"/>
  <c r="P19" i="4" s="1"/>
  <c r="B19" i="4"/>
  <c r="W18" i="4"/>
  <c r="T18" i="4"/>
  <c r="S18" i="4"/>
  <c r="R18" i="4"/>
  <c r="Q18" i="4"/>
  <c r="P18" i="4"/>
  <c r="I18" i="4"/>
  <c r="B18" i="4"/>
  <c r="W17" i="4"/>
  <c r="T17" i="4"/>
  <c r="S17" i="4"/>
  <c r="R17" i="4"/>
  <c r="Q17" i="4"/>
  <c r="P17" i="4"/>
  <c r="I17" i="4"/>
  <c r="B17" i="4"/>
  <c r="W16" i="4"/>
  <c r="T16" i="4"/>
  <c r="S16" i="4"/>
  <c r="R16" i="4"/>
  <c r="Q16" i="4"/>
  <c r="I16" i="4"/>
  <c r="P16" i="4" s="1"/>
  <c r="B16" i="4"/>
  <c r="W15" i="4"/>
  <c r="T15" i="4"/>
  <c r="S15" i="4"/>
  <c r="R15" i="4"/>
  <c r="Q15" i="4"/>
  <c r="I15" i="4"/>
  <c r="P15" i="4" s="1"/>
  <c r="B15" i="4"/>
  <c r="W14" i="4"/>
  <c r="T14" i="4"/>
  <c r="S14" i="4"/>
  <c r="R14" i="4"/>
  <c r="Q14" i="4"/>
  <c r="P14" i="4"/>
  <c r="I14" i="4"/>
  <c r="B14" i="4"/>
  <c r="W13" i="4"/>
  <c r="T13" i="4"/>
  <c r="S13" i="4"/>
  <c r="R13" i="4"/>
  <c r="Q13" i="4"/>
  <c r="P13" i="4"/>
  <c r="I13" i="4"/>
  <c r="B13" i="4"/>
  <c r="W12" i="4"/>
  <c r="T12" i="4"/>
  <c r="S12" i="4"/>
  <c r="R12" i="4"/>
  <c r="Q12" i="4"/>
  <c r="I12" i="4"/>
  <c r="P12" i="4" s="1"/>
  <c r="B12" i="4"/>
  <c r="W11" i="4"/>
  <c r="T11" i="4"/>
  <c r="S11" i="4"/>
  <c r="R11" i="4"/>
  <c r="Q11" i="4"/>
  <c r="I11" i="4"/>
  <c r="P11" i="4" s="1"/>
  <c r="B11" i="4"/>
  <c r="W10" i="4"/>
  <c r="T10" i="4"/>
  <c r="S10" i="4"/>
  <c r="R10" i="4"/>
  <c r="Q10" i="4"/>
  <c r="P10" i="4"/>
  <c r="I10" i="4"/>
  <c r="B10" i="4"/>
  <c r="W9" i="4"/>
  <c r="T9" i="4"/>
  <c r="S9" i="4"/>
  <c r="R9" i="4"/>
  <c r="Q9" i="4"/>
  <c r="I9" i="4"/>
  <c r="P9" i="4" s="1"/>
  <c r="B9" i="4"/>
  <c r="B2" i="4" s="1"/>
  <c r="W8" i="4"/>
  <c r="T8" i="4"/>
  <c r="S8" i="4"/>
  <c r="R8" i="4"/>
  <c r="Q8" i="4"/>
  <c r="I8" i="4"/>
  <c r="P8" i="4" s="1"/>
  <c r="B8" i="4"/>
  <c r="W7" i="4"/>
  <c r="T7" i="4"/>
  <c r="S7" i="4"/>
  <c r="R7" i="4"/>
  <c r="Q7" i="4"/>
  <c r="I7" i="4"/>
  <c r="P7" i="4" s="1"/>
  <c r="B7" i="4"/>
  <c r="W6" i="4"/>
  <c r="T6" i="4"/>
  <c r="S6" i="4"/>
  <c r="R6" i="4"/>
  <c r="Q6" i="4"/>
  <c r="I6" i="4"/>
  <c r="I3" i="4" s="1"/>
  <c r="H6" i="4"/>
  <c r="O6" i="4" s="1"/>
  <c r="V6" i="4" s="1"/>
  <c r="B6" i="4"/>
  <c r="AA5" i="4"/>
  <c r="Z5" i="4"/>
  <c r="Y5" i="4"/>
  <c r="X5" i="4"/>
  <c r="M5" i="4"/>
  <c r="L5" i="4"/>
  <c r="K5" i="4"/>
  <c r="J5" i="4"/>
  <c r="I5" i="4"/>
  <c r="F5" i="4"/>
  <c r="E5" i="4"/>
  <c r="D5" i="4"/>
  <c r="C5" i="4"/>
  <c r="AA4" i="4"/>
  <c r="Z4" i="4"/>
  <c r="Y4" i="4"/>
  <c r="X4" i="4"/>
  <c r="M4" i="4"/>
  <c r="L4" i="4"/>
  <c r="K4" i="4"/>
  <c r="J4" i="4"/>
  <c r="I4" i="4"/>
  <c r="F4" i="4"/>
  <c r="E4" i="4"/>
  <c r="D4" i="4"/>
  <c r="C4" i="4"/>
  <c r="AA3" i="4"/>
  <c r="Z3" i="4"/>
  <c r="Y3" i="4"/>
  <c r="X3" i="4"/>
  <c r="M3" i="4"/>
  <c r="L3" i="4"/>
  <c r="K3" i="4"/>
  <c r="J3" i="4"/>
  <c r="F3" i="4"/>
  <c r="E3" i="4"/>
  <c r="D3" i="4"/>
  <c r="C3" i="4"/>
  <c r="B3" i="4"/>
  <c r="AA2" i="4"/>
  <c r="Z2" i="4"/>
  <c r="Y2" i="4"/>
  <c r="X2" i="4"/>
  <c r="M2" i="4"/>
  <c r="L2" i="4"/>
  <c r="K2" i="4"/>
  <c r="J2" i="4"/>
  <c r="F2" i="4"/>
  <c r="E2" i="4"/>
  <c r="D2" i="4"/>
  <c r="C2" i="4"/>
  <c r="U8" i="3"/>
  <c r="AE8" i="3" s="1"/>
  <c r="K8" i="3"/>
  <c r="AM7" i="3"/>
  <c r="AL7" i="3"/>
  <c r="AK7" i="3"/>
  <c r="AJ7" i="3"/>
  <c r="AI7" i="3"/>
  <c r="AH7" i="3"/>
  <c r="AG7" i="3"/>
  <c r="AF7" i="3"/>
  <c r="AC7" i="3"/>
  <c r="AB7" i="3"/>
  <c r="AA7" i="3"/>
  <c r="AA4" i="3" s="1"/>
  <c r="Z7" i="3"/>
  <c r="Y7" i="3"/>
  <c r="X7" i="3"/>
  <c r="W7" i="3"/>
  <c r="W4" i="3" s="1"/>
  <c r="V7" i="3"/>
  <c r="S7" i="3"/>
  <c r="R7" i="3"/>
  <c r="Q7" i="3"/>
  <c r="P7" i="3"/>
  <c r="O7" i="3"/>
  <c r="N7" i="3"/>
  <c r="M7" i="3"/>
  <c r="R5" i="4" s="1"/>
  <c r="L7" i="3"/>
  <c r="J7" i="3"/>
  <c r="I7" i="3"/>
  <c r="H7" i="3"/>
  <c r="G7" i="3"/>
  <c r="F7" i="3"/>
  <c r="E7" i="3"/>
  <c r="D7" i="3"/>
  <c r="C7" i="3"/>
  <c r="B7" i="3"/>
  <c r="AM6" i="3"/>
  <c r="AL6" i="3"/>
  <c r="AK6" i="3"/>
  <c r="AJ6" i="3"/>
  <c r="AI6" i="3"/>
  <c r="AH6" i="3"/>
  <c r="AG6" i="3"/>
  <c r="AF6" i="3"/>
  <c r="AC6" i="3"/>
  <c r="AB6" i="3"/>
  <c r="AA6" i="3"/>
  <c r="Z6" i="3"/>
  <c r="Y6" i="3"/>
  <c r="X6" i="3"/>
  <c r="W6" i="3"/>
  <c r="V6" i="3"/>
  <c r="S6" i="3"/>
  <c r="R6" i="3"/>
  <c r="Q6" i="3"/>
  <c r="P6" i="3"/>
  <c r="O6" i="3"/>
  <c r="N6" i="3"/>
  <c r="M6" i="3"/>
  <c r="R4" i="4" s="1"/>
  <c r="L6" i="3"/>
  <c r="I6" i="3"/>
  <c r="H6" i="3"/>
  <c r="G6" i="3"/>
  <c r="F6" i="3"/>
  <c r="E6" i="3"/>
  <c r="D6" i="3"/>
  <c r="C6" i="3"/>
  <c r="B6" i="3"/>
  <c r="AM5" i="3"/>
  <c r="AL5" i="3"/>
  <c r="AK5" i="3"/>
  <c r="AK4" i="3" s="1"/>
  <c r="AJ5" i="3"/>
  <c r="AI5" i="3"/>
  <c r="AH5" i="3"/>
  <c r="AG5" i="3"/>
  <c r="AG4" i="3" s="1"/>
  <c r="AF5" i="3"/>
  <c r="AC5" i="3"/>
  <c r="AC4" i="3" s="1"/>
  <c r="AB5" i="3"/>
  <c r="AA5" i="3"/>
  <c r="Z5" i="3"/>
  <c r="Y5" i="3"/>
  <c r="Y4" i="3" s="1"/>
  <c r="D25" i="1" s="1"/>
  <c r="X5" i="3"/>
  <c r="W5" i="3"/>
  <c r="V5" i="3"/>
  <c r="S5" i="3"/>
  <c r="R5" i="3"/>
  <c r="Q5" i="3"/>
  <c r="P5" i="3"/>
  <c r="P4" i="3" s="1"/>
  <c r="N19" i="1" s="1"/>
  <c r="O5" i="3"/>
  <c r="O4" i="3" s="1"/>
  <c r="N5" i="3"/>
  <c r="M5" i="3"/>
  <c r="R3" i="4" s="1"/>
  <c r="L5" i="3"/>
  <c r="L4" i="3" s="1"/>
  <c r="D10" i="1" s="1"/>
  <c r="I5" i="3"/>
  <c r="I4" i="3" s="1"/>
  <c r="H5" i="3"/>
  <c r="G5" i="3"/>
  <c r="G4" i="3" s="1"/>
  <c r="F5" i="3"/>
  <c r="F4" i="3" s="1"/>
  <c r="D19" i="1" s="1"/>
  <c r="E5" i="3"/>
  <c r="E4" i="3" s="1"/>
  <c r="D18" i="1" s="1"/>
  <c r="D5" i="3"/>
  <c r="C5" i="3"/>
  <c r="B5" i="3"/>
  <c r="B4" i="3" s="1"/>
  <c r="AM4" i="3"/>
  <c r="AI4" i="3"/>
  <c r="P25" i="1" s="1"/>
  <c r="Z4" i="3"/>
  <c r="V4" i="3"/>
  <c r="S4" i="3"/>
  <c r="Q4" i="3"/>
  <c r="N20" i="1" s="1"/>
  <c r="H4" i="3"/>
  <c r="D4" i="3"/>
  <c r="F17" i="1" s="1"/>
  <c r="C4" i="3"/>
  <c r="F16" i="1" s="1"/>
  <c r="H7" i="2"/>
  <c r="X7" i="2" s="1"/>
  <c r="AC6" i="2"/>
  <c r="AB6" i="2"/>
  <c r="AA6" i="2"/>
  <c r="Z6" i="2"/>
  <c r="Y6" i="2"/>
  <c r="V6" i="2"/>
  <c r="U6" i="2"/>
  <c r="S6" i="2"/>
  <c r="Q6" i="2"/>
  <c r="O6" i="2"/>
  <c r="M6" i="2"/>
  <c r="K6" i="2"/>
  <c r="I6" i="2"/>
  <c r="F6" i="2"/>
  <c r="E6" i="2"/>
  <c r="D6" i="2"/>
  <c r="C6" i="2"/>
  <c r="B6" i="2"/>
  <c r="AC5" i="2"/>
  <c r="AB5" i="2"/>
  <c r="AA5" i="2"/>
  <c r="Z5" i="2"/>
  <c r="Y5" i="2"/>
  <c r="V5" i="2"/>
  <c r="U5" i="2"/>
  <c r="S5" i="2"/>
  <c r="Q5" i="2"/>
  <c r="O5" i="2"/>
  <c r="M5" i="2"/>
  <c r="K5" i="2"/>
  <c r="I5" i="2"/>
  <c r="F5" i="2"/>
  <c r="E5" i="2"/>
  <c r="D5" i="2"/>
  <c r="C5" i="2"/>
  <c r="B5" i="2"/>
  <c r="AC4" i="2"/>
  <c r="AB4" i="2"/>
  <c r="AB3" i="2" s="1"/>
  <c r="AA4" i="2"/>
  <c r="AA3" i="2" s="1"/>
  <c r="Z4" i="2"/>
  <c r="Z3" i="2" s="1"/>
  <c r="Y4" i="2"/>
  <c r="V4" i="2"/>
  <c r="U4" i="2"/>
  <c r="S4" i="2"/>
  <c r="S3" i="2" s="1"/>
  <c r="Q4" i="2"/>
  <c r="O4" i="2"/>
  <c r="M4" i="2"/>
  <c r="M3" i="2" s="1"/>
  <c r="K4" i="2"/>
  <c r="K3" i="2" s="1"/>
  <c r="I4" i="2"/>
  <c r="F4" i="2"/>
  <c r="F3" i="2" s="1"/>
  <c r="E4" i="2"/>
  <c r="E3" i="2" s="1"/>
  <c r="D4" i="2"/>
  <c r="D3" i="2" s="1"/>
  <c r="D7" i="1" s="1"/>
  <c r="C4" i="2"/>
  <c r="B4" i="2"/>
  <c r="AC3" i="2"/>
  <c r="Y3" i="2"/>
  <c r="V3" i="2"/>
  <c r="U3" i="2"/>
  <c r="Q3" i="2"/>
  <c r="O3" i="2"/>
  <c r="I3" i="2"/>
  <c r="C3" i="2"/>
  <c r="B3" i="2"/>
  <c r="D5" i="1" s="1"/>
  <c r="S27" i="1"/>
  <c r="R27" i="1"/>
  <c r="Q27" i="1"/>
  <c r="O27" i="1"/>
  <c r="I27" i="1"/>
  <c r="H27" i="1"/>
  <c r="G27" i="1"/>
  <c r="E27" i="1"/>
  <c r="S26" i="1"/>
  <c r="R26" i="1"/>
  <c r="Q26" i="1"/>
  <c r="O26" i="1"/>
  <c r="I26" i="1"/>
  <c r="H26" i="1"/>
  <c r="G26" i="1"/>
  <c r="F26" i="1"/>
  <c r="E26" i="1"/>
  <c r="D26" i="1"/>
  <c r="S25" i="1"/>
  <c r="R25" i="1"/>
  <c r="Q25" i="1"/>
  <c r="O25" i="1"/>
  <c r="I25" i="1"/>
  <c r="H25" i="1"/>
  <c r="G25" i="1"/>
  <c r="F25" i="1"/>
  <c r="E25" i="1"/>
  <c r="S24" i="1"/>
  <c r="R24" i="1"/>
  <c r="Q24" i="1"/>
  <c r="O24" i="1"/>
  <c r="I24" i="1"/>
  <c r="H24" i="1"/>
  <c r="G24" i="1"/>
  <c r="E24" i="1"/>
  <c r="S23" i="1"/>
  <c r="R23" i="1"/>
  <c r="Q23" i="1"/>
  <c r="O23" i="1"/>
  <c r="I23" i="1"/>
  <c r="H23" i="1"/>
  <c r="G23" i="1"/>
  <c r="E23" i="1"/>
  <c r="S20" i="1"/>
  <c r="R20" i="1"/>
  <c r="Q20" i="1"/>
  <c r="O20" i="1"/>
  <c r="I20" i="1"/>
  <c r="H20" i="1"/>
  <c r="G20" i="1"/>
  <c r="E20" i="1"/>
  <c r="S19" i="1"/>
  <c r="R19" i="1"/>
  <c r="Q19" i="1"/>
  <c r="P19" i="1"/>
  <c r="O19" i="1"/>
  <c r="I19" i="1"/>
  <c r="H19" i="1"/>
  <c r="G19" i="1"/>
  <c r="E19" i="1"/>
  <c r="S18" i="1"/>
  <c r="R18" i="1"/>
  <c r="Q18" i="1"/>
  <c r="O18" i="1"/>
  <c r="I18" i="1"/>
  <c r="H18" i="1"/>
  <c r="G18" i="1"/>
  <c r="F18" i="1"/>
  <c r="E18" i="1"/>
  <c r="S17" i="1"/>
  <c r="R17" i="1"/>
  <c r="Q17" i="1"/>
  <c r="O17" i="1"/>
  <c r="I17" i="1"/>
  <c r="H17" i="1"/>
  <c r="G17" i="1"/>
  <c r="E17" i="1"/>
  <c r="D17" i="1"/>
  <c r="S16" i="1"/>
  <c r="R16" i="1"/>
  <c r="Q16" i="1"/>
  <c r="O16" i="1"/>
  <c r="I16" i="1"/>
  <c r="H16" i="1"/>
  <c r="G16" i="1"/>
  <c r="E16" i="1"/>
  <c r="I12" i="1"/>
  <c r="H12" i="1"/>
  <c r="G12" i="1"/>
  <c r="E12" i="1"/>
  <c r="I11" i="1"/>
  <c r="H11" i="1"/>
  <c r="G11" i="1"/>
  <c r="F11" i="1"/>
  <c r="E11" i="1"/>
  <c r="D11" i="1"/>
  <c r="I10" i="1"/>
  <c r="H10" i="1"/>
  <c r="G10" i="1"/>
  <c r="F10" i="1"/>
  <c r="E10" i="1"/>
  <c r="I9" i="1"/>
  <c r="H9" i="1"/>
  <c r="G9" i="1"/>
  <c r="E9" i="1"/>
  <c r="I8" i="1"/>
  <c r="H8" i="1"/>
  <c r="G8" i="1"/>
  <c r="F8" i="1"/>
  <c r="E8" i="1"/>
  <c r="D8" i="1"/>
  <c r="I7" i="1"/>
  <c r="H7" i="1"/>
  <c r="G7" i="1"/>
  <c r="F7" i="1"/>
  <c r="E7" i="1"/>
  <c r="I6" i="1"/>
  <c r="H6" i="1"/>
  <c r="G6" i="1"/>
  <c r="F6" i="1"/>
  <c r="E6" i="1"/>
  <c r="D6" i="1"/>
  <c r="I5" i="1"/>
  <c r="H5" i="1"/>
  <c r="G5" i="1"/>
  <c r="F5" i="1"/>
  <c r="E5" i="1"/>
  <c r="B2" i="1"/>
  <c r="B3" i="1" s="1"/>
  <c r="H3" i="5" l="1"/>
  <c r="D3" i="5"/>
  <c r="I2" i="4"/>
  <c r="P6" i="4"/>
  <c r="N27" i="1"/>
  <c r="P27" i="1"/>
  <c r="N23" i="1"/>
  <c r="P23" i="1"/>
  <c r="AH4" i="3"/>
  <c r="AL4" i="3"/>
  <c r="N25" i="1"/>
  <c r="AF4" i="3"/>
  <c r="AJ4" i="3"/>
  <c r="D23" i="1"/>
  <c r="F23" i="1"/>
  <c r="F27" i="1"/>
  <c r="D27" i="1"/>
  <c r="X4" i="3"/>
  <c r="AB4" i="3"/>
  <c r="S2" i="4"/>
  <c r="S4" i="4"/>
  <c r="S3" i="4"/>
  <c r="S5" i="4"/>
  <c r="N18" i="1"/>
  <c r="P18" i="1"/>
  <c r="P20" i="1"/>
  <c r="N4" i="3"/>
  <c r="M4" i="3"/>
  <c r="R4" i="3"/>
  <c r="F20" i="1"/>
  <c r="D20" i="1"/>
  <c r="D16" i="1"/>
  <c r="F19" i="1"/>
  <c r="P2" i="4"/>
  <c r="T2" i="4"/>
  <c r="P3" i="4"/>
  <c r="T3" i="4"/>
  <c r="P4" i="4"/>
  <c r="T4" i="4"/>
  <c r="P5" i="4"/>
  <c r="T5" i="4"/>
  <c r="Q2" i="4"/>
  <c r="Q3" i="4"/>
  <c r="Q4" i="4"/>
  <c r="Q5" i="4"/>
  <c r="W3" i="4"/>
  <c r="W2" i="4"/>
  <c r="W4" i="4"/>
  <c r="D12" i="1" l="1"/>
  <c r="D9" i="1" s="1"/>
  <c r="F12" i="1"/>
  <c r="F9" i="1" s="1"/>
  <c r="N26" i="1"/>
  <c r="P26" i="1"/>
  <c r="N24" i="1"/>
  <c r="P24" i="1"/>
  <c r="D24" i="1"/>
  <c r="F24" i="1"/>
  <c r="P17" i="1"/>
  <c r="N17" i="1"/>
  <c r="R2" i="4"/>
  <c r="P16" i="1"/>
  <c r="N16" i="1"/>
</calcChain>
</file>

<file path=xl/comments1.xml><?xml version="1.0" encoding="utf-8"?>
<comments xmlns="http://schemas.openxmlformats.org/spreadsheetml/2006/main">
  <authors>
    <author>user</author>
  </authors>
  <commentList>
    <comment ref="C2" authorId="0" shapeId="0">
      <text>
        <r>
          <rPr>
            <sz val="11"/>
            <color indexed="8"/>
            <rFont val="宋体"/>
            <charset val="134"/>
          </rPr>
          <t>user:
含口腔科</t>
        </r>
      </text>
    </comment>
    <comment ref="D2" authorId="0" shapeId="0">
      <text>
        <r>
          <rPr>
            <sz val="11"/>
            <color indexed="8"/>
            <rFont val="宋体"/>
            <charset val="134"/>
          </rPr>
          <t>user:
含眼科</t>
        </r>
      </text>
    </comment>
  </commentList>
</comments>
</file>

<file path=xl/sharedStrings.xml><?xml version="1.0" encoding="utf-8"?>
<sst xmlns="http://schemas.openxmlformats.org/spreadsheetml/2006/main" count="272" uniqueCount="78">
  <si>
    <t>本季度天数</t>
  </si>
  <si>
    <t>时间进度差</t>
  </si>
  <si>
    <t>预警颜色</t>
  </si>
  <si>
    <t>已过天数</t>
  </si>
  <si>
    <t>0%-10%</t>
  </si>
  <si>
    <t>20%-30%</t>
  </si>
  <si>
    <t>剩余天数</t>
  </si>
  <si>
    <t>10%-20%</t>
  </si>
  <si>
    <t>&gt;30%</t>
  </si>
  <si>
    <t>地区</t>
  </si>
  <si>
    <t>考核指标</t>
  </si>
  <si>
    <t>季度任务值</t>
  </si>
  <si>
    <t>QTD完成</t>
  </si>
  <si>
    <t>QTD完成率</t>
  </si>
  <si>
    <t>近七天日均</t>
  </si>
  <si>
    <t>日均差额</t>
  </si>
  <si>
    <t>预估完成率</t>
  </si>
  <si>
    <t>易尔通</t>
  </si>
  <si>
    <t>总包消费</t>
  </si>
  <si>
    <t>大搜消费</t>
  </si>
  <si>
    <t>信息流消费</t>
  </si>
  <si>
    <t>潜力行业消费</t>
  </si>
  <si>
    <t>二级地市消费-整体</t>
  </si>
  <si>
    <t>泉州市</t>
  </si>
  <si>
    <t>漳州市</t>
  </si>
  <si>
    <t>龙岩市</t>
  </si>
  <si>
    <t>厦门(企业)</t>
  </si>
  <si>
    <t>泉州(企业)</t>
  </si>
  <si>
    <t>非医疗消费</t>
  </si>
  <si>
    <t>医疗消费</t>
  </si>
  <si>
    <t>漳州(企业)</t>
  </si>
  <si>
    <t>龙岩(企业)</t>
  </si>
  <si>
    <t>汇总（企业+框架）</t>
  </si>
  <si>
    <t>总包</t>
  </si>
  <si>
    <t>医疗</t>
  </si>
  <si>
    <t>非医疗</t>
  </si>
  <si>
    <t>企业汇总</t>
  </si>
  <si>
    <t>大搜</t>
  </si>
  <si>
    <t>信息流</t>
  </si>
  <si>
    <t>品牌展示</t>
  </si>
  <si>
    <t>中小客户数QTD完成</t>
  </si>
  <si>
    <t>中小消费QTD完成</t>
  </si>
  <si>
    <t>框架汇总</t>
  </si>
  <si>
    <t>消费</t>
  </si>
  <si>
    <t>有消费客户数</t>
  </si>
  <si>
    <t>-</t>
  </si>
  <si>
    <t>日期</t>
  </si>
  <si>
    <t>厦门市</t>
  </si>
  <si>
    <t>总包（企业+框架）</t>
  </si>
  <si>
    <t>企业</t>
  </si>
  <si>
    <t>框架</t>
  </si>
  <si>
    <t>新单汇总</t>
  </si>
  <si>
    <t>合计</t>
  </si>
  <si>
    <t>厦门</t>
  </si>
  <si>
    <t>泉州</t>
  </si>
  <si>
    <t>漳州</t>
  </si>
  <si>
    <t>龙岩</t>
  </si>
  <si>
    <t>新单消费汇总</t>
  </si>
  <si>
    <t>新单消费占比</t>
  </si>
  <si>
    <t>信息流新单数</t>
  </si>
  <si>
    <t>潜力行业</t>
  </si>
  <si>
    <t>整体消费</t>
  </si>
  <si>
    <t>口腔美容</t>
  </si>
  <si>
    <t>眼科美容</t>
  </si>
  <si>
    <t>职业培训</t>
  </si>
  <si>
    <t>装修建材</t>
  </si>
  <si>
    <t>装潢装修</t>
  </si>
  <si>
    <t>通用机械设备</t>
  </si>
  <si>
    <t>房地产开发商</t>
  </si>
  <si>
    <t>房产中介</t>
  </si>
  <si>
    <t>2023Q3</t>
  </si>
  <si>
    <t>2023Q3</t>
    <phoneticPr fontId="5" type="noConversion"/>
  </si>
  <si>
    <t>7月份</t>
  </si>
  <si>
    <t>7月份</t>
    <phoneticPr fontId="5" type="noConversion"/>
  </si>
  <si>
    <t>8月份</t>
  </si>
  <si>
    <t>8月份</t>
    <phoneticPr fontId="5" type="noConversion"/>
  </si>
  <si>
    <t>9月份</t>
  </si>
  <si>
    <t>9月份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</si>
</sst>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 * #,##0.00_ ;_ * \-#,##0.00_ ;_ * &quot;-&quot;??_ ;_ @_ "/>
    <numFmt numFmtId="176" formatCode="#,##0_ "/>
    <numFmt numFmtId="177" formatCode="#,##0_);[Red]\(#,##0\)"/>
    <numFmt numFmtId="178" formatCode="0.00_ "/>
    <numFmt numFmtId="179" formatCode="0.0_);[Red]\(0.0\)"/>
    <numFmt numFmtId="180" formatCode="_ * #,##0_ ;_ * \-#,##0_ ;_ * &quot;-&quot;??_ ;_ @_ "/>
    <numFmt numFmtId="181" formatCode="#,##0;[Red]#,##0"/>
    <numFmt numFmtId="182" formatCode="_-* #,##0_-;\-* #,##0_-;_-* &quot;-&quot;_-;_-@_-"/>
  </numFmts>
  <fonts count="19" x14ac:knownFonts="1">
    <font>
      <sz val="11"/>
      <color indexed="8"/>
      <name val="宋体"/>
      <charset val="134"/>
    </font>
    <font>
      <sz val="11"/>
      <color theme="1"/>
      <name val="宋体"/>
      <family val="2"/>
      <charset val="134"/>
      <scheme val="minor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12"/>
      <name val="宋体"/>
      <family val="3"/>
      <charset val="134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0"/>
      <color theme="0" tint="-4.9989318521683403E-2"/>
      <name val="微软雅黑"/>
      <family val="2"/>
      <charset val="134"/>
    </font>
    <font>
      <sz val="11"/>
      <color theme="0" tint="-4.9989318521683403E-2"/>
      <name val="宋体"/>
      <family val="3"/>
      <charset val="134"/>
    </font>
    <font>
      <sz val="10"/>
      <color theme="0" tint="-4.9989318521683403E-2"/>
      <name val="微软雅黑"/>
      <family val="2"/>
      <charset val="134"/>
    </font>
    <font>
      <sz val="11"/>
      <color theme="1"/>
      <name val="宋体"/>
      <family val="2"/>
      <scheme val="minor"/>
    </font>
    <font>
      <sz val="18"/>
      <color theme="3"/>
      <name val="宋体"/>
      <family val="2"/>
      <charset val="134"/>
      <scheme val="major"/>
    </font>
    <font>
      <sz val="11"/>
      <color theme="1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2CD2D"/>
        <bgColor indexed="64"/>
      </patternFill>
    </fill>
    <fill>
      <patternFill patternType="solid">
        <fgColor rgb="FFDCE381"/>
        <bgColor indexed="64"/>
      </patternFill>
    </fill>
    <fill>
      <patternFill patternType="solid">
        <fgColor rgb="FFEBEFB7"/>
        <bgColor indexed="64"/>
      </patternFill>
    </fill>
    <fill>
      <patternFill patternType="solid">
        <fgColor rgb="FFC0DCF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1FFAB"/>
        <bgColor indexed="64"/>
      </patternFill>
    </fill>
    <fill>
      <patternFill patternType="solid">
        <fgColor theme="0" tint="-0.149876400036622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114">
    <xf numFmtId="0" fontId="0" fillId="0" borderId="0">
      <alignment vertical="center"/>
    </xf>
    <xf numFmtId="43" fontId="4" fillId="0" borderId="0">
      <alignment vertical="center"/>
    </xf>
    <xf numFmtId="9" fontId="4" fillId="0" borderId="0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182" fontId="4" fillId="0" borderId="0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1" fillId="4" borderId="8">
      <alignment vertical="center"/>
    </xf>
    <xf numFmtId="0" fontId="7" fillId="0" borderId="0"/>
    <xf numFmtId="0" fontId="15" fillId="0" borderId="0"/>
    <xf numFmtId="0" fontId="1" fillId="0" borderId="0">
      <alignment vertical="center"/>
    </xf>
    <xf numFmtId="0" fontId="1" fillId="4" borderId="8">
      <alignment vertical="center"/>
    </xf>
    <xf numFmtId="0" fontId="1" fillId="5" borderId="0">
      <alignment vertical="center"/>
    </xf>
    <xf numFmtId="0" fontId="1" fillId="6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" fillId="12" borderId="0">
      <alignment vertical="center"/>
    </xf>
    <xf numFmtId="0" fontId="1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" fillId="16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43" fontId="17" fillId="0" borderId="0">
      <alignment vertical="center"/>
    </xf>
    <xf numFmtId="0" fontId="18" fillId="0" borderId="0">
      <alignment vertical="center"/>
    </xf>
    <xf numFmtId="9" fontId="17" fillId="0" borderId="0">
      <alignment vertical="center"/>
    </xf>
  </cellStyleXfs>
  <cellXfs count="137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23" borderId="1" xfId="0" applyFont="1" applyFill="1" applyBorder="1" applyAlignment="1">
      <alignment horizontal="center" vertical="center"/>
    </xf>
    <xf numFmtId="0" fontId="3" fillId="25" borderId="9" xfId="0" applyFont="1" applyFill="1" applyBorder="1" applyAlignment="1">
      <alignment horizontal="center" vertical="center"/>
    </xf>
    <xf numFmtId="0" fontId="10" fillId="26" borderId="9" xfId="93" applyFont="1" applyFill="1" applyBorder="1" applyAlignment="1">
      <alignment horizontal="center" vertical="center" wrapText="1"/>
    </xf>
    <xf numFmtId="10" fontId="2" fillId="24" borderId="1" xfId="2" applyNumberFormat="1" applyFont="1" applyFill="1" applyBorder="1" applyAlignment="1">
      <alignment horizontal="center" vertical="center"/>
    </xf>
    <xf numFmtId="0" fontId="10" fillId="22" borderId="9" xfId="93" applyFont="1" applyFill="1" applyBorder="1" applyAlignment="1">
      <alignment horizontal="center" vertical="center" wrapText="1"/>
    </xf>
    <xf numFmtId="0" fontId="8" fillId="20" borderId="13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 shrinkToFit="1"/>
    </xf>
    <xf numFmtId="0" fontId="0" fillId="0" borderId="0" xfId="0" applyAlignment="1"/>
    <xf numFmtId="0" fontId="2" fillId="0" borderId="1" xfId="1" applyNumberFormat="1" applyFont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vertical="center"/>
    </xf>
    <xf numFmtId="0" fontId="2" fillId="17" borderId="4" xfId="0" applyFont="1" applyFill="1" applyBorder="1" applyAlignment="1">
      <alignment horizontal="center" vertical="center"/>
    </xf>
    <xf numFmtId="0" fontId="2" fillId="30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1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2" fillId="0" borderId="0" xfId="2" applyNumberFormat="1" applyFont="1" applyAlignment="1">
      <alignment horizontal="center" vertical="center"/>
    </xf>
    <xf numFmtId="10" fontId="2" fillId="0" borderId="0" xfId="2" applyNumberFormat="1" applyFont="1" applyAlignment="1">
      <alignment horizontal="center"/>
    </xf>
    <xf numFmtId="10" fontId="0" fillId="0" borderId="0" xfId="0" applyNumberFormat="1" applyAlignment="1">
      <alignment vertical="center"/>
    </xf>
    <xf numFmtId="0" fontId="10" fillId="27" borderId="9" xfId="0" applyFont="1" applyFill="1" applyBorder="1" applyAlignment="1">
      <alignment horizontal="center" vertical="center"/>
    </xf>
    <xf numFmtId="0" fontId="10" fillId="32" borderId="9" xfId="0" applyFont="1" applyFill="1" applyBorder="1" applyAlignment="1">
      <alignment horizontal="center" vertical="center"/>
    </xf>
    <xf numFmtId="0" fontId="10" fillId="32" borderId="4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13" fillId="3" borderId="0" xfId="0" applyFont="1" applyFill="1" applyAlignment="1">
      <alignment vertical="center"/>
    </xf>
    <xf numFmtId="58" fontId="9" fillId="0" borderId="9" xfId="0" applyNumberFormat="1" applyFont="1" applyBorder="1" applyAlignment="1">
      <alignment horizontal="center" vertical="center"/>
    </xf>
    <xf numFmtId="58" fontId="6" fillId="0" borderId="9" xfId="0" applyNumberFormat="1" applyFont="1" applyBorder="1" applyAlignment="1">
      <alignment horizontal="center" vertical="center"/>
    </xf>
    <xf numFmtId="58" fontId="9" fillId="0" borderId="1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0" xfId="0" applyBorder="1" applyAlignment="1">
      <alignment vertical="center"/>
    </xf>
    <xf numFmtId="0" fontId="3" fillId="31" borderId="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2" fillId="20" borderId="20" xfId="0" applyFont="1" applyFill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6" fontId="2" fillId="0" borderId="0" xfId="1" applyNumberFormat="1" applyFont="1" applyAlignment="1">
      <alignment horizontal="center" vertical="center"/>
    </xf>
    <xf numFmtId="43" fontId="0" fillId="0" borderId="0" xfId="0" applyNumberFormat="1" applyAlignment="1"/>
    <xf numFmtId="176" fontId="0" fillId="0" borderId="0" xfId="0" applyNumberFormat="1" applyAlignment="1"/>
    <xf numFmtId="177" fontId="2" fillId="0" borderId="1" xfId="1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2" fillId="0" borderId="1" xfId="1" applyFont="1" applyBorder="1" applyAlignment="1">
      <alignment horizontal="center"/>
    </xf>
    <xf numFmtId="178" fontId="2" fillId="0" borderId="1" xfId="1" applyNumberFormat="1" applyFont="1" applyBorder="1" applyAlignment="1">
      <alignment horizontal="center" vertical="center"/>
    </xf>
    <xf numFmtId="179" fontId="2" fillId="0" borderId="1" xfId="1" applyNumberFormat="1" applyFont="1" applyBorder="1" applyAlignment="1">
      <alignment horizontal="center" vertical="center"/>
    </xf>
    <xf numFmtId="180" fontId="0" fillId="0" borderId="0" xfId="1" applyNumberFormat="1" applyFont="1" applyAlignment="1">
      <alignment vertical="center"/>
    </xf>
    <xf numFmtId="180" fontId="0" fillId="3" borderId="0" xfId="1" applyNumberFormat="1" applyFont="1" applyFill="1" applyAlignment="1">
      <alignment vertical="center"/>
    </xf>
    <xf numFmtId="180" fontId="13" fillId="3" borderId="0" xfId="1" applyNumberFormat="1" applyFont="1" applyFill="1" applyAlignment="1">
      <alignment vertical="center"/>
    </xf>
    <xf numFmtId="180" fontId="12" fillId="20" borderId="20" xfId="1" applyNumberFormat="1" applyFont="1" applyFill="1" applyBorder="1" applyAlignment="1">
      <alignment horizontal="center" vertical="center"/>
    </xf>
    <xf numFmtId="181" fontId="14" fillId="3" borderId="0" xfId="0" applyNumberFormat="1" applyFont="1" applyFill="1" applyAlignment="1">
      <alignment horizontal="center" vertical="center"/>
    </xf>
    <xf numFmtId="181" fontId="6" fillId="27" borderId="9" xfId="0" applyNumberFormat="1" applyFont="1" applyFill="1" applyBorder="1" applyAlignment="1">
      <alignment horizontal="center" vertical="center"/>
    </xf>
    <xf numFmtId="181" fontId="6" fillId="27" borderId="20" xfId="0" applyNumberFormat="1" applyFont="1" applyFill="1" applyBorder="1" applyAlignment="1">
      <alignment horizontal="center" vertical="center"/>
    </xf>
    <xf numFmtId="181" fontId="9" fillId="27" borderId="20" xfId="0" quotePrefix="1" applyNumberFormat="1" applyFont="1" applyFill="1" applyBorder="1" applyAlignment="1">
      <alignment horizontal="center" vertical="center"/>
    </xf>
    <xf numFmtId="181" fontId="9" fillId="27" borderId="20" xfId="0" applyNumberFormat="1" applyFont="1" applyFill="1" applyBorder="1" applyAlignment="1">
      <alignment horizontal="center" vertical="center"/>
    </xf>
    <xf numFmtId="181" fontId="9" fillId="3" borderId="0" xfId="0" applyNumberFormat="1" applyFont="1" applyFill="1" applyAlignment="1">
      <alignment horizontal="center" vertical="center"/>
    </xf>
    <xf numFmtId="181" fontId="6" fillId="32" borderId="9" xfId="0" applyNumberFormat="1" applyFont="1" applyFill="1" applyBorder="1" applyAlignment="1">
      <alignment horizontal="center" vertical="center"/>
    </xf>
    <xf numFmtId="181" fontId="6" fillId="32" borderId="20" xfId="0" quotePrefix="1" applyNumberFormat="1" applyFont="1" applyFill="1" applyBorder="1" applyAlignment="1">
      <alignment horizontal="center" vertical="center"/>
    </xf>
    <xf numFmtId="181" fontId="9" fillId="32" borderId="20" xfId="0" applyNumberFormat="1" applyFont="1" applyFill="1" applyBorder="1" applyAlignment="1">
      <alignment horizontal="center" vertical="center"/>
    </xf>
    <xf numFmtId="181" fontId="6" fillId="32" borderId="4" xfId="0" applyNumberFormat="1" applyFont="1" applyFill="1" applyBorder="1" applyAlignment="1">
      <alignment horizontal="center" vertical="center"/>
    </xf>
    <xf numFmtId="181" fontId="6" fillId="32" borderId="4" xfId="0" quotePrefix="1" applyNumberFormat="1" applyFont="1" applyFill="1" applyBorder="1" applyAlignment="1">
      <alignment horizontal="center" vertical="center"/>
    </xf>
    <xf numFmtId="181" fontId="9" fillId="32" borderId="4" xfId="0" applyNumberFormat="1" applyFont="1" applyFill="1" applyBorder="1" applyAlignment="1">
      <alignment horizontal="center" vertical="center"/>
    </xf>
    <xf numFmtId="181" fontId="9" fillId="0" borderId="2" xfId="0" applyNumberFormat="1" applyFont="1" applyBorder="1" applyAlignment="1">
      <alignment horizontal="center" vertical="center"/>
    </xf>
    <xf numFmtId="181" fontId="9" fillId="3" borderId="19" xfId="0" applyNumberFormat="1" applyFont="1" applyFill="1" applyBorder="1" applyAlignment="1">
      <alignment horizontal="center" vertical="center"/>
    </xf>
    <xf numFmtId="181" fontId="9" fillId="3" borderId="2" xfId="0" applyNumberFormat="1" applyFont="1" applyFill="1" applyBorder="1" applyAlignment="1">
      <alignment horizontal="center" vertical="center"/>
    </xf>
    <xf numFmtId="181" fontId="9" fillId="3" borderId="20" xfId="0" applyNumberFormat="1" applyFont="1" applyFill="1" applyBorder="1" applyAlignment="1">
      <alignment horizontal="center" vertical="center"/>
    </xf>
    <xf numFmtId="181" fontId="9" fillId="0" borderId="23" xfId="0" applyNumberFormat="1" applyFont="1" applyBorder="1" applyAlignment="1">
      <alignment horizontal="center" vertical="center"/>
    </xf>
    <xf numFmtId="181" fontId="9" fillId="3" borderId="23" xfId="0" applyNumberFormat="1" applyFont="1" applyFill="1" applyBorder="1" applyAlignment="1">
      <alignment horizontal="center" vertical="center"/>
    </xf>
    <xf numFmtId="177" fontId="0" fillId="0" borderId="0" xfId="1" applyNumberFormat="1" applyFont="1" applyAlignment="1">
      <alignment vertical="center"/>
    </xf>
    <xf numFmtId="177" fontId="0" fillId="0" borderId="0" xfId="0" applyNumberFormat="1" applyAlignment="1">
      <alignment vertical="center"/>
    </xf>
    <xf numFmtId="177" fontId="8" fillId="20" borderId="9" xfId="1" applyNumberFormat="1" applyFont="1" applyFill="1" applyBorder="1" applyAlignment="1">
      <alignment horizontal="center" vertical="center" wrapText="1"/>
    </xf>
    <xf numFmtId="177" fontId="8" fillId="20" borderId="14" xfId="1" applyNumberFormat="1" applyFont="1" applyFill="1" applyBorder="1" applyAlignment="1">
      <alignment horizontal="center" vertical="center" wrapText="1"/>
    </xf>
    <xf numFmtId="177" fontId="8" fillId="20" borderId="9" xfId="93" applyNumberFormat="1" applyFont="1" applyFill="1" applyBorder="1" applyAlignment="1">
      <alignment horizontal="center" vertical="center" wrapText="1"/>
    </xf>
    <xf numFmtId="177" fontId="8" fillId="20" borderId="11" xfId="93" applyNumberFormat="1" applyFont="1" applyFill="1" applyBorder="1" applyAlignment="1">
      <alignment horizontal="center" vertical="center" wrapText="1"/>
    </xf>
    <xf numFmtId="177" fontId="10" fillId="22" borderId="9" xfId="1" applyNumberFormat="1" applyFont="1" applyFill="1" applyBorder="1" applyAlignment="1">
      <alignment horizontal="center" vertical="center" wrapText="1"/>
    </xf>
    <xf numFmtId="177" fontId="11" fillId="0" borderId="0" xfId="0" applyNumberFormat="1" applyFont="1" applyAlignment="1">
      <alignment vertical="center"/>
    </xf>
    <xf numFmtId="177" fontId="10" fillId="22" borderId="9" xfId="93" applyNumberFormat="1" applyFont="1" applyFill="1" applyBorder="1" applyAlignment="1">
      <alignment horizontal="center" vertical="center" wrapText="1"/>
    </xf>
    <xf numFmtId="177" fontId="10" fillId="26" borderId="9" xfId="93" applyNumberFormat="1" applyFont="1" applyFill="1" applyBorder="1" applyAlignment="1">
      <alignment horizontal="center" vertical="center" wrapText="1"/>
    </xf>
    <xf numFmtId="177" fontId="10" fillId="26" borderId="9" xfId="1" applyNumberFormat="1" applyFont="1" applyFill="1" applyBorder="1" applyAlignment="1">
      <alignment horizontal="center" vertical="center" wrapText="1"/>
    </xf>
    <xf numFmtId="177" fontId="9" fillId="18" borderId="1" xfId="1" applyNumberFormat="1" applyFont="1" applyFill="1" applyBorder="1" applyAlignment="1">
      <alignment horizontal="center" vertical="center"/>
    </xf>
    <xf numFmtId="177" fontId="9" fillId="18" borderId="9" xfId="1" applyNumberFormat="1" applyFont="1" applyFill="1" applyBorder="1" applyAlignment="1">
      <alignment horizontal="center" vertical="center"/>
    </xf>
    <xf numFmtId="177" fontId="9" fillId="18" borderId="20" xfId="1" applyNumberFormat="1" applyFont="1" applyFill="1" applyBorder="1" applyAlignment="1">
      <alignment horizontal="center" vertical="center"/>
    </xf>
    <xf numFmtId="177" fontId="9" fillId="18" borderId="2" xfId="1" applyNumberFormat="1" applyFont="1" applyFill="1" applyBorder="1" applyAlignment="1">
      <alignment horizontal="center" vertical="center"/>
    </xf>
    <xf numFmtId="177" fontId="0" fillId="0" borderId="0" xfId="2" applyNumberFormat="1" applyFont="1" applyAlignment="1">
      <alignment vertical="center"/>
    </xf>
    <xf numFmtId="177" fontId="2" fillId="0" borderId="0" xfId="0" applyNumberFormat="1" applyFont="1" applyAlignment="1">
      <alignment horizontal="center" vertical="center"/>
    </xf>
    <xf numFmtId="177" fontId="3" fillId="23" borderId="1" xfId="0" applyNumberFormat="1" applyFont="1" applyFill="1" applyBorder="1" applyAlignment="1">
      <alignment horizontal="center" vertical="center"/>
    </xf>
    <xf numFmtId="177" fontId="2" fillId="31" borderId="1" xfId="1" applyNumberFormat="1" applyFont="1" applyFill="1" applyBorder="1" applyAlignment="1">
      <alignment horizontal="center" vertical="center"/>
    </xf>
    <xf numFmtId="177" fontId="2" fillId="0" borderId="9" xfId="1" applyNumberFormat="1" applyFont="1" applyBorder="1" applyAlignment="1">
      <alignment horizontal="center" vertical="center"/>
    </xf>
    <xf numFmtId="181" fontId="9" fillId="3" borderId="23" xfId="11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80" fontId="2" fillId="0" borderId="9" xfId="1" applyNumberFormat="1" applyFont="1" applyBorder="1" applyAlignment="1">
      <alignment horizontal="center" vertical="center"/>
    </xf>
    <xf numFmtId="177" fontId="2" fillId="0" borderId="20" xfId="1" applyNumberFormat="1" applyFont="1" applyBorder="1" applyAlignment="1">
      <alignment horizontal="center" vertical="center"/>
    </xf>
    <xf numFmtId="177" fontId="2" fillId="0" borderId="20" xfId="0" applyNumberFormat="1" applyFont="1" applyBorder="1" applyAlignment="1">
      <alignment horizontal="center" vertical="center"/>
    </xf>
    <xf numFmtId="180" fontId="2" fillId="0" borderId="20" xfId="1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8" fillId="20" borderId="13" xfId="0" applyNumberFormat="1" applyFont="1" applyFill="1" applyBorder="1" applyAlignment="1">
      <alignment horizontal="center" vertical="center"/>
    </xf>
    <xf numFmtId="180" fontId="10" fillId="19" borderId="6" xfId="0" applyNumberFormat="1" applyFont="1" applyFill="1" applyBorder="1" applyAlignment="1">
      <alignment horizontal="center" vertical="center"/>
    </xf>
    <xf numFmtId="177" fontId="10" fillId="19" borderId="9" xfId="0" applyNumberFormat="1" applyFont="1" applyFill="1" applyBorder="1" applyAlignment="1">
      <alignment horizontal="center" vertical="center"/>
    </xf>
    <xf numFmtId="177" fontId="2" fillId="3" borderId="9" xfId="1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3" fillId="21" borderId="16" xfId="0" applyFont="1" applyFill="1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  <xf numFmtId="0" fontId="3" fillId="21" borderId="1" xfId="0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2" xfId="0" applyBorder="1" applyAlignment="1"/>
    <xf numFmtId="0" fontId="12" fillId="20" borderId="15" xfId="0" applyFont="1" applyFill="1" applyBorder="1" applyAlignment="1">
      <alignment horizontal="center" vertical="center"/>
    </xf>
    <xf numFmtId="0" fontId="0" fillId="0" borderId="15" xfId="0" applyBorder="1" applyAlignment="1"/>
    <xf numFmtId="0" fontId="12" fillId="20" borderId="20" xfId="0" applyFont="1" applyFill="1" applyBorder="1" applyAlignment="1">
      <alignment horizontal="center" vertical="center" wrapText="1"/>
    </xf>
    <xf numFmtId="0" fontId="0" fillId="0" borderId="22" xfId="0" applyBorder="1" applyAlignment="1"/>
    <xf numFmtId="0" fontId="12" fillId="20" borderId="9" xfId="0" applyFont="1" applyFill="1" applyBorder="1" applyAlignment="1">
      <alignment horizontal="center" vertical="center" wrapText="1"/>
    </xf>
    <xf numFmtId="0" fontId="0" fillId="0" borderId="19" xfId="0" applyBorder="1" applyAlignment="1"/>
    <xf numFmtId="180" fontId="12" fillId="20" borderId="9" xfId="1" applyNumberFormat="1" applyFont="1" applyFill="1" applyBorder="1" applyAlignment="1">
      <alignment horizontal="center" vertical="center" wrapText="1"/>
    </xf>
    <xf numFmtId="180" fontId="12" fillId="20" borderId="9" xfId="1" applyNumberFormat="1" applyFont="1" applyFill="1" applyBorder="1" applyAlignment="1">
      <alignment horizontal="center" vertical="center"/>
    </xf>
    <xf numFmtId="0" fontId="0" fillId="0" borderId="23" xfId="0" applyBorder="1" applyAlignment="1"/>
    <xf numFmtId="177" fontId="8" fillId="20" borderId="12" xfId="93" applyNumberFormat="1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12" xfId="0" applyBorder="1" applyAlignment="1"/>
    <xf numFmtId="177" fontId="8" fillId="20" borderId="20" xfId="1" applyNumberFormat="1" applyFont="1" applyFill="1" applyBorder="1" applyAlignment="1">
      <alignment horizontal="center" vertical="center"/>
    </xf>
    <xf numFmtId="0" fontId="0" fillId="0" borderId="21" xfId="0" applyBorder="1" applyAlignment="1"/>
    <xf numFmtId="177" fontId="8" fillId="20" borderId="9" xfId="1" applyNumberFormat="1" applyFont="1" applyFill="1" applyBorder="1" applyAlignment="1">
      <alignment horizontal="center" vertical="center" wrapText="1"/>
    </xf>
    <xf numFmtId="177" fontId="8" fillId="20" borderId="11" xfId="1" applyNumberFormat="1" applyFont="1" applyFill="1" applyBorder="1" applyAlignment="1">
      <alignment horizontal="center" vertical="center"/>
    </xf>
    <xf numFmtId="177" fontId="8" fillId="20" borderId="9" xfId="1" applyNumberFormat="1" applyFont="1" applyFill="1" applyBorder="1" applyAlignment="1">
      <alignment horizontal="center" vertical="center"/>
    </xf>
    <xf numFmtId="0" fontId="8" fillId="20" borderId="12" xfId="93" applyFont="1" applyFill="1" applyBorder="1" applyAlignment="1">
      <alignment horizontal="center" vertical="center" wrapText="1"/>
    </xf>
    <xf numFmtId="0" fontId="8" fillId="20" borderId="7" xfId="0" applyFont="1" applyFill="1" applyBorder="1" applyAlignment="1">
      <alignment horizontal="center" vertical="center"/>
    </xf>
    <xf numFmtId="0" fontId="0" fillId="0" borderId="3" xfId="0" applyBorder="1" applyAlignment="1"/>
  </cellXfs>
  <cellStyles count="114">
    <cellStyle name="20% - 着色 1 2" xfId="97"/>
    <cellStyle name="20% - 着色 2 2" xfId="99"/>
    <cellStyle name="20% - 着色 3 2" xfId="101"/>
    <cellStyle name="20% - 着色 4 2" xfId="103"/>
    <cellStyle name="20% - 着色 5 2" xfId="105"/>
    <cellStyle name="20% - 着色 6 2" xfId="107"/>
    <cellStyle name="40% - 着色 1 2" xfId="98"/>
    <cellStyle name="40% - 着色 2 2" xfId="100"/>
    <cellStyle name="40% - 着色 3 2" xfId="102"/>
    <cellStyle name="40% - 着色 4 2" xfId="104"/>
    <cellStyle name="40% - 着色 5 2" xfId="106"/>
    <cellStyle name="40% - 着色 6 2" xfId="108"/>
    <cellStyle name="百分比" xfId="2" builtinId="5"/>
    <cellStyle name="百分比 2" xfId="113"/>
    <cellStyle name="标题 5" xfId="109"/>
    <cellStyle name="标题 5 2" xfId="112"/>
    <cellStyle name="常规" xfId="0" builtinId="0"/>
    <cellStyle name="常规 2" xfId="94"/>
    <cellStyle name="常规 3" xfId="95"/>
    <cellStyle name="常规 4" xfId="110"/>
    <cellStyle name="常规_消费统计" xfId="93"/>
    <cellStyle name="千位分隔" xfId="1" builtinId="3"/>
    <cellStyle name="千位分隔 2" xfId="111"/>
    <cellStyle name="千位分隔[0] 2" xfId="37"/>
    <cellStyle name="注释 10" xfId="24"/>
    <cellStyle name="注释 11" xfId="46"/>
    <cellStyle name="注释 12" xfId="21"/>
    <cellStyle name="注释 13" xfId="8"/>
    <cellStyle name="注释 14" xfId="13"/>
    <cellStyle name="注释 15" xfId="14"/>
    <cellStyle name="注释 16" xfId="11"/>
    <cellStyle name="注释 17" xfId="18"/>
    <cellStyle name="注释 18" xfId="23"/>
    <cellStyle name="注释 19" xfId="49"/>
    <cellStyle name="注释 2" xfId="12"/>
    <cellStyle name="注释 2 10" xfId="53"/>
    <cellStyle name="注释 2 11" xfId="54"/>
    <cellStyle name="注释 2 12" xfId="55"/>
    <cellStyle name="注释 2 13" xfId="57"/>
    <cellStyle name="注释 2 14" xfId="58"/>
    <cellStyle name="注释 2 15" xfId="59"/>
    <cellStyle name="注释 2 16" xfId="60"/>
    <cellStyle name="注释 2 17" xfId="61"/>
    <cellStyle name="注释 2 18" xfId="62"/>
    <cellStyle name="注释 2 19" xfId="63"/>
    <cellStyle name="注释 2 2" xfId="38"/>
    <cellStyle name="注释 2 20" xfId="64"/>
    <cellStyle name="注释 2 21" xfId="65"/>
    <cellStyle name="注释 2 22" xfId="66"/>
    <cellStyle name="注释 2 23" xfId="67"/>
    <cellStyle name="注释 2 24" xfId="68"/>
    <cellStyle name="注释 2 25" xfId="69"/>
    <cellStyle name="注释 2 26" xfId="70"/>
    <cellStyle name="注释 2 27" xfId="71"/>
    <cellStyle name="注释 2 28" xfId="72"/>
    <cellStyle name="注释 2 29" xfId="73"/>
    <cellStyle name="注释 2 3" xfId="41"/>
    <cellStyle name="注释 2 30" xfId="74"/>
    <cellStyle name="注释 2 31" xfId="75"/>
    <cellStyle name="注释 2 32" xfId="76"/>
    <cellStyle name="注释 2 33" xfId="77"/>
    <cellStyle name="注释 2 34" xfId="79"/>
    <cellStyle name="注释 2 35" xfId="81"/>
    <cellStyle name="注释 2 36" xfId="82"/>
    <cellStyle name="注释 2 37" xfId="83"/>
    <cellStyle name="注释 2 38" xfId="84"/>
    <cellStyle name="注释 2 39" xfId="85"/>
    <cellStyle name="注释 2 4" xfId="43"/>
    <cellStyle name="注释 2 40" xfId="86"/>
    <cellStyle name="注释 2 41" xfId="88"/>
    <cellStyle name="注释 2 42" xfId="89"/>
    <cellStyle name="注释 2 43" xfId="90"/>
    <cellStyle name="注释 2 44" xfId="91"/>
    <cellStyle name="注释 2 45" xfId="92"/>
    <cellStyle name="注释 2 5" xfId="45"/>
    <cellStyle name="注释 2 6" xfId="48"/>
    <cellStyle name="注释 2 7" xfId="50"/>
    <cellStyle name="注释 2 8" xfId="51"/>
    <cellStyle name="注释 2 9" xfId="52"/>
    <cellStyle name="注释 20" xfId="30"/>
    <cellStyle name="注释 21" xfId="5"/>
    <cellStyle name="注释 22" xfId="42"/>
    <cellStyle name="注释 23" xfId="26"/>
    <cellStyle name="注释 24" xfId="31"/>
    <cellStyle name="注释 25" xfId="44"/>
    <cellStyle name="注释 26" xfId="28"/>
    <cellStyle name="注释 27" xfId="33"/>
    <cellStyle name="注释 28" xfId="3"/>
    <cellStyle name="注释 29" xfId="34"/>
    <cellStyle name="注释 3" xfId="7"/>
    <cellStyle name="注释 30" xfId="17"/>
    <cellStyle name="注释 31" xfId="6"/>
    <cellStyle name="注释 32" xfId="27"/>
    <cellStyle name="注释 33" xfId="16"/>
    <cellStyle name="注释 34" xfId="19"/>
    <cellStyle name="注释 35" xfId="4"/>
    <cellStyle name="注释 36" xfId="47"/>
    <cellStyle name="注释 37" xfId="20"/>
    <cellStyle name="注释 38" xfId="32"/>
    <cellStyle name="注释 39" xfId="15"/>
    <cellStyle name="注释 4" xfId="22"/>
    <cellStyle name="注释 40" xfId="10"/>
    <cellStyle name="注释 41" xfId="40"/>
    <cellStyle name="注释 42" xfId="9"/>
    <cellStyle name="注释 43" xfId="56"/>
    <cellStyle name="注释 44" xfId="80"/>
    <cellStyle name="注释 45" xfId="78"/>
    <cellStyle name="注释 46" xfId="87"/>
    <cellStyle name="注释 47" xfId="96"/>
    <cellStyle name="注释 5" xfId="25"/>
    <cellStyle name="注释 6" xfId="35"/>
    <cellStyle name="注释 7" xfId="36"/>
    <cellStyle name="注释 8" xfId="39"/>
    <cellStyle name="注释 9" xfId="29"/>
  </cellStyles>
  <dxfs count="6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fgColor theme="4"/>
          <bgColor theme="4"/>
        </patternFill>
      </fill>
    </dxf>
    <dxf>
      <fill>
        <patternFill>
          <fgColor theme="7"/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fgColor rgb="FFFF0000"/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2060"/>
  </sheetPr>
  <dimension ref="A1:S27"/>
  <sheetViews>
    <sheetView showGridLines="0" tabSelected="1" zoomScaleNormal="100" workbookViewId="0">
      <pane ySplit="3" topLeftCell="A4" activePane="bottomLeft" state="frozen"/>
      <selection pane="bottomLeft" activeCell="J4" sqref="J4"/>
    </sheetView>
  </sheetViews>
  <sheetFormatPr defaultRowHeight="13.5" x14ac:dyDescent="0.15"/>
  <cols>
    <col min="1" max="1" width="9.625" style="17" bestFit="1" customWidth="1"/>
    <col min="2" max="2" width="14.25" style="17" customWidth="1"/>
    <col min="3" max="3" width="13.125" style="17" customWidth="1"/>
    <col min="4" max="4" width="11.25" style="17" customWidth="1"/>
    <col min="5" max="5" width="10" style="17" bestFit="1" customWidth="1"/>
    <col min="6" max="6" width="11.375" style="17" customWidth="1"/>
    <col min="7" max="7" width="12.875" style="17" customWidth="1"/>
    <col min="8" max="9" width="10.125" style="17" customWidth="1"/>
    <col min="10" max="10" width="1.5" style="17" customWidth="1"/>
    <col min="11" max="11" width="9.375" style="17" customWidth="1"/>
    <col min="12" max="12" width="19.75" style="17" customWidth="1"/>
    <col min="13" max="13" width="12.875" style="17" customWidth="1"/>
    <col min="14" max="14" width="10.125" style="17" customWidth="1"/>
    <col min="15" max="15" width="10" style="17" bestFit="1" customWidth="1"/>
    <col min="16" max="16" width="9.625" style="17" bestFit="1" customWidth="1"/>
    <col min="17" max="17" width="13.375" style="17" customWidth="1"/>
    <col min="18" max="19" width="9.625" style="17" bestFit="1" customWidth="1"/>
  </cols>
  <sheetData>
    <row r="1" spans="1:19" ht="16.5" customHeight="1" x14ac:dyDescent="0.15">
      <c r="A1" s="4" t="s">
        <v>0</v>
      </c>
      <c r="B1" s="3">
        <v>92</v>
      </c>
      <c r="C1" s="3" t="s">
        <v>1</v>
      </c>
      <c r="D1" s="3" t="s">
        <v>2</v>
      </c>
      <c r="E1" s="3" t="s">
        <v>1</v>
      </c>
      <c r="F1" s="3" t="s">
        <v>2</v>
      </c>
    </row>
    <row r="2" spans="1:19" ht="16.5" customHeight="1" x14ac:dyDescent="0.15">
      <c r="A2" s="4" t="s">
        <v>3</v>
      </c>
      <c r="B2" s="3">
        <f>COUNTIFS(消费汇总!B7:B96,"&gt;0")</f>
        <v>0</v>
      </c>
      <c r="C2" s="3" t="s">
        <v>4</v>
      </c>
      <c r="D2" s="20"/>
      <c r="E2" s="3" t="s">
        <v>5</v>
      </c>
      <c r="F2" s="21"/>
    </row>
    <row r="3" spans="1:19" s="23" customFormat="1" ht="17.25" customHeight="1" thickBot="1" x14ac:dyDescent="0.2">
      <c r="A3" s="5" t="s">
        <v>6</v>
      </c>
      <c r="B3" s="6">
        <f>B1-B2</f>
        <v>92</v>
      </c>
      <c r="C3" s="6" t="s">
        <v>7</v>
      </c>
      <c r="D3" s="24"/>
      <c r="E3" s="6" t="s">
        <v>8</v>
      </c>
      <c r="F3" s="25"/>
    </row>
    <row r="4" spans="1:19" ht="16.5" customHeight="1" x14ac:dyDescent="0.15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</v>
      </c>
    </row>
    <row r="5" spans="1:19" ht="16.5" customHeight="1" x14ac:dyDescent="0.35">
      <c r="A5" s="111" t="s">
        <v>17</v>
      </c>
      <c r="B5" s="22" t="s">
        <v>18</v>
      </c>
      <c r="C5" s="45"/>
      <c r="D5" s="45" t="str">
        <f>消费汇总!B3</f>
        <v/>
      </c>
      <c r="E5" s="2" t="str">
        <f t="shared" ref="E5:E12" si="0">IF(C5="","-",D5/C5)</f>
        <v>-</v>
      </c>
      <c r="F5" s="45" t="e">
        <f ca="1">SUM(OFFSET(消费汇总!B7,COUNT(消费汇总!B7:B96,"&gt;=0")-1,,-7,))/7</f>
        <v>#REF!</v>
      </c>
      <c r="G5" s="45" t="str">
        <f t="shared" ref="G5:G12" si="1">IF(C5="","",(C5-D5)/$B$3-F5)</f>
        <v/>
      </c>
      <c r="H5" s="2" t="str">
        <f t="shared" ref="H5:H12" si="2">IF(C5="","-",(F5*$B$3+D5)/C5)</f>
        <v>-</v>
      </c>
      <c r="I5" s="19" t="str">
        <f t="shared" ref="I5:I12" si="3">IF(C5="","",E5-$B$2/$B$1)</f>
        <v/>
      </c>
    </row>
    <row r="6" spans="1:19" ht="16.5" customHeight="1" x14ac:dyDescent="0.35">
      <c r="A6" s="112"/>
      <c r="B6" s="22" t="s">
        <v>19</v>
      </c>
      <c r="C6" s="45"/>
      <c r="D6" s="45" t="str">
        <f>消费汇总!C3</f>
        <v/>
      </c>
      <c r="E6" s="2" t="str">
        <f t="shared" si="0"/>
        <v>-</v>
      </c>
      <c r="F6" s="45" t="e">
        <f ca="1">SUM(OFFSET(消费汇总!C7,COUNT(消费汇总!C7:C96,"&gt;=0")-1,,-7,))/7</f>
        <v>#REF!</v>
      </c>
      <c r="G6" s="45" t="str">
        <f t="shared" si="1"/>
        <v/>
      </c>
      <c r="H6" s="2" t="str">
        <f t="shared" si="2"/>
        <v>-</v>
      </c>
      <c r="I6" s="19" t="str">
        <f t="shared" si="3"/>
        <v/>
      </c>
    </row>
    <row r="7" spans="1:19" ht="16.5" customHeight="1" x14ac:dyDescent="0.35">
      <c r="A7" s="112"/>
      <c r="B7" s="22" t="s">
        <v>20</v>
      </c>
      <c r="C7" s="45"/>
      <c r="D7" s="45" t="str">
        <f>消费汇总!D3</f>
        <v/>
      </c>
      <c r="E7" s="2" t="str">
        <f t="shared" si="0"/>
        <v>-</v>
      </c>
      <c r="F7" s="45" t="e">
        <f ca="1">SUM(OFFSET(消费汇总!D7,COUNT(消费汇总!D7:D96,"&gt;=0")-1,,-7,))/7</f>
        <v>#REF!</v>
      </c>
      <c r="G7" s="45" t="str">
        <f t="shared" si="1"/>
        <v/>
      </c>
      <c r="H7" s="2" t="str">
        <f t="shared" si="2"/>
        <v>-</v>
      </c>
      <c r="I7" s="19" t="str">
        <f t="shared" si="3"/>
        <v/>
      </c>
    </row>
    <row r="8" spans="1:19" ht="16.5" customHeight="1" x14ac:dyDescent="0.35">
      <c r="A8" s="112"/>
      <c r="B8" s="22" t="s">
        <v>21</v>
      </c>
      <c r="C8" s="45"/>
      <c r="D8" s="45" t="str">
        <f>潜力行业!B3</f>
        <v/>
      </c>
      <c r="E8" s="2" t="str">
        <f t="shared" si="0"/>
        <v>-</v>
      </c>
      <c r="F8" s="45" t="e">
        <f ca="1">SUM(OFFSET(潜力行业!B7,COUNT(潜力行业!B7:B96,"&gt;=0")-1,,-7,))/7</f>
        <v>#REF!</v>
      </c>
      <c r="G8" s="45" t="str">
        <f t="shared" si="1"/>
        <v/>
      </c>
      <c r="H8" s="2" t="str">
        <f t="shared" si="2"/>
        <v>-</v>
      </c>
      <c r="I8" s="19" t="str">
        <f t="shared" si="3"/>
        <v/>
      </c>
    </row>
    <row r="9" spans="1:19" ht="18" customHeight="1" x14ac:dyDescent="0.35">
      <c r="A9" s="112"/>
      <c r="B9" s="22" t="s">
        <v>22</v>
      </c>
      <c r="C9" s="45"/>
      <c r="D9" s="45">
        <f>SUM(D10:D12)</f>
        <v>0</v>
      </c>
      <c r="E9" s="2" t="str">
        <f t="shared" si="0"/>
        <v>-</v>
      </c>
      <c r="F9" s="45">
        <f ca="1">SUM(F10:F12)</f>
        <v>0</v>
      </c>
      <c r="G9" s="45" t="str">
        <f t="shared" si="1"/>
        <v/>
      </c>
      <c r="H9" s="2" t="str">
        <f t="shared" si="2"/>
        <v>-</v>
      </c>
      <c r="I9" s="19" t="str">
        <f t="shared" si="3"/>
        <v/>
      </c>
      <c r="L9" s="31"/>
    </row>
    <row r="10" spans="1:19" ht="16.5" customHeight="1" x14ac:dyDescent="0.35">
      <c r="A10" s="112"/>
      <c r="B10" s="22" t="s">
        <v>23</v>
      </c>
      <c r="C10" s="45"/>
      <c r="D10" s="45">
        <f>二级地市消费汇总!L4</f>
        <v>0</v>
      </c>
      <c r="E10" s="2" t="str">
        <f t="shared" si="0"/>
        <v>-</v>
      </c>
      <c r="F10" s="45">
        <f ca="1">SUM(OFFSET(二级地市消费汇总!L8,COUNT(二级地市消费汇总!L8:L97,"&gt;=0")-1,,-7,))/7</f>
        <v>0</v>
      </c>
      <c r="G10" s="45" t="str">
        <f t="shared" si="1"/>
        <v/>
      </c>
      <c r="H10" s="2" t="str">
        <f t="shared" si="2"/>
        <v>-</v>
      </c>
      <c r="I10" s="19" t="str">
        <f t="shared" si="3"/>
        <v/>
      </c>
    </row>
    <row r="11" spans="1:19" ht="16.5" customHeight="1" x14ac:dyDescent="0.35">
      <c r="A11" s="112"/>
      <c r="B11" s="22" t="s">
        <v>24</v>
      </c>
      <c r="C11" s="45"/>
      <c r="D11" s="45">
        <f>二级地市消费汇总!V4</f>
        <v>0</v>
      </c>
      <c r="E11" s="2" t="str">
        <f t="shared" si="0"/>
        <v>-</v>
      </c>
      <c r="F11" s="45">
        <f ca="1">SUM(OFFSET(二级地市消费汇总!V8,COUNT(二级地市消费汇总!V8:V97,"&gt;=0")-1,,-7,))/7</f>
        <v>0</v>
      </c>
      <c r="G11" s="45" t="str">
        <f t="shared" si="1"/>
        <v/>
      </c>
      <c r="H11" s="2" t="str">
        <f t="shared" si="2"/>
        <v>-</v>
      </c>
      <c r="I11" s="19" t="str">
        <f t="shared" si="3"/>
        <v/>
      </c>
      <c r="L11" s="46"/>
    </row>
    <row r="12" spans="1:19" ht="16.5" customHeight="1" x14ac:dyDescent="0.35">
      <c r="A12" s="113"/>
      <c r="B12" s="22" t="s">
        <v>25</v>
      </c>
      <c r="C12" s="45"/>
      <c r="D12" s="45">
        <f>二级地市消费汇总!AF4</f>
        <v>0</v>
      </c>
      <c r="E12" s="2" t="str">
        <f t="shared" si="0"/>
        <v>-</v>
      </c>
      <c r="F12" s="45">
        <f ca="1">SUM(OFFSET(二级地市消费汇总!AF8,COUNT(二级地市消费汇总!AF8:AF97,"&gt;=0")-1,,-7,))/7</f>
        <v>0</v>
      </c>
      <c r="G12" s="45" t="str">
        <f t="shared" si="1"/>
        <v/>
      </c>
      <c r="H12" s="2" t="str">
        <f t="shared" si="2"/>
        <v>-</v>
      </c>
      <c r="I12" s="19" t="str">
        <f t="shared" si="3"/>
        <v/>
      </c>
    </row>
    <row r="13" spans="1:19" ht="18" customHeight="1" x14ac:dyDescent="0.35">
      <c r="B13" s="28"/>
      <c r="C13" s="47"/>
      <c r="D13" s="47"/>
      <c r="E13" s="29"/>
      <c r="F13" s="47"/>
      <c r="G13" s="47"/>
      <c r="H13" s="29"/>
      <c r="I13" s="30"/>
      <c r="J13" s="48"/>
      <c r="L13" s="46"/>
    </row>
    <row r="14" spans="1:19" ht="18" customHeight="1" x14ac:dyDescent="0.15">
      <c r="L14" s="49"/>
    </row>
    <row r="15" spans="1:19" ht="16.5" customHeight="1" x14ac:dyDescent="0.15">
      <c r="A15" s="4" t="s">
        <v>9</v>
      </c>
      <c r="B15" s="4" t="s">
        <v>10</v>
      </c>
      <c r="C15" s="4" t="s">
        <v>11</v>
      </c>
      <c r="D15" s="4" t="s">
        <v>12</v>
      </c>
      <c r="E15" s="4" t="s">
        <v>13</v>
      </c>
      <c r="F15" s="4" t="s">
        <v>14</v>
      </c>
      <c r="G15" s="4" t="s">
        <v>15</v>
      </c>
      <c r="H15" s="4" t="s">
        <v>16</v>
      </c>
      <c r="I15" s="4" t="s">
        <v>1</v>
      </c>
      <c r="K15" s="4" t="s">
        <v>9</v>
      </c>
      <c r="L15" s="4" t="s">
        <v>10</v>
      </c>
      <c r="M15" s="4" t="s">
        <v>11</v>
      </c>
      <c r="N15" s="4" t="s">
        <v>12</v>
      </c>
      <c r="O15" s="4" t="s">
        <v>13</v>
      </c>
      <c r="P15" s="4" t="s">
        <v>14</v>
      </c>
      <c r="Q15" s="4" t="s">
        <v>15</v>
      </c>
      <c r="R15" s="4" t="s">
        <v>16</v>
      </c>
      <c r="S15" s="4" t="s">
        <v>1</v>
      </c>
    </row>
    <row r="16" spans="1:19" ht="16.5" customHeight="1" x14ac:dyDescent="0.35">
      <c r="A16" s="114" t="s">
        <v>26</v>
      </c>
      <c r="B16" s="22" t="s">
        <v>18</v>
      </c>
      <c r="C16" s="45"/>
      <c r="D16" s="45">
        <f>二级地市消费汇总!C4</f>
        <v>0</v>
      </c>
      <c r="E16" s="2" t="str">
        <f>IF(C16="","-",D16/C16)</f>
        <v>-</v>
      </c>
      <c r="F16" s="50">
        <f ca="1">SUM(OFFSET(二级地市消费汇总!C8,COUNTIF(二级地市消费汇总!C8:C97,"&gt;0")-1,0,-7,1))/7</f>
        <v>0</v>
      </c>
      <c r="G16" s="51" t="str">
        <f>IF(C16="","",(C16-D16)/$B$3-F16)</f>
        <v/>
      </c>
      <c r="H16" s="2" t="str">
        <f>IF(C16="","-",(F16*$B$3+D16)/C16)</f>
        <v>-</v>
      </c>
      <c r="I16" s="19" t="str">
        <f>IF(C16="","",E16-$B$2/$B$1)</f>
        <v/>
      </c>
      <c r="K16" s="114" t="s">
        <v>27</v>
      </c>
      <c r="L16" s="22" t="s">
        <v>18</v>
      </c>
      <c r="M16" s="45"/>
      <c r="N16" s="45">
        <f>二级地市消费汇总!M4</f>
        <v>0</v>
      </c>
      <c r="O16" s="2" t="str">
        <f>IF(M16="","-",N16/M16)</f>
        <v>-</v>
      </c>
      <c r="P16" s="50">
        <f ca="1">SUM(OFFSET(二级地市消费汇总!M8,COUNTIF(二级地市消费汇总!M8:M97,"&gt;0")-1,0,-7,1))/7</f>
        <v>0</v>
      </c>
      <c r="Q16" s="52" t="str">
        <f>IF(M16="","",(M16-N16)/$B$3-P16)</f>
        <v/>
      </c>
      <c r="R16" s="2" t="str">
        <f>IF(M16="","-",(P16*$B$3+N16)/M16)</f>
        <v>-</v>
      </c>
      <c r="S16" s="19" t="str">
        <f>IF(M16="","",O16-$B$2/$B$1)</f>
        <v/>
      </c>
    </row>
    <row r="17" spans="1:19" ht="16.5" customHeight="1" x14ac:dyDescent="0.35">
      <c r="A17" s="115"/>
      <c r="B17" s="22" t="s">
        <v>19</v>
      </c>
      <c r="C17" s="45"/>
      <c r="D17" s="45">
        <f>二级地市消费汇总!D4</f>
        <v>0</v>
      </c>
      <c r="E17" s="2" t="str">
        <f>IF(C17="","-",D17/C17)</f>
        <v>-</v>
      </c>
      <c r="F17" s="50">
        <f ca="1">SUM(OFFSET(二级地市消费汇总!D8,COUNT(二级地市消费汇总!D8:D97,"&gt;=0")-1,,-7,))/7</f>
        <v>0</v>
      </c>
      <c r="G17" s="53" t="str">
        <f>IF(C17="","",(C17-D17)/$B$3-F17)</f>
        <v/>
      </c>
      <c r="H17" s="2" t="str">
        <f>IF(C17="","-",(F17*$B$3+D17)/C17)</f>
        <v>-</v>
      </c>
      <c r="I17" s="19" t="str">
        <f>IF(C17="","",E17-$B$2/$B$1)</f>
        <v/>
      </c>
      <c r="K17" s="115"/>
      <c r="L17" s="22" t="s">
        <v>19</v>
      </c>
      <c r="M17" s="45"/>
      <c r="N17" s="18">
        <f>二级地市消费汇总!N4</f>
        <v>0</v>
      </c>
      <c r="O17" s="2" t="str">
        <f>IF(M17="","-",N17/M17)</f>
        <v>-</v>
      </c>
      <c r="P17" s="50">
        <f ca="1">SUM(OFFSET(二级地市消费汇总!N8,COUNT(二级地市消费汇总!N8:N97,"&gt;=0")-1,,-7,))/7</f>
        <v>0</v>
      </c>
      <c r="Q17" s="54" t="str">
        <f>IF(M17="","",(M17-N17)/$B$3-P17)</f>
        <v/>
      </c>
      <c r="R17" s="2" t="str">
        <f>IF(M17="","-",(P17*$B$3+N17)/M17)</f>
        <v>-</v>
      </c>
      <c r="S17" s="19" t="str">
        <f>IF(M17="","",O17-$B$2/$B$1)</f>
        <v/>
      </c>
    </row>
    <row r="18" spans="1:19" ht="16.5" customHeight="1" x14ac:dyDescent="0.35">
      <c r="A18" s="115"/>
      <c r="B18" s="22" t="s">
        <v>20</v>
      </c>
      <c r="C18" s="45"/>
      <c r="D18" s="45">
        <f>二级地市消费汇总!E4</f>
        <v>0</v>
      </c>
      <c r="E18" s="2" t="str">
        <f>IF(C18="","-",D18/C18)</f>
        <v>-</v>
      </c>
      <c r="F18" s="50">
        <f ca="1">SUM(OFFSET(二级地市消费汇总!E8,COUNTIF(二级地市消费汇总!E8:E97,"&gt;0")-1,0,-7,1))/7</f>
        <v>0</v>
      </c>
      <c r="G18" s="51" t="str">
        <f>IF(C18="","",(C18-D18)/$B$3-F18)</f>
        <v/>
      </c>
      <c r="H18" s="2" t="str">
        <f>IF(C18="","-",(F18*$B$3+D18)/C18)</f>
        <v>-</v>
      </c>
      <c r="I18" s="19" t="str">
        <f>IF(C18="","",E18-$B$2/$B$1)</f>
        <v/>
      </c>
      <c r="K18" s="115"/>
      <c r="L18" s="22" t="s">
        <v>20</v>
      </c>
      <c r="M18" s="45"/>
      <c r="N18" s="45">
        <f>二级地市消费汇总!O4</f>
        <v>0</v>
      </c>
      <c r="O18" s="2" t="str">
        <f>IF(M18="","-",N18/M18)</f>
        <v>-</v>
      </c>
      <c r="P18" s="50">
        <f ca="1">SUM(OFFSET(二级地市消费汇总!O8,COUNTIF(二级地市消费汇总!O8:O97,"&gt;0")-1,0,-7,1))/7</f>
        <v>0</v>
      </c>
      <c r="Q18" s="51" t="str">
        <f>IF(M18="","",(M18-N18)/$B$3-P18)</f>
        <v/>
      </c>
      <c r="R18" s="2" t="str">
        <f>IF(M18="","-",(P18*$B$3+N18)/M18)</f>
        <v>-</v>
      </c>
      <c r="S18" s="19" t="str">
        <f>IF(M18="","",O18-$B$2/$B$1)</f>
        <v/>
      </c>
    </row>
    <row r="19" spans="1:19" ht="16.5" customHeight="1" x14ac:dyDescent="0.35">
      <c r="A19" s="115"/>
      <c r="B19" s="22" t="s">
        <v>28</v>
      </c>
      <c r="C19" s="45"/>
      <c r="D19" s="45">
        <f>二级地市消费汇总!F4</f>
        <v>0</v>
      </c>
      <c r="E19" s="2" t="str">
        <f>IF(C19="","-",D19/C19)</f>
        <v>-</v>
      </c>
      <c r="F19" s="50">
        <f ca="1">SUM(OFFSET(二级地市消费汇总!F8,COUNTIF(二级地市消费汇总!F8:F97,"&gt;0")-1,0,-7,1))/7</f>
        <v>0</v>
      </c>
      <c r="G19" s="51" t="str">
        <f>IF(C19="","",(C19-D19)/$B$3-F19)</f>
        <v/>
      </c>
      <c r="H19" s="2" t="str">
        <f>IF(C19="","-",(F19*$B$3+D19)/C19)</f>
        <v>-</v>
      </c>
      <c r="I19" s="19" t="str">
        <f>IF(C19="","",E19-$B$2/$B$1)</f>
        <v/>
      </c>
      <c r="K19" s="115"/>
      <c r="L19" s="22" t="s">
        <v>28</v>
      </c>
      <c r="M19" s="45"/>
      <c r="N19" s="45">
        <f>二级地市消费汇总!P4</f>
        <v>0</v>
      </c>
      <c r="O19" s="2" t="str">
        <f>IF(M19="","-",N19/M19)</f>
        <v>-</v>
      </c>
      <c r="P19" s="50">
        <f ca="1">SUM(OFFSET(二级地市消费汇总!P8,COUNTIF(二级地市消费汇总!P8:P97,"&gt;0")-1,0,-7,1))/7</f>
        <v>0</v>
      </c>
      <c r="Q19" s="51" t="str">
        <f>IF(M19="","",(M19-N19)/$B$3-P19)</f>
        <v/>
      </c>
      <c r="R19" s="2" t="str">
        <f>IF(M19="","-",(P19*$B$3+N19)/M19)</f>
        <v>-</v>
      </c>
      <c r="S19" s="19" t="str">
        <f>IF(M19="","",O19-$B$2/$B$1)</f>
        <v/>
      </c>
    </row>
    <row r="20" spans="1:19" ht="16.5" customHeight="1" x14ac:dyDescent="0.35">
      <c r="A20" s="116"/>
      <c r="B20" s="22" t="s">
        <v>29</v>
      </c>
      <c r="C20" s="45"/>
      <c r="D20" s="45">
        <f>二级地市消费汇总!G4</f>
        <v>0</v>
      </c>
      <c r="E20" s="2" t="str">
        <f>IF(C20="","-",D20/C20)</f>
        <v>-</v>
      </c>
      <c r="F20" s="50">
        <f ca="1">SUM(OFFSET(二级地市消费汇总!G8,COUNTIF(二级地市消费汇总!G8:G97,"&gt;0")-1,0,-7,1))/7</f>
        <v>0</v>
      </c>
      <c r="G20" s="54" t="str">
        <f>IF(C20="","",(C20-D20)/$B$3-F20)</f>
        <v/>
      </c>
      <c r="H20" s="2" t="str">
        <f>IF(C20="","-",(F20*$B$3+D20)/C20)</f>
        <v>-</v>
      </c>
      <c r="I20" s="19" t="str">
        <f>IF(C20="","",E20-$B$2/$B$1)</f>
        <v/>
      </c>
      <c r="K20" s="116"/>
      <c r="L20" s="22" t="s">
        <v>29</v>
      </c>
      <c r="M20" s="45"/>
      <c r="N20" s="45">
        <f>二级地市消费汇总!Q4</f>
        <v>0</v>
      </c>
      <c r="O20" s="2" t="str">
        <f>IF(M20="","-",N20/M20)</f>
        <v>-</v>
      </c>
      <c r="P20" s="50">
        <f ca="1">SUM(OFFSET(二级地市消费汇总!Q8,COUNTIF(二级地市消费汇总!Q8:Q97,"&gt;0")-1,0,-7,1))/7</f>
        <v>0</v>
      </c>
      <c r="Q20" s="54" t="str">
        <f>IF(M20="","",(M20-N20)/$B$3-P20)</f>
        <v/>
      </c>
      <c r="R20" s="2" t="str">
        <f>IF(M20="","-",(P20*$B$3+N20)/M20)</f>
        <v>-</v>
      </c>
      <c r="S20" s="19" t="str">
        <f>IF(M20="","",O20-$B$2/$B$1)</f>
        <v/>
      </c>
    </row>
    <row r="22" spans="1:19" ht="16.5" customHeight="1" x14ac:dyDescent="0.15">
      <c r="A22" s="4" t="s">
        <v>9</v>
      </c>
      <c r="B22" s="4" t="s">
        <v>10</v>
      </c>
      <c r="C22" s="4" t="s">
        <v>11</v>
      </c>
      <c r="D22" s="4" t="s">
        <v>12</v>
      </c>
      <c r="E22" s="4" t="s">
        <v>13</v>
      </c>
      <c r="F22" s="4" t="s">
        <v>14</v>
      </c>
      <c r="G22" s="4" t="s">
        <v>15</v>
      </c>
      <c r="H22" s="4" t="s">
        <v>16</v>
      </c>
      <c r="I22" s="4" t="s">
        <v>1</v>
      </c>
      <c r="K22" s="4" t="s">
        <v>9</v>
      </c>
      <c r="L22" s="4" t="s">
        <v>10</v>
      </c>
      <c r="M22" s="4" t="s">
        <v>11</v>
      </c>
      <c r="N22" s="4" t="s">
        <v>12</v>
      </c>
      <c r="O22" s="4" t="s">
        <v>13</v>
      </c>
      <c r="P22" s="4" t="s">
        <v>14</v>
      </c>
      <c r="Q22" s="4" t="s">
        <v>15</v>
      </c>
      <c r="R22" s="4" t="s">
        <v>16</v>
      </c>
      <c r="S22" s="4" t="s">
        <v>1</v>
      </c>
    </row>
    <row r="23" spans="1:19" ht="16.5" customHeight="1" x14ac:dyDescent="0.35">
      <c r="A23" s="114" t="s">
        <v>30</v>
      </c>
      <c r="B23" s="22" t="s">
        <v>18</v>
      </c>
      <c r="C23" s="45"/>
      <c r="D23" s="45">
        <f>二级地市消费汇总!W4</f>
        <v>0</v>
      </c>
      <c r="E23" s="2" t="str">
        <f>IF(C23="","-",D23/C23)</f>
        <v>-</v>
      </c>
      <c r="F23" s="50">
        <f ca="1">SUM(OFFSET(二级地市消费汇总!W8,COUNTIF(二级地市消费汇总!W8:W97,"&gt;0")-1,0,-7,1))/7</f>
        <v>0</v>
      </c>
      <c r="G23" s="51" t="str">
        <f>IF(C23="","",(C23-D23)/$B$3-F23)</f>
        <v/>
      </c>
      <c r="H23" s="2" t="str">
        <f>IF(C23="","-",(F23*$B$3+D23)/C23)</f>
        <v>-</v>
      </c>
      <c r="I23" s="19" t="str">
        <f>IF(C23="","",E23-$B$2/$B$1)</f>
        <v/>
      </c>
      <c r="K23" s="114" t="s">
        <v>31</v>
      </c>
      <c r="L23" s="22" t="s">
        <v>18</v>
      </c>
      <c r="M23" s="45"/>
      <c r="N23" s="45">
        <f>二级地市消费汇总!AG4</f>
        <v>0</v>
      </c>
      <c r="O23" s="2" t="str">
        <f>IF(M23="","-",N23/M23)</f>
        <v>-</v>
      </c>
      <c r="P23" s="50">
        <f ca="1">SUM(OFFSET(二级地市消费汇总!AG8,COUNTIF(二级地市消费汇总!AF8:AF97,"&gt;0")-1,0,-7,1))/7</f>
        <v>0</v>
      </c>
      <c r="Q23" s="51" t="str">
        <f>IF(M23="","",(M23-N23)/$B$3-P23)</f>
        <v/>
      </c>
      <c r="R23" s="2" t="str">
        <f>IF(M23="","-",(P23*$B$3+N23)/M23)</f>
        <v>-</v>
      </c>
      <c r="S23" s="19" t="str">
        <f>IF(M23="","",O23-$B$2/$B$1)</f>
        <v/>
      </c>
    </row>
    <row r="24" spans="1:19" ht="16.5" customHeight="1" x14ac:dyDescent="0.35">
      <c r="A24" s="115"/>
      <c r="B24" s="22" t="s">
        <v>19</v>
      </c>
      <c r="C24" s="45"/>
      <c r="D24" s="45">
        <f>二级地市消费汇总!X4</f>
        <v>0</v>
      </c>
      <c r="E24" s="2" t="str">
        <f>IF(C24="","-",D24/C24)</f>
        <v>-</v>
      </c>
      <c r="F24" s="50">
        <f ca="1">SUM(OFFSET(二级地市消费汇总!X8,COUNT(二级地市消费汇总!X8:X97,"&gt;0")-1,,-7,))/7</f>
        <v>0</v>
      </c>
      <c r="G24" s="54" t="str">
        <f>IF(C24="","",(C24-D24)/$B$3-F24)</f>
        <v/>
      </c>
      <c r="H24" s="2" t="str">
        <f>IF(C24="","-",(F24*$B$3+D24)/C24)</f>
        <v>-</v>
      </c>
      <c r="I24" s="19" t="str">
        <f>IF(C24="","",E24-$B$2/$B$1)</f>
        <v/>
      </c>
      <c r="K24" s="115"/>
      <c r="L24" s="22" t="s">
        <v>19</v>
      </c>
      <c r="M24" s="45"/>
      <c r="N24" s="45">
        <f>二级地市消费汇总!AH4</f>
        <v>0</v>
      </c>
      <c r="O24" s="2" t="str">
        <f>IF(M24="","-",N24/M24)</f>
        <v>-</v>
      </c>
      <c r="P24" s="50">
        <f ca="1">SUM(OFFSET(二级地市消费汇总!AH8,COUNT(二级地市消费汇总!AH8:AH97,"&gt;=0")-1,,-7,))/7</f>
        <v>0</v>
      </c>
      <c r="Q24" s="54" t="str">
        <f>IF(M24="","",(M24-N24)/$B$3-P24)</f>
        <v/>
      </c>
      <c r="R24" s="2" t="str">
        <f>IF(M24="","-",(P24*$B$3+N24)/M24)</f>
        <v>-</v>
      </c>
      <c r="S24" s="19" t="str">
        <f>IF(M24="","",O24-$B$2/$B$1)</f>
        <v/>
      </c>
    </row>
    <row r="25" spans="1:19" ht="16.5" customHeight="1" x14ac:dyDescent="0.35">
      <c r="A25" s="115"/>
      <c r="B25" s="22" t="s">
        <v>20</v>
      </c>
      <c r="C25" s="45"/>
      <c r="D25" s="45">
        <f>二级地市消费汇总!Y4</f>
        <v>0</v>
      </c>
      <c r="E25" s="2" t="str">
        <f>IF(C25="","-",D25/C25)</f>
        <v>-</v>
      </c>
      <c r="F25" s="50">
        <f ca="1">SUM(OFFSET(二级地市消费汇总!Y8,COUNTIF(二级地市消费汇总!Y8:Y97,"&gt;0")-1,0,-7,1))/7</f>
        <v>0</v>
      </c>
      <c r="G25" s="51" t="str">
        <f>IF(C25="","",(C25-D25)/$B$3-F25)</f>
        <v/>
      </c>
      <c r="H25" s="2" t="str">
        <f>IF(C25="","-",(F25*$B$3+D25)/C25)</f>
        <v>-</v>
      </c>
      <c r="I25" s="19" t="str">
        <f>IF(C25="","",E25-$B$2/$B$1)</f>
        <v/>
      </c>
      <c r="K25" s="115"/>
      <c r="L25" s="22" t="s">
        <v>20</v>
      </c>
      <c r="M25" s="45"/>
      <c r="N25" s="45">
        <f>二级地市消费汇总!AI4</f>
        <v>0</v>
      </c>
      <c r="O25" s="2" t="str">
        <f>IF(M25="","-",N25/M25)</f>
        <v>-</v>
      </c>
      <c r="P25" s="50">
        <f ca="1">SUM(OFFSET(二级地市消费汇总!AI8,COUNTIF(二级地市消费汇总!AI8:AI97,"&gt;0")-1,0,-7,1))/7</f>
        <v>0</v>
      </c>
      <c r="Q25" s="51" t="str">
        <f>IF(M25="","",(M25-N25)/$B$3-P25)</f>
        <v/>
      </c>
      <c r="R25" s="2" t="str">
        <f>IF(M25="","-",(P25*$B$3+N25)/M25)</f>
        <v>-</v>
      </c>
      <c r="S25" s="19" t="str">
        <f>IF(M25="","",O25-$B$2/$B$1)</f>
        <v/>
      </c>
    </row>
    <row r="26" spans="1:19" ht="16.5" customHeight="1" x14ac:dyDescent="0.35">
      <c r="A26" s="115"/>
      <c r="B26" s="22" t="s">
        <v>28</v>
      </c>
      <c r="C26" s="45"/>
      <c r="D26" s="45" t="str">
        <f>二级地市消费汇总!Z5</f>
        <v/>
      </c>
      <c r="E26" s="2" t="str">
        <f>IF(C26="","-",D26/C26)</f>
        <v>-</v>
      </c>
      <c r="F26" s="50">
        <f ca="1">SUM(OFFSET(二级地市消费汇总!Z8,COUNTIF(二级地市消费汇总!Z8:Z97,"&gt;0")-1,0,-7,1))/7</f>
        <v>0</v>
      </c>
      <c r="G26" s="51" t="str">
        <f>IF(C26="","",(C26-D26)/$B$3-F26)</f>
        <v/>
      </c>
      <c r="H26" s="2" t="str">
        <f>IF(C26="","-",(F26*$B$3+D26)/C26)</f>
        <v>-</v>
      </c>
      <c r="I26" s="19" t="str">
        <f>IF(C26="","",E26-$B$2/$B$1)</f>
        <v/>
      </c>
      <c r="K26" s="115"/>
      <c r="L26" s="22" t="s">
        <v>28</v>
      </c>
      <c r="M26" s="45"/>
      <c r="N26" s="45">
        <f>二级地市消费汇总!AJ4</f>
        <v>0</v>
      </c>
      <c r="O26" s="2" t="str">
        <f>IF(M26="","-",N26/M26)</f>
        <v>-</v>
      </c>
      <c r="P26" s="50">
        <f ca="1">SUM(OFFSET(二级地市消费汇总!AJ8,COUNTIF(二级地市消费汇总!AJ8:AJ97,"&gt;0")-1,0,-7,1))/7</f>
        <v>0</v>
      </c>
      <c r="Q26" s="51" t="str">
        <f>IF(M26="","",(M26-N26)/$B$3-P26)</f>
        <v/>
      </c>
      <c r="R26" s="2" t="str">
        <f>IF(M26="","-",(P26*$B$3+N26)/M26)</f>
        <v>-</v>
      </c>
      <c r="S26" s="19" t="str">
        <f>IF(M26="","",O26-$B$2/$B$1)</f>
        <v/>
      </c>
    </row>
    <row r="27" spans="1:19" ht="16.5" customHeight="1" x14ac:dyDescent="0.35">
      <c r="A27" s="116"/>
      <c r="B27" s="22" t="s">
        <v>29</v>
      </c>
      <c r="C27" s="45"/>
      <c r="D27" s="45">
        <f>二级地市消费汇总!AA4</f>
        <v>0</v>
      </c>
      <c r="E27" s="2" t="str">
        <f>IF(C27="","-",D27/C27)</f>
        <v>-</v>
      </c>
      <c r="F27" s="50">
        <f ca="1">SUM(OFFSET(二级地市消费汇总!AA8,COUNTIF(二级地市消费汇总!AA8:AA97,"&gt;0")-1,0,-7,1))/7</f>
        <v>0</v>
      </c>
      <c r="G27" s="54" t="str">
        <f>IF(C27="","",(C27-D27)/$B$3-F27)</f>
        <v/>
      </c>
      <c r="H27" s="2" t="str">
        <f>IF(C27="","-",(F27*$B$3+D27)/C27)</f>
        <v>-</v>
      </c>
      <c r="I27" s="19" t="str">
        <f>IF(C27="","",E27-$B$2/$B$1)</f>
        <v/>
      </c>
      <c r="K27" s="116"/>
      <c r="L27" s="22" t="s">
        <v>29</v>
      </c>
      <c r="M27" s="45"/>
      <c r="N27" s="45">
        <f>二级地市消费汇总!AK4</f>
        <v>0</v>
      </c>
      <c r="O27" s="2" t="str">
        <f>IF(M27="","-",N27/M27)</f>
        <v>-</v>
      </c>
      <c r="P27" s="50">
        <f ca="1">SUM(OFFSET(二级地市消费汇总!AK8,COUNTIF(二级地市消费汇总!AK8:AK97,"&gt;0")-1,0,-7,1))/7</f>
        <v>0</v>
      </c>
      <c r="Q27" s="54" t="str">
        <f>IF(M27="","",(M27-N27)/$B$3-P27)</f>
        <v/>
      </c>
      <c r="R27" s="2" t="str">
        <f>IF(M27="","-",(P27*$B$3+N27)/M27)</f>
        <v>-</v>
      </c>
      <c r="S27" s="19" t="str">
        <f>IF(M27="","",O27-$B$2/$B$1)</f>
        <v/>
      </c>
    </row>
  </sheetData>
  <mergeCells count="5">
    <mergeCell ref="A5:A12"/>
    <mergeCell ref="A16:A20"/>
    <mergeCell ref="K16:K20"/>
    <mergeCell ref="A23:A27"/>
    <mergeCell ref="K23:K27"/>
  </mergeCells>
  <phoneticPr fontId="5" type="noConversion"/>
  <conditionalFormatting sqref="I23:I27 S23:S27 I16:I20 S16:S20 I5:I13">
    <cfRule type="cellIs" dxfId="64" priority="457" operator="greaterThanOrEqual">
      <formula>0</formula>
    </cfRule>
    <cfRule type="cellIs" dxfId="63" priority="459" operator="between">
      <formula>-0.3</formula>
      <formula>-1</formula>
    </cfRule>
    <cfRule type="cellIs" dxfId="62" priority="460" operator="between">
      <formula>-0.2</formula>
      <formula>-0.3</formula>
    </cfRule>
    <cfRule type="cellIs" dxfId="61" priority="461" operator="between">
      <formula>-0.1</formula>
      <formula>-0.2</formula>
    </cfRule>
    <cfRule type="cellIs" dxfId="60" priority="462" operator="between">
      <formula>0</formula>
      <formula>-0.1</formula>
    </cfRule>
    <cfRule type="cellIs" dxfId="59" priority="463" operator="equal">
      <formula>0</formula>
    </cfRule>
    <cfRule type="cellIs" dxfId="58" priority="529" operator="between">
      <formula>0.3</formula>
      <formula>1</formula>
    </cfRule>
    <cfRule type="cellIs" priority="530" operator="between">
      <formula>0.3</formula>
      <formula>1</formula>
    </cfRule>
    <cfRule type="cellIs" dxfId="57" priority="531" operator="between">
      <formula>0.2</formula>
      <formula>0.3</formula>
    </cfRule>
    <cfRule type="cellIs" dxfId="56" priority="532" operator="between">
      <formula>0.1</formula>
      <formula>0.2</formula>
    </cfRule>
    <cfRule type="cellIs" dxfId="55" priority="533" operator="between">
      <formula>0</formula>
      <formula>0.1</formula>
    </cfRule>
    <cfRule type="cellIs" dxfId="54" priority="726" operator="between">
      <formula>0</formula>
      <formula>0.1</formula>
    </cfRule>
    <cfRule type="cellIs" dxfId="53" priority="734" operator="between">
      <formula>0.21</formula>
      <formula>0.3</formula>
    </cfRule>
    <cfRule type="cellIs" dxfId="52" priority="735" operator="between">
      <formula>0.11</formula>
      <formula>0.2</formula>
    </cfRule>
    <cfRule type="cellIs" dxfId="51" priority="736" operator="between">
      <formula>0.31</formula>
      <formula>1</formula>
    </cfRule>
    <cfRule type="cellIs" dxfId="50" priority="737" operator="between">
      <formula>0.21</formula>
      <formula>0.3</formula>
    </cfRule>
    <cfRule type="cellIs" dxfId="49" priority="738" operator="between">
      <formula>0.1</formula>
      <formula>0.2</formula>
    </cfRule>
    <cfRule type="cellIs" priority="739" operator="between">
      <formula>0.1</formula>
      <formula>0.2</formula>
    </cfRule>
    <cfRule type="cellIs" dxfId="48" priority="740" operator="between">
      <formula>0</formula>
      <formula>0.1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98"/>
  <sheetViews>
    <sheetView workbookViewId="0">
      <pane ySplit="6" topLeftCell="A80" activePane="bottomLeft" state="frozen"/>
      <selection activeCell="I50" sqref="I50"/>
      <selection pane="bottomLeft" activeCell="G1" sqref="G1"/>
    </sheetView>
  </sheetViews>
  <sheetFormatPr defaultRowHeight="13.5" x14ac:dyDescent="0.15"/>
  <cols>
    <col min="1" max="1" width="15.375" style="17" customWidth="1"/>
    <col min="2" max="2" width="12.875" style="17" bestFit="1" customWidth="1"/>
    <col min="3" max="3" width="13.875" style="17" customWidth="1"/>
    <col min="4" max="4" width="13.125" style="17" customWidth="1"/>
    <col min="5" max="5" width="10.25" style="17" customWidth="1"/>
    <col min="6" max="6" width="10.625" style="17" customWidth="1"/>
    <col min="7" max="7" width="1.25" style="35" customWidth="1"/>
    <col min="8" max="8" width="8" style="17" customWidth="1"/>
    <col min="9" max="9" width="11.375" style="40" customWidth="1"/>
    <col min="10" max="20" width="10.625" style="55" customWidth="1"/>
    <col min="21" max="21" width="9.25" style="40" hidden="1" customWidth="1"/>
    <col min="22" max="22" width="12.125" style="40" hidden="1" customWidth="1"/>
    <col min="23" max="23" width="1.5" style="56" customWidth="1"/>
    <col min="24" max="24" width="8.875" style="17" customWidth="1"/>
    <col min="25" max="25" width="10.5" style="17" customWidth="1"/>
    <col min="26" max="26" width="11.375" style="55" bestFit="1" customWidth="1"/>
    <col min="27" max="29" width="10.625" style="55" customWidth="1"/>
  </cols>
  <sheetData>
    <row r="1" spans="1:29" ht="16.5" customHeight="1" x14ac:dyDescent="0.15">
      <c r="A1" s="121" t="s">
        <v>32</v>
      </c>
      <c r="B1" s="121" t="s">
        <v>33</v>
      </c>
      <c r="C1" s="123" t="s">
        <v>19</v>
      </c>
      <c r="D1" s="124" t="s">
        <v>20</v>
      </c>
      <c r="E1" s="124" t="s">
        <v>34</v>
      </c>
      <c r="F1" s="124" t="s">
        <v>35</v>
      </c>
      <c r="G1" s="36"/>
      <c r="H1" s="117" t="s">
        <v>36</v>
      </c>
      <c r="I1" s="119" t="s">
        <v>33</v>
      </c>
      <c r="J1" s="120"/>
      <c r="K1" s="119" t="s">
        <v>37</v>
      </c>
      <c r="L1" s="120"/>
      <c r="M1" s="119" t="s">
        <v>38</v>
      </c>
      <c r="N1" s="120"/>
      <c r="O1" s="119" t="s">
        <v>34</v>
      </c>
      <c r="P1" s="120"/>
      <c r="Q1" s="119" t="s">
        <v>35</v>
      </c>
      <c r="R1" s="120"/>
      <c r="S1" s="119" t="s">
        <v>39</v>
      </c>
      <c r="T1" s="120"/>
      <c r="U1" s="119" t="s">
        <v>40</v>
      </c>
      <c r="V1" s="119" t="s">
        <v>41</v>
      </c>
      <c r="W1" s="57"/>
      <c r="X1" s="121" t="s">
        <v>42</v>
      </c>
      <c r="Y1" s="121" t="s">
        <v>33</v>
      </c>
      <c r="Z1" s="123" t="s">
        <v>19</v>
      </c>
      <c r="AA1" s="124" t="s">
        <v>20</v>
      </c>
      <c r="AB1" s="124" t="s">
        <v>34</v>
      </c>
      <c r="AC1" s="124" t="s">
        <v>35</v>
      </c>
    </row>
    <row r="2" spans="1:29" ht="12" customHeight="1" x14ac:dyDescent="0.15">
      <c r="A2" s="122"/>
      <c r="B2" s="122"/>
      <c r="C2" s="122"/>
      <c r="D2" s="122"/>
      <c r="E2" s="122"/>
      <c r="F2" s="122"/>
      <c r="G2" s="36"/>
      <c r="H2" s="118"/>
      <c r="I2" s="44" t="s">
        <v>43</v>
      </c>
      <c r="J2" s="58" t="s">
        <v>44</v>
      </c>
      <c r="K2" s="44" t="s">
        <v>43</v>
      </c>
      <c r="L2" s="58" t="s">
        <v>44</v>
      </c>
      <c r="M2" s="44" t="s">
        <v>43</v>
      </c>
      <c r="N2" s="58" t="s">
        <v>44</v>
      </c>
      <c r="O2" s="44" t="s">
        <v>43</v>
      </c>
      <c r="P2" s="58" t="s">
        <v>44</v>
      </c>
      <c r="Q2" s="44" t="s">
        <v>43</v>
      </c>
      <c r="R2" s="58" t="s">
        <v>44</v>
      </c>
      <c r="S2" s="44" t="s">
        <v>43</v>
      </c>
      <c r="T2" s="58" t="s">
        <v>44</v>
      </c>
      <c r="U2" s="125"/>
      <c r="V2" s="125"/>
      <c r="W2" s="59"/>
      <c r="X2" s="122"/>
      <c r="Y2" s="122"/>
      <c r="Z2" s="122"/>
      <c r="AA2" s="122"/>
      <c r="AB2" s="122"/>
      <c r="AC2" s="122"/>
    </row>
    <row r="3" spans="1:29" ht="16.5" customHeight="1" x14ac:dyDescent="0.15">
      <c r="A3" s="32" t="s">
        <v>71</v>
      </c>
      <c r="B3" s="60" t="str">
        <f>IF(B4="","",SUM(B4:B6))</f>
        <v/>
      </c>
      <c r="C3" s="60" t="str">
        <f>IF(C4="","",SUM(C4:C6))</f>
        <v/>
      </c>
      <c r="D3" s="60" t="str">
        <f>IF(D4="","",SUM(D4:D6))</f>
        <v/>
      </c>
      <c r="E3" s="60" t="str">
        <f>IF(E4="","",SUM(E4:E6))</f>
        <v/>
      </c>
      <c r="F3" s="60" t="str">
        <f>IF(F4="","",SUM(F4:F6))</f>
        <v/>
      </c>
      <c r="H3" s="32" t="s">
        <v>71</v>
      </c>
      <c r="I3" s="61" t="str">
        <f>IF(I4="","",SUM(I4:I6))</f>
        <v/>
      </c>
      <c r="J3" s="62" t="s">
        <v>45</v>
      </c>
      <c r="K3" s="63" t="str">
        <f>IF(K4="","",SUM(K4:K6))</f>
        <v/>
      </c>
      <c r="L3" s="62" t="s">
        <v>45</v>
      </c>
      <c r="M3" s="63" t="str">
        <f>IF(M4="","",SUM(M4:M6))</f>
        <v/>
      </c>
      <c r="N3" s="62" t="s">
        <v>45</v>
      </c>
      <c r="O3" s="63" t="str">
        <f>IF(O4="","",SUM(O4:O6))</f>
        <v/>
      </c>
      <c r="P3" s="62" t="s">
        <v>45</v>
      </c>
      <c r="Q3" s="63" t="str">
        <f>IF(Q4="","",SUM(Q4:Q6))</f>
        <v/>
      </c>
      <c r="R3" s="62" t="s">
        <v>45</v>
      </c>
      <c r="S3" s="63" t="str">
        <f>IF(S4="","",SUM(S4:S6))</f>
        <v/>
      </c>
      <c r="T3" s="62" t="s">
        <v>45</v>
      </c>
      <c r="U3" s="63">
        <f>MAX(U7:U96)</f>
        <v>0</v>
      </c>
      <c r="V3" s="63">
        <f>MAX(V7:V96)</f>
        <v>0</v>
      </c>
      <c r="W3" s="64"/>
      <c r="X3" s="32" t="s">
        <v>71</v>
      </c>
      <c r="Y3" s="60" t="str">
        <f>IF(Y4="","",SUM(Y4:Y6))</f>
        <v/>
      </c>
      <c r="Z3" s="60" t="str">
        <f>IF(Z4="","",SUM(Z4:Z6))</f>
        <v/>
      </c>
      <c r="AA3" s="60" t="str">
        <f>IF(AA4="","",SUM(AA4:AA6))</f>
        <v/>
      </c>
      <c r="AB3" s="60" t="str">
        <f>IF(AB4="","",SUM(AB4:AB6))</f>
        <v/>
      </c>
      <c r="AC3" s="60" t="str">
        <f>IF(AC4="","",SUM(AC4:AC6))</f>
        <v/>
      </c>
    </row>
    <row r="4" spans="1:29" ht="16.5" customHeight="1" x14ac:dyDescent="0.15">
      <c r="A4" s="33" t="s">
        <v>73</v>
      </c>
      <c r="B4" s="65" t="str">
        <f>IF(B7="","",SUM(B7:B36))</f>
        <v/>
      </c>
      <c r="C4" s="65" t="str">
        <f>IF(C7="","",SUM(C7:C36))</f>
        <v/>
      </c>
      <c r="D4" s="65" t="str">
        <f>IF(D7="","",SUM(D7:D36))</f>
        <v/>
      </c>
      <c r="E4" s="65" t="str">
        <f>IF(E7="","",SUM(E7:E36))</f>
        <v/>
      </c>
      <c r="F4" s="65" t="str">
        <f>IF(F7="","",SUM(F7:F36))</f>
        <v/>
      </c>
      <c r="G4" s="65"/>
      <c r="H4" s="33" t="s">
        <v>73</v>
      </c>
      <c r="I4" s="65" t="str">
        <f>IF(I7="","",SUM(I7:I36))</f>
        <v/>
      </c>
      <c r="J4" s="66" t="s">
        <v>45</v>
      </c>
      <c r="K4" s="65" t="str">
        <f>IF(K7="","",SUM(K7:K36))</f>
        <v/>
      </c>
      <c r="L4" s="66" t="s">
        <v>45</v>
      </c>
      <c r="M4" s="65" t="str">
        <f>IF(M7="","",SUM(M7:M36))</f>
        <v/>
      </c>
      <c r="N4" s="66" t="s">
        <v>45</v>
      </c>
      <c r="O4" s="65" t="str">
        <f>IF(O7="","",SUM(O7:O36))</f>
        <v/>
      </c>
      <c r="P4" s="66" t="s">
        <v>45</v>
      </c>
      <c r="Q4" s="65" t="str">
        <f>IF(Q7="","",SUM(Q7:Q36))</f>
        <v/>
      </c>
      <c r="R4" s="66" t="s">
        <v>45</v>
      </c>
      <c r="S4" s="65" t="str">
        <f>IF(S7="","",SUM(S7:S36))</f>
        <v/>
      </c>
      <c r="T4" s="66" t="s">
        <v>45</v>
      </c>
      <c r="U4" s="67" t="str">
        <f>IF(U7="","",MAX(U7:U37))</f>
        <v/>
      </c>
      <c r="V4" s="67" t="str">
        <f>IF(V7="","",MAX(V7:V37))</f>
        <v/>
      </c>
      <c r="W4" s="64"/>
      <c r="X4" s="33" t="s">
        <v>73</v>
      </c>
      <c r="Y4" s="65" t="str">
        <f>IF(Y7="","",SUM(Y7:Y36))</f>
        <v/>
      </c>
      <c r="Z4" s="65" t="str">
        <f>IF(Z7="","",SUM(Z7:Z36))</f>
        <v/>
      </c>
      <c r="AA4" s="65" t="str">
        <f>IF(AA7="","",SUM(AA7:AA36))</f>
        <v/>
      </c>
      <c r="AB4" s="65" t="str">
        <f>IF(AB7="","",SUM(AB7:AB36))</f>
        <v/>
      </c>
      <c r="AC4" s="65" t="str">
        <f>IF(AC7="","",SUM(AC7:AC36))</f>
        <v/>
      </c>
    </row>
    <row r="5" spans="1:29" ht="16.5" customHeight="1" x14ac:dyDescent="0.15">
      <c r="A5" s="33" t="s">
        <v>75</v>
      </c>
      <c r="B5" s="65" t="str">
        <f>IF(B37="","",SUM(B37:B67))</f>
        <v/>
      </c>
      <c r="C5" s="65" t="str">
        <f>IF(C37="","",SUM(C37:C67))</f>
        <v/>
      </c>
      <c r="D5" s="65" t="str">
        <f>IF(D37="","",SUM(D37:D67))</f>
        <v/>
      </c>
      <c r="E5" s="65" t="str">
        <f>IF(E37="","",SUM(E37:E67))</f>
        <v/>
      </c>
      <c r="F5" s="65" t="str">
        <f>IF(F37="","",SUM(F37:F67))</f>
        <v/>
      </c>
      <c r="G5" s="65"/>
      <c r="H5" s="33" t="s">
        <v>75</v>
      </c>
      <c r="I5" s="65" t="str">
        <f>IF(I37="","",SUM(I37:I67))</f>
        <v/>
      </c>
      <c r="J5" s="66" t="s">
        <v>45</v>
      </c>
      <c r="K5" s="65" t="str">
        <f>IF(K37="","",SUM(K37:K67))</f>
        <v/>
      </c>
      <c r="L5" s="66" t="s">
        <v>45</v>
      </c>
      <c r="M5" s="65" t="str">
        <f>IF(M37="","",SUM(M37:M67))</f>
        <v/>
      </c>
      <c r="N5" s="66" t="s">
        <v>45</v>
      </c>
      <c r="O5" s="65" t="str">
        <f>IF(O37="","",SUM(O37:O67))</f>
        <v/>
      </c>
      <c r="P5" s="66" t="s">
        <v>45</v>
      </c>
      <c r="Q5" s="65" t="str">
        <f>IF(Q37="","",SUM(Q37:Q67))</f>
        <v/>
      </c>
      <c r="R5" s="66" t="s">
        <v>45</v>
      </c>
      <c r="S5" s="65" t="str">
        <f>IF(S37="","",SUM(S37:S67))</f>
        <v/>
      </c>
      <c r="T5" s="66" t="s">
        <v>45</v>
      </c>
      <c r="U5" s="67" t="str">
        <f>IF(U38="","",MAX(U38:U65))</f>
        <v/>
      </c>
      <c r="V5" s="67" t="str">
        <f>IF(V38="","",MAX(V38:V65))</f>
        <v/>
      </c>
      <c r="W5" s="64"/>
      <c r="X5" s="33" t="s">
        <v>75</v>
      </c>
      <c r="Y5" s="65" t="str">
        <f>IF(Y37="","",SUM(Y37:Y67))</f>
        <v/>
      </c>
      <c r="Z5" s="65" t="str">
        <f>IF(Z37="","",SUM(Z37:Z67))</f>
        <v/>
      </c>
      <c r="AA5" s="65" t="str">
        <f>IF(AA37="","",SUM(AA37:AA67))</f>
        <v/>
      </c>
      <c r="AB5" s="65" t="str">
        <f>IF(AB37="","",SUM(AB37:AB67))</f>
        <v/>
      </c>
      <c r="AC5" s="65" t="str">
        <f>IF(AC37="","",SUM(AC37:AC67))</f>
        <v/>
      </c>
    </row>
    <row r="6" spans="1:29" ht="17.25" customHeight="1" thickBot="1" x14ac:dyDescent="0.2">
      <c r="A6" s="34" t="s">
        <v>77</v>
      </c>
      <c r="B6" s="68" t="str">
        <f>IF(B68="","",SUM(B68:B97))</f>
        <v/>
      </c>
      <c r="C6" s="68" t="str">
        <f>IF(C68="","",SUM(C68:C97))</f>
        <v/>
      </c>
      <c r="D6" s="68" t="str">
        <f>IF(D68="","",SUM(D68:D97))</f>
        <v/>
      </c>
      <c r="E6" s="68" t="str">
        <f>IF(E68="","",SUM(E68:E97))</f>
        <v/>
      </c>
      <c r="F6" s="68" t="str">
        <f>IF(F68="","",SUM(F68:F97))</f>
        <v/>
      </c>
      <c r="G6" s="68"/>
      <c r="H6" s="34" t="s">
        <v>77</v>
      </c>
      <c r="I6" s="68" t="str">
        <f>IF(I68="","",SUM(I68:I97))</f>
        <v/>
      </c>
      <c r="J6" s="69" t="s">
        <v>45</v>
      </c>
      <c r="K6" s="68" t="str">
        <f>IF(K68="","",SUM(K68:K97))</f>
        <v/>
      </c>
      <c r="L6" s="69" t="s">
        <v>45</v>
      </c>
      <c r="M6" s="68" t="str">
        <f>IF(M68="","",SUM(M68:M97))</f>
        <v/>
      </c>
      <c r="N6" s="69" t="s">
        <v>45</v>
      </c>
      <c r="O6" s="68" t="str">
        <f>IF(O68="","",SUM(O68:O97))</f>
        <v/>
      </c>
      <c r="P6" s="69" t="s">
        <v>45</v>
      </c>
      <c r="Q6" s="68" t="str">
        <f>IF(Q68="","",SUM(Q68:Q97))</f>
        <v/>
      </c>
      <c r="R6" s="69" t="s">
        <v>45</v>
      </c>
      <c r="S6" s="68" t="str">
        <f>IF(S68="","",SUM(S68:S97))</f>
        <v/>
      </c>
      <c r="T6" s="69" t="s">
        <v>45</v>
      </c>
      <c r="U6" s="70" t="str">
        <f>IF(U66="","",MAX(U66:U96))</f>
        <v/>
      </c>
      <c r="V6" s="70" t="str">
        <f>IF(V66="","",MAX(V66:V96))</f>
        <v/>
      </c>
      <c r="W6" s="64"/>
      <c r="X6" s="34" t="s">
        <v>77</v>
      </c>
      <c r="Y6" s="68" t="str">
        <f>IF(Y68="","",SUM(Y68:Y97))</f>
        <v/>
      </c>
      <c r="Z6" s="68" t="str">
        <f>IF(Z68="","",SUM(Z68:Z97))</f>
        <v/>
      </c>
      <c r="AA6" s="68" t="str">
        <f>IF(AA68="","",SUM(AA68:AA97))</f>
        <v/>
      </c>
      <c r="AB6" s="68" t="str">
        <f>IF(AB68="","",SUM(AB68:AB97))</f>
        <v/>
      </c>
      <c r="AC6" s="68" t="str">
        <f>IF(AC68="","",SUM(AC68:AC97))</f>
        <v/>
      </c>
    </row>
    <row r="7" spans="1:29" ht="16.5" customHeight="1" x14ac:dyDescent="0.15">
      <c r="A7" s="37">
        <v>45108</v>
      </c>
      <c r="B7" s="71"/>
      <c r="C7" s="71"/>
      <c r="D7" s="71"/>
      <c r="E7" s="71"/>
      <c r="F7" s="71"/>
      <c r="H7" s="39">
        <f t="shared" ref="H7:H70" si="0">A7</f>
        <v>45108</v>
      </c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64"/>
      <c r="X7" s="37">
        <f t="shared" ref="X7:X70" si="1">H7</f>
        <v>45108</v>
      </c>
      <c r="Y7" s="73"/>
      <c r="Z7" s="73"/>
      <c r="AA7" s="73"/>
      <c r="AB7" s="73"/>
      <c r="AC7" s="73"/>
    </row>
    <row r="8" spans="1:29" ht="16.5" customHeight="1" x14ac:dyDescent="0.15">
      <c r="A8" s="37">
        <v>45109</v>
      </c>
      <c r="B8" s="71"/>
      <c r="C8" s="71"/>
      <c r="D8" s="71"/>
      <c r="E8" s="71"/>
      <c r="F8" s="71"/>
      <c r="H8" s="39">
        <f t="shared" si="0"/>
        <v>45109</v>
      </c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64"/>
      <c r="X8" s="37">
        <f t="shared" si="1"/>
        <v>45109</v>
      </c>
      <c r="Y8" s="73"/>
      <c r="Z8" s="73"/>
      <c r="AA8" s="73"/>
      <c r="AB8" s="73"/>
      <c r="AC8" s="73"/>
    </row>
    <row r="9" spans="1:29" ht="16.5" customHeight="1" x14ac:dyDescent="0.15">
      <c r="A9" s="37">
        <v>45110</v>
      </c>
      <c r="B9" s="71"/>
      <c r="C9" s="71"/>
      <c r="D9" s="71"/>
      <c r="E9" s="71"/>
      <c r="F9" s="71"/>
      <c r="H9" s="39">
        <f t="shared" si="0"/>
        <v>45110</v>
      </c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64"/>
      <c r="X9" s="37">
        <f t="shared" si="1"/>
        <v>45110</v>
      </c>
      <c r="Y9" s="73"/>
      <c r="Z9" s="73"/>
      <c r="AA9" s="73"/>
      <c r="AB9" s="73"/>
      <c r="AC9" s="73"/>
    </row>
    <row r="10" spans="1:29" ht="16.5" customHeight="1" x14ac:dyDescent="0.15">
      <c r="A10" s="37">
        <v>45111</v>
      </c>
      <c r="B10" s="71"/>
      <c r="C10" s="71"/>
      <c r="D10" s="71"/>
      <c r="E10" s="71"/>
      <c r="F10" s="71"/>
      <c r="H10" s="39">
        <f t="shared" si="0"/>
        <v>45111</v>
      </c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64"/>
      <c r="X10" s="37">
        <f t="shared" si="1"/>
        <v>45111</v>
      </c>
      <c r="Y10" s="73"/>
      <c r="Z10" s="73"/>
      <c r="AA10" s="73"/>
      <c r="AB10" s="73"/>
      <c r="AC10" s="73"/>
    </row>
    <row r="11" spans="1:29" ht="16.5" customHeight="1" x14ac:dyDescent="0.15">
      <c r="A11" s="37">
        <v>45112</v>
      </c>
      <c r="B11" s="71"/>
      <c r="C11" s="71"/>
      <c r="D11" s="71"/>
      <c r="E11" s="71"/>
      <c r="F11" s="71"/>
      <c r="H11" s="39">
        <f t="shared" si="0"/>
        <v>45112</v>
      </c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64"/>
      <c r="X11" s="37">
        <f t="shared" si="1"/>
        <v>45112</v>
      </c>
      <c r="Y11" s="73"/>
      <c r="Z11" s="73"/>
      <c r="AA11" s="73"/>
      <c r="AB11" s="73"/>
      <c r="AC11" s="73"/>
    </row>
    <row r="12" spans="1:29" ht="16.5" customHeight="1" x14ac:dyDescent="0.15">
      <c r="A12" s="37">
        <v>45113</v>
      </c>
      <c r="B12" s="71"/>
      <c r="C12" s="71"/>
      <c r="D12" s="71"/>
      <c r="E12" s="71"/>
      <c r="F12" s="71"/>
      <c r="H12" s="39">
        <f t="shared" si="0"/>
        <v>45113</v>
      </c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64"/>
      <c r="X12" s="37">
        <f t="shared" si="1"/>
        <v>45113</v>
      </c>
      <c r="Y12" s="73"/>
      <c r="Z12" s="73"/>
      <c r="AA12" s="73"/>
      <c r="AB12" s="73"/>
      <c r="AC12" s="73"/>
    </row>
    <row r="13" spans="1:29" ht="16.5" customHeight="1" x14ac:dyDescent="0.15">
      <c r="A13" s="37">
        <v>45114</v>
      </c>
      <c r="B13" s="71"/>
      <c r="C13" s="71"/>
      <c r="D13" s="71"/>
      <c r="E13" s="71"/>
      <c r="F13" s="71"/>
      <c r="H13" s="39">
        <f t="shared" si="0"/>
        <v>45114</v>
      </c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64"/>
      <c r="X13" s="37">
        <f t="shared" si="1"/>
        <v>45114</v>
      </c>
      <c r="Y13" s="73"/>
      <c r="Z13" s="73"/>
      <c r="AA13" s="73"/>
      <c r="AB13" s="73"/>
      <c r="AC13" s="73"/>
    </row>
    <row r="14" spans="1:29" ht="16.5" customHeight="1" x14ac:dyDescent="0.15">
      <c r="A14" s="37">
        <v>45115</v>
      </c>
      <c r="B14" s="71"/>
      <c r="C14" s="71"/>
      <c r="D14" s="71"/>
      <c r="E14" s="71"/>
      <c r="F14" s="71"/>
      <c r="H14" s="39">
        <f t="shared" si="0"/>
        <v>45115</v>
      </c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64"/>
      <c r="X14" s="37">
        <f t="shared" si="1"/>
        <v>45115</v>
      </c>
      <c r="Y14" s="73"/>
      <c r="Z14" s="73"/>
      <c r="AA14" s="73"/>
      <c r="AB14" s="73"/>
      <c r="AC14" s="73"/>
    </row>
    <row r="15" spans="1:29" ht="16.5" customHeight="1" x14ac:dyDescent="0.15">
      <c r="A15" s="37">
        <v>45116</v>
      </c>
      <c r="B15" s="71"/>
      <c r="C15" s="71"/>
      <c r="D15" s="71"/>
      <c r="E15" s="71"/>
      <c r="F15" s="71"/>
      <c r="H15" s="39">
        <f t="shared" si="0"/>
        <v>45116</v>
      </c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64"/>
      <c r="X15" s="37">
        <f t="shared" si="1"/>
        <v>45116</v>
      </c>
      <c r="Y15" s="73"/>
      <c r="Z15" s="73"/>
      <c r="AA15" s="73"/>
      <c r="AB15" s="73"/>
      <c r="AC15" s="73"/>
    </row>
    <row r="16" spans="1:29" ht="16.5" customHeight="1" x14ac:dyDescent="0.15">
      <c r="A16" s="37">
        <v>45117</v>
      </c>
      <c r="B16" s="71"/>
      <c r="C16" s="71"/>
      <c r="D16" s="71"/>
      <c r="E16" s="71"/>
      <c r="F16" s="71"/>
      <c r="H16" s="39">
        <f t="shared" si="0"/>
        <v>45117</v>
      </c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41"/>
      <c r="V16" s="74"/>
      <c r="W16" s="64"/>
      <c r="X16" s="37">
        <f t="shared" si="1"/>
        <v>45117</v>
      </c>
      <c r="Y16" s="73"/>
      <c r="Z16" s="73"/>
      <c r="AA16" s="73"/>
      <c r="AB16" s="73"/>
      <c r="AC16" s="73"/>
    </row>
    <row r="17" spans="1:29" ht="16.5" customHeight="1" x14ac:dyDescent="0.15">
      <c r="A17" s="37">
        <v>45118</v>
      </c>
      <c r="B17" s="71"/>
      <c r="C17" s="71"/>
      <c r="D17" s="71"/>
      <c r="E17" s="71"/>
      <c r="F17" s="71"/>
      <c r="H17" s="39">
        <f t="shared" si="0"/>
        <v>45118</v>
      </c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64"/>
      <c r="X17" s="37">
        <f t="shared" si="1"/>
        <v>45118</v>
      </c>
      <c r="Y17" s="73"/>
      <c r="Z17" s="73"/>
      <c r="AA17" s="73"/>
      <c r="AB17" s="73"/>
      <c r="AC17" s="73"/>
    </row>
    <row r="18" spans="1:29" ht="16.5" customHeight="1" x14ac:dyDescent="0.15">
      <c r="A18" s="37">
        <v>45119</v>
      </c>
      <c r="B18" s="71"/>
      <c r="C18" s="71"/>
      <c r="D18" s="71"/>
      <c r="E18" s="71"/>
      <c r="F18" s="71"/>
      <c r="H18" s="39">
        <f t="shared" si="0"/>
        <v>45119</v>
      </c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64"/>
      <c r="X18" s="37">
        <f t="shared" si="1"/>
        <v>45119</v>
      </c>
      <c r="Y18" s="73"/>
      <c r="Z18" s="73"/>
      <c r="AA18" s="73"/>
      <c r="AB18" s="73"/>
      <c r="AC18" s="73"/>
    </row>
    <row r="19" spans="1:29" ht="16.5" customHeight="1" x14ac:dyDescent="0.15">
      <c r="A19" s="37">
        <v>45120</v>
      </c>
      <c r="B19" s="75"/>
      <c r="C19" s="75"/>
      <c r="D19" s="75"/>
      <c r="E19" s="75"/>
      <c r="F19" s="75"/>
      <c r="H19" s="39">
        <f t="shared" si="0"/>
        <v>45120</v>
      </c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64"/>
      <c r="X19" s="37">
        <f t="shared" si="1"/>
        <v>45120</v>
      </c>
      <c r="Y19" s="76"/>
      <c r="Z19" s="76"/>
      <c r="AA19" s="76"/>
      <c r="AB19" s="76"/>
      <c r="AC19" s="76"/>
    </row>
    <row r="20" spans="1:29" ht="16.5" customHeight="1" x14ac:dyDescent="0.15">
      <c r="A20" s="37">
        <v>45121</v>
      </c>
      <c r="B20" s="71"/>
      <c r="C20" s="71"/>
      <c r="D20" s="71"/>
      <c r="E20" s="71"/>
      <c r="F20" s="71"/>
      <c r="H20" s="39">
        <f t="shared" si="0"/>
        <v>45121</v>
      </c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64"/>
      <c r="X20" s="37">
        <f t="shared" si="1"/>
        <v>45121</v>
      </c>
      <c r="Y20" s="73"/>
      <c r="Z20" s="73"/>
      <c r="AA20" s="73"/>
      <c r="AB20" s="73"/>
      <c r="AC20" s="73"/>
    </row>
    <row r="21" spans="1:29" ht="16.5" customHeight="1" x14ac:dyDescent="0.15">
      <c r="A21" s="37">
        <v>45122</v>
      </c>
      <c r="B21" s="71"/>
      <c r="C21" s="71"/>
      <c r="D21" s="71"/>
      <c r="E21" s="71"/>
      <c r="F21" s="71"/>
      <c r="H21" s="39">
        <f t="shared" si="0"/>
        <v>45122</v>
      </c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64"/>
      <c r="X21" s="37">
        <f t="shared" si="1"/>
        <v>45122</v>
      </c>
      <c r="Y21" s="73"/>
      <c r="Z21" s="73"/>
      <c r="AA21" s="73"/>
      <c r="AB21" s="73"/>
      <c r="AC21" s="73"/>
    </row>
    <row r="22" spans="1:29" ht="16.5" customHeight="1" x14ac:dyDescent="0.15">
      <c r="A22" s="37">
        <v>45123</v>
      </c>
      <c r="B22" s="71"/>
      <c r="C22" s="71"/>
      <c r="D22" s="71"/>
      <c r="E22" s="71"/>
      <c r="F22" s="71"/>
      <c r="H22" s="39">
        <f t="shared" si="0"/>
        <v>45123</v>
      </c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64"/>
      <c r="X22" s="37">
        <f t="shared" si="1"/>
        <v>45123</v>
      </c>
      <c r="Y22" s="73"/>
      <c r="Z22" s="73"/>
      <c r="AA22" s="73"/>
      <c r="AB22" s="73"/>
      <c r="AC22" s="73"/>
    </row>
    <row r="23" spans="1:29" ht="16.5" customHeight="1" x14ac:dyDescent="0.15">
      <c r="A23" s="37">
        <v>45124</v>
      </c>
      <c r="B23" s="71"/>
      <c r="C23" s="71"/>
      <c r="D23" s="71"/>
      <c r="E23" s="71"/>
      <c r="F23" s="71"/>
      <c r="H23" s="39">
        <f t="shared" si="0"/>
        <v>45124</v>
      </c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64"/>
      <c r="X23" s="37">
        <f t="shared" si="1"/>
        <v>45124</v>
      </c>
      <c r="Y23" s="73"/>
      <c r="Z23" s="73"/>
      <c r="AA23" s="73"/>
      <c r="AB23" s="73"/>
      <c r="AC23" s="73"/>
    </row>
    <row r="24" spans="1:29" ht="16.5" customHeight="1" x14ac:dyDescent="0.15">
      <c r="A24" s="37">
        <v>45125</v>
      </c>
      <c r="B24" s="71"/>
      <c r="C24" s="71"/>
      <c r="D24" s="71"/>
      <c r="E24" s="71"/>
      <c r="F24" s="71"/>
      <c r="H24" s="39">
        <f t="shared" si="0"/>
        <v>45125</v>
      </c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64"/>
      <c r="X24" s="37">
        <f t="shared" si="1"/>
        <v>45125</v>
      </c>
      <c r="Y24" s="73"/>
      <c r="Z24" s="73"/>
      <c r="AA24" s="73"/>
      <c r="AB24" s="73"/>
      <c r="AC24" s="73"/>
    </row>
    <row r="25" spans="1:29" ht="16.5" customHeight="1" x14ac:dyDescent="0.15">
      <c r="A25" s="37">
        <v>45126</v>
      </c>
      <c r="B25" s="71"/>
      <c r="C25" s="71"/>
      <c r="D25" s="71"/>
      <c r="E25" s="71"/>
      <c r="F25" s="71"/>
      <c r="H25" s="39">
        <f t="shared" si="0"/>
        <v>45126</v>
      </c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64"/>
      <c r="X25" s="37">
        <f t="shared" si="1"/>
        <v>45126</v>
      </c>
      <c r="Y25" s="73"/>
      <c r="Z25" s="73"/>
      <c r="AA25" s="73"/>
      <c r="AB25" s="73"/>
      <c r="AC25" s="73"/>
    </row>
    <row r="26" spans="1:29" ht="16.5" customHeight="1" x14ac:dyDescent="0.15">
      <c r="A26" s="37">
        <v>45127</v>
      </c>
      <c r="B26" s="71"/>
      <c r="C26" s="71"/>
      <c r="D26" s="71"/>
      <c r="E26" s="71"/>
      <c r="F26" s="71"/>
      <c r="H26" s="39">
        <f t="shared" si="0"/>
        <v>45127</v>
      </c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64"/>
      <c r="X26" s="37">
        <f t="shared" si="1"/>
        <v>45127</v>
      </c>
      <c r="Y26" s="73"/>
      <c r="Z26" s="73"/>
      <c r="AA26" s="73"/>
      <c r="AB26" s="73"/>
      <c r="AC26" s="73"/>
    </row>
    <row r="27" spans="1:29" ht="16.5" customHeight="1" x14ac:dyDescent="0.15">
      <c r="A27" s="37">
        <v>45128</v>
      </c>
      <c r="B27" s="71"/>
      <c r="C27" s="71"/>
      <c r="D27" s="71"/>
      <c r="E27" s="71"/>
      <c r="F27" s="71"/>
      <c r="H27" s="39">
        <f t="shared" si="0"/>
        <v>45128</v>
      </c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64"/>
      <c r="X27" s="37">
        <f t="shared" si="1"/>
        <v>45128</v>
      </c>
      <c r="Y27" s="73"/>
      <c r="Z27" s="73"/>
      <c r="AA27" s="73"/>
      <c r="AB27" s="73"/>
      <c r="AC27" s="73"/>
    </row>
    <row r="28" spans="1:29" ht="16.5" customHeight="1" x14ac:dyDescent="0.15">
      <c r="A28" s="37">
        <v>45129</v>
      </c>
      <c r="B28" s="71"/>
      <c r="C28" s="71"/>
      <c r="D28" s="71"/>
      <c r="E28" s="71"/>
      <c r="F28" s="71"/>
      <c r="H28" s="39">
        <f t="shared" si="0"/>
        <v>45129</v>
      </c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64"/>
      <c r="X28" s="37">
        <f t="shared" si="1"/>
        <v>45129</v>
      </c>
      <c r="Y28" s="73"/>
      <c r="Z28" s="73"/>
      <c r="AA28" s="73"/>
      <c r="AB28" s="73"/>
      <c r="AC28" s="73"/>
    </row>
    <row r="29" spans="1:29" ht="16.5" customHeight="1" x14ac:dyDescent="0.15">
      <c r="A29" s="37">
        <v>45130</v>
      </c>
      <c r="B29" s="71"/>
      <c r="C29" s="71"/>
      <c r="D29" s="71"/>
      <c r="E29" s="71"/>
      <c r="F29" s="71"/>
      <c r="H29" s="39">
        <f t="shared" si="0"/>
        <v>45130</v>
      </c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64"/>
      <c r="X29" s="37">
        <f t="shared" si="1"/>
        <v>45130</v>
      </c>
      <c r="Y29" s="73"/>
      <c r="Z29" s="73"/>
      <c r="AA29" s="73"/>
      <c r="AB29" s="73"/>
      <c r="AC29" s="73"/>
    </row>
    <row r="30" spans="1:29" ht="16.5" customHeight="1" x14ac:dyDescent="0.15">
      <c r="A30" s="37">
        <v>45131</v>
      </c>
      <c r="B30" s="71"/>
      <c r="C30" s="71"/>
      <c r="D30" s="71"/>
      <c r="E30" s="71"/>
      <c r="F30" s="71"/>
      <c r="H30" s="39">
        <f t="shared" si="0"/>
        <v>45131</v>
      </c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64"/>
      <c r="X30" s="37">
        <f t="shared" si="1"/>
        <v>45131</v>
      </c>
      <c r="Y30" s="73"/>
      <c r="Z30" s="73"/>
      <c r="AA30" s="73"/>
      <c r="AB30" s="73"/>
      <c r="AC30" s="73"/>
    </row>
    <row r="31" spans="1:29" ht="16.5" customHeight="1" x14ac:dyDescent="0.15">
      <c r="A31" s="37">
        <v>45132</v>
      </c>
      <c r="B31" s="71"/>
      <c r="C31" s="71"/>
      <c r="D31" s="71"/>
      <c r="E31" s="71"/>
      <c r="F31" s="71"/>
      <c r="H31" s="39">
        <f t="shared" si="0"/>
        <v>45132</v>
      </c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64"/>
      <c r="X31" s="37">
        <f t="shared" si="1"/>
        <v>45132</v>
      </c>
      <c r="Y31" s="73"/>
      <c r="Z31" s="73"/>
      <c r="AA31" s="73"/>
      <c r="AB31" s="73"/>
      <c r="AC31" s="73"/>
    </row>
    <row r="32" spans="1:29" ht="16.5" customHeight="1" x14ac:dyDescent="0.15">
      <c r="A32" s="37">
        <v>45133</v>
      </c>
      <c r="B32" s="71"/>
      <c r="C32" s="71"/>
      <c r="D32" s="71"/>
      <c r="E32" s="71"/>
      <c r="F32" s="71"/>
      <c r="H32" s="39">
        <f t="shared" si="0"/>
        <v>45133</v>
      </c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64"/>
      <c r="X32" s="37">
        <f t="shared" si="1"/>
        <v>45133</v>
      </c>
      <c r="Y32" s="73"/>
      <c r="Z32" s="73"/>
      <c r="AA32" s="73"/>
      <c r="AB32" s="73"/>
      <c r="AC32" s="73"/>
    </row>
    <row r="33" spans="1:29" ht="16.5" customHeight="1" x14ac:dyDescent="0.15">
      <c r="A33" s="37">
        <v>45134</v>
      </c>
      <c r="B33" s="71"/>
      <c r="C33" s="71"/>
      <c r="D33" s="71"/>
      <c r="E33" s="71"/>
      <c r="F33" s="71"/>
      <c r="H33" s="39">
        <f t="shared" si="0"/>
        <v>45134</v>
      </c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64"/>
      <c r="X33" s="37">
        <f t="shared" si="1"/>
        <v>45134</v>
      </c>
      <c r="Y33" s="73"/>
      <c r="Z33" s="73"/>
      <c r="AA33" s="73"/>
      <c r="AB33" s="73"/>
      <c r="AC33" s="73"/>
    </row>
    <row r="34" spans="1:29" ht="16.5" customHeight="1" x14ac:dyDescent="0.15">
      <c r="A34" s="37">
        <v>45135</v>
      </c>
      <c r="B34" s="71"/>
      <c r="C34" s="71"/>
      <c r="D34" s="71"/>
      <c r="E34" s="71"/>
      <c r="F34" s="71"/>
      <c r="H34" s="39">
        <f t="shared" si="0"/>
        <v>45135</v>
      </c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64"/>
      <c r="X34" s="37">
        <f t="shared" si="1"/>
        <v>45135</v>
      </c>
      <c r="Y34" s="73"/>
      <c r="Z34" s="73"/>
      <c r="AA34" s="73"/>
      <c r="AB34" s="73"/>
      <c r="AC34" s="73"/>
    </row>
    <row r="35" spans="1:29" ht="16.5" customHeight="1" x14ac:dyDescent="0.15">
      <c r="A35" s="37">
        <v>45136</v>
      </c>
      <c r="B35" s="71"/>
      <c r="C35" s="71"/>
      <c r="D35" s="71"/>
      <c r="E35" s="71"/>
      <c r="F35" s="71"/>
      <c r="H35" s="39">
        <f t="shared" si="0"/>
        <v>45136</v>
      </c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64"/>
      <c r="X35" s="37">
        <f t="shared" si="1"/>
        <v>45136</v>
      </c>
      <c r="Y35" s="73"/>
      <c r="Z35" s="73"/>
      <c r="AA35" s="73"/>
      <c r="AB35" s="73"/>
      <c r="AC35" s="73"/>
    </row>
    <row r="36" spans="1:29" ht="16.5" customHeight="1" x14ac:dyDescent="0.15">
      <c r="A36" s="37">
        <v>45137</v>
      </c>
      <c r="B36" s="71"/>
      <c r="C36" s="71"/>
      <c r="D36" s="71"/>
      <c r="E36" s="71"/>
      <c r="F36" s="71"/>
      <c r="H36" s="39">
        <f t="shared" si="0"/>
        <v>45137</v>
      </c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64"/>
      <c r="X36" s="37">
        <f t="shared" si="1"/>
        <v>45137</v>
      </c>
      <c r="Y36" s="73"/>
      <c r="Z36" s="73"/>
      <c r="AA36" s="73"/>
      <c r="AB36" s="73"/>
      <c r="AC36" s="73"/>
    </row>
    <row r="37" spans="1:29" ht="16.5" customHeight="1" x14ac:dyDescent="0.15">
      <c r="A37" s="37">
        <v>45138</v>
      </c>
      <c r="B37" s="71"/>
      <c r="C37" s="71"/>
      <c r="D37" s="71"/>
      <c r="E37" s="71"/>
      <c r="F37" s="71"/>
      <c r="H37" s="39">
        <f t="shared" si="0"/>
        <v>45138</v>
      </c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64"/>
      <c r="X37" s="37">
        <f t="shared" si="1"/>
        <v>45138</v>
      </c>
      <c r="Y37" s="73"/>
      <c r="Z37" s="73"/>
      <c r="AA37" s="73"/>
      <c r="AB37" s="73"/>
      <c r="AC37" s="73"/>
    </row>
    <row r="38" spans="1:29" ht="16.5" customHeight="1" x14ac:dyDescent="0.15">
      <c r="A38" s="37">
        <v>45139</v>
      </c>
      <c r="B38" s="71"/>
      <c r="C38" s="71"/>
      <c r="D38" s="71"/>
      <c r="E38" s="71"/>
      <c r="F38" s="71"/>
      <c r="H38" s="39">
        <f t="shared" si="0"/>
        <v>45139</v>
      </c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64"/>
      <c r="X38" s="37">
        <f t="shared" si="1"/>
        <v>45139</v>
      </c>
      <c r="Y38" s="73"/>
      <c r="Z38" s="73"/>
      <c r="AA38" s="73"/>
      <c r="AB38" s="73"/>
      <c r="AC38" s="73"/>
    </row>
    <row r="39" spans="1:29" ht="16.5" customHeight="1" x14ac:dyDescent="0.15">
      <c r="A39" s="37">
        <v>45140</v>
      </c>
      <c r="B39" s="71"/>
      <c r="C39" s="71"/>
      <c r="D39" s="71"/>
      <c r="E39" s="71"/>
      <c r="F39" s="71"/>
      <c r="H39" s="39">
        <f t="shared" si="0"/>
        <v>45140</v>
      </c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64"/>
      <c r="X39" s="37">
        <f t="shared" si="1"/>
        <v>45140</v>
      </c>
      <c r="Y39" s="73"/>
      <c r="Z39" s="73"/>
      <c r="AA39" s="73"/>
      <c r="AB39" s="73"/>
      <c r="AC39" s="73"/>
    </row>
    <row r="40" spans="1:29" ht="16.5" customHeight="1" x14ac:dyDescent="0.15">
      <c r="A40" s="37">
        <v>45141</v>
      </c>
      <c r="B40" s="71"/>
      <c r="C40" s="71"/>
      <c r="D40" s="71"/>
      <c r="E40" s="71"/>
      <c r="F40" s="71"/>
      <c r="H40" s="39">
        <f t="shared" si="0"/>
        <v>45141</v>
      </c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64"/>
      <c r="X40" s="37">
        <f t="shared" si="1"/>
        <v>45141</v>
      </c>
      <c r="Y40" s="73"/>
      <c r="Z40" s="73"/>
      <c r="AA40" s="73"/>
      <c r="AB40" s="73"/>
      <c r="AC40" s="73"/>
    </row>
    <row r="41" spans="1:29" ht="16.5" customHeight="1" x14ac:dyDescent="0.15">
      <c r="A41" s="37">
        <v>45142</v>
      </c>
      <c r="B41" s="71"/>
      <c r="C41" s="71"/>
      <c r="D41" s="71"/>
      <c r="E41" s="71"/>
      <c r="F41" s="71"/>
      <c r="H41" s="39">
        <f t="shared" si="0"/>
        <v>45142</v>
      </c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64"/>
      <c r="X41" s="37">
        <f t="shared" si="1"/>
        <v>45142</v>
      </c>
      <c r="Y41" s="73"/>
      <c r="Z41" s="73"/>
      <c r="AA41" s="73"/>
      <c r="AB41" s="73"/>
      <c r="AC41" s="73"/>
    </row>
    <row r="42" spans="1:29" ht="16.5" customHeight="1" x14ac:dyDescent="0.15">
      <c r="A42" s="37">
        <v>45143</v>
      </c>
      <c r="B42" s="71"/>
      <c r="C42" s="71"/>
      <c r="D42" s="71"/>
      <c r="E42" s="71"/>
      <c r="F42" s="71"/>
      <c r="H42" s="39">
        <f t="shared" si="0"/>
        <v>45143</v>
      </c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64"/>
      <c r="X42" s="37">
        <f t="shared" si="1"/>
        <v>45143</v>
      </c>
      <c r="Y42" s="73"/>
      <c r="Z42" s="73"/>
      <c r="AA42" s="73"/>
      <c r="AB42" s="73"/>
      <c r="AC42" s="73"/>
    </row>
    <row r="43" spans="1:29" ht="16.5" customHeight="1" x14ac:dyDescent="0.15">
      <c r="A43" s="37">
        <v>45144</v>
      </c>
      <c r="B43" s="71"/>
      <c r="C43" s="71"/>
      <c r="D43" s="71"/>
      <c r="E43" s="71"/>
      <c r="F43" s="71"/>
      <c r="H43" s="39">
        <f t="shared" si="0"/>
        <v>45144</v>
      </c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64"/>
      <c r="X43" s="37">
        <f t="shared" si="1"/>
        <v>45144</v>
      </c>
      <c r="Y43" s="73"/>
      <c r="Z43" s="73"/>
      <c r="AA43" s="73"/>
      <c r="AB43" s="73"/>
      <c r="AC43" s="73"/>
    </row>
    <row r="44" spans="1:29" ht="16.5" customHeight="1" x14ac:dyDescent="0.15">
      <c r="A44" s="37">
        <v>45145</v>
      </c>
      <c r="B44" s="71"/>
      <c r="C44" s="71"/>
      <c r="D44" s="71"/>
      <c r="E44" s="71"/>
      <c r="F44" s="71"/>
      <c r="H44" s="39">
        <f t="shared" si="0"/>
        <v>45145</v>
      </c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64"/>
      <c r="X44" s="37">
        <f t="shared" si="1"/>
        <v>45145</v>
      </c>
      <c r="Y44" s="73"/>
      <c r="Z44" s="73"/>
      <c r="AA44" s="73"/>
      <c r="AB44" s="73"/>
      <c r="AC44" s="73"/>
    </row>
    <row r="45" spans="1:29" ht="16.5" customHeight="1" x14ac:dyDescent="0.15">
      <c r="A45" s="37">
        <v>45146</v>
      </c>
      <c r="B45" s="71"/>
      <c r="C45" s="71"/>
      <c r="D45" s="71"/>
      <c r="E45" s="71"/>
      <c r="F45" s="71"/>
      <c r="H45" s="39">
        <f t="shared" si="0"/>
        <v>45146</v>
      </c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64"/>
      <c r="X45" s="37">
        <f t="shared" si="1"/>
        <v>45146</v>
      </c>
      <c r="Y45" s="73"/>
      <c r="Z45" s="73"/>
      <c r="AA45" s="73"/>
      <c r="AB45" s="73"/>
      <c r="AC45" s="73"/>
    </row>
    <row r="46" spans="1:29" ht="16.5" customHeight="1" x14ac:dyDescent="0.15">
      <c r="A46" s="37">
        <v>45147</v>
      </c>
      <c r="B46" s="71"/>
      <c r="C46" s="71"/>
      <c r="D46" s="71"/>
      <c r="E46" s="71"/>
      <c r="F46" s="71"/>
      <c r="H46" s="39">
        <f t="shared" si="0"/>
        <v>45147</v>
      </c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64"/>
      <c r="X46" s="37">
        <f t="shared" si="1"/>
        <v>45147</v>
      </c>
      <c r="Y46" s="73"/>
      <c r="Z46" s="73"/>
      <c r="AA46" s="73"/>
      <c r="AB46" s="73"/>
      <c r="AC46" s="73"/>
    </row>
    <row r="47" spans="1:29" ht="16.5" customHeight="1" x14ac:dyDescent="0.15">
      <c r="A47" s="37">
        <v>45148</v>
      </c>
      <c r="B47" s="71"/>
      <c r="C47" s="71"/>
      <c r="D47" s="71"/>
      <c r="E47" s="71"/>
      <c r="F47" s="71"/>
      <c r="H47" s="39">
        <f t="shared" si="0"/>
        <v>45148</v>
      </c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64"/>
      <c r="X47" s="37">
        <f t="shared" si="1"/>
        <v>45148</v>
      </c>
      <c r="Y47" s="73"/>
      <c r="Z47" s="73"/>
      <c r="AA47" s="73"/>
      <c r="AB47" s="73"/>
      <c r="AC47" s="73"/>
    </row>
    <row r="48" spans="1:29" ht="16.5" customHeight="1" x14ac:dyDescent="0.15">
      <c r="A48" s="37">
        <v>45149</v>
      </c>
      <c r="B48" s="71"/>
      <c r="C48" s="71"/>
      <c r="D48" s="71"/>
      <c r="E48" s="71"/>
      <c r="F48" s="71"/>
      <c r="H48" s="39">
        <f t="shared" si="0"/>
        <v>45149</v>
      </c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64"/>
      <c r="X48" s="37">
        <f t="shared" si="1"/>
        <v>45149</v>
      </c>
      <c r="Y48" s="73"/>
      <c r="Z48" s="73"/>
      <c r="AA48" s="73"/>
      <c r="AB48" s="73"/>
      <c r="AC48" s="73"/>
    </row>
    <row r="49" spans="1:29" ht="16.5" customHeight="1" x14ac:dyDescent="0.15">
      <c r="A49" s="37">
        <v>45150</v>
      </c>
      <c r="B49" s="71"/>
      <c r="C49" s="71"/>
      <c r="D49" s="71"/>
      <c r="E49" s="71"/>
      <c r="F49" s="71"/>
      <c r="H49" s="39">
        <f t="shared" si="0"/>
        <v>45150</v>
      </c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64"/>
      <c r="X49" s="37">
        <f t="shared" si="1"/>
        <v>45150</v>
      </c>
      <c r="Y49" s="73"/>
      <c r="Z49" s="73"/>
      <c r="AA49" s="73"/>
      <c r="AB49" s="73"/>
      <c r="AC49" s="73"/>
    </row>
    <row r="50" spans="1:29" ht="16.5" customHeight="1" x14ac:dyDescent="0.15">
      <c r="A50" s="37">
        <v>45151</v>
      </c>
      <c r="B50" s="71"/>
      <c r="C50" s="71"/>
      <c r="D50" s="71"/>
      <c r="E50" s="71"/>
      <c r="F50" s="71"/>
      <c r="H50" s="39">
        <f t="shared" si="0"/>
        <v>45151</v>
      </c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64"/>
      <c r="X50" s="37">
        <f t="shared" si="1"/>
        <v>45151</v>
      </c>
      <c r="Y50" s="73"/>
      <c r="Z50" s="73"/>
      <c r="AA50" s="73"/>
      <c r="AB50" s="73"/>
      <c r="AC50" s="73"/>
    </row>
    <row r="51" spans="1:29" ht="16.5" customHeight="1" x14ac:dyDescent="0.15">
      <c r="A51" s="37">
        <v>45152</v>
      </c>
      <c r="B51" s="71"/>
      <c r="C51" s="71"/>
      <c r="D51" s="71"/>
      <c r="E51" s="71"/>
      <c r="F51" s="71"/>
      <c r="H51" s="39">
        <f t="shared" si="0"/>
        <v>45152</v>
      </c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64"/>
      <c r="X51" s="37">
        <f t="shared" si="1"/>
        <v>45152</v>
      </c>
      <c r="Y51" s="73"/>
      <c r="Z51" s="73"/>
      <c r="AA51" s="73"/>
      <c r="AB51" s="73"/>
      <c r="AC51" s="73"/>
    </row>
    <row r="52" spans="1:29" ht="16.5" customHeight="1" x14ac:dyDescent="0.15">
      <c r="A52" s="37">
        <v>45153</v>
      </c>
      <c r="B52" s="71"/>
      <c r="C52" s="71"/>
      <c r="D52" s="71"/>
      <c r="E52" s="71"/>
      <c r="F52" s="71"/>
      <c r="H52" s="39">
        <f t="shared" si="0"/>
        <v>45153</v>
      </c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64"/>
      <c r="X52" s="37">
        <f t="shared" si="1"/>
        <v>45153</v>
      </c>
      <c r="Y52" s="73"/>
      <c r="Z52" s="73"/>
      <c r="AA52" s="73"/>
      <c r="AB52" s="73"/>
      <c r="AC52" s="73"/>
    </row>
    <row r="53" spans="1:29" ht="16.5" customHeight="1" x14ac:dyDescent="0.15">
      <c r="A53" s="37">
        <v>45154</v>
      </c>
      <c r="B53" s="71"/>
      <c r="C53" s="71"/>
      <c r="D53" s="71"/>
      <c r="E53" s="71"/>
      <c r="F53" s="71"/>
      <c r="H53" s="39">
        <f t="shared" si="0"/>
        <v>45154</v>
      </c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64"/>
      <c r="X53" s="37">
        <f t="shared" si="1"/>
        <v>45154</v>
      </c>
      <c r="Y53" s="73"/>
      <c r="Z53" s="73"/>
      <c r="AA53" s="73"/>
      <c r="AB53" s="73"/>
      <c r="AC53" s="73"/>
    </row>
    <row r="54" spans="1:29" ht="16.5" customHeight="1" x14ac:dyDescent="0.15">
      <c r="A54" s="37">
        <v>45155</v>
      </c>
      <c r="B54" s="71"/>
      <c r="C54" s="71"/>
      <c r="D54" s="71"/>
      <c r="E54" s="71"/>
      <c r="F54" s="71"/>
      <c r="H54" s="39">
        <f t="shared" si="0"/>
        <v>45155</v>
      </c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64"/>
      <c r="X54" s="37">
        <f t="shared" si="1"/>
        <v>45155</v>
      </c>
      <c r="Y54" s="73"/>
      <c r="Z54" s="73"/>
      <c r="AA54" s="73"/>
      <c r="AB54" s="73"/>
      <c r="AC54" s="73"/>
    </row>
    <row r="55" spans="1:29" ht="16.5" customHeight="1" x14ac:dyDescent="0.15">
      <c r="A55" s="37">
        <v>45156</v>
      </c>
      <c r="B55" s="71"/>
      <c r="C55" s="71"/>
      <c r="D55" s="71"/>
      <c r="E55" s="71"/>
      <c r="F55" s="71"/>
      <c r="H55" s="39">
        <f t="shared" si="0"/>
        <v>45156</v>
      </c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64"/>
      <c r="X55" s="37">
        <f t="shared" si="1"/>
        <v>45156</v>
      </c>
      <c r="Y55" s="73"/>
      <c r="Z55" s="73"/>
      <c r="AA55" s="73"/>
      <c r="AB55" s="73"/>
      <c r="AC55" s="73"/>
    </row>
    <row r="56" spans="1:29" ht="16.5" customHeight="1" x14ac:dyDescent="0.15">
      <c r="A56" s="37">
        <v>45157</v>
      </c>
      <c r="B56" s="71"/>
      <c r="C56" s="71"/>
      <c r="D56" s="71"/>
      <c r="E56" s="71"/>
      <c r="F56" s="71"/>
      <c r="H56" s="39">
        <f t="shared" si="0"/>
        <v>45157</v>
      </c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64"/>
      <c r="X56" s="37">
        <f t="shared" si="1"/>
        <v>45157</v>
      </c>
      <c r="Y56" s="73"/>
      <c r="Z56" s="73"/>
      <c r="AA56" s="73"/>
      <c r="AB56" s="73"/>
      <c r="AC56" s="73"/>
    </row>
    <row r="57" spans="1:29" ht="16.5" customHeight="1" x14ac:dyDescent="0.15">
      <c r="A57" s="37">
        <v>45158</v>
      </c>
      <c r="B57" s="71"/>
      <c r="C57" s="71"/>
      <c r="D57" s="71"/>
      <c r="E57" s="71"/>
      <c r="F57" s="71"/>
      <c r="H57" s="39">
        <f t="shared" si="0"/>
        <v>45158</v>
      </c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64"/>
      <c r="X57" s="37">
        <f t="shared" si="1"/>
        <v>45158</v>
      </c>
      <c r="Y57" s="73"/>
      <c r="Z57" s="73"/>
      <c r="AA57" s="73"/>
      <c r="AB57" s="73"/>
      <c r="AC57" s="73"/>
    </row>
    <row r="58" spans="1:29" ht="16.5" customHeight="1" x14ac:dyDescent="0.15">
      <c r="A58" s="37">
        <v>45159</v>
      </c>
      <c r="B58" s="71"/>
      <c r="C58" s="71"/>
      <c r="D58" s="71"/>
      <c r="E58" s="71"/>
      <c r="F58" s="71"/>
      <c r="H58" s="39">
        <f t="shared" si="0"/>
        <v>45159</v>
      </c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64"/>
      <c r="X58" s="37">
        <f t="shared" si="1"/>
        <v>45159</v>
      </c>
      <c r="Y58" s="73"/>
      <c r="Z58" s="73"/>
      <c r="AA58" s="73"/>
      <c r="AB58" s="73"/>
      <c r="AC58" s="73"/>
    </row>
    <row r="59" spans="1:29" ht="16.5" customHeight="1" x14ac:dyDescent="0.15">
      <c r="A59" s="37">
        <v>45160</v>
      </c>
      <c r="B59" s="71"/>
      <c r="C59" s="71"/>
      <c r="D59" s="71"/>
      <c r="E59" s="71"/>
      <c r="F59" s="71"/>
      <c r="H59" s="39">
        <f t="shared" si="0"/>
        <v>45160</v>
      </c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64"/>
      <c r="X59" s="37">
        <f t="shared" si="1"/>
        <v>45160</v>
      </c>
      <c r="Y59" s="73"/>
      <c r="Z59" s="73"/>
      <c r="AA59" s="73"/>
      <c r="AB59" s="73"/>
      <c r="AC59" s="73"/>
    </row>
    <row r="60" spans="1:29" ht="16.5" customHeight="1" x14ac:dyDescent="0.15">
      <c r="A60" s="37">
        <v>45161</v>
      </c>
      <c r="B60" s="71"/>
      <c r="C60" s="71"/>
      <c r="D60" s="71"/>
      <c r="E60" s="71"/>
      <c r="F60" s="71"/>
      <c r="H60" s="39">
        <f t="shared" si="0"/>
        <v>45161</v>
      </c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64"/>
      <c r="X60" s="37">
        <f t="shared" si="1"/>
        <v>45161</v>
      </c>
      <c r="Y60" s="73"/>
      <c r="Z60" s="73"/>
      <c r="AA60" s="73"/>
      <c r="AB60" s="73"/>
      <c r="AC60" s="73"/>
    </row>
    <row r="61" spans="1:29" ht="16.5" customHeight="1" x14ac:dyDescent="0.15">
      <c r="A61" s="37">
        <v>45162</v>
      </c>
      <c r="B61" s="71"/>
      <c r="C61" s="71"/>
      <c r="D61" s="71"/>
      <c r="E61" s="71"/>
      <c r="F61" s="71"/>
      <c r="H61" s="39">
        <f t="shared" si="0"/>
        <v>45162</v>
      </c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64"/>
      <c r="X61" s="37">
        <f t="shared" si="1"/>
        <v>45162</v>
      </c>
      <c r="Y61" s="73"/>
      <c r="Z61" s="73"/>
      <c r="AA61" s="73"/>
      <c r="AB61" s="73"/>
      <c r="AC61" s="73"/>
    </row>
    <row r="62" spans="1:29" ht="16.5" customHeight="1" x14ac:dyDescent="0.15">
      <c r="A62" s="37">
        <v>45163</v>
      </c>
      <c r="B62" s="71"/>
      <c r="C62" s="71"/>
      <c r="D62" s="71"/>
      <c r="E62" s="71"/>
      <c r="F62" s="71"/>
      <c r="H62" s="39">
        <f t="shared" si="0"/>
        <v>45163</v>
      </c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64"/>
      <c r="X62" s="37">
        <f t="shared" si="1"/>
        <v>45163</v>
      </c>
      <c r="Y62" s="73"/>
      <c r="Z62" s="73"/>
      <c r="AA62" s="73"/>
      <c r="AB62" s="73"/>
      <c r="AC62" s="73"/>
    </row>
    <row r="63" spans="1:29" ht="16.5" customHeight="1" x14ac:dyDescent="0.15">
      <c r="A63" s="37">
        <v>45164</v>
      </c>
      <c r="B63" s="71"/>
      <c r="C63" s="71"/>
      <c r="D63" s="71"/>
      <c r="E63" s="71"/>
      <c r="F63" s="71"/>
      <c r="H63" s="39">
        <f t="shared" si="0"/>
        <v>45164</v>
      </c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64"/>
      <c r="X63" s="37">
        <f t="shared" si="1"/>
        <v>45164</v>
      </c>
      <c r="Y63" s="73"/>
      <c r="Z63" s="73"/>
      <c r="AA63" s="73"/>
      <c r="AB63" s="73"/>
      <c r="AC63" s="73"/>
    </row>
    <row r="64" spans="1:29" ht="16.5" customHeight="1" x14ac:dyDescent="0.15">
      <c r="A64" s="37">
        <v>45165</v>
      </c>
      <c r="B64" s="71"/>
      <c r="C64" s="71"/>
      <c r="D64" s="71"/>
      <c r="E64" s="71"/>
      <c r="F64" s="71"/>
      <c r="H64" s="39">
        <f t="shared" si="0"/>
        <v>45165</v>
      </c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64"/>
      <c r="X64" s="37">
        <f t="shared" si="1"/>
        <v>45165</v>
      </c>
      <c r="Y64" s="73"/>
      <c r="Z64" s="73"/>
      <c r="AA64" s="73"/>
      <c r="AB64" s="73"/>
      <c r="AC64" s="73"/>
    </row>
    <row r="65" spans="1:29" ht="16.5" customHeight="1" x14ac:dyDescent="0.15">
      <c r="A65" s="37">
        <v>45166</v>
      </c>
      <c r="B65" s="71"/>
      <c r="C65" s="71"/>
      <c r="D65" s="71"/>
      <c r="E65" s="71"/>
      <c r="F65" s="71"/>
      <c r="H65" s="39">
        <f t="shared" si="0"/>
        <v>45166</v>
      </c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64"/>
      <c r="X65" s="37">
        <f t="shared" si="1"/>
        <v>45166</v>
      </c>
      <c r="Y65" s="73"/>
      <c r="Z65" s="73"/>
      <c r="AA65" s="73"/>
      <c r="AB65" s="73"/>
      <c r="AC65" s="73"/>
    </row>
    <row r="66" spans="1:29" ht="16.5" customHeight="1" x14ac:dyDescent="0.15">
      <c r="A66" s="37">
        <v>45167</v>
      </c>
      <c r="B66" s="71"/>
      <c r="C66" s="71"/>
      <c r="D66" s="71"/>
      <c r="E66" s="71"/>
      <c r="F66" s="71"/>
      <c r="H66" s="39">
        <f t="shared" si="0"/>
        <v>45167</v>
      </c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64"/>
      <c r="X66" s="37">
        <f t="shared" si="1"/>
        <v>45167</v>
      </c>
      <c r="Y66" s="73"/>
      <c r="Z66" s="73"/>
      <c r="AA66" s="73"/>
      <c r="AB66" s="73"/>
      <c r="AC66" s="73"/>
    </row>
    <row r="67" spans="1:29" ht="16.5" customHeight="1" x14ac:dyDescent="0.15">
      <c r="A67" s="37">
        <v>45168</v>
      </c>
      <c r="B67" s="71"/>
      <c r="C67" s="71"/>
      <c r="D67" s="71"/>
      <c r="E67" s="71"/>
      <c r="F67" s="71"/>
      <c r="H67" s="39">
        <f t="shared" si="0"/>
        <v>45168</v>
      </c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64"/>
      <c r="X67" s="37">
        <f t="shared" si="1"/>
        <v>45168</v>
      </c>
      <c r="Y67" s="73"/>
      <c r="Z67" s="73"/>
      <c r="AA67" s="73"/>
      <c r="AB67" s="73"/>
      <c r="AC67" s="73"/>
    </row>
    <row r="68" spans="1:29" ht="16.5" customHeight="1" x14ac:dyDescent="0.15">
      <c r="A68" s="37">
        <v>45169</v>
      </c>
      <c r="B68" s="71"/>
      <c r="C68" s="71"/>
      <c r="D68" s="71"/>
      <c r="E68" s="71"/>
      <c r="F68" s="71"/>
      <c r="H68" s="39">
        <f t="shared" si="0"/>
        <v>45169</v>
      </c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64"/>
      <c r="X68" s="37">
        <f t="shared" si="1"/>
        <v>45169</v>
      </c>
      <c r="Y68" s="73"/>
      <c r="Z68" s="73"/>
      <c r="AA68" s="73"/>
      <c r="AB68" s="73"/>
      <c r="AC68" s="73"/>
    </row>
    <row r="69" spans="1:29" ht="16.5" customHeight="1" x14ac:dyDescent="0.15">
      <c r="A69" s="37">
        <v>45170</v>
      </c>
      <c r="B69" s="71"/>
      <c r="C69" s="71"/>
      <c r="D69" s="71"/>
      <c r="E69" s="71"/>
      <c r="F69" s="71"/>
      <c r="H69" s="39">
        <f t="shared" si="0"/>
        <v>45170</v>
      </c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64"/>
      <c r="X69" s="37">
        <f t="shared" si="1"/>
        <v>45170</v>
      </c>
      <c r="Y69" s="73"/>
      <c r="Z69" s="73"/>
      <c r="AA69" s="73"/>
      <c r="AB69" s="73"/>
      <c r="AC69" s="73"/>
    </row>
    <row r="70" spans="1:29" ht="16.5" customHeight="1" x14ac:dyDescent="0.15">
      <c r="A70" s="37">
        <v>45171</v>
      </c>
      <c r="B70" s="71"/>
      <c r="C70" s="71"/>
      <c r="D70" s="71"/>
      <c r="E70" s="71"/>
      <c r="F70" s="71"/>
      <c r="H70" s="39">
        <f t="shared" si="0"/>
        <v>45171</v>
      </c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64"/>
      <c r="X70" s="37">
        <f t="shared" si="1"/>
        <v>45171</v>
      </c>
      <c r="Y70" s="73"/>
      <c r="Z70" s="73"/>
      <c r="AA70" s="73"/>
      <c r="AB70" s="73"/>
      <c r="AC70" s="73"/>
    </row>
    <row r="71" spans="1:29" ht="16.5" customHeight="1" x14ac:dyDescent="0.15">
      <c r="A71" s="37">
        <v>45172</v>
      </c>
      <c r="B71" s="71"/>
      <c r="C71" s="71"/>
      <c r="D71" s="71"/>
      <c r="E71" s="71"/>
      <c r="F71" s="71"/>
      <c r="H71" s="39">
        <f t="shared" ref="H71:H97" si="2">A71</f>
        <v>45172</v>
      </c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64"/>
      <c r="X71" s="37">
        <f t="shared" ref="X71:X97" si="3">H71</f>
        <v>45172</v>
      </c>
      <c r="Y71" s="73"/>
      <c r="Z71" s="73"/>
      <c r="AA71" s="73"/>
      <c r="AB71" s="73"/>
      <c r="AC71" s="73"/>
    </row>
    <row r="72" spans="1:29" ht="16.5" customHeight="1" x14ac:dyDescent="0.15">
      <c r="A72" s="37">
        <v>45173</v>
      </c>
      <c r="B72" s="71"/>
      <c r="C72" s="71"/>
      <c r="D72" s="71"/>
      <c r="E72" s="71"/>
      <c r="F72" s="71"/>
      <c r="H72" s="39">
        <f t="shared" si="2"/>
        <v>45173</v>
      </c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64"/>
      <c r="X72" s="37">
        <f t="shared" si="3"/>
        <v>45173</v>
      </c>
      <c r="Y72" s="73"/>
      <c r="Z72" s="73"/>
      <c r="AA72" s="73"/>
      <c r="AB72" s="73"/>
      <c r="AC72" s="73"/>
    </row>
    <row r="73" spans="1:29" ht="16.5" customHeight="1" x14ac:dyDescent="0.15">
      <c r="A73" s="37">
        <v>45174</v>
      </c>
      <c r="B73" s="71"/>
      <c r="C73" s="71"/>
      <c r="D73" s="71"/>
      <c r="E73" s="71"/>
      <c r="F73" s="71"/>
      <c r="H73" s="39">
        <f t="shared" si="2"/>
        <v>45174</v>
      </c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64"/>
      <c r="X73" s="37">
        <f t="shared" si="3"/>
        <v>45174</v>
      </c>
      <c r="Y73" s="73"/>
      <c r="Z73" s="73"/>
      <c r="AA73" s="73"/>
      <c r="AB73" s="73"/>
      <c r="AC73" s="73"/>
    </row>
    <row r="74" spans="1:29" ht="16.5" customHeight="1" x14ac:dyDescent="0.15">
      <c r="A74" s="37">
        <v>45175</v>
      </c>
      <c r="B74" s="71"/>
      <c r="C74" s="71"/>
      <c r="D74" s="71"/>
      <c r="E74" s="71"/>
      <c r="F74" s="71"/>
      <c r="H74" s="39">
        <f t="shared" si="2"/>
        <v>45175</v>
      </c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64"/>
      <c r="X74" s="37">
        <f t="shared" si="3"/>
        <v>45175</v>
      </c>
      <c r="Y74" s="73"/>
      <c r="Z74" s="73"/>
      <c r="AA74" s="73"/>
      <c r="AB74" s="73"/>
      <c r="AC74" s="73"/>
    </row>
    <row r="75" spans="1:29" ht="16.5" customHeight="1" x14ac:dyDescent="0.15">
      <c r="A75" s="37">
        <v>45176</v>
      </c>
      <c r="B75" s="71"/>
      <c r="C75" s="71"/>
      <c r="D75" s="71"/>
      <c r="E75" s="71"/>
      <c r="F75" s="71"/>
      <c r="H75" s="39">
        <f t="shared" si="2"/>
        <v>45176</v>
      </c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64"/>
      <c r="X75" s="37">
        <f t="shared" si="3"/>
        <v>45176</v>
      </c>
      <c r="Y75" s="73"/>
      <c r="Z75" s="73"/>
      <c r="AA75" s="73"/>
      <c r="AB75" s="73"/>
      <c r="AC75" s="73"/>
    </row>
    <row r="76" spans="1:29" ht="16.5" customHeight="1" x14ac:dyDescent="0.15">
      <c r="A76" s="37">
        <v>45177</v>
      </c>
      <c r="B76" s="71"/>
      <c r="C76" s="71"/>
      <c r="D76" s="71"/>
      <c r="E76" s="71"/>
      <c r="F76" s="71"/>
      <c r="H76" s="39">
        <f t="shared" si="2"/>
        <v>45177</v>
      </c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64"/>
      <c r="X76" s="37">
        <f t="shared" si="3"/>
        <v>45177</v>
      </c>
      <c r="Y76" s="73"/>
      <c r="Z76" s="73"/>
      <c r="AA76" s="73"/>
      <c r="AB76" s="73"/>
      <c r="AC76" s="73"/>
    </row>
    <row r="77" spans="1:29" ht="16.5" customHeight="1" x14ac:dyDescent="0.15">
      <c r="A77" s="37">
        <v>45178</v>
      </c>
      <c r="B77" s="71"/>
      <c r="C77" s="71"/>
      <c r="D77" s="71"/>
      <c r="E77" s="71"/>
      <c r="F77" s="71"/>
      <c r="H77" s="39">
        <f t="shared" si="2"/>
        <v>45178</v>
      </c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64"/>
      <c r="X77" s="37">
        <f t="shared" si="3"/>
        <v>45178</v>
      </c>
      <c r="Y77" s="73"/>
      <c r="Z77" s="73"/>
      <c r="AA77" s="73"/>
      <c r="AB77" s="73"/>
      <c r="AC77" s="73"/>
    </row>
    <row r="78" spans="1:29" ht="16.5" customHeight="1" x14ac:dyDescent="0.15">
      <c r="A78" s="37">
        <v>45179</v>
      </c>
      <c r="B78" s="71"/>
      <c r="C78" s="71"/>
      <c r="D78" s="71"/>
      <c r="E78" s="71"/>
      <c r="F78" s="71"/>
      <c r="H78" s="39">
        <f t="shared" si="2"/>
        <v>45179</v>
      </c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64"/>
      <c r="X78" s="37">
        <f t="shared" si="3"/>
        <v>45179</v>
      </c>
      <c r="Y78" s="73"/>
      <c r="Z78" s="73"/>
      <c r="AA78" s="73"/>
      <c r="AB78" s="73"/>
      <c r="AC78" s="73"/>
    </row>
    <row r="79" spans="1:29" ht="16.5" customHeight="1" x14ac:dyDescent="0.15">
      <c r="A79" s="37">
        <v>45180</v>
      </c>
      <c r="B79" s="71"/>
      <c r="C79" s="71"/>
      <c r="D79" s="71"/>
      <c r="E79" s="71"/>
      <c r="F79" s="71"/>
      <c r="H79" s="39">
        <f t="shared" si="2"/>
        <v>45180</v>
      </c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64"/>
      <c r="X79" s="37">
        <f t="shared" si="3"/>
        <v>45180</v>
      </c>
      <c r="Y79" s="73"/>
      <c r="Z79" s="73"/>
      <c r="AA79" s="73"/>
      <c r="AB79" s="73"/>
      <c r="AC79" s="73"/>
    </row>
    <row r="80" spans="1:29" ht="16.5" customHeight="1" x14ac:dyDescent="0.15">
      <c r="A80" s="37">
        <v>45181</v>
      </c>
      <c r="B80" s="71"/>
      <c r="C80" s="71"/>
      <c r="D80" s="71"/>
      <c r="E80" s="71"/>
      <c r="F80" s="71"/>
      <c r="H80" s="39">
        <f t="shared" si="2"/>
        <v>45181</v>
      </c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64"/>
      <c r="X80" s="37">
        <f t="shared" si="3"/>
        <v>45181</v>
      </c>
      <c r="Y80" s="73"/>
      <c r="Z80" s="73"/>
      <c r="AA80" s="73"/>
      <c r="AB80" s="73"/>
      <c r="AC80" s="73"/>
    </row>
    <row r="81" spans="1:29" ht="16.5" customHeight="1" x14ac:dyDescent="0.15">
      <c r="A81" s="37">
        <v>45182</v>
      </c>
      <c r="B81" s="71"/>
      <c r="C81" s="71"/>
      <c r="D81" s="71"/>
      <c r="E81" s="71"/>
      <c r="F81" s="71"/>
      <c r="H81" s="39">
        <f t="shared" si="2"/>
        <v>45182</v>
      </c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64"/>
      <c r="X81" s="37">
        <f t="shared" si="3"/>
        <v>45182</v>
      </c>
      <c r="Y81" s="73"/>
      <c r="Z81" s="73"/>
      <c r="AA81" s="73"/>
      <c r="AB81" s="73"/>
      <c r="AC81" s="73"/>
    </row>
    <row r="82" spans="1:29" ht="16.5" customHeight="1" x14ac:dyDescent="0.15">
      <c r="A82" s="37">
        <v>45183</v>
      </c>
      <c r="B82" s="71"/>
      <c r="C82" s="71"/>
      <c r="D82" s="71"/>
      <c r="E82" s="71"/>
      <c r="F82" s="71"/>
      <c r="H82" s="39">
        <f t="shared" si="2"/>
        <v>45183</v>
      </c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64"/>
      <c r="X82" s="37">
        <f t="shared" si="3"/>
        <v>45183</v>
      </c>
      <c r="Y82" s="73"/>
      <c r="Z82" s="73"/>
      <c r="AA82" s="73"/>
      <c r="AB82" s="73"/>
      <c r="AC82" s="73"/>
    </row>
    <row r="83" spans="1:29" ht="16.5" customHeight="1" x14ac:dyDescent="0.15">
      <c r="A83" s="37">
        <v>45184</v>
      </c>
      <c r="B83" s="71"/>
      <c r="C83" s="71"/>
      <c r="D83" s="71"/>
      <c r="E83" s="71"/>
      <c r="F83" s="71"/>
      <c r="H83" s="39">
        <f t="shared" si="2"/>
        <v>45184</v>
      </c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64"/>
      <c r="X83" s="37">
        <f t="shared" si="3"/>
        <v>45184</v>
      </c>
      <c r="Y83" s="73"/>
      <c r="Z83" s="73"/>
      <c r="AA83" s="73"/>
      <c r="AB83" s="73"/>
      <c r="AC83" s="73"/>
    </row>
    <row r="84" spans="1:29" ht="16.5" customHeight="1" x14ac:dyDescent="0.15">
      <c r="A84" s="37">
        <v>45185</v>
      </c>
      <c r="B84" s="71"/>
      <c r="C84" s="71"/>
      <c r="D84" s="71"/>
      <c r="E84" s="71"/>
      <c r="F84" s="71"/>
      <c r="H84" s="39">
        <f t="shared" si="2"/>
        <v>45185</v>
      </c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64"/>
      <c r="X84" s="37">
        <f t="shared" si="3"/>
        <v>45185</v>
      </c>
      <c r="Y84" s="73"/>
      <c r="Z84" s="73"/>
      <c r="AA84" s="73"/>
      <c r="AB84" s="73"/>
      <c r="AC84" s="73"/>
    </row>
    <row r="85" spans="1:29" ht="16.5" customHeight="1" x14ac:dyDescent="0.15">
      <c r="A85" s="37">
        <v>45186</v>
      </c>
      <c r="B85" s="71"/>
      <c r="C85" s="71"/>
      <c r="D85" s="71"/>
      <c r="E85" s="71"/>
      <c r="F85" s="71"/>
      <c r="H85" s="39">
        <f t="shared" si="2"/>
        <v>45186</v>
      </c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64"/>
      <c r="X85" s="37">
        <f t="shared" si="3"/>
        <v>45186</v>
      </c>
      <c r="Y85" s="73"/>
      <c r="Z85" s="73"/>
      <c r="AA85" s="73"/>
      <c r="AB85" s="73"/>
      <c r="AC85" s="73"/>
    </row>
    <row r="86" spans="1:29" ht="16.5" customHeight="1" x14ac:dyDescent="0.15">
      <c r="A86" s="37">
        <v>45187</v>
      </c>
      <c r="B86" s="71"/>
      <c r="C86" s="71"/>
      <c r="D86" s="71"/>
      <c r="E86" s="71"/>
      <c r="F86" s="71"/>
      <c r="H86" s="39">
        <f t="shared" si="2"/>
        <v>45187</v>
      </c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64"/>
      <c r="X86" s="37">
        <f t="shared" si="3"/>
        <v>45187</v>
      </c>
      <c r="Y86" s="73"/>
      <c r="Z86" s="73"/>
      <c r="AA86" s="73"/>
      <c r="AB86" s="73"/>
      <c r="AC86" s="73"/>
    </row>
    <row r="87" spans="1:29" ht="16.5" customHeight="1" x14ac:dyDescent="0.15">
      <c r="A87" s="37">
        <v>45188</v>
      </c>
      <c r="B87" s="71"/>
      <c r="C87" s="71"/>
      <c r="D87" s="71"/>
      <c r="E87" s="71"/>
      <c r="F87" s="71"/>
      <c r="H87" s="39">
        <f t="shared" si="2"/>
        <v>45188</v>
      </c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64"/>
      <c r="X87" s="37">
        <f t="shared" si="3"/>
        <v>45188</v>
      </c>
      <c r="Y87" s="73"/>
      <c r="Z87" s="73"/>
      <c r="AA87" s="73"/>
      <c r="AB87" s="73"/>
      <c r="AC87" s="73"/>
    </row>
    <row r="88" spans="1:29" ht="16.5" customHeight="1" x14ac:dyDescent="0.15">
      <c r="A88" s="37">
        <v>45189</v>
      </c>
      <c r="B88" s="71"/>
      <c r="C88" s="71"/>
      <c r="D88" s="71"/>
      <c r="E88" s="71"/>
      <c r="F88" s="71"/>
      <c r="H88" s="39">
        <f t="shared" si="2"/>
        <v>45189</v>
      </c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64"/>
      <c r="X88" s="37">
        <f t="shared" si="3"/>
        <v>45189</v>
      </c>
      <c r="Y88" s="73"/>
      <c r="Z88" s="73"/>
      <c r="AA88" s="73"/>
      <c r="AB88" s="73"/>
      <c r="AC88" s="73"/>
    </row>
    <row r="89" spans="1:29" ht="16.5" customHeight="1" x14ac:dyDescent="0.15">
      <c r="A89" s="37">
        <v>45190</v>
      </c>
      <c r="B89" s="71"/>
      <c r="C89" s="71"/>
      <c r="D89" s="71"/>
      <c r="E89" s="71"/>
      <c r="F89" s="71"/>
      <c r="H89" s="39">
        <f t="shared" si="2"/>
        <v>45190</v>
      </c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64"/>
      <c r="X89" s="37">
        <f t="shared" si="3"/>
        <v>45190</v>
      </c>
      <c r="Y89" s="73"/>
      <c r="Z89" s="73"/>
      <c r="AA89" s="73"/>
      <c r="AB89" s="73"/>
      <c r="AC89" s="73"/>
    </row>
    <row r="90" spans="1:29" ht="16.5" customHeight="1" x14ac:dyDescent="0.15">
      <c r="A90" s="37">
        <v>45191</v>
      </c>
      <c r="B90" s="71"/>
      <c r="C90" s="71"/>
      <c r="D90" s="71"/>
      <c r="E90" s="71"/>
      <c r="F90" s="71"/>
      <c r="H90" s="39">
        <f t="shared" si="2"/>
        <v>45191</v>
      </c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64"/>
      <c r="X90" s="37">
        <f t="shared" si="3"/>
        <v>45191</v>
      </c>
      <c r="Y90" s="73"/>
      <c r="Z90" s="73"/>
      <c r="AA90" s="73"/>
      <c r="AB90" s="73"/>
      <c r="AC90" s="73"/>
    </row>
    <row r="91" spans="1:29" ht="16.5" customHeight="1" x14ac:dyDescent="0.15">
      <c r="A91" s="37">
        <v>45192</v>
      </c>
      <c r="B91" s="71"/>
      <c r="C91" s="71"/>
      <c r="D91" s="71"/>
      <c r="E91" s="71"/>
      <c r="F91" s="71"/>
      <c r="H91" s="39">
        <f t="shared" si="2"/>
        <v>45192</v>
      </c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64"/>
      <c r="X91" s="37">
        <f t="shared" si="3"/>
        <v>45192</v>
      </c>
      <c r="Y91" s="73"/>
      <c r="Z91" s="73"/>
      <c r="AA91" s="73"/>
      <c r="AB91" s="73"/>
      <c r="AC91" s="73"/>
    </row>
    <row r="92" spans="1:29" ht="16.5" customHeight="1" x14ac:dyDescent="0.15">
      <c r="A92" s="37">
        <v>45193</v>
      </c>
      <c r="B92" s="71"/>
      <c r="C92" s="71"/>
      <c r="D92" s="71"/>
      <c r="E92" s="71"/>
      <c r="F92" s="71"/>
      <c r="H92" s="39">
        <f t="shared" si="2"/>
        <v>45193</v>
      </c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64"/>
      <c r="X92" s="37">
        <f t="shared" si="3"/>
        <v>45193</v>
      </c>
      <c r="Y92" s="73"/>
      <c r="Z92" s="73"/>
      <c r="AA92" s="73"/>
      <c r="AB92" s="73"/>
      <c r="AC92" s="73"/>
    </row>
    <row r="93" spans="1:29" ht="16.5" customHeight="1" x14ac:dyDescent="0.15">
      <c r="A93" s="37">
        <v>45194</v>
      </c>
      <c r="B93" s="71"/>
      <c r="C93" s="71"/>
      <c r="D93" s="71"/>
      <c r="E93" s="71"/>
      <c r="F93" s="71"/>
      <c r="H93" s="39">
        <f t="shared" si="2"/>
        <v>45194</v>
      </c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64"/>
      <c r="X93" s="37">
        <f t="shared" si="3"/>
        <v>45194</v>
      </c>
      <c r="Y93" s="73"/>
      <c r="Z93" s="73"/>
      <c r="AA93" s="73"/>
      <c r="AB93" s="73"/>
      <c r="AC93" s="73"/>
    </row>
    <row r="94" spans="1:29" ht="16.5" customHeight="1" x14ac:dyDescent="0.15">
      <c r="A94" s="37">
        <v>45195</v>
      </c>
      <c r="B94" s="71"/>
      <c r="C94" s="71"/>
      <c r="D94" s="71"/>
      <c r="E94" s="71"/>
      <c r="F94" s="71"/>
      <c r="H94" s="39">
        <f t="shared" si="2"/>
        <v>45195</v>
      </c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64"/>
      <c r="X94" s="37">
        <f t="shared" si="3"/>
        <v>45195</v>
      </c>
      <c r="Y94" s="73"/>
      <c r="Z94" s="73"/>
      <c r="AA94" s="73"/>
      <c r="AB94" s="73"/>
      <c r="AC94" s="73"/>
    </row>
    <row r="95" spans="1:29" ht="16.5" customHeight="1" x14ac:dyDescent="0.15">
      <c r="A95" s="37">
        <v>45196</v>
      </c>
      <c r="B95" s="71"/>
      <c r="C95" s="71"/>
      <c r="D95" s="71"/>
      <c r="E95" s="71"/>
      <c r="F95" s="71"/>
      <c r="H95" s="39">
        <f t="shared" si="2"/>
        <v>45196</v>
      </c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64"/>
      <c r="X95" s="37">
        <f t="shared" si="3"/>
        <v>45196</v>
      </c>
      <c r="Y95" s="73"/>
      <c r="Z95" s="73"/>
      <c r="AA95" s="73"/>
      <c r="AB95" s="73"/>
      <c r="AC95" s="73"/>
    </row>
    <row r="96" spans="1:29" ht="16.5" customHeight="1" x14ac:dyDescent="0.15">
      <c r="A96" s="37">
        <v>45197</v>
      </c>
      <c r="B96" s="71"/>
      <c r="C96" s="71"/>
      <c r="D96" s="71"/>
      <c r="E96" s="71"/>
      <c r="F96" s="71"/>
      <c r="H96" s="39">
        <f t="shared" si="2"/>
        <v>45197</v>
      </c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64"/>
      <c r="X96" s="37">
        <f t="shared" si="3"/>
        <v>45197</v>
      </c>
      <c r="Y96" s="73"/>
      <c r="Z96" s="73"/>
      <c r="AA96" s="73"/>
      <c r="AB96" s="73"/>
      <c r="AC96" s="73"/>
    </row>
    <row r="97" spans="1:29" ht="16.5" customHeight="1" x14ac:dyDescent="0.15">
      <c r="A97" s="37">
        <v>45198</v>
      </c>
      <c r="B97" s="71"/>
      <c r="C97" s="71"/>
      <c r="D97" s="71"/>
      <c r="E97" s="71"/>
      <c r="F97" s="71"/>
      <c r="H97" s="39">
        <f t="shared" si="2"/>
        <v>45198</v>
      </c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64"/>
      <c r="X97" s="37">
        <f t="shared" si="3"/>
        <v>45198</v>
      </c>
      <c r="Y97" s="73"/>
      <c r="Z97" s="73"/>
      <c r="AA97" s="73"/>
      <c r="AB97" s="73"/>
      <c r="AC97" s="73"/>
    </row>
    <row r="98" spans="1:29" ht="16.5" x14ac:dyDescent="0.15">
      <c r="A98" s="37">
        <v>45199</v>
      </c>
      <c r="B98" s="71"/>
      <c r="C98" s="71"/>
      <c r="D98" s="71"/>
      <c r="E98" s="71"/>
      <c r="F98" s="71"/>
      <c r="H98" s="39">
        <f t="shared" ref="H98" si="4">A98</f>
        <v>45199</v>
      </c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X98" s="37">
        <f t="shared" ref="X98" si="5">H98</f>
        <v>45199</v>
      </c>
      <c r="Y98" s="73"/>
      <c r="Z98" s="73"/>
      <c r="AA98" s="73"/>
      <c r="AB98" s="73"/>
      <c r="AC98" s="73"/>
    </row>
  </sheetData>
  <mergeCells count="21">
    <mergeCell ref="Z1:Z2"/>
    <mergeCell ref="AA1:AA2"/>
    <mergeCell ref="AB1:AB2"/>
    <mergeCell ref="AC1:AC2"/>
    <mergeCell ref="Y1:Y2"/>
    <mergeCell ref="O1:P1"/>
    <mergeCell ref="Q1:R1"/>
    <mergeCell ref="U1:U2"/>
    <mergeCell ref="V1:V2"/>
    <mergeCell ref="X1:X2"/>
    <mergeCell ref="S1:T1"/>
    <mergeCell ref="H1:H2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phoneticPr fontId="5" type="noConversion"/>
  <conditionalFormatting sqref="A7:A98 H7:H98 X7:X98">
    <cfRule type="expression" dxfId="47" priority="8">
      <formula>OR(WEEKDAY($A7,2)=7,WEEKDAY($A7,2)=6)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5" tint="-0.499984740745262"/>
  </sheetPr>
  <dimension ref="A1:AM99"/>
  <sheetViews>
    <sheetView showGridLines="0" workbookViewId="0">
      <pane ySplit="7" topLeftCell="A8" activePane="bottomLeft" state="frozen"/>
      <selection pane="bottomLeft" activeCell="AD1" sqref="AD1"/>
    </sheetView>
  </sheetViews>
  <sheetFormatPr defaultRowHeight="13.5" x14ac:dyDescent="0.15"/>
  <cols>
    <col min="1" max="1" width="8.75" style="17" bestFit="1" customWidth="1"/>
    <col min="2" max="5" width="11.625" style="77" customWidth="1"/>
    <col min="6" max="8" width="10.375" style="78" customWidth="1"/>
    <col min="9" max="9" width="11.875" style="78" customWidth="1"/>
    <col min="10" max="10" width="1.25" style="78" customWidth="1"/>
    <col min="11" max="11" width="8.75" style="78" bestFit="1" customWidth="1"/>
    <col min="12" max="15" width="11.625" style="77" customWidth="1"/>
    <col min="16" max="18" width="10.375" style="78" customWidth="1"/>
    <col min="19" max="19" width="11.875" style="78" customWidth="1"/>
    <col min="20" max="20" width="1.25" style="78" customWidth="1"/>
    <col min="21" max="21" width="8.75" style="78" bestFit="1" customWidth="1"/>
    <col min="22" max="25" width="11.625" style="77" customWidth="1"/>
    <col min="26" max="28" width="10.375" style="78" customWidth="1"/>
    <col min="29" max="29" width="11.875" style="78" customWidth="1"/>
    <col min="30" max="30" width="1.25" style="78" customWidth="1"/>
    <col min="31" max="31" width="8.75" style="78" bestFit="1" customWidth="1"/>
    <col min="32" max="35" width="11.625" style="77" customWidth="1"/>
    <col min="36" max="38" width="10.375" style="78" customWidth="1"/>
    <col min="39" max="39" width="11.875" style="78" customWidth="1"/>
  </cols>
  <sheetData>
    <row r="1" spans="1:39" ht="16.5" customHeight="1" x14ac:dyDescent="0.15">
      <c r="A1" s="134" t="s">
        <v>46</v>
      </c>
      <c r="B1" s="129" t="s">
        <v>47</v>
      </c>
      <c r="C1" s="130"/>
      <c r="D1" s="130"/>
      <c r="E1" s="130"/>
      <c r="F1" s="130"/>
      <c r="G1" s="130"/>
      <c r="H1" s="130"/>
      <c r="I1" s="120"/>
      <c r="K1" s="126" t="s">
        <v>46</v>
      </c>
      <c r="L1" s="129" t="s">
        <v>23</v>
      </c>
      <c r="M1" s="130"/>
      <c r="N1" s="130"/>
      <c r="O1" s="130"/>
      <c r="P1" s="130"/>
      <c r="Q1" s="130"/>
      <c r="R1" s="130"/>
      <c r="S1" s="120"/>
      <c r="U1" s="126" t="s">
        <v>46</v>
      </c>
      <c r="V1" s="129" t="s">
        <v>24</v>
      </c>
      <c r="W1" s="130"/>
      <c r="X1" s="130"/>
      <c r="Y1" s="130"/>
      <c r="Z1" s="130"/>
      <c r="AA1" s="130"/>
      <c r="AB1" s="130"/>
      <c r="AC1" s="120"/>
      <c r="AE1" s="126" t="s">
        <v>46</v>
      </c>
      <c r="AF1" s="129" t="s">
        <v>25</v>
      </c>
      <c r="AG1" s="130"/>
      <c r="AH1" s="130"/>
      <c r="AI1" s="130"/>
      <c r="AJ1" s="130"/>
      <c r="AK1" s="130"/>
      <c r="AL1" s="130"/>
      <c r="AM1" s="120"/>
    </row>
    <row r="2" spans="1:39" ht="16.5" customHeight="1" x14ac:dyDescent="0.15">
      <c r="A2" s="127"/>
      <c r="B2" s="131" t="s">
        <v>48</v>
      </c>
      <c r="C2" s="132" t="s">
        <v>49</v>
      </c>
      <c r="D2" s="130"/>
      <c r="E2" s="130"/>
      <c r="F2" s="130"/>
      <c r="G2" s="130"/>
      <c r="H2" s="130"/>
      <c r="I2" s="133" t="s">
        <v>50</v>
      </c>
      <c r="K2" s="127"/>
      <c r="L2" s="131" t="s">
        <v>48</v>
      </c>
      <c r="M2" s="132" t="s">
        <v>49</v>
      </c>
      <c r="N2" s="130"/>
      <c r="O2" s="130"/>
      <c r="P2" s="130"/>
      <c r="Q2" s="130"/>
      <c r="R2" s="130"/>
      <c r="S2" s="133" t="s">
        <v>50</v>
      </c>
      <c r="U2" s="127"/>
      <c r="V2" s="131" t="s">
        <v>48</v>
      </c>
      <c r="W2" s="132" t="s">
        <v>49</v>
      </c>
      <c r="X2" s="130"/>
      <c r="Y2" s="130"/>
      <c r="Z2" s="130"/>
      <c r="AA2" s="130"/>
      <c r="AB2" s="130"/>
      <c r="AC2" s="133" t="s">
        <v>50</v>
      </c>
      <c r="AE2" s="127"/>
      <c r="AF2" s="131" t="s">
        <v>48</v>
      </c>
      <c r="AG2" s="132" t="s">
        <v>49</v>
      </c>
      <c r="AH2" s="130"/>
      <c r="AI2" s="130"/>
      <c r="AJ2" s="130"/>
      <c r="AK2" s="130"/>
      <c r="AL2" s="130"/>
      <c r="AM2" s="133" t="s">
        <v>50</v>
      </c>
    </row>
    <row r="3" spans="1:39" ht="16.5" customHeight="1" x14ac:dyDescent="0.15">
      <c r="A3" s="128"/>
      <c r="B3" s="122"/>
      <c r="C3" s="80" t="s">
        <v>33</v>
      </c>
      <c r="D3" s="79" t="s">
        <v>37</v>
      </c>
      <c r="E3" s="79" t="s">
        <v>38</v>
      </c>
      <c r="F3" s="81" t="s">
        <v>34</v>
      </c>
      <c r="G3" s="82" t="s">
        <v>35</v>
      </c>
      <c r="H3" s="82" t="s">
        <v>39</v>
      </c>
      <c r="I3" s="122"/>
      <c r="K3" s="128"/>
      <c r="L3" s="122"/>
      <c r="M3" s="80" t="s">
        <v>33</v>
      </c>
      <c r="N3" s="79" t="s">
        <v>37</v>
      </c>
      <c r="O3" s="79" t="s">
        <v>38</v>
      </c>
      <c r="P3" s="81" t="s">
        <v>34</v>
      </c>
      <c r="Q3" s="82" t="s">
        <v>35</v>
      </c>
      <c r="R3" s="82" t="s">
        <v>39</v>
      </c>
      <c r="S3" s="122"/>
      <c r="U3" s="128"/>
      <c r="V3" s="122"/>
      <c r="W3" s="80" t="s">
        <v>33</v>
      </c>
      <c r="X3" s="79" t="s">
        <v>37</v>
      </c>
      <c r="Y3" s="79" t="s">
        <v>38</v>
      </c>
      <c r="Z3" s="81" t="s">
        <v>34</v>
      </c>
      <c r="AA3" s="82" t="s">
        <v>35</v>
      </c>
      <c r="AB3" s="82" t="s">
        <v>39</v>
      </c>
      <c r="AC3" s="122"/>
      <c r="AE3" s="128"/>
      <c r="AF3" s="122"/>
      <c r="AG3" s="80" t="s">
        <v>33</v>
      </c>
      <c r="AH3" s="79" t="s">
        <v>37</v>
      </c>
      <c r="AI3" s="79" t="s">
        <v>38</v>
      </c>
      <c r="AJ3" s="81" t="s">
        <v>34</v>
      </c>
      <c r="AK3" s="82" t="s">
        <v>35</v>
      </c>
      <c r="AL3" s="82" t="s">
        <v>39</v>
      </c>
      <c r="AM3" s="122"/>
    </row>
    <row r="4" spans="1:39" s="9" customFormat="1" ht="16.5" customHeight="1" x14ac:dyDescent="0.15">
      <c r="A4" s="14" t="s">
        <v>70</v>
      </c>
      <c r="B4" s="83">
        <f t="shared" ref="B4:I4" si="0">SUM(B5:B7)</f>
        <v>0</v>
      </c>
      <c r="C4" s="83">
        <f t="shared" si="0"/>
        <v>0</v>
      </c>
      <c r="D4" s="83">
        <f t="shared" si="0"/>
        <v>0</v>
      </c>
      <c r="E4" s="83">
        <f t="shared" si="0"/>
        <v>0</v>
      </c>
      <c r="F4" s="83">
        <f t="shared" si="0"/>
        <v>0</v>
      </c>
      <c r="G4" s="83">
        <f t="shared" si="0"/>
        <v>0</v>
      </c>
      <c r="H4" s="83">
        <f t="shared" si="0"/>
        <v>0</v>
      </c>
      <c r="I4" s="83">
        <f t="shared" si="0"/>
        <v>0</v>
      </c>
      <c r="J4" s="84"/>
      <c r="K4" s="85" t="s">
        <v>70</v>
      </c>
      <c r="L4" s="83">
        <f t="shared" ref="L4:S4" si="1">SUM(L5:L7)</f>
        <v>0</v>
      </c>
      <c r="M4" s="83">
        <f t="shared" si="1"/>
        <v>0</v>
      </c>
      <c r="N4" s="83">
        <f t="shared" si="1"/>
        <v>0</v>
      </c>
      <c r="O4" s="83">
        <f t="shared" si="1"/>
        <v>0</v>
      </c>
      <c r="P4" s="85">
        <f t="shared" si="1"/>
        <v>0</v>
      </c>
      <c r="Q4" s="85">
        <f t="shared" si="1"/>
        <v>0</v>
      </c>
      <c r="R4" s="85">
        <f t="shared" si="1"/>
        <v>0</v>
      </c>
      <c r="S4" s="85">
        <f t="shared" si="1"/>
        <v>0</v>
      </c>
      <c r="T4" s="84"/>
      <c r="U4" s="86" t="s">
        <v>70</v>
      </c>
      <c r="V4" s="83">
        <f t="shared" ref="V4:AC4" si="2">SUM(V5:V7)</f>
        <v>0</v>
      </c>
      <c r="W4" s="83">
        <f t="shared" si="2"/>
        <v>0</v>
      </c>
      <c r="X4" s="83">
        <f t="shared" si="2"/>
        <v>0</v>
      </c>
      <c r="Y4" s="83">
        <f t="shared" si="2"/>
        <v>0</v>
      </c>
      <c r="Z4" s="85">
        <f t="shared" si="2"/>
        <v>0</v>
      </c>
      <c r="AA4" s="85">
        <f t="shared" si="2"/>
        <v>0</v>
      </c>
      <c r="AB4" s="85">
        <f t="shared" si="2"/>
        <v>0</v>
      </c>
      <c r="AC4" s="85">
        <f t="shared" si="2"/>
        <v>0</v>
      </c>
      <c r="AD4" s="84"/>
      <c r="AE4" s="85" t="s">
        <v>70</v>
      </c>
      <c r="AF4" s="83">
        <f t="shared" ref="AF4:AM4" si="3">SUM(AF5:AF7)</f>
        <v>0</v>
      </c>
      <c r="AG4" s="83">
        <f t="shared" si="3"/>
        <v>0</v>
      </c>
      <c r="AH4" s="83">
        <f t="shared" si="3"/>
        <v>0</v>
      </c>
      <c r="AI4" s="83">
        <f t="shared" si="3"/>
        <v>0</v>
      </c>
      <c r="AJ4" s="85">
        <f t="shared" si="3"/>
        <v>0</v>
      </c>
      <c r="AK4" s="85">
        <f t="shared" si="3"/>
        <v>0</v>
      </c>
      <c r="AL4" s="85">
        <f t="shared" si="3"/>
        <v>0</v>
      </c>
      <c r="AM4" s="85">
        <f t="shared" si="3"/>
        <v>0</v>
      </c>
    </row>
    <row r="5" spans="1:39" s="9" customFormat="1" ht="16.5" customHeight="1" x14ac:dyDescent="0.15">
      <c r="A5" s="12" t="s">
        <v>72</v>
      </c>
      <c r="B5" s="87" t="str">
        <f t="shared" ref="B5:I5" si="4">IF(B8="","",SUM(B8:B37))</f>
        <v/>
      </c>
      <c r="C5" s="87" t="str">
        <f t="shared" si="4"/>
        <v/>
      </c>
      <c r="D5" s="87" t="str">
        <f t="shared" si="4"/>
        <v/>
      </c>
      <c r="E5" s="87" t="str">
        <f t="shared" si="4"/>
        <v/>
      </c>
      <c r="F5" s="87" t="str">
        <f t="shared" si="4"/>
        <v/>
      </c>
      <c r="G5" s="87" t="str">
        <f t="shared" si="4"/>
        <v/>
      </c>
      <c r="H5" s="87" t="str">
        <f t="shared" si="4"/>
        <v/>
      </c>
      <c r="I5" s="87" t="str">
        <f t="shared" si="4"/>
        <v/>
      </c>
      <c r="J5" s="84"/>
      <c r="K5" s="86" t="s">
        <v>72</v>
      </c>
      <c r="L5" s="87" t="str">
        <f t="shared" ref="L5:S5" si="5">IF(L8="","",SUM(L8:L37))</f>
        <v/>
      </c>
      <c r="M5" s="87" t="str">
        <f t="shared" si="5"/>
        <v/>
      </c>
      <c r="N5" s="87" t="str">
        <f t="shared" si="5"/>
        <v/>
      </c>
      <c r="O5" s="87" t="str">
        <f t="shared" si="5"/>
        <v/>
      </c>
      <c r="P5" s="87" t="str">
        <f t="shared" si="5"/>
        <v/>
      </c>
      <c r="Q5" s="87" t="str">
        <f t="shared" si="5"/>
        <v/>
      </c>
      <c r="R5" s="87" t="str">
        <f t="shared" si="5"/>
        <v/>
      </c>
      <c r="S5" s="87" t="str">
        <f t="shared" si="5"/>
        <v/>
      </c>
      <c r="T5" s="84"/>
      <c r="U5" s="86" t="s">
        <v>72</v>
      </c>
      <c r="V5" s="87" t="str">
        <f t="shared" ref="V5:AC5" si="6">IF(V8="","",SUM(V8:V37))</f>
        <v/>
      </c>
      <c r="W5" s="87" t="str">
        <f t="shared" si="6"/>
        <v/>
      </c>
      <c r="X5" s="87" t="str">
        <f t="shared" si="6"/>
        <v/>
      </c>
      <c r="Y5" s="87" t="str">
        <f t="shared" si="6"/>
        <v/>
      </c>
      <c r="Z5" s="87" t="str">
        <f t="shared" si="6"/>
        <v/>
      </c>
      <c r="AA5" s="87" t="str">
        <f t="shared" si="6"/>
        <v/>
      </c>
      <c r="AB5" s="87" t="str">
        <f t="shared" si="6"/>
        <v/>
      </c>
      <c r="AC5" s="87" t="str">
        <f t="shared" si="6"/>
        <v/>
      </c>
      <c r="AD5" s="84"/>
      <c r="AE5" s="86" t="s">
        <v>72</v>
      </c>
      <c r="AF5" s="87" t="str">
        <f t="shared" ref="AF5:AM5" si="7">IF(AF8="","",SUM(AF8:AF37))</f>
        <v/>
      </c>
      <c r="AG5" s="87" t="str">
        <f t="shared" si="7"/>
        <v/>
      </c>
      <c r="AH5" s="87" t="str">
        <f t="shared" si="7"/>
        <v/>
      </c>
      <c r="AI5" s="87" t="str">
        <f t="shared" si="7"/>
        <v/>
      </c>
      <c r="AJ5" s="87" t="str">
        <f t="shared" si="7"/>
        <v/>
      </c>
      <c r="AK5" s="87" t="str">
        <f t="shared" si="7"/>
        <v/>
      </c>
      <c r="AL5" s="87" t="str">
        <f t="shared" si="7"/>
        <v/>
      </c>
      <c r="AM5" s="87" t="str">
        <f t="shared" si="7"/>
        <v/>
      </c>
    </row>
    <row r="6" spans="1:39" s="9" customFormat="1" ht="16.5" customHeight="1" x14ac:dyDescent="0.15">
      <c r="A6" s="12" t="s">
        <v>74</v>
      </c>
      <c r="B6" s="87" t="str">
        <f t="shared" ref="B6:I6" si="8">IF(B38="","",SUM(B38:B68))</f>
        <v/>
      </c>
      <c r="C6" s="87" t="str">
        <f t="shared" si="8"/>
        <v/>
      </c>
      <c r="D6" s="87" t="str">
        <f t="shared" si="8"/>
        <v/>
      </c>
      <c r="E6" s="87" t="str">
        <f t="shared" si="8"/>
        <v/>
      </c>
      <c r="F6" s="87" t="str">
        <f t="shared" si="8"/>
        <v/>
      </c>
      <c r="G6" s="87" t="str">
        <f t="shared" si="8"/>
        <v/>
      </c>
      <c r="H6" s="87" t="str">
        <f t="shared" si="8"/>
        <v/>
      </c>
      <c r="I6" s="87" t="str">
        <f t="shared" si="8"/>
        <v/>
      </c>
      <c r="J6" s="84"/>
      <c r="K6" s="86" t="s">
        <v>74</v>
      </c>
      <c r="L6" s="87" t="str">
        <f t="shared" ref="L6:S6" si="9">IF(L38="","",SUM(L38:L68))</f>
        <v/>
      </c>
      <c r="M6" s="87" t="str">
        <f t="shared" si="9"/>
        <v/>
      </c>
      <c r="N6" s="87" t="str">
        <f t="shared" si="9"/>
        <v/>
      </c>
      <c r="O6" s="87" t="str">
        <f t="shared" si="9"/>
        <v/>
      </c>
      <c r="P6" s="87" t="str">
        <f t="shared" si="9"/>
        <v/>
      </c>
      <c r="Q6" s="87" t="str">
        <f t="shared" si="9"/>
        <v/>
      </c>
      <c r="R6" s="87" t="str">
        <f t="shared" si="9"/>
        <v/>
      </c>
      <c r="S6" s="87" t="str">
        <f t="shared" si="9"/>
        <v/>
      </c>
      <c r="T6" s="84"/>
      <c r="U6" s="86" t="s">
        <v>74</v>
      </c>
      <c r="V6" s="87" t="str">
        <f t="shared" ref="V6:AC6" si="10">IF(V38="","",SUM(V38:V68))</f>
        <v/>
      </c>
      <c r="W6" s="87" t="str">
        <f t="shared" si="10"/>
        <v/>
      </c>
      <c r="X6" s="87" t="str">
        <f t="shared" si="10"/>
        <v/>
      </c>
      <c r="Y6" s="87" t="str">
        <f t="shared" si="10"/>
        <v/>
      </c>
      <c r="Z6" s="87" t="str">
        <f t="shared" si="10"/>
        <v/>
      </c>
      <c r="AA6" s="87" t="str">
        <f t="shared" si="10"/>
        <v/>
      </c>
      <c r="AB6" s="87" t="str">
        <f t="shared" si="10"/>
        <v/>
      </c>
      <c r="AC6" s="87" t="str">
        <f t="shared" si="10"/>
        <v/>
      </c>
      <c r="AD6" s="84"/>
      <c r="AE6" s="86" t="s">
        <v>74</v>
      </c>
      <c r="AF6" s="87" t="str">
        <f t="shared" ref="AF6:AM6" si="11">IF(AF38="","",SUM(AF38:AF68))</f>
        <v/>
      </c>
      <c r="AG6" s="87" t="str">
        <f t="shared" si="11"/>
        <v/>
      </c>
      <c r="AH6" s="87" t="str">
        <f t="shared" si="11"/>
        <v/>
      </c>
      <c r="AI6" s="87" t="str">
        <f t="shared" si="11"/>
        <v/>
      </c>
      <c r="AJ6" s="87" t="str">
        <f t="shared" si="11"/>
        <v/>
      </c>
      <c r="AK6" s="87" t="str">
        <f t="shared" si="11"/>
        <v/>
      </c>
      <c r="AL6" s="87" t="str">
        <f t="shared" si="11"/>
        <v/>
      </c>
      <c r="AM6" s="87" t="str">
        <f t="shared" si="11"/>
        <v/>
      </c>
    </row>
    <row r="7" spans="1:39" s="9" customFormat="1" ht="16.5" customHeight="1" x14ac:dyDescent="0.15">
      <c r="A7" s="12" t="s">
        <v>76</v>
      </c>
      <c r="B7" s="87" t="str">
        <f t="shared" ref="B7:I7" si="12">IF(B69="","",SUM(B69:B98))</f>
        <v/>
      </c>
      <c r="C7" s="87" t="str">
        <f t="shared" si="12"/>
        <v/>
      </c>
      <c r="D7" s="87" t="str">
        <f t="shared" si="12"/>
        <v/>
      </c>
      <c r="E7" s="87" t="str">
        <f t="shared" si="12"/>
        <v/>
      </c>
      <c r="F7" s="87" t="str">
        <f t="shared" si="12"/>
        <v/>
      </c>
      <c r="G7" s="87" t="str">
        <f t="shared" si="12"/>
        <v/>
      </c>
      <c r="H7" s="87" t="str">
        <f t="shared" si="12"/>
        <v/>
      </c>
      <c r="I7" s="87" t="str">
        <f t="shared" si="12"/>
        <v/>
      </c>
      <c r="J7" s="87" t="str">
        <f>IF(J67="","",SUM(J67:J97))</f>
        <v/>
      </c>
      <c r="K7" s="86" t="s">
        <v>76</v>
      </c>
      <c r="L7" s="87" t="str">
        <f t="shared" ref="L7:S7" si="13">IF(L69="","",SUM(L69:L98))</f>
        <v/>
      </c>
      <c r="M7" s="87" t="str">
        <f t="shared" si="13"/>
        <v/>
      </c>
      <c r="N7" s="87" t="str">
        <f t="shared" si="13"/>
        <v/>
      </c>
      <c r="O7" s="87" t="str">
        <f t="shared" si="13"/>
        <v/>
      </c>
      <c r="P7" s="87" t="str">
        <f t="shared" si="13"/>
        <v/>
      </c>
      <c r="Q7" s="87" t="str">
        <f t="shared" si="13"/>
        <v/>
      </c>
      <c r="R7" s="87" t="str">
        <f t="shared" si="13"/>
        <v/>
      </c>
      <c r="S7" s="87" t="str">
        <f t="shared" si="13"/>
        <v/>
      </c>
      <c r="T7" s="84"/>
      <c r="U7" s="86" t="s">
        <v>76</v>
      </c>
      <c r="V7" s="87" t="str">
        <f t="shared" ref="V7:AC7" si="14">IF(V69="","",SUM(V69:V98))</f>
        <v/>
      </c>
      <c r="W7" s="87" t="str">
        <f t="shared" si="14"/>
        <v/>
      </c>
      <c r="X7" s="87" t="str">
        <f t="shared" si="14"/>
        <v/>
      </c>
      <c r="Y7" s="87" t="str">
        <f t="shared" si="14"/>
        <v/>
      </c>
      <c r="Z7" s="87" t="str">
        <f t="shared" si="14"/>
        <v/>
      </c>
      <c r="AA7" s="87" t="str">
        <f t="shared" si="14"/>
        <v/>
      </c>
      <c r="AB7" s="87" t="str">
        <f t="shared" si="14"/>
        <v/>
      </c>
      <c r="AC7" s="87" t="str">
        <f t="shared" si="14"/>
        <v/>
      </c>
      <c r="AD7" s="84"/>
      <c r="AE7" s="86" t="s">
        <v>76</v>
      </c>
      <c r="AF7" s="87" t="str">
        <f t="shared" ref="AF7:AM7" si="15">IF(AF69="","",SUM(AF69:AF98))</f>
        <v/>
      </c>
      <c r="AG7" s="87" t="str">
        <f t="shared" si="15"/>
        <v/>
      </c>
      <c r="AH7" s="87" t="str">
        <f t="shared" si="15"/>
        <v/>
      </c>
      <c r="AI7" s="87" t="str">
        <f t="shared" si="15"/>
        <v/>
      </c>
      <c r="AJ7" s="87" t="str">
        <f t="shared" si="15"/>
        <v/>
      </c>
      <c r="AK7" s="87" t="str">
        <f t="shared" si="15"/>
        <v/>
      </c>
      <c r="AL7" s="87" t="str">
        <f t="shared" si="15"/>
        <v/>
      </c>
      <c r="AM7" s="87" t="str">
        <f t="shared" si="15"/>
        <v/>
      </c>
    </row>
    <row r="8" spans="1:39" ht="16.5" customHeight="1" x14ac:dyDescent="0.15">
      <c r="A8" s="38">
        <v>45108</v>
      </c>
      <c r="B8" s="88"/>
      <c r="C8" s="89"/>
      <c r="D8" s="89"/>
      <c r="E8" s="89"/>
      <c r="F8" s="89"/>
      <c r="G8" s="89"/>
      <c r="H8" s="89"/>
      <c r="I8" s="89"/>
      <c r="K8" s="38">
        <f t="shared" ref="K8:K71" si="16">A8</f>
        <v>45108</v>
      </c>
      <c r="L8" s="88"/>
      <c r="M8" s="89"/>
      <c r="N8" s="89"/>
      <c r="O8" s="89"/>
      <c r="P8" s="89"/>
      <c r="Q8" s="89"/>
      <c r="R8" s="89"/>
      <c r="S8" s="89"/>
      <c r="U8" s="38">
        <f t="shared" ref="U8:U71" si="17">K8</f>
        <v>45108</v>
      </c>
      <c r="V8" s="88"/>
      <c r="W8" s="89"/>
      <c r="X8" s="89"/>
      <c r="Y8" s="89"/>
      <c r="Z8" s="89"/>
      <c r="AA8" s="89"/>
      <c r="AB8" s="89"/>
      <c r="AC8" s="89"/>
      <c r="AE8" s="38">
        <f t="shared" ref="AE8:AE71" si="18">U8</f>
        <v>45108</v>
      </c>
      <c r="AF8" s="88"/>
      <c r="AG8" s="89"/>
      <c r="AH8" s="89"/>
      <c r="AI8" s="89"/>
      <c r="AJ8" s="89"/>
      <c r="AK8" s="89"/>
      <c r="AL8" s="89"/>
      <c r="AM8" s="89"/>
    </row>
    <row r="9" spans="1:39" ht="16.5" customHeight="1" x14ac:dyDescent="0.15">
      <c r="A9" s="38">
        <v>45109</v>
      </c>
      <c r="B9" s="88"/>
      <c r="C9" s="89"/>
      <c r="D9" s="89"/>
      <c r="E9" s="89"/>
      <c r="F9" s="89"/>
      <c r="G9" s="89"/>
      <c r="H9" s="89"/>
      <c r="I9" s="89"/>
      <c r="K9" s="38">
        <f t="shared" si="16"/>
        <v>45109</v>
      </c>
      <c r="L9" s="88"/>
      <c r="M9" s="89"/>
      <c r="N9" s="89"/>
      <c r="O9" s="89"/>
      <c r="P9" s="89"/>
      <c r="Q9" s="89"/>
      <c r="R9" s="89"/>
      <c r="S9" s="89"/>
      <c r="U9" s="38">
        <f t="shared" si="17"/>
        <v>45109</v>
      </c>
      <c r="V9" s="88"/>
      <c r="W9" s="89"/>
      <c r="X9" s="89"/>
      <c r="Y9" s="89"/>
      <c r="Z9" s="89"/>
      <c r="AA9" s="89"/>
      <c r="AB9" s="89"/>
      <c r="AC9" s="89"/>
      <c r="AE9" s="38">
        <f t="shared" si="18"/>
        <v>45109</v>
      </c>
      <c r="AF9" s="88"/>
      <c r="AG9" s="89"/>
      <c r="AH9" s="89"/>
      <c r="AI9" s="89"/>
      <c r="AJ9" s="89"/>
      <c r="AK9" s="89"/>
      <c r="AL9" s="89"/>
      <c r="AM9" s="89"/>
    </row>
    <row r="10" spans="1:39" ht="16.5" customHeight="1" x14ac:dyDescent="0.15">
      <c r="A10" s="38">
        <v>45110</v>
      </c>
      <c r="B10" s="88"/>
      <c r="C10" s="89"/>
      <c r="D10" s="89"/>
      <c r="E10" s="89"/>
      <c r="F10" s="89"/>
      <c r="G10" s="89"/>
      <c r="H10" s="89"/>
      <c r="I10" s="89"/>
      <c r="K10" s="38">
        <f t="shared" si="16"/>
        <v>45110</v>
      </c>
      <c r="L10" s="88"/>
      <c r="M10" s="89"/>
      <c r="N10" s="89"/>
      <c r="O10" s="89"/>
      <c r="P10" s="89"/>
      <c r="Q10" s="89"/>
      <c r="R10" s="89"/>
      <c r="S10" s="89"/>
      <c r="U10" s="38">
        <f t="shared" si="17"/>
        <v>45110</v>
      </c>
      <c r="V10" s="88"/>
      <c r="W10" s="89"/>
      <c r="X10" s="89"/>
      <c r="Y10" s="89"/>
      <c r="Z10" s="89"/>
      <c r="AA10" s="89"/>
      <c r="AB10" s="89"/>
      <c r="AC10" s="89"/>
      <c r="AE10" s="38">
        <f t="shared" si="18"/>
        <v>45110</v>
      </c>
      <c r="AF10" s="88"/>
      <c r="AG10" s="89"/>
      <c r="AH10" s="89"/>
      <c r="AI10" s="89"/>
      <c r="AJ10" s="89"/>
      <c r="AK10" s="89"/>
      <c r="AL10" s="89"/>
      <c r="AM10" s="89"/>
    </row>
    <row r="11" spans="1:39" ht="16.5" customHeight="1" x14ac:dyDescent="0.15">
      <c r="A11" s="38">
        <v>45111</v>
      </c>
      <c r="B11" s="88"/>
      <c r="C11" s="89"/>
      <c r="D11" s="89"/>
      <c r="E11" s="89"/>
      <c r="F11" s="89"/>
      <c r="G11" s="89"/>
      <c r="H11" s="89"/>
      <c r="I11" s="89"/>
      <c r="K11" s="38">
        <f t="shared" si="16"/>
        <v>45111</v>
      </c>
      <c r="L11" s="88"/>
      <c r="M11" s="89"/>
      <c r="N11" s="89"/>
      <c r="O11" s="89"/>
      <c r="P11" s="89"/>
      <c r="Q11" s="89"/>
      <c r="R11" s="89"/>
      <c r="S11" s="89"/>
      <c r="U11" s="38">
        <f t="shared" si="17"/>
        <v>45111</v>
      </c>
      <c r="V11" s="88"/>
      <c r="W11" s="89"/>
      <c r="X11" s="89"/>
      <c r="Y11" s="89"/>
      <c r="Z11" s="89"/>
      <c r="AA11" s="89"/>
      <c r="AB11" s="89"/>
      <c r="AC11" s="89"/>
      <c r="AE11" s="38">
        <f t="shared" si="18"/>
        <v>45111</v>
      </c>
      <c r="AF11" s="88"/>
      <c r="AG11" s="89"/>
      <c r="AH11" s="89"/>
      <c r="AI11" s="89"/>
      <c r="AJ11" s="89"/>
      <c r="AK11" s="89"/>
      <c r="AL11" s="89"/>
      <c r="AM11" s="89"/>
    </row>
    <row r="12" spans="1:39" ht="16.5" customHeight="1" x14ac:dyDescent="0.15">
      <c r="A12" s="38">
        <v>45112</v>
      </c>
      <c r="B12" s="88"/>
      <c r="C12" s="89"/>
      <c r="D12" s="89"/>
      <c r="E12" s="89"/>
      <c r="F12" s="89"/>
      <c r="G12" s="89"/>
      <c r="H12" s="89"/>
      <c r="I12" s="89"/>
      <c r="K12" s="38">
        <f t="shared" si="16"/>
        <v>45112</v>
      </c>
      <c r="L12" s="88"/>
      <c r="M12" s="89"/>
      <c r="N12" s="89"/>
      <c r="O12" s="89"/>
      <c r="P12" s="89"/>
      <c r="Q12" s="89"/>
      <c r="R12" s="89"/>
      <c r="S12" s="89"/>
      <c r="U12" s="38">
        <f t="shared" si="17"/>
        <v>45112</v>
      </c>
      <c r="V12" s="88"/>
      <c r="W12" s="89"/>
      <c r="X12" s="89"/>
      <c r="Y12" s="89"/>
      <c r="Z12" s="89"/>
      <c r="AA12" s="89"/>
      <c r="AB12" s="89"/>
      <c r="AC12" s="89"/>
      <c r="AE12" s="38">
        <f t="shared" si="18"/>
        <v>45112</v>
      </c>
      <c r="AF12" s="88"/>
      <c r="AG12" s="89"/>
      <c r="AH12" s="89"/>
      <c r="AI12" s="89"/>
      <c r="AJ12" s="89"/>
      <c r="AK12" s="89"/>
      <c r="AL12" s="89"/>
      <c r="AM12" s="89"/>
    </row>
    <row r="13" spans="1:39" ht="16.5" customHeight="1" x14ac:dyDescent="0.15">
      <c r="A13" s="38">
        <v>45113</v>
      </c>
      <c r="B13" s="88"/>
      <c r="C13" s="89"/>
      <c r="D13" s="89"/>
      <c r="E13" s="89"/>
      <c r="F13" s="89"/>
      <c r="G13" s="89"/>
      <c r="H13" s="89"/>
      <c r="I13" s="89"/>
      <c r="K13" s="38">
        <f t="shared" si="16"/>
        <v>45113</v>
      </c>
      <c r="L13" s="88"/>
      <c r="M13" s="89"/>
      <c r="N13" s="89"/>
      <c r="O13" s="89"/>
      <c r="P13" s="89"/>
      <c r="Q13" s="89"/>
      <c r="R13" s="89"/>
      <c r="S13" s="89"/>
      <c r="U13" s="38">
        <f t="shared" si="17"/>
        <v>45113</v>
      </c>
      <c r="V13" s="88"/>
      <c r="W13" s="89"/>
      <c r="X13" s="89"/>
      <c r="Y13" s="89"/>
      <c r="Z13" s="89"/>
      <c r="AA13" s="89"/>
      <c r="AB13" s="89"/>
      <c r="AC13" s="89"/>
      <c r="AE13" s="38">
        <f t="shared" si="18"/>
        <v>45113</v>
      </c>
      <c r="AF13" s="88"/>
      <c r="AG13" s="89"/>
      <c r="AH13" s="89"/>
      <c r="AI13" s="89"/>
      <c r="AJ13" s="89"/>
      <c r="AK13" s="89"/>
      <c r="AL13" s="89"/>
      <c r="AM13" s="89"/>
    </row>
    <row r="14" spans="1:39" ht="16.5" customHeight="1" x14ac:dyDescent="0.15">
      <c r="A14" s="38">
        <v>45114</v>
      </c>
      <c r="B14" s="88"/>
      <c r="C14" s="89"/>
      <c r="D14" s="89"/>
      <c r="E14" s="89"/>
      <c r="F14" s="89"/>
      <c r="G14" s="89"/>
      <c r="H14" s="89"/>
      <c r="I14" s="89"/>
      <c r="K14" s="38">
        <f t="shared" si="16"/>
        <v>45114</v>
      </c>
      <c r="L14" s="88"/>
      <c r="M14" s="89"/>
      <c r="N14" s="89"/>
      <c r="O14" s="89"/>
      <c r="P14" s="89"/>
      <c r="Q14" s="89"/>
      <c r="R14" s="89"/>
      <c r="S14" s="89"/>
      <c r="U14" s="38">
        <f t="shared" si="17"/>
        <v>45114</v>
      </c>
      <c r="V14" s="88"/>
      <c r="W14" s="89"/>
      <c r="X14" s="89"/>
      <c r="Y14" s="89"/>
      <c r="Z14" s="89"/>
      <c r="AA14" s="89"/>
      <c r="AB14" s="89"/>
      <c r="AC14" s="89"/>
      <c r="AE14" s="38">
        <f t="shared" si="18"/>
        <v>45114</v>
      </c>
      <c r="AF14" s="88"/>
      <c r="AG14" s="89"/>
      <c r="AH14" s="89"/>
      <c r="AI14" s="89"/>
      <c r="AJ14" s="89"/>
      <c r="AK14" s="89"/>
      <c r="AL14" s="89"/>
      <c r="AM14" s="89"/>
    </row>
    <row r="15" spans="1:39" ht="16.5" customHeight="1" x14ac:dyDescent="0.15">
      <c r="A15" s="38">
        <v>45115</v>
      </c>
      <c r="B15" s="88"/>
      <c r="C15" s="89"/>
      <c r="D15" s="89"/>
      <c r="E15" s="89"/>
      <c r="F15" s="89"/>
      <c r="G15" s="89"/>
      <c r="H15" s="89"/>
      <c r="I15" s="89"/>
      <c r="K15" s="38">
        <f t="shared" si="16"/>
        <v>45115</v>
      </c>
      <c r="L15" s="88"/>
      <c r="M15" s="89"/>
      <c r="N15" s="89"/>
      <c r="O15" s="89"/>
      <c r="P15" s="89"/>
      <c r="Q15" s="89"/>
      <c r="R15" s="89"/>
      <c r="S15" s="89"/>
      <c r="U15" s="38">
        <f t="shared" si="17"/>
        <v>45115</v>
      </c>
      <c r="V15" s="88"/>
      <c r="W15" s="89"/>
      <c r="X15" s="89"/>
      <c r="Y15" s="89"/>
      <c r="Z15" s="89"/>
      <c r="AA15" s="89"/>
      <c r="AB15" s="89"/>
      <c r="AC15" s="89"/>
      <c r="AE15" s="38">
        <f t="shared" si="18"/>
        <v>45115</v>
      </c>
      <c r="AF15" s="88"/>
      <c r="AG15" s="89"/>
      <c r="AH15" s="89"/>
      <c r="AI15" s="89"/>
      <c r="AJ15" s="89"/>
      <c r="AK15" s="89"/>
      <c r="AL15" s="89"/>
      <c r="AM15" s="89"/>
    </row>
    <row r="16" spans="1:39" ht="16.5" customHeight="1" x14ac:dyDescent="0.15">
      <c r="A16" s="38">
        <v>45116</v>
      </c>
      <c r="B16" s="88"/>
      <c r="C16" s="89"/>
      <c r="D16" s="89"/>
      <c r="E16" s="89"/>
      <c r="F16" s="89"/>
      <c r="G16" s="89"/>
      <c r="H16" s="89"/>
      <c r="I16" s="89"/>
      <c r="K16" s="38">
        <f t="shared" si="16"/>
        <v>45116</v>
      </c>
      <c r="L16" s="88"/>
      <c r="M16" s="89"/>
      <c r="N16" s="89"/>
      <c r="O16" s="89"/>
      <c r="P16" s="89"/>
      <c r="Q16" s="89"/>
      <c r="R16" s="89"/>
      <c r="S16" s="89"/>
      <c r="U16" s="38">
        <f t="shared" si="17"/>
        <v>45116</v>
      </c>
      <c r="V16" s="88"/>
      <c r="W16" s="89"/>
      <c r="X16" s="89"/>
      <c r="Y16" s="89"/>
      <c r="Z16" s="89"/>
      <c r="AA16" s="89"/>
      <c r="AB16" s="89"/>
      <c r="AC16" s="89"/>
      <c r="AE16" s="38">
        <f t="shared" si="18"/>
        <v>45116</v>
      </c>
      <c r="AF16" s="88"/>
      <c r="AG16" s="89"/>
      <c r="AH16" s="89"/>
      <c r="AI16" s="89"/>
      <c r="AJ16" s="89"/>
      <c r="AK16" s="89"/>
      <c r="AL16" s="89"/>
      <c r="AM16" s="89"/>
    </row>
    <row r="17" spans="1:39" ht="16.5" customHeight="1" x14ac:dyDescent="0.15">
      <c r="A17" s="38">
        <v>45117</v>
      </c>
      <c r="B17" s="88"/>
      <c r="C17" s="89"/>
      <c r="D17" s="89"/>
      <c r="E17" s="89"/>
      <c r="F17" s="89"/>
      <c r="G17" s="89"/>
      <c r="H17" s="89"/>
      <c r="I17" s="89"/>
      <c r="K17" s="38">
        <f t="shared" si="16"/>
        <v>45117</v>
      </c>
      <c r="L17" s="88"/>
      <c r="M17" s="89"/>
      <c r="N17" s="89"/>
      <c r="O17" s="89"/>
      <c r="P17" s="89"/>
      <c r="Q17" s="89"/>
      <c r="R17" s="89"/>
      <c r="S17" s="89"/>
      <c r="U17" s="38">
        <f t="shared" si="17"/>
        <v>45117</v>
      </c>
      <c r="V17" s="88"/>
      <c r="W17" s="89"/>
      <c r="X17" s="89"/>
      <c r="Y17" s="89"/>
      <c r="Z17" s="89"/>
      <c r="AA17" s="89"/>
      <c r="AB17" s="89"/>
      <c r="AC17" s="89"/>
      <c r="AE17" s="38">
        <f t="shared" si="18"/>
        <v>45117</v>
      </c>
      <c r="AF17" s="88"/>
      <c r="AG17" s="89"/>
      <c r="AH17" s="89"/>
      <c r="AI17" s="89"/>
      <c r="AJ17" s="89"/>
      <c r="AK17" s="89"/>
      <c r="AL17" s="89"/>
      <c r="AM17" s="89"/>
    </row>
    <row r="18" spans="1:39" ht="16.5" customHeight="1" x14ac:dyDescent="0.15">
      <c r="A18" s="38">
        <v>45118</v>
      </c>
      <c r="B18" s="88"/>
      <c r="C18" s="89"/>
      <c r="D18" s="89"/>
      <c r="E18" s="89"/>
      <c r="F18" s="89"/>
      <c r="G18" s="89"/>
      <c r="H18" s="89"/>
      <c r="I18" s="89"/>
      <c r="K18" s="38">
        <f t="shared" si="16"/>
        <v>45118</v>
      </c>
      <c r="L18" s="88"/>
      <c r="M18" s="89"/>
      <c r="N18" s="89"/>
      <c r="O18" s="89"/>
      <c r="P18" s="89"/>
      <c r="Q18" s="89"/>
      <c r="R18" s="89"/>
      <c r="S18" s="89"/>
      <c r="U18" s="38">
        <f t="shared" si="17"/>
        <v>45118</v>
      </c>
      <c r="V18" s="88"/>
      <c r="W18" s="89"/>
      <c r="X18" s="89"/>
      <c r="Y18" s="89"/>
      <c r="Z18" s="89"/>
      <c r="AA18" s="89"/>
      <c r="AB18" s="89"/>
      <c r="AC18" s="89"/>
      <c r="AE18" s="38">
        <f t="shared" si="18"/>
        <v>45118</v>
      </c>
      <c r="AF18" s="88"/>
      <c r="AG18" s="89"/>
      <c r="AH18" s="89"/>
      <c r="AI18" s="89"/>
      <c r="AJ18" s="89"/>
      <c r="AK18" s="89"/>
      <c r="AL18" s="89"/>
      <c r="AM18" s="89"/>
    </row>
    <row r="19" spans="1:39" ht="16.5" customHeight="1" x14ac:dyDescent="0.15">
      <c r="A19" s="38">
        <v>45119</v>
      </c>
      <c r="B19" s="88"/>
      <c r="C19" s="89"/>
      <c r="D19" s="89"/>
      <c r="E19" s="89"/>
      <c r="F19" s="89"/>
      <c r="G19" s="89"/>
      <c r="H19" s="89"/>
      <c r="I19" s="89"/>
      <c r="K19" s="38">
        <f t="shared" si="16"/>
        <v>45119</v>
      </c>
      <c r="L19" s="88"/>
      <c r="M19" s="89"/>
      <c r="N19" s="89"/>
      <c r="O19" s="89"/>
      <c r="P19" s="89"/>
      <c r="Q19" s="89"/>
      <c r="R19" s="89"/>
      <c r="S19" s="89"/>
      <c r="U19" s="38">
        <f t="shared" si="17"/>
        <v>45119</v>
      </c>
      <c r="V19" s="88"/>
      <c r="W19" s="89"/>
      <c r="X19" s="89"/>
      <c r="Y19" s="89"/>
      <c r="Z19" s="89"/>
      <c r="AA19" s="89"/>
      <c r="AB19" s="89"/>
      <c r="AC19" s="89"/>
      <c r="AE19" s="38">
        <f t="shared" si="18"/>
        <v>45119</v>
      </c>
      <c r="AF19" s="88"/>
      <c r="AG19" s="89"/>
      <c r="AH19" s="89"/>
      <c r="AI19" s="89"/>
      <c r="AJ19" s="89"/>
      <c r="AK19" s="89"/>
      <c r="AL19" s="89"/>
      <c r="AM19" s="89"/>
    </row>
    <row r="20" spans="1:39" ht="16.5" customHeight="1" x14ac:dyDescent="0.15">
      <c r="A20" s="38">
        <v>45120</v>
      </c>
      <c r="B20" s="90"/>
      <c r="C20" s="90"/>
      <c r="D20" s="90"/>
      <c r="E20" s="90"/>
      <c r="F20" s="90"/>
      <c r="G20" s="90"/>
      <c r="H20" s="90"/>
      <c r="I20" s="90"/>
      <c r="K20" s="38">
        <f t="shared" si="16"/>
        <v>45120</v>
      </c>
      <c r="L20" s="90"/>
      <c r="M20" s="90"/>
      <c r="N20" s="90"/>
      <c r="O20" s="90"/>
      <c r="P20" s="90"/>
      <c r="Q20" s="90"/>
      <c r="R20" s="90"/>
      <c r="S20" s="90"/>
      <c r="U20" s="38">
        <f t="shared" si="17"/>
        <v>45120</v>
      </c>
      <c r="V20" s="90"/>
      <c r="W20" s="90"/>
      <c r="X20" s="90"/>
      <c r="Y20" s="90"/>
      <c r="Z20" s="90"/>
      <c r="AA20" s="90"/>
      <c r="AB20" s="90"/>
      <c r="AC20" s="90"/>
      <c r="AE20" s="38">
        <f t="shared" si="18"/>
        <v>45120</v>
      </c>
      <c r="AF20" s="90"/>
      <c r="AG20" s="90"/>
      <c r="AH20" s="90"/>
      <c r="AI20" s="90"/>
      <c r="AJ20" s="90"/>
      <c r="AK20" s="90"/>
      <c r="AL20" s="90"/>
      <c r="AM20" s="90"/>
    </row>
    <row r="21" spans="1:39" ht="16.5" customHeight="1" x14ac:dyDescent="0.15">
      <c r="A21" s="38">
        <v>45121</v>
      </c>
      <c r="B21" s="88"/>
      <c r="C21" s="89"/>
      <c r="D21" s="89"/>
      <c r="E21" s="89"/>
      <c r="F21" s="89"/>
      <c r="G21" s="89"/>
      <c r="H21" s="89"/>
      <c r="I21" s="89"/>
      <c r="K21" s="38">
        <f t="shared" si="16"/>
        <v>45121</v>
      </c>
      <c r="L21" s="88"/>
      <c r="M21" s="89"/>
      <c r="N21" s="89"/>
      <c r="O21" s="89"/>
      <c r="P21" s="89"/>
      <c r="Q21" s="89"/>
      <c r="R21" s="89"/>
      <c r="S21" s="89"/>
      <c r="U21" s="38">
        <f t="shared" si="17"/>
        <v>45121</v>
      </c>
      <c r="V21" s="88"/>
      <c r="W21" s="89"/>
      <c r="X21" s="89"/>
      <c r="Y21" s="89"/>
      <c r="Z21" s="89"/>
      <c r="AA21" s="89"/>
      <c r="AB21" s="89"/>
      <c r="AC21" s="89"/>
      <c r="AE21" s="38">
        <f t="shared" si="18"/>
        <v>45121</v>
      </c>
      <c r="AF21" s="88"/>
      <c r="AG21" s="89"/>
      <c r="AH21" s="89"/>
      <c r="AI21" s="89"/>
      <c r="AJ21" s="89"/>
      <c r="AK21" s="89"/>
      <c r="AL21" s="89"/>
      <c r="AM21" s="89"/>
    </row>
    <row r="22" spans="1:39" ht="16.5" customHeight="1" x14ac:dyDescent="0.15">
      <c r="A22" s="38">
        <v>45122</v>
      </c>
      <c r="B22" s="88"/>
      <c r="C22" s="89"/>
      <c r="D22" s="89"/>
      <c r="E22" s="89"/>
      <c r="F22" s="89"/>
      <c r="G22" s="89"/>
      <c r="H22" s="89"/>
      <c r="I22" s="89"/>
      <c r="K22" s="38">
        <f t="shared" si="16"/>
        <v>45122</v>
      </c>
      <c r="L22" s="88"/>
      <c r="M22" s="89"/>
      <c r="N22" s="89"/>
      <c r="O22" s="89"/>
      <c r="P22" s="89"/>
      <c r="Q22" s="89"/>
      <c r="R22" s="89"/>
      <c r="S22" s="89"/>
      <c r="U22" s="38">
        <f t="shared" si="17"/>
        <v>45122</v>
      </c>
      <c r="V22" s="88"/>
      <c r="W22" s="89"/>
      <c r="X22" s="89"/>
      <c r="Y22" s="89"/>
      <c r="Z22" s="89"/>
      <c r="AA22" s="89"/>
      <c r="AB22" s="89"/>
      <c r="AC22" s="89"/>
      <c r="AE22" s="38">
        <f t="shared" si="18"/>
        <v>45122</v>
      </c>
      <c r="AF22" s="88"/>
      <c r="AG22" s="89"/>
      <c r="AH22" s="89"/>
      <c r="AI22" s="89"/>
      <c r="AJ22" s="89"/>
      <c r="AK22" s="89"/>
      <c r="AL22" s="89"/>
      <c r="AM22" s="89"/>
    </row>
    <row r="23" spans="1:39" ht="16.5" customHeight="1" x14ac:dyDescent="0.15">
      <c r="A23" s="38">
        <v>45123</v>
      </c>
      <c r="B23" s="88"/>
      <c r="C23" s="89"/>
      <c r="D23" s="89"/>
      <c r="E23" s="89"/>
      <c r="F23" s="89"/>
      <c r="G23" s="89"/>
      <c r="H23" s="89"/>
      <c r="I23" s="89"/>
      <c r="K23" s="38">
        <f t="shared" si="16"/>
        <v>45123</v>
      </c>
      <c r="L23" s="88"/>
      <c r="M23" s="89"/>
      <c r="N23" s="89"/>
      <c r="O23" s="89"/>
      <c r="P23" s="89"/>
      <c r="Q23" s="89"/>
      <c r="R23" s="89"/>
      <c r="S23" s="89"/>
      <c r="U23" s="38">
        <f t="shared" si="17"/>
        <v>45123</v>
      </c>
      <c r="V23" s="88"/>
      <c r="W23" s="89"/>
      <c r="X23" s="89"/>
      <c r="Y23" s="89"/>
      <c r="Z23" s="89"/>
      <c r="AA23" s="89"/>
      <c r="AB23" s="89"/>
      <c r="AC23" s="89"/>
      <c r="AE23" s="38">
        <f t="shared" si="18"/>
        <v>45123</v>
      </c>
      <c r="AF23" s="88"/>
      <c r="AG23" s="89"/>
      <c r="AH23" s="89"/>
      <c r="AI23" s="89"/>
      <c r="AJ23" s="89"/>
      <c r="AK23" s="89"/>
      <c r="AL23" s="89"/>
      <c r="AM23" s="89"/>
    </row>
    <row r="24" spans="1:39" ht="16.5" customHeight="1" x14ac:dyDescent="0.15">
      <c r="A24" s="38">
        <v>45124</v>
      </c>
      <c r="B24" s="88"/>
      <c r="C24" s="89"/>
      <c r="D24" s="89"/>
      <c r="E24" s="89"/>
      <c r="F24" s="89"/>
      <c r="G24" s="89"/>
      <c r="H24" s="89"/>
      <c r="I24" s="89"/>
      <c r="K24" s="38">
        <f t="shared" si="16"/>
        <v>45124</v>
      </c>
      <c r="L24" s="88"/>
      <c r="M24" s="89"/>
      <c r="N24" s="89"/>
      <c r="O24" s="89"/>
      <c r="P24" s="89"/>
      <c r="Q24" s="89"/>
      <c r="R24" s="89"/>
      <c r="S24" s="89"/>
      <c r="U24" s="38">
        <f t="shared" si="17"/>
        <v>45124</v>
      </c>
      <c r="V24" s="88"/>
      <c r="W24" s="89"/>
      <c r="X24" s="89"/>
      <c r="Y24" s="89"/>
      <c r="Z24" s="89"/>
      <c r="AA24" s="89"/>
      <c r="AB24" s="89"/>
      <c r="AC24" s="89"/>
      <c r="AE24" s="38">
        <f t="shared" si="18"/>
        <v>45124</v>
      </c>
      <c r="AF24" s="88"/>
      <c r="AG24" s="89"/>
      <c r="AH24" s="89"/>
      <c r="AI24" s="89"/>
      <c r="AJ24" s="89"/>
      <c r="AK24" s="89"/>
      <c r="AL24" s="89"/>
      <c r="AM24" s="89"/>
    </row>
    <row r="25" spans="1:39" ht="16.5" customHeight="1" x14ac:dyDescent="0.15">
      <c r="A25" s="38">
        <v>45125</v>
      </c>
      <c r="B25" s="88"/>
      <c r="C25" s="89"/>
      <c r="D25" s="89"/>
      <c r="E25" s="89"/>
      <c r="F25" s="89"/>
      <c r="G25" s="89"/>
      <c r="H25" s="89"/>
      <c r="I25" s="89"/>
      <c r="K25" s="38">
        <f t="shared" si="16"/>
        <v>45125</v>
      </c>
      <c r="L25" s="88"/>
      <c r="M25" s="89"/>
      <c r="N25" s="89"/>
      <c r="O25" s="89"/>
      <c r="P25" s="89"/>
      <c r="Q25" s="89"/>
      <c r="R25" s="89"/>
      <c r="S25" s="89"/>
      <c r="U25" s="38">
        <f t="shared" si="17"/>
        <v>45125</v>
      </c>
      <c r="V25" s="88"/>
      <c r="W25" s="89"/>
      <c r="X25" s="89"/>
      <c r="Y25" s="89"/>
      <c r="Z25" s="89"/>
      <c r="AA25" s="89"/>
      <c r="AB25" s="89"/>
      <c r="AC25" s="89"/>
      <c r="AE25" s="38">
        <f t="shared" si="18"/>
        <v>45125</v>
      </c>
      <c r="AF25" s="88"/>
      <c r="AG25" s="89"/>
      <c r="AH25" s="89"/>
      <c r="AI25" s="89"/>
      <c r="AJ25" s="89"/>
      <c r="AK25" s="89"/>
      <c r="AL25" s="89"/>
      <c r="AM25" s="89"/>
    </row>
    <row r="26" spans="1:39" ht="16.5" customHeight="1" x14ac:dyDescent="0.15">
      <c r="A26" s="38">
        <v>45126</v>
      </c>
      <c r="B26" s="88"/>
      <c r="C26" s="89"/>
      <c r="D26" s="89"/>
      <c r="E26" s="89"/>
      <c r="F26" s="89"/>
      <c r="G26" s="89"/>
      <c r="H26" s="89"/>
      <c r="I26" s="89"/>
      <c r="K26" s="38">
        <f t="shared" si="16"/>
        <v>45126</v>
      </c>
      <c r="L26" s="88"/>
      <c r="M26" s="89"/>
      <c r="N26" s="89"/>
      <c r="O26" s="89"/>
      <c r="P26" s="89"/>
      <c r="Q26" s="89"/>
      <c r="R26" s="89"/>
      <c r="S26" s="89"/>
      <c r="U26" s="38">
        <f t="shared" si="17"/>
        <v>45126</v>
      </c>
      <c r="V26" s="88"/>
      <c r="W26" s="89"/>
      <c r="X26" s="89"/>
      <c r="Y26" s="89"/>
      <c r="Z26" s="89"/>
      <c r="AA26" s="89"/>
      <c r="AB26" s="89"/>
      <c r="AC26" s="89"/>
      <c r="AE26" s="38">
        <f t="shared" si="18"/>
        <v>45126</v>
      </c>
      <c r="AF26" s="88"/>
      <c r="AG26" s="89"/>
      <c r="AH26" s="89"/>
      <c r="AI26" s="89"/>
      <c r="AJ26" s="89"/>
      <c r="AK26" s="89"/>
      <c r="AL26" s="89"/>
      <c r="AM26" s="89"/>
    </row>
    <row r="27" spans="1:39" ht="16.5" customHeight="1" x14ac:dyDescent="0.15">
      <c r="A27" s="38">
        <v>45127</v>
      </c>
      <c r="B27" s="88"/>
      <c r="C27" s="89"/>
      <c r="D27" s="89"/>
      <c r="E27" s="89"/>
      <c r="F27" s="89"/>
      <c r="G27" s="89"/>
      <c r="H27" s="89"/>
      <c r="I27" s="89"/>
      <c r="K27" s="38">
        <f t="shared" si="16"/>
        <v>45127</v>
      </c>
      <c r="L27" s="88"/>
      <c r="M27" s="89"/>
      <c r="N27" s="89"/>
      <c r="O27" s="89"/>
      <c r="P27" s="89"/>
      <c r="Q27" s="89"/>
      <c r="R27" s="89"/>
      <c r="S27" s="89"/>
      <c r="U27" s="38">
        <f t="shared" si="17"/>
        <v>45127</v>
      </c>
      <c r="V27" s="88"/>
      <c r="W27" s="89"/>
      <c r="X27" s="89"/>
      <c r="Y27" s="89"/>
      <c r="Z27" s="89"/>
      <c r="AA27" s="89"/>
      <c r="AB27" s="89"/>
      <c r="AC27" s="89"/>
      <c r="AE27" s="38">
        <f t="shared" si="18"/>
        <v>45127</v>
      </c>
      <c r="AF27" s="88"/>
      <c r="AG27" s="89"/>
      <c r="AH27" s="89"/>
      <c r="AI27" s="89"/>
      <c r="AJ27" s="89"/>
      <c r="AK27" s="89"/>
      <c r="AL27" s="89"/>
      <c r="AM27" s="89"/>
    </row>
    <row r="28" spans="1:39" ht="16.5" customHeight="1" x14ac:dyDescent="0.15">
      <c r="A28" s="38">
        <v>45128</v>
      </c>
      <c r="B28" s="88"/>
      <c r="C28" s="89"/>
      <c r="D28" s="89"/>
      <c r="E28" s="89"/>
      <c r="F28" s="89"/>
      <c r="G28" s="89"/>
      <c r="H28" s="89"/>
      <c r="I28" s="89"/>
      <c r="K28" s="38">
        <f t="shared" si="16"/>
        <v>45128</v>
      </c>
      <c r="L28" s="88"/>
      <c r="M28" s="89"/>
      <c r="N28" s="89"/>
      <c r="O28" s="89"/>
      <c r="P28" s="89"/>
      <c r="Q28" s="89"/>
      <c r="R28" s="89"/>
      <c r="S28" s="89"/>
      <c r="U28" s="38">
        <f t="shared" si="17"/>
        <v>45128</v>
      </c>
      <c r="V28" s="88"/>
      <c r="W28" s="89"/>
      <c r="X28" s="89"/>
      <c r="Y28" s="89"/>
      <c r="Z28" s="89"/>
      <c r="AA28" s="89"/>
      <c r="AB28" s="89"/>
      <c r="AC28" s="89"/>
      <c r="AE28" s="38">
        <f t="shared" si="18"/>
        <v>45128</v>
      </c>
      <c r="AF28" s="88"/>
      <c r="AG28" s="89"/>
      <c r="AH28" s="89"/>
      <c r="AI28" s="89"/>
      <c r="AJ28" s="89"/>
      <c r="AK28" s="89"/>
      <c r="AL28" s="89"/>
      <c r="AM28" s="89"/>
    </row>
    <row r="29" spans="1:39" ht="16.5" customHeight="1" x14ac:dyDescent="0.15">
      <c r="A29" s="38">
        <v>45129</v>
      </c>
      <c r="B29" s="88"/>
      <c r="C29" s="89"/>
      <c r="D29" s="89"/>
      <c r="E29" s="89"/>
      <c r="F29" s="89"/>
      <c r="G29" s="89"/>
      <c r="H29" s="89"/>
      <c r="I29" s="89"/>
      <c r="K29" s="38">
        <f t="shared" si="16"/>
        <v>45129</v>
      </c>
      <c r="L29" s="88"/>
      <c r="M29" s="89"/>
      <c r="N29" s="89"/>
      <c r="O29" s="89"/>
      <c r="P29" s="89"/>
      <c r="Q29" s="89"/>
      <c r="R29" s="89"/>
      <c r="S29" s="89"/>
      <c r="U29" s="38">
        <f t="shared" si="17"/>
        <v>45129</v>
      </c>
      <c r="V29" s="88"/>
      <c r="W29" s="89"/>
      <c r="X29" s="89"/>
      <c r="Y29" s="89"/>
      <c r="Z29" s="89"/>
      <c r="AA29" s="89"/>
      <c r="AB29" s="89"/>
      <c r="AC29" s="89"/>
      <c r="AE29" s="38">
        <f t="shared" si="18"/>
        <v>45129</v>
      </c>
      <c r="AF29" s="88"/>
      <c r="AG29" s="89"/>
      <c r="AH29" s="89"/>
      <c r="AI29" s="89"/>
      <c r="AJ29" s="89"/>
      <c r="AK29" s="89"/>
      <c r="AL29" s="89"/>
      <c r="AM29" s="89"/>
    </row>
    <row r="30" spans="1:39" ht="16.5" customHeight="1" x14ac:dyDescent="0.15">
      <c r="A30" s="38">
        <v>45130</v>
      </c>
      <c r="B30" s="88"/>
      <c r="C30" s="89"/>
      <c r="D30" s="89"/>
      <c r="E30" s="89"/>
      <c r="F30" s="89"/>
      <c r="G30" s="89"/>
      <c r="H30" s="89"/>
      <c r="I30" s="89"/>
      <c r="K30" s="38">
        <f t="shared" si="16"/>
        <v>45130</v>
      </c>
      <c r="L30" s="88"/>
      <c r="M30" s="89"/>
      <c r="N30" s="89"/>
      <c r="O30" s="89"/>
      <c r="P30" s="89"/>
      <c r="Q30" s="89"/>
      <c r="R30" s="89"/>
      <c r="S30" s="89"/>
      <c r="U30" s="38">
        <f t="shared" si="17"/>
        <v>45130</v>
      </c>
      <c r="V30" s="88"/>
      <c r="W30" s="89"/>
      <c r="X30" s="89"/>
      <c r="Y30" s="89"/>
      <c r="Z30" s="89"/>
      <c r="AA30" s="89"/>
      <c r="AB30" s="89"/>
      <c r="AC30" s="89"/>
      <c r="AE30" s="38">
        <f t="shared" si="18"/>
        <v>45130</v>
      </c>
      <c r="AF30" s="88"/>
      <c r="AG30" s="89"/>
      <c r="AH30" s="89"/>
      <c r="AI30" s="89"/>
      <c r="AJ30" s="89"/>
      <c r="AK30" s="89"/>
      <c r="AL30" s="89"/>
      <c r="AM30" s="89"/>
    </row>
    <row r="31" spans="1:39" ht="16.5" customHeight="1" x14ac:dyDescent="0.15">
      <c r="A31" s="38">
        <v>45131</v>
      </c>
      <c r="B31" s="88"/>
      <c r="C31" s="89"/>
      <c r="D31" s="89"/>
      <c r="E31" s="89"/>
      <c r="F31" s="89"/>
      <c r="G31" s="89"/>
      <c r="H31" s="89"/>
      <c r="I31" s="89"/>
      <c r="K31" s="38">
        <f t="shared" si="16"/>
        <v>45131</v>
      </c>
      <c r="L31" s="88"/>
      <c r="M31" s="89"/>
      <c r="N31" s="89"/>
      <c r="O31" s="89"/>
      <c r="P31" s="89"/>
      <c r="Q31" s="89"/>
      <c r="R31" s="89"/>
      <c r="S31" s="89"/>
      <c r="U31" s="38">
        <f t="shared" si="17"/>
        <v>45131</v>
      </c>
      <c r="V31" s="88"/>
      <c r="W31" s="89"/>
      <c r="X31" s="89"/>
      <c r="Y31" s="89"/>
      <c r="Z31" s="89"/>
      <c r="AA31" s="89"/>
      <c r="AB31" s="89"/>
      <c r="AC31" s="89"/>
      <c r="AE31" s="38">
        <f t="shared" si="18"/>
        <v>45131</v>
      </c>
      <c r="AF31" s="88"/>
      <c r="AG31" s="89"/>
      <c r="AH31" s="89"/>
      <c r="AI31" s="89"/>
      <c r="AJ31" s="89"/>
      <c r="AK31" s="89"/>
      <c r="AL31" s="89"/>
      <c r="AM31" s="89"/>
    </row>
    <row r="32" spans="1:39" ht="16.5" customHeight="1" x14ac:dyDescent="0.15">
      <c r="A32" s="38">
        <v>45132</v>
      </c>
      <c r="B32" s="88"/>
      <c r="C32" s="89"/>
      <c r="D32" s="89"/>
      <c r="E32" s="89"/>
      <c r="F32" s="89"/>
      <c r="G32" s="89"/>
      <c r="H32" s="89"/>
      <c r="I32" s="89"/>
      <c r="K32" s="38">
        <f t="shared" si="16"/>
        <v>45132</v>
      </c>
      <c r="L32" s="88"/>
      <c r="M32" s="89"/>
      <c r="N32" s="89"/>
      <c r="O32" s="89"/>
      <c r="P32" s="89"/>
      <c r="Q32" s="89"/>
      <c r="R32" s="89"/>
      <c r="S32" s="89"/>
      <c r="U32" s="38">
        <f t="shared" si="17"/>
        <v>45132</v>
      </c>
      <c r="V32" s="88"/>
      <c r="W32" s="89"/>
      <c r="X32" s="89"/>
      <c r="Y32" s="89"/>
      <c r="Z32" s="89"/>
      <c r="AA32" s="89"/>
      <c r="AB32" s="89"/>
      <c r="AC32" s="89"/>
      <c r="AE32" s="38">
        <f t="shared" si="18"/>
        <v>45132</v>
      </c>
      <c r="AF32" s="88"/>
      <c r="AG32" s="89"/>
      <c r="AH32" s="89"/>
      <c r="AI32" s="89"/>
      <c r="AJ32" s="89"/>
      <c r="AK32" s="89"/>
      <c r="AL32" s="89"/>
      <c r="AM32" s="89"/>
    </row>
    <row r="33" spans="1:39" ht="16.5" customHeight="1" x14ac:dyDescent="0.15">
      <c r="A33" s="38">
        <v>45133</v>
      </c>
      <c r="B33" s="88"/>
      <c r="C33" s="89"/>
      <c r="D33" s="89"/>
      <c r="E33" s="89"/>
      <c r="F33" s="89"/>
      <c r="G33" s="89"/>
      <c r="H33" s="89"/>
      <c r="I33" s="89"/>
      <c r="K33" s="38">
        <f t="shared" si="16"/>
        <v>45133</v>
      </c>
      <c r="L33" s="88"/>
      <c r="M33" s="89"/>
      <c r="N33" s="89"/>
      <c r="O33" s="89"/>
      <c r="P33" s="89"/>
      <c r="Q33" s="89"/>
      <c r="R33" s="89"/>
      <c r="S33" s="89"/>
      <c r="U33" s="38">
        <f t="shared" si="17"/>
        <v>45133</v>
      </c>
      <c r="V33" s="88"/>
      <c r="W33" s="89"/>
      <c r="X33" s="89"/>
      <c r="Y33" s="89"/>
      <c r="Z33" s="89"/>
      <c r="AA33" s="89"/>
      <c r="AB33" s="89"/>
      <c r="AC33" s="89"/>
      <c r="AE33" s="38">
        <f t="shared" si="18"/>
        <v>45133</v>
      </c>
      <c r="AF33" s="88"/>
      <c r="AG33" s="89"/>
      <c r="AH33" s="89"/>
      <c r="AI33" s="89"/>
      <c r="AJ33" s="89"/>
      <c r="AK33" s="89"/>
      <c r="AL33" s="89"/>
      <c r="AM33" s="89"/>
    </row>
    <row r="34" spans="1:39" ht="16.5" customHeight="1" x14ac:dyDescent="0.15">
      <c r="A34" s="38">
        <v>45134</v>
      </c>
      <c r="B34" s="88"/>
      <c r="C34" s="89"/>
      <c r="D34" s="89"/>
      <c r="E34" s="89"/>
      <c r="F34" s="89"/>
      <c r="G34" s="89"/>
      <c r="H34" s="89"/>
      <c r="I34" s="89"/>
      <c r="K34" s="38">
        <f t="shared" si="16"/>
        <v>45134</v>
      </c>
      <c r="L34" s="88"/>
      <c r="M34" s="89"/>
      <c r="N34" s="89"/>
      <c r="O34" s="89"/>
      <c r="P34" s="89"/>
      <c r="Q34" s="89"/>
      <c r="R34" s="89"/>
      <c r="S34" s="89"/>
      <c r="U34" s="38">
        <f t="shared" si="17"/>
        <v>45134</v>
      </c>
      <c r="V34" s="88"/>
      <c r="W34" s="89"/>
      <c r="X34" s="89"/>
      <c r="Y34" s="89"/>
      <c r="Z34" s="89"/>
      <c r="AA34" s="89"/>
      <c r="AB34" s="89"/>
      <c r="AC34" s="89"/>
      <c r="AE34" s="38">
        <f t="shared" si="18"/>
        <v>45134</v>
      </c>
      <c r="AF34" s="88"/>
      <c r="AG34" s="89"/>
      <c r="AH34" s="89"/>
      <c r="AI34" s="89"/>
      <c r="AJ34" s="89"/>
      <c r="AK34" s="89"/>
      <c r="AL34" s="89"/>
      <c r="AM34" s="89"/>
    </row>
    <row r="35" spans="1:39" ht="16.5" customHeight="1" x14ac:dyDescent="0.15">
      <c r="A35" s="38">
        <v>45135</v>
      </c>
      <c r="B35" s="88"/>
      <c r="C35" s="89"/>
      <c r="D35" s="89"/>
      <c r="E35" s="89"/>
      <c r="F35" s="89"/>
      <c r="G35" s="89"/>
      <c r="H35" s="89"/>
      <c r="I35" s="89"/>
      <c r="K35" s="38">
        <f t="shared" si="16"/>
        <v>45135</v>
      </c>
      <c r="L35" s="88"/>
      <c r="M35" s="89"/>
      <c r="N35" s="89"/>
      <c r="O35" s="89"/>
      <c r="P35" s="89"/>
      <c r="Q35" s="89"/>
      <c r="R35" s="89"/>
      <c r="S35" s="89"/>
      <c r="U35" s="38">
        <f t="shared" si="17"/>
        <v>45135</v>
      </c>
      <c r="V35" s="88"/>
      <c r="W35" s="89"/>
      <c r="X35" s="89"/>
      <c r="Y35" s="89"/>
      <c r="Z35" s="89"/>
      <c r="AA35" s="89"/>
      <c r="AB35" s="89"/>
      <c r="AC35" s="89"/>
      <c r="AE35" s="38">
        <f t="shared" si="18"/>
        <v>45135</v>
      </c>
      <c r="AF35" s="88"/>
      <c r="AG35" s="89"/>
      <c r="AH35" s="89"/>
      <c r="AI35" s="89"/>
      <c r="AJ35" s="89"/>
      <c r="AK35" s="89"/>
      <c r="AL35" s="89"/>
      <c r="AM35" s="89"/>
    </row>
    <row r="36" spans="1:39" ht="16.5" customHeight="1" x14ac:dyDescent="0.15">
      <c r="A36" s="38">
        <v>45136</v>
      </c>
      <c r="B36" s="88"/>
      <c r="C36" s="89"/>
      <c r="D36" s="89"/>
      <c r="E36" s="89"/>
      <c r="F36" s="89"/>
      <c r="G36" s="89"/>
      <c r="H36" s="89"/>
      <c r="I36" s="89"/>
      <c r="K36" s="38">
        <f t="shared" si="16"/>
        <v>45136</v>
      </c>
      <c r="L36" s="88"/>
      <c r="M36" s="89"/>
      <c r="N36" s="89"/>
      <c r="O36" s="89"/>
      <c r="P36" s="89"/>
      <c r="Q36" s="89"/>
      <c r="R36" s="89"/>
      <c r="S36" s="89"/>
      <c r="U36" s="38">
        <f t="shared" si="17"/>
        <v>45136</v>
      </c>
      <c r="V36" s="88"/>
      <c r="W36" s="89"/>
      <c r="X36" s="89"/>
      <c r="Y36" s="89"/>
      <c r="Z36" s="89"/>
      <c r="AA36" s="89"/>
      <c r="AB36" s="89"/>
      <c r="AC36" s="89"/>
      <c r="AE36" s="38">
        <f t="shared" si="18"/>
        <v>45136</v>
      </c>
      <c r="AF36" s="88"/>
      <c r="AG36" s="89"/>
      <c r="AH36" s="89"/>
      <c r="AI36" s="89"/>
      <c r="AJ36" s="89"/>
      <c r="AK36" s="89"/>
      <c r="AL36" s="89"/>
      <c r="AM36" s="89"/>
    </row>
    <row r="37" spans="1:39" ht="16.5" customHeight="1" x14ac:dyDescent="0.15">
      <c r="A37" s="38">
        <v>45137</v>
      </c>
      <c r="B37" s="88"/>
      <c r="C37" s="89"/>
      <c r="D37" s="89"/>
      <c r="E37" s="89"/>
      <c r="F37" s="89"/>
      <c r="G37" s="89"/>
      <c r="H37" s="89"/>
      <c r="I37" s="89"/>
      <c r="K37" s="38">
        <f t="shared" si="16"/>
        <v>45137</v>
      </c>
      <c r="L37" s="88"/>
      <c r="M37" s="89"/>
      <c r="N37" s="89"/>
      <c r="O37" s="89"/>
      <c r="P37" s="89"/>
      <c r="Q37" s="89"/>
      <c r="R37" s="89"/>
      <c r="S37" s="89"/>
      <c r="U37" s="38">
        <f t="shared" si="17"/>
        <v>45137</v>
      </c>
      <c r="V37" s="88"/>
      <c r="W37" s="89"/>
      <c r="X37" s="89"/>
      <c r="Y37" s="89"/>
      <c r="Z37" s="89"/>
      <c r="AA37" s="89"/>
      <c r="AB37" s="89"/>
      <c r="AC37" s="89"/>
      <c r="AE37" s="38">
        <f t="shared" si="18"/>
        <v>45137</v>
      </c>
      <c r="AF37" s="88"/>
      <c r="AG37" s="89"/>
      <c r="AH37" s="89"/>
      <c r="AI37" s="89"/>
      <c r="AJ37" s="89"/>
      <c r="AK37" s="89"/>
      <c r="AL37" s="89"/>
      <c r="AM37" s="89"/>
    </row>
    <row r="38" spans="1:39" ht="16.5" customHeight="1" x14ac:dyDescent="0.15">
      <c r="A38" s="38">
        <v>45138</v>
      </c>
      <c r="B38" s="88"/>
      <c r="C38" s="89"/>
      <c r="D38" s="89"/>
      <c r="E38" s="89"/>
      <c r="F38" s="89"/>
      <c r="G38" s="89"/>
      <c r="H38" s="89"/>
      <c r="I38" s="89"/>
      <c r="K38" s="38">
        <f t="shared" si="16"/>
        <v>45138</v>
      </c>
      <c r="L38" s="88"/>
      <c r="M38" s="89"/>
      <c r="N38" s="89"/>
      <c r="O38" s="89"/>
      <c r="P38" s="89"/>
      <c r="Q38" s="89"/>
      <c r="R38" s="89"/>
      <c r="S38" s="89"/>
      <c r="U38" s="38">
        <f t="shared" si="17"/>
        <v>45138</v>
      </c>
      <c r="V38" s="88"/>
      <c r="W38" s="89"/>
      <c r="X38" s="89"/>
      <c r="Y38" s="89"/>
      <c r="Z38" s="89"/>
      <c r="AA38" s="89"/>
      <c r="AB38" s="89"/>
      <c r="AC38" s="89"/>
      <c r="AE38" s="38">
        <f t="shared" si="18"/>
        <v>45138</v>
      </c>
      <c r="AF38" s="88"/>
      <c r="AG38" s="89"/>
      <c r="AH38" s="89"/>
      <c r="AI38" s="89"/>
      <c r="AJ38" s="89"/>
      <c r="AK38" s="89"/>
      <c r="AL38" s="89"/>
      <c r="AM38" s="89"/>
    </row>
    <row r="39" spans="1:39" ht="16.5" customHeight="1" x14ac:dyDescent="0.15">
      <c r="A39" s="38">
        <v>45139</v>
      </c>
      <c r="B39" s="91"/>
      <c r="C39" s="91"/>
      <c r="D39" s="91"/>
      <c r="E39" s="91"/>
      <c r="F39" s="89"/>
      <c r="G39" s="89"/>
      <c r="H39" s="89"/>
      <c r="I39" s="89"/>
      <c r="K39" s="38">
        <f t="shared" si="16"/>
        <v>45139</v>
      </c>
      <c r="L39" s="91"/>
      <c r="M39" s="91"/>
      <c r="N39" s="91"/>
      <c r="O39" s="91"/>
      <c r="P39" s="89"/>
      <c r="Q39" s="89"/>
      <c r="R39" s="89"/>
      <c r="S39" s="89"/>
      <c r="U39" s="38">
        <f t="shared" si="17"/>
        <v>45139</v>
      </c>
      <c r="V39" s="91"/>
      <c r="W39" s="91"/>
      <c r="X39" s="91"/>
      <c r="Y39" s="91"/>
      <c r="Z39" s="89"/>
      <c r="AA39" s="89"/>
      <c r="AB39" s="89"/>
      <c r="AC39" s="89"/>
      <c r="AE39" s="38">
        <f t="shared" si="18"/>
        <v>45139</v>
      </c>
      <c r="AF39" s="91"/>
      <c r="AG39" s="91"/>
      <c r="AH39" s="91"/>
      <c r="AI39" s="91"/>
      <c r="AJ39" s="89"/>
      <c r="AK39" s="89"/>
      <c r="AL39" s="89"/>
      <c r="AM39" s="89"/>
    </row>
    <row r="40" spans="1:39" ht="16.5" customHeight="1" x14ac:dyDescent="0.15">
      <c r="A40" s="38">
        <v>45140</v>
      </c>
      <c r="B40" s="88"/>
      <c r="C40" s="89"/>
      <c r="D40" s="89"/>
      <c r="E40" s="89"/>
      <c r="F40" s="89"/>
      <c r="G40" s="89"/>
      <c r="H40" s="89"/>
      <c r="I40" s="89"/>
      <c r="K40" s="38">
        <f t="shared" si="16"/>
        <v>45140</v>
      </c>
      <c r="L40" s="88"/>
      <c r="M40" s="89"/>
      <c r="N40" s="89"/>
      <c r="O40" s="89"/>
      <c r="P40" s="89"/>
      <c r="Q40" s="89"/>
      <c r="R40" s="89"/>
      <c r="S40" s="89"/>
      <c r="U40" s="38">
        <f t="shared" si="17"/>
        <v>45140</v>
      </c>
      <c r="V40" s="88"/>
      <c r="W40" s="89"/>
      <c r="X40" s="89"/>
      <c r="Y40" s="89"/>
      <c r="Z40" s="89"/>
      <c r="AA40" s="89"/>
      <c r="AB40" s="89"/>
      <c r="AC40" s="89"/>
      <c r="AE40" s="38">
        <f t="shared" si="18"/>
        <v>45140</v>
      </c>
      <c r="AF40" s="88"/>
      <c r="AG40" s="89"/>
      <c r="AH40" s="89"/>
      <c r="AI40" s="89"/>
      <c r="AJ40" s="89"/>
      <c r="AK40" s="89"/>
      <c r="AL40" s="89"/>
      <c r="AM40" s="89"/>
    </row>
    <row r="41" spans="1:39" ht="16.5" customHeight="1" x14ac:dyDescent="0.15">
      <c r="A41" s="38">
        <v>45141</v>
      </c>
      <c r="B41" s="88"/>
      <c r="C41" s="89"/>
      <c r="D41" s="89"/>
      <c r="E41" s="89"/>
      <c r="F41" s="89"/>
      <c r="G41" s="89"/>
      <c r="H41" s="89"/>
      <c r="I41" s="89"/>
      <c r="K41" s="38">
        <f t="shared" si="16"/>
        <v>45141</v>
      </c>
      <c r="L41" s="88"/>
      <c r="M41" s="89"/>
      <c r="N41" s="89"/>
      <c r="O41" s="89"/>
      <c r="P41" s="89"/>
      <c r="Q41" s="89"/>
      <c r="R41" s="89"/>
      <c r="S41" s="89"/>
      <c r="U41" s="38">
        <f t="shared" si="17"/>
        <v>45141</v>
      </c>
      <c r="V41" s="88"/>
      <c r="W41" s="89"/>
      <c r="X41" s="89"/>
      <c r="Y41" s="89"/>
      <c r="Z41" s="89"/>
      <c r="AA41" s="89"/>
      <c r="AB41" s="89"/>
      <c r="AC41" s="89"/>
      <c r="AE41" s="38">
        <f t="shared" si="18"/>
        <v>45141</v>
      </c>
      <c r="AF41" s="88"/>
      <c r="AG41" s="89"/>
      <c r="AH41" s="89"/>
      <c r="AI41" s="89"/>
      <c r="AJ41" s="89"/>
      <c r="AK41" s="89"/>
      <c r="AL41" s="89"/>
      <c r="AM41" s="89"/>
    </row>
    <row r="42" spans="1:39" ht="16.5" customHeight="1" x14ac:dyDescent="0.15">
      <c r="A42" s="38">
        <v>45142</v>
      </c>
      <c r="B42" s="88"/>
      <c r="C42" s="89"/>
      <c r="D42" s="89"/>
      <c r="E42" s="89"/>
      <c r="F42" s="89"/>
      <c r="G42" s="89"/>
      <c r="H42" s="89"/>
      <c r="I42" s="89"/>
      <c r="K42" s="38">
        <f t="shared" si="16"/>
        <v>45142</v>
      </c>
      <c r="L42" s="88"/>
      <c r="M42" s="89"/>
      <c r="N42" s="89"/>
      <c r="O42" s="89"/>
      <c r="P42" s="89"/>
      <c r="Q42" s="89"/>
      <c r="R42" s="89"/>
      <c r="S42" s="89"/>
      <c r="U42" s="38">
        <f t="shared" si="17"/>
        <v>45142</v>
      </c>
      <c r="V42" s="88"/>
      <c r="W42" s="89"/>
      <c r="X42" s="89"/>
      <c r="Y42" s="89"/>
      <c r="Z42" s="89"/>
      <c r="AA42" s="89"/>
      <c r="AB42" s="89"/>
      <c r="AC42" s="89"/>
      <c r="AE42" s="38">
        <f t="shared" si="18"/>
        <v>45142</v>
      </c>
      <c r="AF42" s="88"/>
      <c r="AG42" s="89"/>
      <c r="AH42" s="89"/>
      <c r="AI42" s="89"/>
      <c r="AJ42" s="89"/>
      <c r="AK42" s="89"/>
      <c r="AL42" s="89"/>
      <c r="AM42" s="89"/>
    </row>
    <row r="43" spans="1:39" ht="16.5" customHeight="1" x14ac:dyDescent="0.15">
      <c r="A43" s="38">
        <v>45143</v>
      </c>
      <c r="B43" s="88"/>
      <c r="C43" s="89"/>
      <c r="D43" s="89"/>
      <c r="E43" s="89"/>
      <c r="F43" s="89"/>
      <c r="G43" s="89"/>
      <c r="H43" s="89"/>
      <c r="I43" s="89"/>
      <c r="K43" s="38">
        <f t="shared" si="16"/>
        <v>45143</v>
      </c>
      <c r="L43" s="88"/>
      <c r="M43" s="89"/>
      <c r="N43" s="89"/>
      <c r="O43" s="89"/>
      <c r="P43" s="89"/>
      <c r="Q43" s="89"/>
      <c r="R43" s="89"/>
      <c r="S43" s="89"/>
      <c r="U43" s="38">
        <f t="shared" si="17"/>
        <v>45143</v>
      </c>
      <c r="V43" s="88"/>
      <c r="W43" s="89"/>
      <c r="X43" s="89"/>
      <c r="Y43" s="89"/>
      <c r="Z43" s="89"/>
      <c r="AA43" s="89"/>
      <c r="AB43" s="89"/>
      <c r="AC43" s="89"/>
      <c r="AE43" s="38">
        <f t="shared" si="18"/>
        <v>45143</v>
      </c>
      <c r="AF43" s="88"/>
      <c r="AG43" s="89"/>
      <c r="AH43" s="89"/>
      <c r="AI43" s="89"/>
      <c r="AJ43" s="89"/>
      <c r="AK43" s="89"/>
      <c r="AL43" s="89"/>
      <c r="AM43" s="89"/>
    </row>
    <row r="44" spans="1:39" ht="16.5" customHeight="1" x14ac:dyDescent="0.15">
      <c r="A44" s="38">
        <v>45144</v>
      </c>
      <c r="B44" s="88"/>
      <c r="C44" s="89"/>
      <c r="D44" s="89"/>
      <c r="E44" s="89"/>
      <c r="F44" s="89"/>
      <c r="G44" s="89"/>
      <c r="H44" s="89"/>
      <c r="I44" s="89"/>
      <c r="K44" s="38">
        <f t="shared" si="16"/>
        <v>45144</v>
      </c>
      <c r="L44" s="88"/>
      <c r="M44" s="89"/>
      <c r="N44" s="89"/>
      <c r="O44" s="89"/>
      <c r="P44" s="89"/>
      <c r="Q44" s="89"/>
      <c r="R44" s="89"/>
      <c r="S44" s="89"/>
      <c r="U44" s="38">
        <f t="shared" si="17"/>
        <v>45144</v>
      </c>
      <c r="V44" s="88"/>
      <c r="W44" s="89"/>
      <c r="X44" s="89"/>
      <c r="Y44" s="89"/>
      <c r="Z44" s="89"/>
      <c r="AA44" s="89"/>
      <c r="AB44" s="89"/>
      <c r="AC44" s="89"/>
      <c r="AE44" s="38">
        <f t="shared" si="18"/>
        <v>45144</v>
      </c>
      <c r="AF44" s="88"/>
      <c r="AG44" s="89"/>
      <c r="AH44" s="89"/>
      <c r="AI44" s="89"/>
      <c r="AJ44" s="89"/>
      <c r="AK44" s="89"/>
      <c r="AL44" s="89"/>
      <c r="AM44" s="89"/>
    </row>
    <row r="45" spans="1:39" ht="16.5" customHeight="1" x14ac:dyDescent="0.15">
      <c r="A45" s="38">
        <v>45145</v>
      </c>
      <c r="B45" s="88"/>
      <c r="C45" s="89"/>
      <c r="D45" s="89"/>
      <c r="E45" s="89"/>
      <c r="F45" s="89"/>
      <c r="G45" s="89"/>
      <c r="H45" s="89"/>
      <c r="I45" s="89"/>
      <c r="K45" s="38">
        <f t="shared" si="16"/>
        <v>45145</v>
      </c>
      <c r="L45" s="88"/>
      <c r="M45" s="89"/>
      <c r="N45" s="89"/>
      <c r="O45" s="89"/>
      <c r="P45" s="89"/>
      <c r="Q45" s="89"/>
      <c r="R45" s="89"/>
      <c r="S45" s="89"/>
      <c r="U45" s="38">
        <f t="shared" si="17"/>
        <v>45145</v>
      </c>
      <c r="V45" s="88"/>
      <c r="W45" s="89"/>
      <c r="X45" s="89"/>
      <c r="Y45" s="89"/>
      <c r="Z45" s="89"/>
      <c r="AA45" s="89"/>
      <c r="AB45" s="89"/>
      <c r="AC45" s="89"/>
      <c r="AE45" s="38">
        <f t="shared" si="18"/>
        <v>45145</v>
      </c>
      <c r="AF45" s="88"/>
      <c r="AG45" s="89"/>
      <c r="AH45" s="89"/>
      <c r="AI45" s="89"/>
      <c r="AJ45" s="89"/>
      <c r="AK45" s="89"/>
      <c r="AL45" s="89"/>
      <c r="AM45" s="89"/>
    </row>
    <row r="46" spans="1:39" ht="16.5" customHeight="1" x14ac:dyDescent="0.15">
      <c r="A46" s="38">
        <v>45146</v>
      </c>
      <c r="B46" s="88"/>
      <c r="C46" s="89"/>
      <c r="D46" s="89"/>
      <c r="E46" s="89"/>
      <c r="F46" s="89"/>
      <c r="G46" s="89"/>
      <c r="H46" s="89"/>
      <c r="I46" s="89"/>
      <c r="K46" s="38">
        <f t="shared" si="16"/>
        <v>45146</v>
      </c>
      <c r="L46" s="88"/>
      <c r="M46" s="89"/>
      <c r="N46" s="89"/>
      <c r="O46" s="89"/>
      <c r="P46" s="89"/>
      <c r="Q46" s="89"/>
      <c r="R46" s="89"/>
      <c r="S46" s="89"/>
      <c r="U46" s="38">
        <f t="shared" si="17"/>
        <v>45146</v>
      </c>
      <c r="V46" s="88"/>
      <c r="W46" s="89"/>
      <c r="X46" s="89"/>
      <c r="Y46" s="89"/>
      <c r="Z46" s="89"/>
      <c r="AA46" s="89"/>
      <c r="AB46" s="89"/>
      <c r="AC46" s="89"/>
      <c r="AE46" s="38">
        <f t="shared" si="18"/>
        <v>45146</v>
      </c>
      <c r="AF46" s="88"/>
      <c r="AG46" s="89"/>
      <c r="AH46" s="89"/>
      <c r="AI46" s="89"/>
      <c r="AJ46" s="89"/>
      <c r="AK46" s="89"/>
      <c r="AL46" s="89"/>
      <c r="AM46" s="89"/>
    </row>
    <row r="47" spans="1:39" ht="16.5" customHeight="1" x14ac:dyDescent="0.15">
      <c r="A47" s="38">
        <v>45147</v>
      </c>
      <c r="B47" s="88"/>
      <c r="C47" s="89"/>
      <c r="D47" s="89"/>
      <c r="E47" s="89"/>
      <c r="F47" s="89"/>
      <c r="G47" s="89"/>
      <c r="H47" s="89"/>
      <c r="I47" s="89"/>
      <c r="K47" s="38">
        <f t="shared" si="16"/>
        <v>45147</v>
      </c>
      <c r="L47" s="88"/>
      <c r="M47" s="89"/>
      <c r="N47" s="89"/>
      <c r="O47" s="89"/>
      <c r="P47" s="89"/>
      <c r="Q47" s="89"/>
      <c r="R47" s="89"/>
      <c r="S47" s="89"/>
      <c r="U47" s="38">
        <f t="shared" si="17"/>
        <v>45147</v>
      </c>
      <c r="V47" s="88"/>
      <c r="W47" s="89"/>
      <c r="X47" s="89"/>
      <c r="Y47" s="89"/>
      <c r="Z47" s="89"/>
      <c r="AA47" s="89"/>
      <c r="AB47" s="89"/>
      <c r="AC47" s="89"/>
      <c r="AE47" s="38">
        <f t="shared" si="18"/>
        <v>45147</v>
      </c>
      <c r="AF47" s="88"/>
      <c r="AG47" s="89"/>
      <c r="AH47" s="89"/>
      <c r="AI47" s="89"/>
      <c r="AJ47" s="89"/>
      <c r="AK47" s="89"/>
      <c r="AL47" s="89"/>
      <c r="AM47" s="89"/>
    </row>
    <row r="48" spans="1:39" ht="16.5" customHeight="1" x14ac:dyDescent="0.15">
      <c r="A48" s="38">
        <v>45148</v>
      </c>
      <c r="B48" s="88"/>
      <c r="C48" s="89"/>
      <c r="D48" s="89"/>
      <c r="E48" s="89"/>
      <c r="F48" s="89"/>
      <c r="G48" s="89"/>
      <c r="H48" s="89"/>
      <c r="I48" s="89"/>
      <c r="K48" s="38">
        <f t="shared" si="16"/>
        <v>45148</v>
      </c>
      <c r="L48" s="88"/>
      <c r="M48" s="89"/>
      <c r="N48" s="89"/>
      <c r="O48" s="89"/>
      <c r="P48" s="89"/>
      <c r="Q48" s="89"/>
      <c r="R48" s="89"/>
      <c r="S48" s="89"/>
      <c r="U48" s="38">
        <f t="shared" si="17"/>
        <v>45148</v>
      </c>
      <c r="V48" s="88"/>
      <c r="W48" s="89"/>
      <c r="X48" s="89"/>
      <c r="Y48" s="89"/>
      <c r="Z48" s="89"/>
      <c r="AA48" s="89"/>
      <c r="AB48" s="89"/>
      <c r="AC48" s="89"/>
      <c r="AE48" s="38">
        <f t="shared" si="18"/>
        <v>45148</v>
      </c>
      <c r="AF48" s="88"/>
      <c r="AG48" s="89"/>
      <c r="AH48" s="89"/>
      <c r="AI48" s="89"/>
      <c r="AJ48" s="89"/>
      <c r="AK48" s="89"/>
      <c r="AL48" s="89"/>
      <c r="AM48" s="89"/>
    </row>
    <row r="49" spans="1:39" ht="16.5" customHeight="1" x14ac:dyDescent="0.15">
      <c r="A49" s="38">
        <v>45149</v>
      </c>
      <c r="B49" s="88"/>
      <c r="C49" s="89"/>
      <c r="D49" s="89"/>
      <c r="E49" s="89"/>
      <c r="F49" s="89"/>
      <c r="G49" s="89"/>
      <c r="H49" s="89"/>
      <c r="I49" s="89"/>
      <c r="K49" s="38">
        <f t="shared" si="16"/>
        <v>45149</v>
      </c>
      <c r="L49" s="88"/>
      <c r="M49" s="89"/>
      <c r="N49" s="89"/>
      <c r="O49" s="89"/>
      <c r="P49" s="89"/>
      <c r="Q49" s="89"/>
      <c r="R49" s="89"/>
      <c r="S49" s="89"/>
      <c r="U49" s="38">
        <f t="shared" si="17"/>
        <v>45149</v>
      </c>
      <c r="V49" s="88"/>
      <c r="W49" s="89"/>
      <c r="X49" s="89"/>
      <c r="Y49" s="89"/>
      <c r="Z49" s="89"/>
      <c r="AA49" s="89"/>
      <c r="AB49" s="89"/>
      <c r="AC49" s="89"/>
      <c r="AE49" s="38">
        <f t="shared" si="18"/>
        <v>45149</v>
      </c>
      <c r="AF49" s="88"/>
      <c r="AG49" s="89"/>
      <c r="AH49" s="89"/>
      <c r="AI49" s="89"/>
      <c r="AJ49" s="89"/>
      <c r="AK49" s="89"/>
      <c r="AL49" s="89"/>
      <c r="AM49" s="89"/>
    </row>
    <row r="50" spans="1:39" ht="16.5" customHeight="1" x14ac:dyDescent="0.15">
      <c r="A50" s="38">
        <v>45150</v>
      </c>
      <c r="B50" s="88"/>
      <c r="C50" s="89"/>
      <c r="D50" s="89"/>
      <c r="E50" s="89"/>
      <c r="F50" s="89"/>
      <c r="G50" s="89"/>
      <c r="H50" s="89"/>
      <c r="I50" s="89"/>
      <c r="K50" s="38">
        <f t="shared" si="16"/>
        <v>45150</v>
      </c>
      <c r="L50" s="88"/>
      <c r="M50" s="89"/>
      <c r="N50" s="89"/>
      <c r="O50" s="89"/>
      <c r="P50" s="89"/>
      <c r="Q50" s="89"/>
      <c r="R50" s="89"/>
      <c r="S50" s="89"/>
      <c r="U50" s="38">
        <f t="shared" si="17"/>
        <v>45150</v>
      </c>
      <c r="V50" s="88"/>
      <c r="W50" s="89"/>
      <c r="X50" s="89"/>
      <c r="Y50" s="89"/>
      <c r="Z50" s="89"/>
      <c r="AA50" s="89"/>
      <c r="AB50" s="89"/>
      <c r="AC50" s="89"/>
      <c r="AE50" s="38">
        <f t="shared" si="18"/>
        <v>45150</v>
      </c>
      <c r="AF50" s="88"/>
      <c r="AG50" s="89"/>
      <c r="AH50" s="89"/>
      <c r="AI50" s="89"/>
      <c r="AJ50" s="89"/>
      <c r="AK50" s="89"/>
      <c r="AL50" s="89"/>
      <c r="AM50" s="89"/>
    </row>
    <row r="51" spans="1:39" ht="16.5" customHeight="1" x14ac:dyDescent="0.15">
      <c r="A51" s="38">
        <v>45151</v>
      </c>
      <c r="B51" s="88"/>
      <c r="C51" s="89"/>
      <c r="D51" s="89"/>
      <c r="E51" s="89"/>
      <c r="F51" s="89"/>
      <c r="G51" s="89"/>
      <c r="H51" s="89"/>
      <c r="I51" s="89"/>
      <c r="K51" s="38">
        <f t="shared" si="16"/>
        <v>45151</v>
      </c>
      <c r="L51" s="88"/>
      <c r="M51" s="89"/>
      <c r="N51" s="89"/>
      <c r="O51" s="89"/>
      <c r="P51" s="89"/>
      <c r="Q51" s="89"/>
      <c r="R51" s="89"/>
      <c r="S51" s="89"/>
      <c r="U51" s="38">
        <f t="shared" si="17"/>
        <v>45151</v>
      </c>
      <c r="V51" s="88"/>
      <c r="W51" s="89"/>
      <c r="X51" s="89"/>
      <c r="Y51" s="89"/>
      <c r="Z51" s="89"/>
      <c r="AA51" s="89"/>
      <c r="AB51" s="89"/>
      <c r="AC51" s="89"/>
      <c r="AE51" s="38">
        <f t="shared" si="18"/>
        <v>45151</v>
      </c>
      <c r="AF51" s="88"/>
      <c r="AG51" s="89"/>
      <c r="AH51" s="89"/>
      <c r="AI51" s="89"/>
      <c r="AJ51" s="89"/>
      <c r="AK51" s="89"/>
      <c r="AL51" s="89"/>
      <c r="AM51" s="89"/>
    </row>
    <row r="52" spans="1:39" ht="16.5" customHeight="1" x14ac:dyDescent="0.15">
      <c r="A52" s="38">
        <v>45152</v>
      </c>
      <c r="B52" s="88"/>
      <c r="C52" s="89"/>
      <c r="D52" s="89"/>
      <c r="E52" s="89"/>
      <c r="F52" s="89"/>
      <c r="G52" s="89"/>
      <c r="H52" s="89"/>
      <c r="I52" s="89"/>
      <c r="K52" s="38">
        <f t="shared" si="16"/>
        <v>45152</v>
      </c>
      <c r="L52" s="88"/>
      <c r="M52" s="89"/>
      <c r="N52" s="89"/>
      <c r="O52" s="89"/>
      <c r="P52" s="89"/>
      <c r="Q52" s="89"/>
      <c r="R52" s="89"/>
      <c r="S52" s="89"/>
      <c r="U52" s="38">
        <f t="shared" si="17"/>
        <v>45152</v>
      </c>
      <c r="V52" s="88"/>
      <c r="W52" s="89"/>
      <c r="X52" s="89"/>
      <c r="Y52" s="89"/>
      <c r="Z52" s="89"/>
      <c r="AA52" s="89"/>
      <c r="AB52" s="89"/>
      <c r="AC52" s="89"/>
      <c r="AE52" s="38">
        <f t="shared" si="18"/>
        <v>45152</v>
      </c>
      <c r="AF52" s="88"/>
      <c r="AG52" s="89"/>
      <c r="AH52" s="89"/>
      <c r="AI52" s="89"/>
      <c r="AJ52" s="89"/>
      <c r="AK52" s="89"/>
      <c r="AL52" s="89"/>
      <c r="AM52" s="89"/>
    </row>
    <row r="53" spans="1:39" ht="16.5" customHeight="1" x14ac:dyDescent="0.15">
      <c r="A53" s="38">
        <v>45153</v>
      </c>
      <c r="B53" s="88"/>
      <c r="C53" s="89"/>
      <c r="D53" s="89"/>
      <c r="E53" s="89"/>
      <c r="F53" s="89"/>
      <c r="G53" s="89"/>
      <c r="H53" s="89"/>
      <c r="I53" s="89"/>
      <c r="K53" s="38">
        <f t="shared" si="16"/>
        <v>45153</v>
      </c>
      <c r="L53" s="88"/>
      <c r="M53" s="89"/>
      <c r="N53" s="89"/>
      <c r="O53" s="89"/>
      <c r="P53" s="89"/>
      <c r="Q53" s="89"/>
      <c r="R53" s="89"/>
      <c r="S53" s="89"/>
      <c r="U53" s="38">
        <f t="shared" si="17"/>
        <v>45153</v>
      </c>
      <c r="V53" s="88"/>
      <c r="W53" s="89"/>
      <c r="X53" s="89"/>
      <c r="Y53" s="89"/>
      <c r="Z53" s="89"/>
      <c r="AA53" s="89"/>
      <c r="AB53" s="89"/>
      <c r="AC53" s="89"/>
      <c r="AE53" s="38">
        <f t="shared" si="18"/>
        <v>45153</v>
      </c>
      <c r="AF53" s="88"/>
      <c r="AG53" s="89"/>
      <c r="AH53" s="89"/>
      <c r="AI53" s="89"/>
      <c r="AJ53" s="89"/>
      <c r="AK53" s="89"/>
      <c r="AL53" s="89"/>
      <c r="AM53" s="89"/>
    </row>
    <row r="54" spans="1:39" ht="16.5" customHeight="1" x14ac:dyDescent="0.15">
      <c r="A54" s="38">
        <v>45154</v>
      </c>
      <c r="B54" s="88"/>
      <c r="C54" s="89"/>
      <c r="D54" s="89"/>
      <c r="E54" s="89"/>
      <c r="F54" s="89"/>
      <c r="G54" s="89"/>
      <c r="H54" s="89"/>
      <c r="I54" s="89"/>
      <c r="K54" s="38">
        <f t="shared" si="16"/>
        <v>45154</v>
      </c>
      <c r="L54" s="88"/>
      <c r="M54" s="89"/>
      <c r="N54" s="89"/>
      <c r="O54" s="89"/>
      <c r="P54" s="89"/>
      <c r="Q54" s="89"/>
      <c r="R54" s="89"/>
      <c r="S54" s="89"/>
      <c r="U54" s="38">
        <f t="shared" si="17"/>
        <v>45154</v>
      </c>
      <c r="V54" s="88"/>
      <c r="W54" s="89"/>
      <c r="X54" s="89"/>
      <c r="Y54" s="89"/>
      <c r="Z54" s="89"/>
      <c r="AA54" s="89"/>
      <c r="AB54" s="89"/>
      <c r="AC54" s="89"/>
      <c r="AE54" s="38">
        <f t="shared" si="18"/>
        <v>45154</v>
      </c>
      <c r="AF54" s="88"/>
      <c r="AG54" s="89"/>
      <c r="AH54" s="89"/>
      <c r="AI54" s="89"/>
      <c r="AJ54" s="89"/>
      <c r="AK54" s="89"/>
      <c r="AL54" s="89"/>
      <c r="AM54" s="89"/>
    </row>
    <row r="55" spans="1:39" ht="16.5" customHeight="1" x14ac:dyDescent="0.15">
      <c r="A55" s="38">
        <v>45155</v>
      </c>
      <c r="B55" s="88"/>
      <c r="C55" s="89"/>
      <c r="D55" s="89"/>
      <c r="E55" s="89"/>
      <c r="F55" s="89"/>
      <c r="G55" s="89"/>
      <c r="H55" s="89"/>
      <c r="I55" s="89"/>
      <c r="K55" s="38">
        <f t="shared" si="16"/>
        <v>45155</v>
      </c>
      <c r="L55" s="88"/>
      <c r="M55" s="89"/>
      <c r="N55" s="89"/>
      <c r="O55" s="89"/>
      <c r="P55" s="89"/>
      <c r="Q55" s="89"/>
      <c r="R55" s="89"/>
      <c r="S55" s="89"/>
      <c r="U55" s="38">
        <f t="shared" si="17"/>
        <v>45155</v>
      </c>
      <c r="V55" s="88"/>
      <c r="W55" s="89"/>
      <c r="X55" s="89"/>
      <c r="Y55" s="89"/>
      <c r="Z55" s="89"/>
      <c r="AA55" s="89"/>
      <c r="AB55" s="89"/>
      <c r="AC55" s="89"/>
      <c r="AE55" s="38">
        <f t="shared" si="18"/>
        <v>45155</v>
      </c>
      <c r="AF55" s="88"/>
      <c r="AG55" s="89"/>
      <c r="AH55" s="89"/>
      <c r="AI55" s="89"/>
      <c r="AJ55" s="89"/>
      <c r="AK55" s="89"/>
      <c r="AL55" s="89"/>
      <c r="AM55" s="89"/>
    </row>
    <row r="56" spans="1:39" ht="16.5" customHeight="1" x14ac:dyDescent="0.15">
      <c r="A56" s="38">
        <v>45156</v>
      </c>
      <c r="B56" s="88"/>
      <c r="C56" s="89"/>
      <c r="D56" s="89"/>
      <c r="E56" s="89"/>
      <c r="F56" s="89"/>
      <c r="G56" s="89"/>
      <c r="H56" s="89"/>
      <c r="I56" s="89"/>
      <c r="K56" s="38">
        <f t="shared" si="16"/>
        <v>45156</v>
      </c>
      <c r="L56" s="88"/>
      <c r="M56" s="89"/>
      <c r="N56" s="89"/>
      <c r="O56" s="89"/>
      <c r="P56" s="89"/>
      <c r="Q56" s="89"/>
      <c r="R56" s="89"/>
      <c r="S56" s="89"/>
      <c r="U56" s="38">
        <f t="shared" si="17"/>
        <v>45156</v>
      </c>
      <c r="V56" s="88"/>
      <c r="W56" s="89"/>
      <c r="X56" s="89"/>
      <c r="Y56" s="89"/>
      <c r="Z56" s="89"/>
      <c r="AA56" s="89"/>
      <c r="AB56" s="89"/>
      <c r="AC56" s="89"/>
      <c r="AE56" s="38">
        <f t="shared" si="18"/>
        <v>45156</v>
      </c>
      <c r="AF56" s="88"/>
      <c r="AG56" s="89"/>
      <c r="AH56" s="89"/>
      <c r="AI56" s="89"/>
      <c r="AJ56" s="89"/>
      <c r="AK56" s="89"/>
      <c r="AL56" s="89"/>
      <c r="AM56" s="89"/>
    </row>
    <row r="57" spans="1:39" ht="16.5" customHeight="1" x14ac:dyDescent="0.15">
      <c r="A57" s="38">
        <v>45157</v>
      </c>
      <c r="B57" s="88"/>
      <c r="C57" s="89"/>
      <c r="D57" s="89"/>
      <c r="E57" s="89"/>
      <c r="F57" s="89"/>
      <c r="G57" s="89"/>
      <c r="H57" s="89"/>
      <c r="I57" s="89"/>
      <c r="K57" s="38">
        <f t="shared" si="16"/>
        <v>45157</v>
      </c>
      <c r="L57" s="88"/>
      <c r="M57" s="89"/>
      <c r="N57" s="89"/>
      <c r="O57" s="89"/>
      <c r="P57" s="89"/>
      <c r="Q57" s="89"/>
      <c r="R57" s="89"/>
      <c r="S57" s="89"/>
      <c r="U57" s="38">
        <f t="shared" si="17"/>
        <v>45157</v>
      </c>
      <c r="V57" s="88"/>
      <c r="W57" s="89"/>
      <c r="X57" s="89"/>
      <c r="Y57" s="89"/>
      <c r="Z57" s="89"/>
      <c r="AA57" s="89"/>
      <c r="AB57" s="89"/>
      <c r="AC57" s="89"/>
      <c r="AE57" s="38">
        <f t="shared" si="18"/>
        <v>45157</v>
      </c>
      <c r="AF57" s="88"/>
      <c r="AG57" s="89"/>
      <c r="AH57" s="89"/>
      <c r="AI57" s="89"/>
      <c r="AJ57" s="89"/>
      <c r="AK57" s="89"/>
      <c r="AL57" s="89"/>
      <c r="AM57" s="89"/>
    </row>
    <row r="58" spans="1:39" ht="16.5" customHeight="1" x14ac:dyDescent="0.15">
      <c r="A58" s="38">
        <v>45158</v>
      </c>
      <c r="B58" s="88"/>
      <c r="C58" s="89"/>
      <c r="D58" s="89"/>
      <c r="E58" s="89"/>
      <c r="F58" s="89"/>
      <c r="G58" s="89"/>
      <c r="H58" s="89"/>
      <c r="I58" s="89"/>
      <c r="K58" s="38">
        <f t="shared" si="16"/>
        <v>45158</v>
      </c>
      <c r="L58" s="88"/>
      <c r="M58" s="89"/>
      <c r="N58" s="89"/>
      <c r="O58" s="89"/>
      <c r="P58" s="89"/>
      <c r="Q58" s="89"/>
      <c r="R58" s="89"/>
      <c r="S58" s="89"/>
      <c r="U58" s="38">
        <f t="shared" si="17"/>
        <v>45158</v>
      </c>
      <c r="V58" s="88"/>
      <c r="W58" s="89"/>
      <c r="X58" s="89"/>
      <c r="Y58" s="89"/>
      <c r="Z58" s="89"/>
      <c r="AA58" s="89"/>
      <c r="AB58" s="89"/>
      <c r="AC58" s="89"/>
      <c r="AE58" s="38">
        <f t="shared" si="18"/>
        <v>45158</v>
      </c>
      <c r="AF58" s="88"/>
      <c r="AG58" s="89"/>
      <c r="AH58" s="89"/>
      <c r="AI58" s="89"/>
      <c r="AJ58" s="89"/>
      <c r="AK58" s="89"/>
      <c r="AL58" s="89"/>
      <c r="AM58" s="89"/>
    </row>
    <row r="59" spans="1:39" ht="16.5" customHeight="1" x14ac:dyDescent="0.15">
      <c r="A59" s="38">
        <v>45159</v>
      </c>
      <c r="B59" s="88"/>
      <c r="C59" s="89"/>
      <c r="D59" s="89"/>
      <c r="E59" s="89"/>
      <c r="F59" s="89"/>
      <c r="G59" s="89"/>
      <c r="H59" s="89"/>
      <c r="I59" s="89"/>
      <c r="K59" s="38">
        <f t="shared" si="16"/>
        <v>45159</v>
      </c>
      <c r="L59" s="88"/>
      <c r="M59" s="89"/>
      <c r="N59" s="89"/>
      <c r="O59" s="89"/>
      <c r="P59" s="89"/>
      <c r="Q59" s="89"/>
      <c r="R59" s="89"/>
      <c r="S59" s="89"/>
      <c r="U59" s="38">
        <f t="shared" si="17"/>
        <v>45159</v>
      </c>
      <c r="V59" s="88"/>
      <c r="W59" s="89"/>
      <c r="X59" s="89"/>
      <c r="Y59" s="89"/>
      <c r="Z59" s="89"/>
      <c r="AA59" s="89"/>
      <c r="AB59" s="89"/>
      <c r="AC59" s="89"/>
      <c r="AE59" s="38">
        <f t="shared" si="18"/>
        <v>45159</v>
      </c>
      <c r="AF59" s="88"/>
      <c r="AG59" s="89"/>
      <c r="AH59" s="89"/>
      <c r="AI59" s="89"/>
      <c r="AJ59" s="89"/>
      <c r="AK59" s="89"/>
      <c r="AL59" s="89"/>
      <c r="AM59" s="89"/>
    </row>
    <row r="60" spans="1:39" ht="16.5" customHeight="1" x14ac:dyDescent="0.15">
      <c r="A60" s="38">
        <v>45160</v>
      </c>
      <c r="B60" s="88"/>
      <c r="C60" s="89"/>
      <c r="D60" s="89"/>
      <c r="E60" s="89"/>
      <c r="F60" s="89"/>
      <c r="G60" s="89"/>
      <c r="H60" s="89"/>
      <c r="I60" s="89"/>
      <c r="K60" s="38">
        <f t="shared" si="16"/>
        <v>45160</v>
      </c>
      <c r="L60" s="88"/>
      <c r="M60" s="89"/>
      <c r="N60" s="89"/>
      <c r="O60" s="89"/>
      <c r="P60" s="89"/>
      <c r="Q60" s="89"/>
      <c r="R60" s="89"/>
      <c r="S60" s="89"/>
      <c r="U60" s="38">
        <f t="shared" si="17"/>
        <v>45160</v>
      </c>
      <c r="V60" s="88"/>
      <c r="W60" s="89"/>
      <c r="X60" s="89"/>
      <c r="Y60" s="89"/>
      <c r="Z60" s="89"/>
      <c r="AA60" s="89"/>
      <c r="AB60" s="89"/>
      <c r="AC60" s="89"/>
      <c r="AE60" s="38">
        <f t="shared" si="18"/>
        <v>45160</v>
      </c>
      <c r="AF60" s="88"/>
      <c r="AG60" s="89"/>
      <c r="AH60" s="89"/>
      <c r="AI60" s="89"/>
      <c r="AJ60" s="89"/>
      <c r="AK60" s="89"/>
      <c r="AL60" s="89"/>
      <c r="AM60" s="89"/>
    </row>
    <row r="61" spans="1:39" ht="16.5" customHeight="1" x14ac:dyDescent="0.15">
      <c r="A61" s="38">
        <v>45161</v>
      </c>
      <c r="B61" s="88"/>
      <c r="C61" s="89"/>
      <c r="D61" s="89"/>
      <c r="E61" s="89"/>
      <c r="F61" s="89"/>
      <c r="G61" s="89"/>
      <c r="H61" s="89"/>
      <c r="I61" s="89"/>
      <c r="K61" s="38">
        <f t="shared" si="16"/>
        <v>45161</v>
      </c>
      <c r="L61" s="88"/>
      <c r="M61" s="89"/>
      <c r="N61" s="89"/>
      <c r="O61" s="89"/>
      <c r="P61" s="89"/>
      <c r="Q61" s="89"/>
      <c r="R61" s="89"/>
      <c r="S61" s="89"/>
      <c r="U61" s="38">
        <f t="shared" si="17"/>
        <v>45161</v>
      </c>
      <c r="V61" s="88"/>
      <c r="W61" s="89"/>
      <c r="X61" s="89"/>
      <c r="Y61" s="89"/>
      <c r="Z61" s="89"/>
      <c r="AA61" s="89"/>
      <c r="AB61" s="89"/>
      <c r="AC61" s="89"/>
      <c r="AE61" s="38">
        <f t="shared" si="18"/>
        <v>45161</v>
      </c>
      <c r="AF61" s="88"/>
      <c r="AG61" s="89"/>
      <c r="AH61" s="89"/>
      <c r="AI61" s="89"/>
      <c r="AJ61" s="89"/>
      <c r="AK61" s="89"/>
      <c r="AL61" s="89"/>
      <c r="AM61" s="89"/>
    </row>
    <row r="62" spans="1:39" ht="16.5" customHeight="1" x14ac:dyDescent="0.15">
      <c r="A62" s="38">
        <v>45162</v>
      </c>
      <c r="B62" s="88"/>
      <c r="C62" s="89"/>
      <c r="D62" s="89"/>
      <c r="E62" s="89"/>
      <c r="F62" s="89"/>
      <c r="G62" s="89"/>
      <c r="H62" s="89"/>
      <c r="I62" s="89"/>
      <c r="K62" s="38">
        <f t="shared" si="16"/>
        <v>45162</v>
      </c>
      <c r="L62" s="88"/>
      <c r="M62" s="89"/>
      <c r="N62" s="89"/>
      <c r="O62" s="89"/>
      <c r="P62" s="89"/>
      <c r="Q62" s="89"/>
      <c r="R62" s="89"/>
      <c r="S62" s="89"/>
      <c r="U62" s="38">
        <f t="shared" si="17"/>
        <v>45162</v>
      </c>
      <c r="V62" s="88"/>
      <c r="W62" s="89"/>
      <c r="X62" s="89"/>
      <c r="Y62" s="89"/>
      <c r="Z62" s="89"/>
      <c r="AA62" s="89"/>
      <c r="AB62" s="89"/>
      <c r="AC62" s="89"/>
      <c r="AE62" s="38">
        <f t="shared" si="18"/>
        <v>45162</v>
      </c>
      <c r="AF62" s="88"/>
      <c r="AG62" s="89"/>
      <c r="AH62" s="89"/>
      <c r="AI62" s="89"/>
      <c r="AJ62" s="89"/>
      <c r="AK62" s="89"/>
      <c r="AL62" s="89"/>
      <c r="AM62" s="89"/>
    </row>
    <row r="63" spans="1:39" ht="16.5" customHeight="1" x14ac:dyDescent="0.15">
      <c r="A63" s="38">
        <v>45163</v>
      </c>
      <c r="B63" s="88"/>
      <c r="C63" s="89"/>
      <c r="D63" s="89"/>
      <c r="E63" s="89"/>
      <c r="F63" s="89"/>
      <c r="G63" s="89"/>
      <c r="H63" s="89"/>
      <c r="I63" s="89"/>
      <c r="K63" s="38">
        <f t="shared" si="16"/>
        <v>45163</v>
      </c>
      <c r="L63" s="88"/>
      <c r="M63" s="89"/>
      <c r="N63" s="89"/>
      <c r="O63" s="89"/>
      <c r="P63" s="89"/>
      <c r="Q63" s="89"/>
      <c r="R63" s="89"/>
      <c r="S63" s="89"/>
      <c r="U63" s="38">
        <f t="shared" si="17"/>
        <v>45163</v>
      </c>
      <c r="V63" s="88"/>
      <c r="W63" s="89"/>
      <c r="X63" s="89"/>
      <c r="Y63" s="89"/>
      <c r="Z63" s="89"/>
      <c r="AA63" s="89"/>
      <c r="AB63" s="89"/>
      <c r="AC63" s="89"/>
      <c r="AE63" s="38">
        <f t="shared" si="18"/>
        <v>45163</v>
      </c>
      <c r="AF63" s="88"/>
      <c r="AG63" s="89"/>
      <c r="AH63" s="89"/>
      <c r="AI63" s="89"/>
      <c r="AJ63" s="89"/>
      <c r="AK63" s="89"/>
      <c r="AL63" s="89"/>
      <c r="AM63" s="89"/>
    </row>
    <row r="64" spans="1:39" ht="16.5" customHeight="1" x14ac:dyDescent="0.15">
      <c r="A64" s="38">
        <v>45164</v>
      </c>
      <c r="B64" s="88"/>
      <c r="C64" s="89"/>
      <c r="D64" s="89"/>
      <c r="E64" s="89"/>
      <c r="F64" s="89"/>
      <c r="G64" s="89"/>
      <c r="H64" s="89"/>
      <c r="I64" s="89"/>
      <c r="K64" s="38">
        <f t="shared" si="16"/>
        <v>45164</v>
      </c>
      <c r="L64" s="88"/>
      <c r="M64" s="89"/>
      <c r="N64" s="89"/>
      <c r="O64" s="89"/>
      <c r="P64" s="89"/>
      <c r="Q64" s="89"/>
      <c r="R64" s="89"/>
      <c r="S64" s="89"/>
      <c r="U64" s="38">
        <f t="shared" si="17"/>
        <v>45164</v>
      </c>
      <c r="V64" s="88"/>
      <c r="W64" s="89"/>
      <c r="X64" s="89"/>
      <c r="Y64" s="89"/>
      <c r="Z64" s="89"/>
      <c r="AA64" s="89"/>
      <c r="AB64" s="89"/>
      <c r="AC64" s="89"/>
      <c r="AE64" s="38">
        <f t="shared" si="18"/>
        <v>45164</v>
      </c>
      <c r="AF64" s="88"/>
      <c r="AG64" s="89"/>
      <c r="AH64" s="89"/>
      <c r="AI64" s="89"/>
      <c r="AJ64" s="89"/>
      <c r="AK64" s="89"/>
      <c r="AL64" s="89"/>
      <c r="AM64" s="89"/>
    </row>
    <row r="65" spans="1:39" ht="16.5" customHeight="1" x14ac:dyDescent="0.15">
      <c r="A65" s="38">
        <v>45165</v>
      </c>
      <c r="B65" s="88"/>
      <c r="C65" s="89"/>
      <c r="D65" s="89"/>
      <c r="E65" s="89"/>
      <c r="F65" s="89"/>
      <c r="G65" s="89"/>
      <c r="H65" s="89"/>
      <c r="I65" s="89"/>
      <c r="K65" s="38">
        <f t="shared" si="16"/>
        <v>45165</v>
      </c>
      <c r="L65" s="88"/>
      <c r="M65" s="89"/>
      <c r="N65" s="89"/>
      <c r="O65" s="89"/>
      <c r="P65" s="89"/>
      <c r="Q65" s="89"/>
      <c r="R65" s="89"/>
      <c r="S65" s="89"/>
      <c r="U65" s="38">
        <f t="shared" si="17"/>
        <v>45165</v>
      </c>
      <c r="V65" s="88"/>
      <c r="W65" s="89"/>
      <c r="X65" s="89"/>
      <c r="Y65" s="89"/>
      <c r="Z65" s="89"/>
      <c r="AA65" s="89"/>
      <c r="AB65" s="89"/>
      <c r="AC65" s="89"/>
      <c r="AE65" s="38">
        <f t="shared" si="18"/>
        <v>45165</v>
      </c>
      <c r="AF65" s="88"/>
      <c r="AG65" s="89"/>
      <c r="AH65" s="89"/>
      <c r="AI65" s="89"/>
      <c r="AJ65" s="89"/>
      <c r="AK65" s="89"/>
      <c r="AL65" s="89"/>
      <c r="AM65" s="89"/>
    </row>
    <row r="66" spans="1:39" ht="16.5" customHeight="1" x14ac:dyDescent="0.15">
      <c r="A66" s="38">
        <v>45166</v>
      </c>
      <c r="B66" s="88"/>
      <c r="C66" s="89"/>
      <c r="D66" s="89"/>
      <c r="E66" s="89"/>
      <c r="F66" s="89"/>
      <c r="G66" s="89"/>
      <c r="H66" s="89"/>
      <c r="I66" s="89"/>
      <c r="K66" s="38">
        <f t="shared" si="16"/>
        <v>45166</v>
      </c>
      <c r="L66" s="88"/>
      <c r="M66" s="89"/>
      <c r="N66" s="89"/>
      <c r="O66" s="89"/>
      <c r="P66" s="89"/>
      <c r="Q66" s="89"/>
      <c r="R66" s="89"/>
      <c r="S66" s="89"/>
      <c r="U66" s="38">
        <f t="shared" si="17"/>
        <v>45166</v>
      </c>
      <c r="V66" s="88"/>
      <c r="W66" s="89"/>
      <c r="X66" s="89"/>
      <c r="Y66" s="89"/>
      <c r="Z66" s="89"/>
      <c r="AA66" s="89"/>
      <c r="AB66" s="89"/>
      <c r="AC66" s="89"/>
      <c r="AE66" s="38">
        <f t="shared" si="18"/>
        <v>45166</v>
      </c>
      <c r="AF66" s="88"/>
      <c r="AG66" s="89"/>
      <c r="AH66" s="89"/>
      <c r="AI66" s="89"/>
      <c r="AJ66" s="88"/>
      <c r="AK66" s="89"/>
      <c r="AL66" s="89"/>
      <c r="AM66" s="88"/>
    </row>
    <row r="67" spans="1:39" ht="16.5" customHeight="1" x14ac:dyDescent="0.15">
      <c r="A67" s="38">
        <v>45167</v>
      </c>
      <c r="B67" s="88"/>
      <c r="C67" s="89"/>
      <c r="D67" s="89"/>
      <c r="E67" s="89"/>
      <c r="F67" s="89"/>
      <c r="G67" s="89"/>
      <c r="H67" s="89"/>
      <c r="I67" s="89"/>
      <c r="K67" s="38">
        <f t="shared" si="16"/>
        <v>45167</v>
      </c>
      <c r="L67" s="88"/>
      <c r="M67" s="89"/>
      <c r="N67" s="89"/>
      <c r="O67" s="89"/>
      <c r="P67" s="89"/>
      <c r="Q67" s="89"/>
      <c r="R67" s="89"/>
      <c r="S67" s="89"/>
      <c r="U67" s="38">
        <f t="shared" si="17"/>
        <v>45167</v>
      </c>
      <c r="V67" s="88"/>
      <c r="W67" s="89"/>
      <c r="X67" s="89"/>
      <c r="Y67" s="89"/>
      <c r="Z67" s="88"/>
      <c r="AA67" s="89"/>
      <c r="AB67" s="89"/>
      <c r="AC67" s="88"/>
      <c r="AE67" s="38">
        <f t="shared" si="18"/>
        <v>45167</v>
      </c>
      <c r="AF67" s="88"/>
      <c r="AG67" s="89"/>
      <c r="AH67" s="89"/>
      <c r="AI67" s="89"/>
      <c r="AJ67" s="89"/>
      <c r="AK67" s="89"/>
      <c r="AL67" s="89"/>
      <c r="AM67" s="89"/>
    </row>
    <row r="68" spans="1:39" ht="16.5" customHeight="1" x14ac:dyDescent="0.15">
      <c r="A68" s="38">
        <v>45168</v>
      </c>
      <c r="B68" s="88"/>
      <c r="C68" s="89"/>
      <c r="D68" s="89"/>
      <c r="E68" s="89"/>
      <c r="F68" s="88"/>
      <c r="G68" s="89"/>
      <c r="H68" s="89"/>
      <c r="I68" s="88"/>
      <c r="K68" s="38">
        <f t="shared" si="16"/>
        <v>45168</v>
      </c>
      <c r="L68" s="88"/>
      <c r="M68" s="89"/>
      <c r="N68" s="89"/>
      <c r="O68" s="89"/>
      <c r="P68" s="88"/>
      <c r="Q68" s="89"/>
      <c r="R68" s="89"/>
      <c r="S68" s="88"/>
      <c r="U68" s="38">
        <f t="shared" si="17"/>
        <v>45168</v>
      </c>
      <c r="V68" s="88"/>
      <c r="W68" s="89"/>
      <c r="X68" s="89"/>
      <c r="Y68" s="89"/>
      <c r="Z68" s="88"/>
      <c r="AA68" s="89"/>
      <c r="AB68" s="89"/>
      <c r="AC68" s="88"/>
      <c r="AE68" s="38">
        <f t="shared" si="18"/>
        <v>45168</v>
      </c>
      <c r="AF68" s="88"/>
      <c r="AG68" s="89"/>
      <c r="AH68" s="89"/>
      <c r="AI68" s="89"/>
      <c r="AJ68" s="88"/>
      <c r="AK68" s="89"/>
      <c r="AL68" s="89"/>
      <c r="AM68" s="88"/>
    </row>
    <row r="69" spans="1:39" ht="16.5" customHeight="1" x14ac:dyDescent="0.15">
      <c r="A69" s="38">
        <v>45169</v>
      </c>
      <c r="B69" s="89"/>
      <c r="C69" s="89"/>
      <c r="D69" s="89"/>
      <c r="E69" s="89"/>
      <c r="F69" s="89"/>
      <c r="G69" s="89"/>
      <c r="H69" s="89"/>
      <c r="I69" s="89"/>
      <c r="K69" s="38">
        <f t="shared" si="16"/>
        <v>45169</v>
      </c>
      <c r="L69" s="89"/>
      <c r="M69" s="89"/>
      <c r="N69" s="89"/>
      <c r="O69" s="89"/>
      <c r="P69" s="89"/>
      <c r="Q69" s="89"/>
      <c r="R69" s="89"/>
      <c r="S69" s="89"/>
      <c r="U69" s="38">
        <f t="shared" si="17"/>
        <v>45169</v>
      </c>
      <c r="V69" s="89"/>
      <c r="W69" s="89"/>
      <c r="X69" s="89"/>
      <c r="Y69" s="89"/>
      <c r="Z69" s="89"/>
      <c r="AA69" s="89"/>
      <c r="AB69" s="89"/>
      <c r="AC69" s="89"/>
      <c r="AE69" s="38">
        <f t="shared" si="18"/>
        <v>45169</v>
      </c>
      <c r="AF69" s="89"/>
      <c r="AG69" s="89"/>
      <c r="AH69" s="89"/>
      <c r="AI69" s="89"/>
      <c r="AJ69" s="89"/>
      <c r="AK69" s="89"/>
      <c r="AL69" s="89"/>
      <c r="AM69" s="89"/>
    </row>
    <row r="70" spans="1:39" ht="16.5" customHeight="1" x14ac:dyDescent="0.15">
      <c r="A70" s="38">
        <v>45170</v>
      </c>
      <c r="B70" s="88"/>
      <c r="C70" s="89"/>
      <c r="D70" s="89"/>
      <c r="E70" s="89"/>
      <c r="F70" s="89"/>
      <c r="G70" s="89"/>
      <c r="H70" s="89"/>
      <c r="I70" s="89"/>
      <c r="K70" s="38">
        <f t="shared" si="16"/>
        <v>45170</v>
      </c>
      <c r="L70" s="88"/>
      <c r="M70" s="89"/>
      <c r="N70" s="89"/>
      <c r="O70" s="89"/>
      <c r="P70" s="89"/>
      <c r="Q70" s="89"/>
      <c r="R70" s="89"/>
      <c r="S70" s="89"/>
      <c r="U70" s="38">
        <f t="shared" si="17"/>
        <v>45170</v>
      </c>
      <c r="V70" s="88"/>
      <c r="W70" s="89"/>
      <c r="X70" s="89"/>
      <c r="Y70" s="89"/>
      <c r="Z70" s="89"/>
      <c r="AA70" s="89"/>
      <c r="AB70" s="89"/>
      <c r="AC70" s="89"/>
      <c r="AE70" s="38">
        <f t="shared" si="18"/>
        <v>45170</v>
      </c>
      <c r="AF70" s="88"/>
      <c r="AG70" s="89"/>
      <c r="AH70" s="89"/>
      <c r="AI70" s="89"/>
      <c r="AJ70" s="89"/>
      <c r="AK70" s="89"/>
      <c r="AL70" s="89"/>
      <c r="AM70" s="89"/>
    </row>
    <row r="71" spans="1:39" ht="16.5" customHeight="1" x14ac:dyDescent="0.15">
      <c r="A71" s="38">
        <v>45171</v>
      </c>
      <c r="B71" s="88"/>
      <c r="C71" s="89"/>
      <c r="D71" s="89"/>
      <c r="E71" s="89"/>
      <c r="F71" s="89"/>
      <c r="G71" s="89"/>
      <c r="H71" s="89"/>
      <c r="I71" s="89"/>
      <c r="K71" s="38">
        <f t="shared" si="16"/>
        <v>45171</v>
      </c>
      <c r="L71" s="88"/>
      <c r="M71" s="89"/>
      <c r="N71" s="89"/>
      <c r="O71" s="89"/>
      <c r="P71" s="89"/>
      <c r="Q71" s="89"/>
      <c r="R71" s="89"/>
      <c r="S71" s="89"/>
      <c r="U71" s="38">
        <f t="shared" si="17"/>
        <v>45171</v>
      </c>
      <c r="V71" s="88"/>
      <c r="W71" s="89"/>
      <c r="X71" s="89"/>
      <c r="Y71" s="89"/>
      <c r="Z71" s="89"/>
      <c r="AA71" s="89"/>
      <c r="AB71" s="89"/>
      <c r="AC71" s="89"/>
      <c r="AE71" s="38">
        <f t="shared" si="18"/>
        <v>45171</v>
      </c>
      <c r="AF71" s="88"/>
      <c r="AG71" s="89"/>
      <c r="AH71" s="89"/>
      <c r="AI71" s="89"/>
      <c r="AJ71" s="89"/>
      <c r="AK71" s="89"/>
      <c r="AL71" s="89"/>
      <c r="AM71" s="89"/>
    </row>
    <row r="72" spans="1:39" ht="16.5" customHeight="1" x14ac:dyDescent="0.15">
      <c r="A72" s="38">
        <v>45172</v>
      </c>
      <c r="B72" s="88"/>
      <c r="C72" s="89"/>
      <c r="D72" s="89"/>
      <c r="E72" s="89"/>
      <c r="F72" s="89"/>
      <c r="G72" s="89"/>
      <c r="H72" s="89"/>
      <c r="I72" s="89"/>
      <c r="K72" s="38">
        <f t="shared" ref="K72:K98" si="19">A72</f>
        <v>45172</v>
      </c>
      <c r="L72" s="88"/>
      <c r="M72" s="89"/>
      <c r="N72" s="89"/>
      <c r="O72" s="89"/>
      <c r="P72" s="89"/>
      <c r="Q72" s="89"/>
      <c r="R72" s="89"/>
      <c r="S72" s="89"/>
      <c r="U72" s="38">
        <f t="shared" ref="U72:U98" si="20">K72</f>
        <v>45172</v>
      </c>
      <c r="V72" s="88"/>
      <c r="W72" s="89"/>
      <c r="X72" s="89"/>
      <c r="Y72" s="89"/>
      <c r="Z72" s="89"/>
      <c r="AA72" s="89"/>
      <c r="AB72" s="89"/>
      <c r="AC72" s="89"/>
      <c r="AE72" s="38">
        <f t="shared" ref="AE72:AE98" si="21">U72</f>
        <v>45172</v>
      </c>
      <c r="AF72" s="88"/>
      <c r="AG72" s="89"/>
      <c r="AH72" s="89"/>
      <c r="AI72" s="89"/>
      <c r="AJ72" s="89"/>
      <c r="AK72" s="89"/>
      <c r="AL72" s="89"/>
      <c r="AM72" s="89"/>
    </row>
    <row r="73" spans="1:39" ht="16.5" customHeight="1" x14ac:dyDescent="0.15">
      <c r="A73" s="38">
        <v>45173</v>
      </c>
      <c r="B73" s="88"/>
      <c r="C73" s="89"/>
      <c r="D73" s="89"/>
      <c r="E73" s="89"/>
      <c r="F73" s="89"/>
      <c r="G73" s="89"/>
      <c r="H73" s="89"/>
      <c r="I73" s="89"/>
      <c r="J73" s="92"/>
      <c r="K73" s="38">
        <f t="shared" si="19"/>
        <v>45173</v>
      </c>
      <c r="L73" s="88"/>
      <c r="M73" s="89"/>
      <c r="N73" s="89"/>
      <c r="O73" s="89"/>
      <c r="P73" s="89"/>
      <c r="Q73" s="89"/>
      <c r="R73" s="89"/>
      <c r="S73" s="89"/>
      <c r="T73" s="92"/>
      <c r="U73" s="38">
        <f t="shared" si="20"/>
        <v>45173</v>
      </c>
      <c r="V73" s="88"/>
      <c r="W73" s="89"/>
      <c r="X73" s="89"/>
      <c r="Y73" s="89"/>
      <c r="Z73" s="89"/>
      <c r="AA73" s="89"/>
      <c r="AB73" s="89"/>
      <c r="AC73" s="89"/>
      <c r="AD73" s="92"/>
      <c r="AE73" s="38">
        <f t="shared" si="21"/>
        <v>45173</v>
      </c>
      <c r="AF73" s="88"/>
      <c r="AG73" s="89"/>
      <c r="AH73" s="89"/>
      <c r="AI73" s="89"/>
      <c r="AJ73" s="89"/>
      <c r="AK73" s="89"/>
      <c r="AL73" s="89"/>
      <c r="AM73" s="89"/>
    </row>
    <row r="74" spans="1:39" ht="16.5" customHeight="1" x14ac:dyDescent="0.15">
      <c r="A74" s="38">
        <v>45174</v>
      </c>
      <c r="B74" s="88"/>
      <c r="C74" s="89"/>
      <c r="D74" s="89"/>
      <c r="E74" s="89"/>
      <c r="F74" s="89"/>
      <c r="G74" s="89"/>
      <c r="H74" s="89"/>
      <c r="I74" s="89"/>
      <c r="K74" s="38">
        <f t="shared" si="19"/>
        <v>45174</v>
      </c>
      <c r="L74" s="88"/>
      <c r="M74" s="89"/>
      <c r="N74" s="89"/>
      <c r="O74" s="89"/>
      <c r="P74" s="89"/>
      <c r="Q74" s="89"/>
      <c r="R74" s="89"/>
      <c r="S74" s="89"/>
      <c r="U74" s="38">
        <f t="shared" si="20"/>
        <v>45174</v>
      </c>
      <c r="V74" s="88"/>
      <c r="W74" s="89"/>
      <c r="X74" s="89"/>
      <c r="Y74" s="89"/>
      <c r="Z74" s="89"/>
      <c r="AA74" s="89"/>
      <c r="AB74" s="89"/>
      <c r="AC74" s="89"/>
      <c r="AE74" s="38">
        <f t="shared" si="21"/>
        <v>45174</v>
      </c>
      <c r="AF74" s="88"/>
      <c r="AG74" s="89"/>
      <c r="AH74" s="89"/>
      <c r="AI74" s="89"/>
      <c r="AJ74" s="89"/>
      <c r="AK74" s="89"/>
      <c r="AL74" s="89"/>
      <c r="AM74" s="89"/>
    </row>
    <row r="75" spans="1:39" ht="16.5" customHeight="1" x14ac:dyDescent="0.15">
      <c r="A75" s="38">
        <v>45175</v>
      </c>
      <c r="B75" s="88"/>
      <c r="C75" s="89"/>
      <c r="D75" s="89"/>
      <c r="E75" s="89"/>
      <c r="F75" s="89"/>
      <c r="G75" s="89"/>
      <c r="H75" s="89"/>
      <c r="I75" s="89"/>
      <c r="K75" s="38">
        <f t="shared" si="19"/>
        <v>45175</v>
      </c>
      <c r="L75" s="88"/>
      <c r="M75" s="89"/>
      <c r="N75" s="89"/>
      <c r="O75" s="89"/>
      <c r="P75" s="89"/>
      <c r="Q75" s="89"/>
      <c r="R75" s="89"/>
      <c r="S75" s="89"/>
      <c r="U75" s="38">
        <f t="shared" si="20"/>
        <v>45175</v>
      </c>
      <c r="V75" s="88"/>
      <c r="W75" s="89"/>
      <c r="X75" s="89"/>
      <c r="Y75" s="89"/>
      <c r="Z75" s="89"/>
      <c r="AA75" s="89"/>
      <c r="AB75" s="89"/>
      <c r="AC75" s="89"/>
      <c r="AE75" s="38">
        <f t="shared" si="21"/>
        <v>45175</v>
      </c>
      <c r="AF75" s="88"/>
      <c r="AG75" s="89"/>
      <c r="AH75" s="89"/>
      <c r="AI75" s="89"/>
      <c r="AJ75" s="89"/>
      <c r="AK75" s="89"/>
      <c r="AL75" s="89"/>
      <c r="AM75" s="89"/>
    </row>
    <row r="76" spans="1:39" ht="16.5" customHeight="1" x14ac:dyDescent="0.15">
      <c r="A76" s="38">
        <v>45176</v>
      </c>
      <c r="B76" s="88"/>
      <c r="C76" s="89"/>
      <c r="D76" s="89"/>
      <c r="E76" s="89"/>
      <c r="F76" s="89"/>
      <c r="G76" s="89"/>
      <c r="H76" s="89"/>
      <c r="I76" s="89"/>
      <c r="K76" s="38">
        <f t="shared" si="19"/>
        <v>45176</v>
      </c>
      <c r="L76" s="88"/>
      <c r="M76" s="89"/>
      <c r="N76" s="89"/>
      <c r="O76" s="89"/>
      <c r="P76" s="89"/>
      <c r="Q76" s="89"/>
      <c r="R76" s="89"/>
      <c r="S76" s="89"/>
      <c r="U76" s="38">
        <f t="shared" si="20"/>
        <v>45176</v>
      </c>
      <c r="V76" s="88"/>
      <c r="W76" s="89"/>
      <c r="X76" s="89"/>
      <c r="Y76" s="89"/>
      <c r="Z76" s="89"/>
      <c r="AA76" s="89"/>
      <c r="AB76" s="89"/>
      <c r="AC76" s="89"/>
      <c r="AE76" s="38">
        <f t="shared" si="21"/>
        <v>45176</v>
      </c>
      <c r="AF76" s="88"/>
      <c r="AG76" s="89"/>
      <c r="AH76" s="89"/>
      <c r="AI76" s="89"/>
      <c r="AJ76" s="89"/>
      <c r="AK76" s="89"/>
      <c r="AL76" s="89"/>
      <c r="AM76" s="89"/>
    </row>
    <row r="77" spans="1:39" ht="16.5" customHeight="1" x14ac:dyDescent="0.15">
      <c r="A77" s="38">
        <v>45177</v>
      </c>
      <c r="B77" s="88"/>
      <c r="C77" s="89"/>
      <c r="D77" s="89"/>
      <c r="E77" s="89"/>
      <c r="F77" s="89"/>
      <c r="G77" s="89"/>
      <c r="H77" s="89"/>
      <c r="I77" s="89"/>
      <c r="K77" s="38">
        <f t="shared" si="19"/>
        <v>45177</v>
      </c>
      <c r="L77" s="88"/>
      <c r="M77" s="89"/>
      <c r="N77" s="89"/>
      <c r="O77" s="89"/>
      <c r="P77" s="89"/>
      <c r="Q77" s="89"/>
      <c r="R77" s="89"/>
      <c r="S77" s="89"/>
      <c r="U77" s="38">
        <f t="shared" si="20"/>
        <v>45177</v>
      </c>
      <c r="V77" s="88"/>
      <c r="W77" s="89"/>
      <c r="X77" s="89"/>
      <c r="Y77" s="89"/>
      <c r="Z77" s="89"/>
      <c r="AA77" s="89"/>
      <c r="AB77" s="89"/>
      <c r="AC77" s="89"/>
      <c r="AE77" s="38">
        <f t="shared" si="21"/>
        <v>45177</v>
      </c>
      <c r="AF77" s="88"/>
      <c r="AG77" s="89"/>
      <c r="AH77" s="89"/>
      <c r="AI77" s="89"/>
      <c r="AJ77" s="89"/>
      <c r="AK77" s="89"/>
      <c r="AL77" s="89"/>
      <c r="AM77" s="89"/>
    </row>
    <row r="78" spans="1:39" ht="16.5" customHeight="1" x14ac:dyDescent="0.15">
      <c r="A78" s="38">
        <v>45178</v>
      </c>
      <c r="B78" s="88"/>
      <c r="C78" s="89"/>
      <c r="D78" s="89"/>
      <c r="E78" s="89"/>
      <c r="F78" s="89"/>
      <c r="G78" s="89"/>
      <c r="H78" s="89"/>
      <c r="I78" s="89"/>
      <c r="K78" s="38">
        <f t="shared" si="19"/>
        <v>45178</v>
      </c>
      <c r="L78" s="88"/>
      <c r="M78" s="89"/>
      <c r="N78" s="89"/>
      <c r="O78" s="89"/>
      <c r="P78" s="89"/>
      <c r="Q78" s="89"/>
      <c r="R78" s="89"/>
      <c r="S78" s="89"/>
      <c r="U78" s="38">
        <f t="shared" si="20"/>
        <v>45178</v>
      </c>
      <c r="V78" s="88"/>
      <c r="W78" s="89"/>
      <c r="X78" s="89"/>
      <c r="Y78" s="89"/>
      <c r="Z78" s="89"/>
      <c r="AA78" s="89"/>
      <c r="AB78" s="89"/>
      <c r="AC78" s="89"/>
      <c r="AE78" s="38">
        <f t="shared" si="21"/>
        <v>45178</v>
      </c>
      <c r="AF78" s="88"/>
      <c r="AG78" s="89"/>
      <c r="AH78" s="89"/>
      <c r="AI78" s="89"/>
      <c r="AJ78" s="89"/>
      <c r="AK78" s="89"/>
      <c r="AL78" s="89"/>
      <c r="AM78" s="89"/>
    </row>
    <row r="79" spans="1:39" ht="16.5" customHeight="1" x14ac:dyDescent="0.15">
      <c r="A79" s="38">
        <v>45179</v>
      </c>
      <c r="B79" s="88"/>
      <c r="C79" s="89"/>
      <c r="D79" s="89"/>
      <c r="E79" s="89"/>
      <c r="F79" s="89"/>
      <c r="G79" s="89"/>
      <c r="H79" s="89"/>
      <c r="I79" s="89"/>
      <c r="K79" s="38">
        <f t="shared" si="19"/>
        <v>45179</v>
      </c>
      <c r="L79" s="88"/>
      <c r="M79" s="89"/>
      <c r="N79" s="89"/>
      <c r="O79" s="89"/>
      <c r="P79" s="89"/>
      <c r="Q79" s="89"/>
      <c r="R79" s="89"/>
      <c r="S79" s="89"/>
      <c r="U79" s="38">
        <f t="shared" si="20"/>
        <v>45179</v>
      </c>
      <c r="V79" s="88"/>
      <c r="W79" s="89"/>
      <c r="X79" s="89"/>
      <c r="Y79" s="89"/>
      <c r="Z79" s="89"/>
      <c r="AA79" s="89"/>
      <c r="AB79" s="89"/>
      <c r="AC79" s="89"/>
      <c r="AE79" s="38">
        <f t="shared" si="21"/>
        <v>45179</v>
      </c>
      <c r="AF79" s="88"/>
      <c r="AG79" s="89"/>
      <c r="AH79" s="89"/>
      <c r="AI79" s="89"/>
      <c r="AJ79" s="89"/>
      <c r="AK79" s="89"/>
      <c r="AL79" s="89"/>
      <c r="AM79" s="89"/>
    </row>
    <row r="80" spans="1:39" ht="16.5" customHeight="1" x14ac:dyDescent="0.15">
      <c r="A80" s="38">
        <v>45180</v>
      </c>
      <c r="B80" s="88"/>
      <c r="C80" s="89"/>
      <c r="D80" s="89"/>
      <c r="E80" s="89"/>
      <c r="F80" s="89"/>
      <c r="G80" s="89"/>
      <c r="H80" s="89"/>
      <c r="I80" s="89"/>
      <c r="K80" s="38">
        <f t="shared" si="19"/>
        <v>45180</v>
      </c>
      <c r="L80" s="88"/>
      <c r="M80" s="89"/>
      <c r="N80" s="89"/>
      <c r="O80" s="89"/>
      <c r="P80" s="89"/>
      <c r="Q80" s="89"/>
      <c r="R80" s="89"/>
      <c r="S80" s="89"/>
      <c r="U80" s="38">
        <f t="shared" si="20"/>
        <v>45180</v>
      </c>
      <c r="V80" s="88"/>
      <c r="W80" s="89"/>
      <c r="X80" s="89"/>
      <c r="Y80" s="89"/>
      <c r="Z80" s="89"/>
      <c r="AA80" s="89"/>
      <c r="AB80" s="89"/>
      <c r="AC80" s="89"/>
      <c r="AE80" s="38">
        <f t="shared" si="21"/>
        <v>45180</v>
      </c>
      <c r="AF80" s="88"/>
      <c r="AG80" s="89"/>
      <c r="AH80" s="89"/>
      <c r="AI80" s="89"/>
      <c r="AJ80" s="89"/>
      <c r="AK80" s="89"/>
      <c r="AL80" s="89"/>
      <c r="AM80" s="89"/>
    </row>
    <row r="81" spans="1:39" ht="16.5" customHeight="1" x14ac:dyDescent="0.15">
      <c r="A81" s="38">
        <v>45181</v>
      </c>
      <c r="B81" s="88"/>
      <c r="C81" s="89"/>
      <c r="D81" s="89"/>
      <c r="E81" s="89"/>
      <c r="F81" s="89"/>
      <c r="G81" s="89"/>
      <c r="H81" s="89"/>
      <c r="I81" s="89"/>
      <c r="K81" s="38">
        <f t="shared" si="19"/>
        <v>45181</v>
      </c>
      <c r="L81" s="88"/>
      <c r="M81" s="89"/>
      <c r="N81" s="89"/>
      <c r="O81" s="89"/>
      <c r="P81" s="89"/>
      <c r="Q81" s="89"/>
      <c r="R81" s="89"/>
      <c r="S81" s="89"/>
      <c r="U81" s="38">
        <f t="shared" si="20"/>
        <v>45181</v>
      </c>
      <c r="V81" s="88"/>
      <c r="W81" s="89"/>
      <c r="X81" s="89"/>
      <c r="Y81" s="89"/>
      <c r="Z81" s="89"/>
      <c r="AA81" s="89"/>
      <c r="AB81" s="89"/>
      <c r="AC81" s="89"/>
      <c r="AE81" s="38">
        <f t="shared" si="21"/>
        <v>45181</v>
      </c>
      <c r="AF81" s="88"/>
      <c r="AG81" s="89"/>
      <c r="AH81" s="89"/>
      <c r="AI81" s="89"/>
      <c r="AJ81" s="89"/>
      <c r="AK81" s="89"/>
      <c r="AL81" s="89"/>
      <c r="AM81" s="89"/>
    </row>
    <row r="82" spans="1:39" ht="16.5" customHeight="1" x14ac:dyDescent="0.15">
      <c r="A82" s="38">
        <v>45182</v>
      </c>
      <c r="B82" s="88"/>
      <c r="C82" s="89"/>
      <c r="D82" s="89"/>
      <c r="E82" s="89"/>
      <c r="F82" s="89"/>
      <c r="G82" s="89"/>
      <c r="H82" s="89"/>
      <c r="I82" s="89"/>
      <c r="K82" s="38">
        <f t="shared" si="19"/>
        <v>45182</v>
      </c>
      <c r="L82" s="88"/>
      <c r="M82" s="89"/>
      <c r="N82" s="89"/>
      <c r="O82" s="89"/>
      <c r="P82" s="89"/>
      <c r="Q82" s="89"/>
      <c r="R82" s="89"/>
      <c r="S82" s="89"/>
      <c r="U82" s="38">
        <f t="shared" si="20"/>
        <v>45182</v>
      </c>
      <c r="V82" s="88"/>
      <c r="W82" s="89"/>
      <c r="X82" s="89"/>
      <c r="Y82" s="89"/>
      <c r="Z82" s="89"/>
      <c r="AA82" s="89"/>
      <c r="AB82" s="89"/>
      <c r="AC82" s="89"/>
      <c r="AE82" s="38">
        <f t="shared" si="21"/>
        <v>45182</v>
      </c>
      <c r="AF82" s="88"/>
      <c r="AG82" s="89"/>
      <c r="AH82" s="89"/>
      <c r="AI82" s="89"/>
      <c r="AJ82" s="89"/>
      <c r="AK82" s="89"/>
      <c r="AL82" s="89"/>
      <c r="AM82" s="89"/>
    </row>
    <row r="83" spans="1:39" ht="16.5" customHeight="1" x14ac:dyDescent="0.15">
      <c r="A83" s="38">
        <v>45183</v>
      </c>
      <c r="B83" s="88"/>
      <c r="C83" s="89"/>
      <c r="D83" s="89"/>
      <c r="E83" s="89"/>
      <c r="F83" s="89"/>
      <c r="G83" s="89"/>
      <c r="H83" s="89"/>
      <c r="I83" s="89"/>
      <c r="K83" s="38">
        <f t="shared" si="19"/>
        <v>45183</v>
      </c>
      <c r="L83" s="88"/>
      <c r="M83" s="89"/>
      <c r="N83" s="89"/>
      <c r="O83" s="89"/>
      <c r="P83" s="89"/>
      <c r="Q83" s="89"/>
      <c r="R83" s="89"/>
      <c r="S83" s="89"/>
      <c r="U83" s="38">
        <f t="shared" si="20"/>
        <v>45183</v>
      </c>
      <c r="V83" s="88"/>
      <c r="W83" s="89"/>
      <c r="X83" s="89"/>
      <c r="Y83" s="89"/>
      <c r="Z83" s="89"/>
      <c r="AA83" s="89"/>
      <c r="AB83" s="89"/>
      <c r="AC83" s="89"/>
      <c r="AE83" s="38">
        <f t="shared" si="21"/>
        <v>45183</v>
      </c>
      <c r="AF83" s="88"/>
      <c r="AG83" s="89"/>
      <c r="AH83" s="89"/>
      <c r="AI83" s="89"/>
      <c r="AJ83" s="89"/>
      <c r="AK83" s="89"/>
      <c r="AL83" s="89"/>
      <c r="AM83" s="89"/>
    </row>
    <row r="84" spans="1:39" ht="16.5" customHeight="1" x14ac:dyDescent="0.15">
      <c r="A84" s="38">
        <v>45184</v>
      </c>
      <c r="B84" s="88"/>
      <c r="C84" s="89"/>
      <c r="D84" s="89"/>
      <c r="E84" s="89"/>
      <c r="F84" s="89"/>
      <c r="G84" s="89"/>
      <c r="H84" s="89"/>
      <c r="I84" s="89"/>
      <c r="K84" s="38">
        <f t="shared" si="19"/>
        <v>45184</v>
      </c>
      <c r="L84" s="88"/>
      <c r="M84" s="89"/>
      <c r="N84" s="89"/>
      <c r="O84" s="89"/>
      <c r="P84" s="89"/>
      <c r="Q84" s="89"/>
      <c r="R84" s="89"/>
      <c r="S84" s="89"/>
      <c r="U84" s="38">
        <f t="shared" si="20"/>
        <v>45184</v>
      </c>
      <c r="V84" s="88"/>
      <c r="W84" s="89"/>
      <c r="X84" s="89"/>
      <c r="Y84" s="89"/>
      <c r="Z84" s="89"/>
      <c r="AA84" s="89"/>
      <c r="AB84" s="89"/>
      <c r="AC84" s="89"/>
      <c r="AE84" s="38">
        <f t="shared" si="21"/>
        <v>45184</v>
      </c>
      <c r="AF84" s="88"/>
      <c r="AG84" s="89"/>
      <c r="AH84" s="89"/>
      <c r="AI84" s="89"/>
      <c r="AJ84" s="89"/>
      <c r="AK84" s="89"/>
      <c r="AL84" s="89"/>
      <c r="AM84" s="89"/>
    </row>
    <row r="85" spans="1:39" ht="16.5" customHeight="1" x14ac:dyDescent="0.15">
      <c r="A85" s="38">
        <v>45185</v>
      </c>
      <c r="B85" s="88"/>
      <c r="C85" s="89"/>
      <c r="D85" s="89"/>
      <c r="E85" s="89"/>
      <c r="F85" s="89"/>
      <c r="G85" s="89"/>
      <c r="H85" s="89"/>
      <c r="I85" s="89"/>
      <c r="K85" s="38">
        <f t="shared" si="19"/>
        <v>45185</v>
      </c>
      <c r="L85" s="88"/>
      <c r="M85" s="89"/>
      <c r="N85" s="89"/>
      <c r="O85" s="89"/>
      <c r="P85" s="89"/>
      <c r="Q85" s="89"/>
      <c r="R85" s="89"/>
      <c r="S85" s="89"/>
      <c r="U85" s="38">
        <f t="shared" si="20"/>
        <v>45185</v>
      </c>
      <c r="V85" s="88"/>
      <c r="W85" s="89"/>
      <c r="X85" s="89"/>
      <c r="Y85" s="89"/>
      <c r="Z85" s="89"/>
      <c r="AA85" s="89"/>
      <c r="AB85" s="89"/>
      <c r="AC85" s="89"/>
      <c r="AE85" s="38">
        <f t="shared" si="21"/>
        <v>45185</v>
      </c>
      <c r="AF85" s="88"/>
      <c r="AG85" s="89"/>
      <c r="AH85" s="89"/>
      <c r="AI85" s="89"/>
      <c r="AJ85" s="89"/>
      <c r="AK85" s="89"/>
      <c r="AL85" s="89"/>
      <c r="AM85" s="89"/>
    </row>
    <row r="86" spans="1:39" ht="16.5" customHeight="1" x14ac:dyDescent="0.15">
      <c r="A86" s="38">
        <v>45186</v>
      </c>
      <c r="B86" s="88"/>
      <c r="C86" s="89"/>
      <c r="D86" s="89"/>
      <c r="E86" s="89"/>
      <c r="F86" s="89"/>
      <c r="G86" s="89"/>
      <c r="H86" s="89"/>
      <c r="I86" s="89"/>
      <c r="K86" s="38">
        <f t="shared" si="19"/>
        <v>45186</v>
      </c>
      <c r="L86" s="88"/>
      <c r="M86" s="89"/>
      <c r="N86" s="89"/>
      <c r="O86" s="89"/>
      <c r="P86" s="89"/>
      <c r="Q86" s="89"/>
      <c r="R86" s="89"/>
      <c r="S86" s="89"/>
      <c r="U86" s="38">
        <f t="shared" si="20"/>
        <v>45186</v>
      </c>
      <c r="V86" s="88"/>
      <c r="W86" s="89"/>
      <c r="X86" s="89"/>
      <c r="Y86" s="89"/>
      <c r="Z86" s="89"/>
      <c r="AA86" s="89"/>
      <c r="AB86" s="89"/>
      <c r="AC86" s="89"/>
      <c r="AE86" s="38">
        <f t="shared" si="21"/>
        <v>45186</v>
      </c>
      <c r="AF86" s="88"/>
      <c r="AG86" s="89"/>
      <c r="AH86" s="89"/>
      <c r="AI86" s="89"/>
      <c r="AJ86" s="89"/>
      <c r="AK86" s="89"/>
      <c r="AL86" s="89"/>
      <c r="AM86" s="89"/>
    </row>
    <row r="87" spans="1:39" ht="16.5" customHeight="1" x14ac:dyDescent="0.15">
      <c r="A87" s="38">
        <v>45187</v>
      </c>
      <c r="B87" s="88"/>
      <c r="C87" s="89"/>
      <c r="D87" s="89"/>
      <c r="E87" s="89"/>
      <c r="F87" s="89"/>
      <c r="G87" s="89"/>
      <c r="H87" s="89"/>
      <c r="I87" s="89"/>
      <c r="K87" s="38">
        <f t="shared" si="19"/>
        <v>45187</v>
      </c>
      <c r="L87" s="88"/>
      <c r="M87" s="89"/>
      <c r="N87" s="89"/>
      <c r="O87" s="89"/>
      <c r="P87" s="89"/>
      <c r="Q87" s="89"/>
      <c r="R87" s="89"/>
      <c r="S87" s="89"/>
      <c r="U87" s="38">
        <f t="shared" si="20"/>
        <v>45187</v>
      </c>
      <c r="V87" s="88"/>
      <c r="W87" s="89"/>
      <c r="X87" s="89"/>
      <c r="Y87" s="89"/>
      <c r="Z87" s="89"/>
      <c r="AA87" s="89"/>
      <c r="AB87" s="89"/>
      <c r="AC87" s="89"/>
      <c r="AE87" s="38">
        <f t="shared" si="21"/>
        <v>45187</v>
      </c>
      <c r="AF87" s="88"/>
      <c r="AG87" s="89"/>
      <c r="AH87" s="89"/>
      <c r="AI87" s="89"/>
      <c r="AJ87" s="89"/>
      <c r="AK87" s="89"/>
      <c r="AL87" s="89"/>
      <c r="AM87" s="89"/>
    </row>
    <row r="88" spans="1:39" ht="16.5" customHeight="1" x14ac:dyDescent="0.15">
      <c r="A88" s="38">
        <v>45188</v>
      </c>
      <c r="B88" s="88"/>
      <c r="C88" s="89"/>
      <c r="D88" s="89"/>
      <c r="E88" s="89"/>
      <c r="F88" s="89"/>
      <c r="G88" s="89"/>
      <c r="H88" s="89"/>
      <c r="I88" s="89"/>
      <c r="K88" s="38">
        <f t="shared" si="19"/>
        <v>45188</v>
      </c>
      <c r="L88" s="88"/>
      <c r="M88" s="89"/>
      <c r="N88" s="89"/>
      <c r="O88" s="89"/>
      <c r="P88" s="89"/>
      <c r="Q88" s="89"/>
      <c r="R88" s="89"/>
      <c r="S88" s="89"/>
      <c r="U88" s="38">
        <f t="shared" si="20"/>
        <v>45188</v>
      </c>
      <c r="V88" s="88"/>
      <c r="W88" s="89"/>
      <c r="X88" s="89"/>
      <c r="Y88" s="89"/>
      <c r="Z88" s="89"/>
      <c r="AA88" s="89"/>
      <c r="AB88" s="89"/>
      <c r="AC88" s="89"/>
      <c r="AE88" s="38">
        <f t="shared" si="21"/>
        <v>45188</v>
      </c>
      <c r="AF88" s="88"/>
      <c r="AG88" s="89"/>
      <c r="AH88" s="89"/>
      <c r="AI88" s="89"/>
      <c r="AJ88" s="89"/>
      <c r="AK88" s="89"/>
      <c r="AL88" s="89"/>
      <c r="AM88" s="89"/>
    </row>
    <row r="89" spans="1:39" ht="16.5" customHeight="1" x14ac:dyDescent="0.15">
      <c r="A89" s="38">
        <v>45189</v>
      </c>
      <c r="B89" s="88"/>
      <c r="C89" s="89"/>
      <c r="D89" s="89"/>
      <c r="E89" s="89"/>
      <c r="F89" s="89"/>
      <c r="G89" s="89"/>
      <c r="H89" s="89"/>
      <c r="I89" s="89"/>
      <c r="K89" s="38">
        <f t="shared" si="19"/>
        <v>45189</v>
      </c>
      <c r="L89" s="88"/>
      <c r="M89" s="89"/>
      <c r="N89" s="89"/>
      <c r="O89" s="89"/>
      <c r="P89" s="89"/>
      <c r="Q89" s="89"/>
      <c r="R89" s="89"/>
      <c r="S89" s="89"/>
      <c r="U89" s="38">
        <f t="shared" si="20"/>
        <v>45189</v>
      </c>
      <c r="V89" s="88"/>
      <c r="W89" s="89"/>
      <c r="X89" s="89"/>
      <c r="Y89" s="89"/>
      <c r="Z89" s="89"/>
      <c r="AA89" s="89"/>
      <c r="AB89" s="89"/>
      <c r="AC89" s="89"/>
      <c r="AE89" s="38">
        <f t="shared" si="21"/>
        <v>45189</v>
      </c>
      <c r="AF89" s="88"/>
      <c r="AG89" s="89"/>
      <c r="AH89" s="89"/>
      <c r="AI89" s="89"/>
      <c r="AJ89" s="89"/>
      <c r="AK89" s="89"/>
      <c r="AL89" s="89"/>
      <c r="AM89" s="89"/>
    </row>
    <row r="90" spans="1:39" ht="16.5" customHeight="1" x14ac:dyDescent="0.15">
      <c r="A90" s="38">
        <v>45190</v>
      </c>
      <c r="B90" s="88"/>
      <c r="C90" s="89"/>
      <c r="D90" s="89"/>
      <c r="E90" s="89"/>
      <c r="F90" s="89"/>
      <c r="G90" s="89"/>
      <c r="H90" s="89"/>
      <c r="I90" s="89"/>
      <c r="K90" s="38">
        <f t="shared" si="19"/>
        <v>45190</v>
      </c>
      <c r="L90" s="88"/>
      <c r="M90" s="89"/>
      <c r="N90" s="89"/>
      <c r="O90" s="89"/>
      <c r="P90" s="89"/>
      <c r="Q90" s="89"/>
      <c r="R90" s="89"/>
      <c r="S90" s="89"/>
      <c r="U90" s="38">
        <f t="shared" si="20"/>
        <v>45190</v>
      </c>
      <c r="V90" s="88"/>
      <c r="W90" s="89"/>
      <c r="X90" s="89"/>
      <c r="Y90" s="89"/>
      <c r="Z90" s="89"/>
      <c r="AA90" s="89"/>
      <c r="AB90" s="89"/>
      <c r="AC90" s="89"/>
      <c r="AE90" s="38">
        <f t="shared" si="21"/>
        <v>45190</v>
      </c>
      <c r="AF90" s="88"/>
      <c r="AG90" s="89"/>
      <c r="AH90" s="89"/>
      <c r="AI90" s="89"/>
      <c r="AJ90" s="89"/>
      <c r="AK90" s="89"/>
      <c r="AL90" s="89"/>
      <c r="AM90" s="89"/>
    </row>
    <row r="91" spans="1:39" ht="16.5" customHeight="1" x14ac:dyDescent="0.15">
      <c r="A91" s="38">
        <v>45191</v>
      </c>
      <c r="B91" s="88"/>
      <c r="C91" s="89"/>
      <c r="D91" s="89"/>
      <c r="E91" s="89"/>
      <c r="F91" s="89"/>
      <c r="G91" s="89"/>
      <c r="H91" s="89"/>
      <c r="I91" s="89"/>
      <c r="K91" s="38">
        <f t="shared" si="19"/>
        <v>45191</v>
      </c>
      <c r="L91" s="88"/>
      <c r="M91" s="89"/>
      <c r="N91" s="89"/>
      <c r="O91" s="89"/>
      <c r="P91" s="89"/>
      <c r="Q91" s="89"/>
      <c r="R91" s="89"/>
      <c r="S91" s="89"/>
      <c r="U91" s="38">
        <f t="shared" si="20"/>
        <v>45191</v>
      </c>
      <c r="V91" s="88"/>
      <c r="W91" s="89"/>
      <c r="X91" s="89"/>
      <c r="Y91" s="89"/>
      <c r="Z91" s="89"/>
      <c r="AA91" s="89"/>
      <c r="AB91" s="89"/>
      <c r="AC91" s="89"/>
      <c r="AE91" s="38">
        <f t="shared" si="21"/>
        <v>45191</v>
      </c>
      <c r="AF91" s="88"/>
      <c r="AG91" s="89"/>
      <c r="AH91" s="89"/>
      <c r="AI91" s="89"/>
      <c r="AJ91" s="89"/>
      <c r="AK91" s="89"/>
      <c r="AL91" s="89"/>
      <c r="AM91" s="89"/>
    </row>
    <row r="92" spans="1:39" ht="16.5" customHeight="1" x14ac:dyDescent="0.15">
      <c r="A92" s="38">
        <v>45192</v>
      </c>
      <c r="B92" s="88"/>
      <c r="C92" s="89"/>
      <c r="D92" s="89"/>
      <c r="E92" s="89"/>
      <c r="F92" s="89"/>
      <c r="G92" s="89"/>
      <c r="H92" s="89"/>
      <c r="I92" s="89"/>
      <c r="K92" s="38">
        <f t="shared" si="19"/>
        <v>45192</v>
      </c>
      <c r="L92" s="88"/>
      <c r="M92" s="89"/>
      <c r="N92" s="89"/>
      <c r="O92" s="89"/>
      <c r="P92" s="89"/>
      <c r="Q92" s="89"/>
      <c r="R92" s="89"/>
      <c r="S92" s="89"/>
      <c r="U92" s="38">
        <f t="shared" si="20"/>
        <v>45192</v>
      </c>
      <c r="V92" s="88"/>
      <c r="W92" s="89"/>
      <c r="X92" s="89"/>
      <c r="Y92" s="89"/>
      <c r="Z92" s="89"/>
      <c r="AA92" s="89"/>
      <c r="AB92" s="89"/>
      <c r="AC92" s="89"/>
      <c r="AE92" s="38">
        <f t="shared" si="21"/>
        <v>45192</v>
      </c>
      <c r="AF92" s="88"/>
      <c r="AG92" s="89"/>
      <c r="AH92" s="89"/>
      <c r="AI92" s="89"/>
      <c r="AJ92" s="89"/>
      <c r="AK92" s="89"/>
      <c r="AL92" s="89"/>
      <c r="AM92" s="89"/>
    </row>
    <row r="93" spans="1:39" ht="16.5" customHeight="1" x14ac:dyDescent="0.15">
      <c r="A93" s="38">
        <v>45193</v>
      </c>
      <c r="B93" s="88"/>
      <c r="C93" s="89"/>
      <c r="D93" s="89"/>
      <c r="E93" s="89"/>
      <c r="F93" s="89"/>
      <c r="G93" s="89"/>
      <c r="H93" s="89"/>
      <c r="I93" s="89"/>
      <c r="K93" s="38">
        <f t="shared" si="19"/>
        <v>45193</v>
      </c>
      <c r="L93" s="88"/>
      <c r="M93" s="89"/>
      <c r="N93" s="89"/>
      <c r="O93" s="89"/>
      <c r="P93" s="89"/>
      <c r="Q93" s="89"/>
      <c r="R93" s="89"/>
      <c r="S93" s="89"/>
      <c r="U93" s="38">
        <f t="shared" si="20"/>
        <v>45193</v>
      </c>
      <c r="V93" s="88"/>
      <c r="W93" s="89"/>
      <c r="X93" s="89"/>
      <c r="Y93" s="89"/>
      <c r="Z93" s="89"/>
      <c r="AA93" s="89"/>
      <c r="AB93" s="89"/>
      <c r="AC93" s="89"/>
      <c r="AE93" s="38">
        <f t="shared" si="21"/>
        <v>45193</v>
      </c>
      <c r="AF93" s="88"/>
      <c r="AG93" s="89"/>
      <c r="AH93" s="89"/>
      <c r="AI93" s="89"/>
      <c r="AJ93" s="89"/>
      <c r="AK93" s="89"/>
      <c r="AL93" s="89"/>
      <c r="AM93" s="89"/>
    </row>
    <row r="94" spans="1:39" ht="16.5" customHeight="1" x14ac:dyDescent="0.15">
      <c r="A94" s="38">
        <v>45194</v>
      </c>
      <c r="B94" s="88"/>
      <c r="C94" s="89"/>
      <c r="D94" s="89"/>
      <c r="E94" s="89"/>
      <c r="F94" s="89"/>
      <c r="G94" s="89"/>
      <c r="H94" s="89"/>
      <c r="I94" s="89"/>
      <c r="K94" s="38">
        <f t="shared" si="19"/>
        <v>45194</v>
      </c>
      <c r="L94" s="88"/>
      <c r="M94" s="89"/>
      <c r="N94" s="89"/>
      <c r="O94" s="89"/>
      <c r="P94" s="89"/>
      <c r="Q94" s="89"/>
      <c r="R94" s="89"/>
      <c r="S94" s="89"/>
      <c r="U94" s="38">
        <f t="shared" si="20"/>
        <v>45194</v>
      </c>
      <c r="V94" s="88"/>
      <c r="W94" s="89"/>
      <c r="X94" s="89"/>
      <c r="Y94" s="89"/>
      <c r="Z94" s="89"/>
      <c r="AA94" s="89"/>
      <c r="AB94" s="89"/>
      <c r="AC94" s="89"/>
      <c r="AE94" s="38">
        <f t="shared" si="21"/>
        <v>45194</v>
      </c>
      <c r="AF94" s="88"/>
      <c r="AG94" s="89"/>
      <c r="AH94" s="89"/>
      <c r="AI94" s="89"/>
      <c r="AJ94" s="89"/>
      <c r="AK94" s="89"/>
      <c r="AL94" s="89"/>
      <c r="AM94" s="89"/>
    </row>
    <row r="95" spans="1:39" ht="16.5" customHeight="1" x14ac:dyDescent="0.15">
      <c r="A95" s="38">
        <v>45195</v>
      </c>
      <c r="B95" s="88"/>
      <c r="C95" s="89"/>
      <c r="D95" s="89"/>
      <c r="E95" s="89"/>
      <c r="F95" s="89"/>
      <c r="G95" s="89"/>
      <c r="H95" s="89"/>
      <c r="I95" s="89"/>
      <c r="K95" s="38">
        <f t="shared" si="19"/>
        <v>45195</v>
      </c>
      <c r="L95" s="88"/>
      <c r="M95" s="89"/>
      <c r="N95" s="89"/>
      <c r="O95" s="89"/>
      <c r="P95" s="89"/>
      <c r="Q95" s="89"/>
      <c r="R95" s="89"/>
      <c r="S95" s="89"/>
      <c r="U95" s="38">
        <f t="shared" si="20"/>
        <v>45195</v>
      </c>
      <c r="V95" s="88"/>
      <c r="W95" s="89"/>
      <c r="X95" s="89"/>
      <c r="Y95" s="89"/>
      <c r="Z95" s="89"/>
      <c r="AA95" s="89"/>
      <c r="AB95" s="89"/>
      <c r="AC95" s="89"/>
      <c r="AE95" s="38">
        <f t="shared" si="21"/>
        <v>45195</v>
      </c>
      <c r="AF95" s="88"/>
      <c r="AG95" s="89"/>
      <c r="AH95" s="89"/>
      <c r="AI95" s="89"/>
      <c r="AJ95" s="89"/>
      <c r="AK95" s="89"/>
      <c r="AL95" s="89"/>
      <c r="AM95" s="89"/>
    </row>
    <row r="96" spans="1:39" ht="16.5" customHeight="1" x14ac:dyDescent="0.15">
      <c r="A96" s="38">
        <v>45196</v>
      </c>
      <c r="B96" s="88"/>
      <c r="C96" s="89"/>
      <c r="D96" s="89"/>
      <c r="E96" s="89"/>
      <c r="F96" s="89"/>
      <c r="G96" s="89"/>
      <c r="H96" s="89"/>
      <c r="I96" s="89"/>
      <c r="K96" s="38">
        <f t="shared" si="19"/>
        <v>45196</v>
      </c>
      <c r="L96" s="88"/>
      <c r="M96" s="89"/>
      <c r="N96" s="89"/>
      <c r="O96" s="89"/>
      <c r="P96" s="89"/>
      <c r="Q96" s="89"/>
      <c r="R96" s="89"/>
      <c r="S96" s="89"/>
      <c r="U96" s="38">
        <f t="shared" si="20"/>
        <v>45196</v>
      </c>
      <c r="V96" s="88"/>
      <c r="W96" s="89"/>
      <c r="X96" s="89"/>
      <c r="Y96" s="89"/>
      <c r="Z96" s="89"/>
      <c r="AA96" s="89"/>
      <c r="AB96" s="89"/>
      <c r="AC96" s="89"/>
      <c r="AE96" s="38">
        <f t="shared" si="21"/>
        <v>45196</v>
      </c>
      <c r="AF96" s="88"/>
      <c r="AG96" s="89"/>
      <c r="AH96" s="89"/>
      <c r="AI96" s="89"/>
      <c r="AJ96" s="89"/>
      <c r="AK96" s="89"/>
      <c r="AL96" s="89"/>
      <c r="AM96" s="89"/>
    </row>
    <row r="97" spans="1:39" ht="16.5" customHeight="1" x14ac:dyDescent="0.15">
      <c r="A97" s="38">
        <v>45197</v>
      </c>
      <c r="B97" s="88"/>
      <c r="C97" s="89"/>
      <c r="D97" s="89"/>
      <c r="E97" s="89"/>
      <c r="F97" s="89"/>
      <c r="G97" s="89"/>
      <c r="H97" s="89"/>
      <c r="I97" s="89"/>
      <c r="K97" s="38">
        <f t="shared" si="19"/>
        <v>45197</v>
      </c>
      <c r="L97" s="88"/>
      <c r="M97" s="89"/>
      <c r="N97" s="89"/>
      <c r="O97" s="89"/>
      <c r="P97" s="89"/>
      <c r="Q97" s="89"/>
      <c r="R97" s="89"/>
      <c r="S97" s="89"/>
      <c r="U97" s="38">
        <f t="shared" si="20"/>
        <v>45197</v>
      </c>
      <c r="V97" s="88"/>
      <c r="W97" s="89"/>
      <c r="X97" s="89"/>
      <c r="Y97" s="89"/>
      <c r="Z97" s="89"/>
      <c r="AA97" s="89"/>
      <c r="AB97" s="89"/>
      <c r="AC97" s="89"/>
      <c r="AE97" s="38">
        <f t="shared" si="21"/>
        <v>45197</v>
      </c>
      <c r="AF97" s="88"/>
      <c r="AG97" s="89"/>
      <c r="AH97" s="89"/>
      <c r="AI97" s="89"/>
      <c r="AJ97" s="89"/>
      <c r="AK97" s="89"/>
      <c r="AL97" s="89"/>
      <c r="AM97" s="89"/>
    </row>
    <row r="98" spans="1:39" ht="16.5" customHeight="1" x14ac:dyDescent="0.15">
      <c r="A98" s="38">
        <v>45198</v>
      </c>
      <c r="B98" s="88"/>
      <c r="C98" s="89"/>
      <c r="D98" s="89"/>
      <c r="E98" s="89"/>
      <c r="F98" s="89"/>
      <c r="G98" s="89"/>
      <c r="H98" s="89"/>
      <c r="I98" s="89"/>
      <c r="K98" s="38">
        <f t="shared" si="19"/>
        <v>45198</v>
      </c>
      <c r="L98" s="88"/>
      <c r="M98" s="89"/>
      <c r="N98" s="89"/>
      <c r="O98" s="89"/>
      <c r="P98" s="89"/>
      <c r="Q98" s="89"/>
      <c r="R98" s="89"/>
      <c r="S98" s="89"/>
      <c r="U98" s="38">
        <f t="shared" si="20"/>
        <v>45198</v>
      </c>
      <c r="V98" s="88"/>
      <c r="W98" s="89"/>
      <c r="X98" s="89"/>
      <c r="Y98" s="89"/>
      <c r="Z98" s="89"/>
      <c r="AA98" s="89"/>
      <c r="AB98" s="89"/>
      <c r="AC98" s="89"/>
      <c r="AE98" s="38">
        <f t="shared" si="21"/>
        <v>45198</v>
      </c>
      <c r="AF98" s="88"/>
      <c r="AG98" s="89"/>
      <c r="AH98" s="89"/>
      <c r="AI98" s="89"/>
      <c r="AJ98" s="89"/>
      <c r="AK98" s="89"/>
      <c r="AL98" s="89"/>
      <c r="AM98" s="89"/>
    </row>
    <row r="99" spans="1:39" ht="16.5" x14ac:dyDescent="0.15">
      <c r="A99" s="38">
        <v>45199</v>
      </c>
      <c r="B99" s="88"/>
      <c r="C99" s="89"/>
      <c r="D99" s="89"/>
      <c r="E99" s="89"/>
      <c r="F99" s="89"/>
      <c r="G99" s="89"/>
      <c r="H99" s="89"/>
      <c r="I99" s="89"/>
      <c r="K99" s="38">
        <f t="shared" ref="K99" si="22">A99</f>
        <v>45199</v>
      </c>
      <c r="L99" s="88"/>
      <c r="M99" s="89"/>
      <c r="N99" s="89"/>
      <c r="O99" s="89"/>
      <c r="P99" s="89"/>
      <c r="Q99" s="89"/>
      <c r="R99" s="89"/>
      <c r="S99" s="89"/>
      <c r="U99" s="38">
        <f t="shared" ref="U99" si="23">K99</f>
        <v>45199</v>
      </c>
      <c r="V99" s="88"/>
      <c r="W99" s="89"/>
      <c r="X99" s="89"/>
      <c r="Y99" s="89"/>
      <c r="Z99" s="89"/>
      <c r="AA99" s="89"/>
      <c r="AB99" s="89"/>
      <c r="AC99" s="89"/>
      <c r="AE99" s="38">
        <f t="shared" ref="AE99" si="24">U99</f>
        <v>45199</v>
      </c>
      <c r="AF99" s="88"/>
      <c r="AG99" s="89"/>
      <c r="AH99" s="89"/>
      <c r="AI99" s="89"/>
      <c r="AJ99" s="89"/>
      <c r="AK99" s="89"/>
      <c r="AL99" s="89"/>
      <c r="AM99" s="89"/>
    </row>
  </sheetData>
  <mergeCells count="20">
    <mergeCell ref="B1:I1"/>
    <mergeCell ref="B2:B3"/>
    <mergeCell ref="I2:I3"/>
    <mergeCell ref="C2:H2"/>
    <mergeCell ref="A1:A3"/>
    <mergeCell ref="K1:K3"/>
    <mergeCell ref="L1:S1"/>
    <mergeCell ref="L2:L3"/>
    <mergeCell ref="M2:R2"/>
    <mergeCell ref="S2:S3"/>
    <mergeCell ref="U1:U3"/>
    <mergeCell ref="V1:AC1"/>
    <mergeCell ref="V2:V3"/>
    <mergeCell ref="W2:AB2"/>
    <mergeCell ref="AC2:AC3"/>
    <mergeCell ref="AE1:AE3"/>
    <mergeCell ref="AF1:AM1"/>
    <mergeCell ref="AF2:AF3"/>
    <mergeCell ref="AG2:AL2"/>
    <mergeCell ref="AM2:AM3"/>
  </mergeCells>
  <phoneticPr fontId="5" type="noConversion"/>
  <conditionalFormatting sqref="A8:A99 K8:K99 U8:U99 AE8:AE99">
    <cfRule type="expression" dxfId="41" priority="13">
      <formula>OR(WEEKDAY(A8,2)=6,WEEKDAY(A8,2)=7)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C2CD2D"/>
  </sheetPr>
  <dimension ref="A1:AB97"/>
  <sheetViews>
    <sheetView showGridLines="0" workbookViewId="0">
      <pane ySplit="5" topLeftCell="A6" activePane="bottomLeft" state="frozen"/>
      <selection activeCell="I50" sqref="I50"/>
      <selection pane="bottomLeft" activeCell="G1" sqref="G1"/>
    </sheetView>
  </sheetViews>
  <sheetFormatPr defaultColWidth="9" defaultRowHeight="16.5" x14ac:dyDescent="0.15"/>
  <cols>
    <col min="1" max="1" width="9" style="8" customWidth="1"/>
    <col min="2" max="6" width="7.875" style="93" customWidth="1"/>
    <col min="7" max="7" width="1.25" style="8" customWidth="1"/>
    <col min="8" max="8" width="9.625" style="8" bestFit="1" customWidth="1"/>
    <col min="9" max="9" width="12.875" style="93" bestFit="1" customWidth="1"/>
    <col min="10" max="10" width="12.125" style="93" customWidth="1"/>
    <col min="11" max="13" width="10.625" style="93" customWidth="1"/>
    <col min="14" max="14" width="1.25" style="8" customWidth="1"/>
    <col min="15" max="15" width="9.625" style="8" bestFit="1" customWidth="1"/>
    <col min="16" max="16" width="9.875" style="1" customWidth="1"/>
    <col min="17" max="20" width="7.875" style="1" customWidth="1"/>
    <col min="21" max="21" width="1.25" style="8" customWidth="1"/>
    <col min="22" max="22" width="11.375" style="8" bestFit="1" customWidth="1"/>
    <col min="23" max="27" width="7.875" style="1" customWidth="1"/>
    <col min="28" max="28" width="1.125" style="8" customWidth="1"/>
    <col min="29" max="49" width="9" style="8" customWidth="1"/>
    <col min="50" max="16384" width="9" style="8"/>
  </cols>
  <sheetData>
    <row r="1" spans="1:27" x14ac:dyDescent="0.15">
      <c r="A1" s="10" t="s">
        <v>51</v>
      </c>
      <c r="B1" s="94" t="s">
        <v>52</v>
      </c>
      <c r="C1" s="94" t="s">
        <v>53</v>
      </c>
      <c r="D1" s="94" t="s">
        <v>54</v>
      </c>
      <c r="E1" s="94" t="s">
        <v>55</v>
      </c>
      <c r="F1" s="94" t="s">
        <v>56</v>
      </c>
      <c r="H1" s="10" t="s">
        <v>57</v>
      </c>
      <c r="I1" s="94" t="s">
        <v>52</v>
      </c>
      <c r="J1" s="94" t="s">
        <v>53</v>
      </c>
      <c r="K1" s="94" t="s">
        <v>54</v>
      </c>
      <c r="L1" s="94" t="s">
        <v>55</v>
      </c>
      <c r="M1" s="94" t="s">
        <v>56</v>
      </c>
      <c r="O1" s="16" t="s">
        <v>58</v>
      </c>
      <c r="P1" s="10" t="s">
        <v>52</v>
      </c>
      <c r="Q1" s="10" t="s">
        <v>53</v>
      </c>
      <c r="R1" s="10" t="s">
        <v>54</v>
      </c>
      <c r="S1" s="10" t="s">
        <v>55</v>
      </c>
      <c r="T1" s="10" t="s">
        <v>56</v>
      </c>
      <c r="V1" s="10" t="s">
        <v>59</v>
      </c>
      <c r="W1" s="10" t="s">
        <v>52</v>
      </c>
      <c r="X1" s="10" t="s">
        <v>53</v>
      </c>
      <c r="Y1" s="10" t="s">
        <v>54</v>
      </c>
      <c r="Z1" s="10" t="s">
        <v>55</v>
      </c>
      <c r="AA1" s="10" t="s">
        <v>56</v>
      </c>
    </row>
    <row r="2" spans="1:27" x14ac:dyDescent="0.15">
      <c r="A2" s="42" t="s">
        <v>70</v>
      </c>
      <c r="B2" s="95">
        <f>SUM(B6:B95)</f>
        <v>0</v>
      </c>
      <c r="C2" s="95">
        <f>SUM(C6:C95)</f>
        <v>0</v>
      </c>
      <c r="D2" s="95">
        <f>SUM(D6:D95)</f>
        <v>0</v>
      </c>
      <c r="E2" s="95">
        <f>SUM(E6:E95)</f>
        <v>0</v>
      </c>
      <c r="F2" s="95">
        <f>SUM(F6:F95)</f>
        <v>0</v>
      </c>
      <c r="H2" s="42" t="s">
        <v>70</v>
      </c>
      <c r="I2" s="95">
        <f>SUM(I6:I95)</f>
        <v>0</v>
      </c>
      <c r="J2" s="95">
        <f>SUM(J6:J95)</f>
        <v>0</v>
      </c>
      <c r="K2" s="95">
        <f>SUM(K6:K95)</f>
        <v>0</v>
      </c>
      <c r="L2" s="95">
        <f>SUM(L6:L95)</f>
        <v>0</v>
      </c>
      <c r="M2" s="95">
        <f>SUM(M6:M95)</f>
        <v>0</v>
      </c>
      <c r="O2" s="42" t="s">
        <v>70</v>
      </c>
      <c r="P2" s="13" t="e">
        <f>IF(I2="","",I2/消费汇总!I3)</f>
        <v>#VALUE!</v>
      </c>
      <c r="Q2" s="13" t="e">
        <f>IF(J2="","",J2/二级地市消费汇总!C4)</f>
        <v>#DIV/0!</v>
      </c>
      <c r="R2" s="13" t="e">
        <f>IF(K2="","",新单数据!K2/二级地市消费汇总!M4)</f>
        <v>#DIV/0!</v>
      </c>
      <c r="S2" s="13" t="e">
        <f>IF(L2="","",L2/二级地市消费汇总!W4)</f>
        <v>#DIV/0!</v>
      </c>
      <c r="T2" s="13" t="e">
        <f>IF(M2="","",M2/二级地市消费汇总!AG4)</f>
        <v>#DIV/0!</v>
      </c>
      <c r="V2" s="42" t="s">
        <v>70</v>
      </c>
      <c r="W2" s="27">
        <f>SUM(W6:W95)</f>
        <v>0</v>
      </c>
      <c r="X2" s="27">
        <f>SUM(X6:X95)</f>
        <v>0</v>
      </c>
      <c r="Y2" s="27">
        <f>SUM(Y6:Y95)</f>
        <v>0</v>
      </c>
      <c r="Z2" s="27">
        <f>SUM(Z6:Z95)</f>
        <v>0</v>
      </c>
      <c r="AA2" s="27">
        <f>SUM(AA6:AA95)</f>
        <v>0</v>
      </c>
    </row>
    <row r="3" spans="1:27" x14ac:dyDescent="0.15">
      <c r="A3" s="11" t="s">
        <v>72</v>
      </c>
      <c r="B3" s="95" t="str">
        <f>IF(B6="","",SUM(B6:B35))</f>
        <v/>
      </c>
      <c r="C3" s="95" t="str">
        <f>IF(C6="","",SUM(C6:C35))</f>
        <v/>
      </c>
      <c r="D3" s="95" t="str">
        <f>IF(D6="","",SUM(D6:D35))</f>
        <v/>
      </c>
      <c r="E3" s="95" t="str">
        <f>IF(E6="","",SUM(E6:E35))</f>
        <v/>
      </c>
      <c r="F3" s="95" t="str">
        <f>IF(F6="","",SUM(F6:F35))</f>
        <v/>
      </c>
      <c r="H3" s="11" t="s">
        <v>72</v>
      </c>
      <c r="I3" s="95" t="str">
        <f>IF(I6="","",SUM(I6:I35))</f>
        <v/>
      </c>
      <c r="J3" s="95" t="str">
        <f>IF(J6="","",SUM(J6:J35))</f>
        <v/>
      </c>
      <c r="K3" s="95" t="str">
        <f>IF(K6="","",SUM(K6:K35))</f>
        <v/>
      </c>
      <c r="L3" s="95" t="str">
        <f>IF(L6="","",SUM(L6:L35))</f>
        <v/>
      </c>
      <c r="M3" s="95" t="str">
        <f>IF(M6="","",SUM(M6:M35))</f>
        <v/>
      </c>
      <c r="O3" s="11" t="s">
        <v>72</v>
      </c>
      <c r="P3" s="13" t="str">
        <f>IF(I3="","",I3/消费汇总!I4)</f>
        <v/>
      </c>
      <c r="Q3" s="13" t="str">
        <f>IF(J3="","",J3/二级地市消费汇总!C5)</f>
        <v/>
      </c>
      <c r="R3" s="13" t="str">
        <f>IF(K3="","",新单数据!K3/二级地市消费汇总!M5)</f>
        <v/>
      </c>
      <c r="S3" s="13" t="str">
        <f>IF(L3="","",L3/二级地市消费汇总!W5)</f>
        <v/>
      </c>
      <c r="T3" s="13" t="str">
        <f>IF(M3="","",M3/二级地市消费汇总!AG5)</f>
        <v/>
      </c>
      <c r="V3" s="11" t="s">
        <v>72</v>
      </c>
      <c r="W3" s="95" t="str">
        <f>IF(W6="","",SUM(W6:W35))</f>
        <v/>
      </c>
      <c r="X3" s="95" t="str">
        <f>IF(X6="","",SUM(X6:X35))</f>
        <v/>
      </c>
      <c r="Y3" s="95" t="str">
        <f>IF(Y6="","",SUM(Y6:Y35))</f>
        <v/>
      </c>
      <c r="Z3" s="95" t="str">
        <f>IF(Z6="","",SUM(Z6:Z35))</f>
        <v/>
      </c>
      <c r="AA3" s="95" t="str">
        <f>IF(AA6="","",SUM(AA6:AA35))</f>
        <v/>
      </c>
    </row>
    <row r="4" spans="1:27" x14ac:dyDescent="0.15">
      <c r="A4" s="11" t="s">
        <v>74</v>
      </c>
      <c r="B4" s="95" t="str">
        <f>IF(B36="","",SUM(B36:B66))</f>
        <v/>
      </c>
      <c r="C4" s="95" t="str">
        <f>IF(C36="","",SUM(C36:C66))</f>
        <v/>
      </c>
      <c r="D4" s="95" t="str">
        <f>IF(D36="","",SUM(D36:D66))</f>
        <v/>
      </c>
      <c r="E4" s="95" t="str">
        <f>IF(E36="","",SUM(E36:E66))</f>
        <v/>
      </c>
      <c r="F4" s="95" t="str">
        <f>IF(F36="","",SUM(F36:F66))</f>
        <v/>
      </c>
      <c r="H4" s="11" t="s">
        <v>74</v>
      </c>
      <c r="I4" s="95" t="str">
        <f>IF(I36="","",SUM(I36:I66))</f>
        <v/>
      </c>
      <c r="J4" s="95" t="str">
        <f>IF(J36="","",SUM(J36:J66))</f>
        <v/>
      </c>
      <c r="K4" s="95" t="str">
        <f>IF(K36="","",SUM(K36:K66))</f>
        <v/>
      </c>
      <c r="L4" s="95" t="str">
        <f>IF(L36="","",SUM(L36:L66))</f>
        <v/>
      </c>
      <c r="M4" s="95" t="str">
        <f>IF(M36="","",SUM(M36:M66))</f>
        <v/>
      </c>
      <c r="O4" s="11" t="s">
        <v>74</v>
      </c>
      <c r="P4" s="13" t="str">
        <f>IF(I4="","",I4/消费汇总!I5)</f>
        <v/>
      </c>
      <c r="Q4" s="13" t="str">
        <f>IF(J4="","",J4/二级地市消费汇总!C6)</f>
        <v/>
      </c>
      <c r="R4" s="13" t="str">
        <f>IF(K4="","",新单数据!K4/二级地市消费汇总!M6)</f>
        <v/>
      </c>
      <c r="S4" s="13" t="str">
        <f>IF(L4="","",L4/二级地市消费汇总!W6)</f>
        <v/>
      </c>
      <c r="T4" s="13" t="str">
        <f>IF(M4="","",M4/二级地市消费汇总!AG6)</f>
        <v/>
      </c>
      <c r="V4" s="11" t="s">
        <v>74</v>
      </c>
      <c r="W4" s="95" t="str">
        <f>IF(W36="","",SUM(W36:W66))</f>
        <v/>
      </c>
      <c r="X4" s="95" t="str">
        <f>IF(X36="","",SUM(X36:X66))</f>
        <v/>
      </c>
      <c r="Y4" s="95" t="str">
        <f>IF(Y36="","",SUM(Y36:Y66))</f>
        <v/>
      </c>
      <c r="Z4" s="95" t="str">
        <f>IF(Z36="","",SUM(Z36:Z66))</f>
        <v/>
      </c>
      <c r="AA4" s="95" t="str">
        <f>IF(AA36="","",SUM(AA36:AA66))</f>
        <v/>
      </c>
    </row>
    <row r="5" spans="1:27" x14ac:dyDescent="0.15">
      <c r="A5" s="11" t="s">
        <v>76</v>
      </c>
      <c r="B5" s="95" t="str">
        <f>IF(B67="","",SUM(B67:B96))</f>
        <v/>
      </c>
      <c r="C5" s="95" t="str">
        <f>IF(C67="","",SUM(C67:C96))</f>
        <v/>
      </c>
      <c r="D5" s="95" t="str">
        <f>IF(D67="","",SUM(D67:D96))</f>
        <v/>
      </c>
      <c r="E5" s="95" t="str">
        <f>IF(E67="","",SUM(E67:E96))</f>
        <v/>
      </c>
      <c r="F5" s="95" t="str">
        <f>IF(F67="","",SUM(F67:F96))</f>
        <v/>
      </c>
      <c r="H5" s="11" t="s">
        <v>76</v>
      </c>
      <c r="I5" s="95" t="str">
        <f>IF(I67="","",SUM(I67:I96))</f>
        <v/>
      </c>
      <c r="J5" s="95" t="str">
        <f>IF(J67="","",SUM(J67:J96))</f>
        <v/>
      </c>
      <c r="K5" s="95" t="str">
        <f>IF(K67="","",SUM(K67:K96))</f>
        <v/>
      </c>
      <c r="L5" s="95" t="str">
        <f>IF(L67="","",SUM(L67:L96))</f>
        <v/>
      </c>
      <c r="M5" s="95" t="str">
        <f>IF(M67="","",SUM(M67:M96))</f>
        <v/>
      </c>
      <c r="O5" s="11" t="s">
        <v>76</v>
      </c>
      <c r="P5" s="13" t="str">
        <f>IF(I5="","",I5/消费汇总!I6)</f>
        <v/>
      </c>
      <c r="Q5" s="13" t="str">
        <f>IF(J5="","",J5/二级地市消费汇总!C7)</f>
        <v/>
      </c>
      <c r="R5" s="13" t="str">
        <f>IF(K5="","",新单数据!K5/二级地市消费汇总!M7)</f>
        <v/>
      </c>
      <c r="S5" s="13" t="str">
        <f>IF(L5="","",L5/二级地市消费汇总!W7)</f>
        <v/>
      </c>
      <c r="T5" s="13" t="str">
        <f>IF(M5="","",M5/二级地市消费汇总!AG7)</f>
        <v/>
      </c>
      <c r="V5" s="11" t="s">
        <v>76</v>
      </c>
      <c r="W5" s="95" t="str">
        <f>IF(W67="","",SUM(W67:W96))</f>
        <v/>
      </c>
      <c r="X5" s="95" t="str">
        <f>IF(X67="","",SUM(X67:X96))</f>
        <v/>
      </c>
      <c r="Y5" s="95" t="str">
        <f>IF(Y67="","",SUM(Y67:Y96))</f>
        <v/>
      </c>
      <c r="Z5" s="95" t="str">
        <f>IF(Z67="","",SUM(Z67:Z96))</f>
        <v/>
      </c>
      <c r="AA5" s="95" t="str">
        <f>IF(AA67="","",SUM(AA67:AA96))</f>
        <v/>
      </c>
    </row>
    <row r="6" spans="1:27" x14ac:dyDescent="0.15">
      <c r="A6" s="38">
        <v>45108</v>
      </c>
      <c r="B6" s="96" t="str">
        <f t="shared" ref="B6:B37" si="0">IF(C6="","",SUM(C6:F6))</f>
        <v/>
      </c>
      <c r="C6" s="97"/>
      <c r="D6" s="98"/>
      <c r="E6" s="98"/>
      <c r="F6" s="98"/>
      <c r="H6" s="38">
        <f t="shared" ref="H6:H69" si="1">A6</f>
        <v>45108</v>
      </c>
      <c r="I6" s="96" t="str">
        <f t="shared" ref="I6:I37" si="2">IF(J6="","",SUM(J6:M6))</f>
        <v/>
      </c>
      <c r="J6" s="50"/>
      <c r="K6" s="50"/>
      <c r="L6" s="50"/>
      <c r="M6" s="50"/>
      <c r="O6" s="38">
        <f t="shared" ref="O6:O69" si="3">H6</f>
        <v>45108</v>
      </c>
      <c r="P6" s="2" t="str">
        <f>IF(I6="","",I6/消费汇总!I7)</f>
        <v/>
      </c>
      <c r="Q6" s="2" t="str">
        <f>IF(J6="","",J6/二级地市消费汇总!C8)</f>
        <v/>
      </c>
      <c r="R6" s="2" t="str">
        <f>IF(K6="","",新单数据!K6/二级地市消费汇总!M8)</f>
        <v/>
      </c>
      <c r="S6" s="2" t="str">
        <f>IF(L6="","",L6/二级地市消费汇总!W8)</f>
        <v/>
      </c>
      <c r="T6" s="2" t="str">
        <f>IF(M6="","",M6/二级地市消费汇总!AG8)</f>
        <v/>
      </c>
      <c r="V6" s="38">
        <f t="shared" ref="V6:V69" si="4">O6</f>
        <v>45108</v>
      </c>
      <c r="W6" s="99" t="str">
        <f t="shared" ref="W6:W37" si="5">IF(X6="","",SUM(X6:AA6))</f>
        <v/>
      </c>
      <c r="X6" s="26"/>
      <c r="Y6" s="26"/>
      <c r="Z6" s="26"/>
      <c r="AA6" s="26"/>
    </row>
    <row r="7" spans="1:27" x14ac:dyDescent="0.15">
      <c r="A7" s="38">
        <v>45109</v>
      </c>
      <c r="B7" s="96" t="str">
        <f t="shared" si="0"/>
        <v/>
      </c>
      <c r="C7" s="97"/>
      <c r="D7" s="98"/>
      <c r="E7" s="98"/>
      <c r="F7" s="98"/>
      <c r="H7" s="38">
        <f t="shared" si="1"/>
        <v>45109</v>
      </c>
      <c r="I7" s="96" t="str">
        <f t="shared" si="2"/>
        <v/>
      </c>
      <c r="J7" s="50"/>
      <c r="K7" s="50"/>
      <c r="L7" s="50"/>
      <c r="M7" s="50"/>
      <c r="O7" s="38">
        <f t="shared" si="3"/>
        <v>45109</v>
      </c>
      <c r="P7" s="2" t="str">
        <f>IF(I7="","",I7/消费汇总!I8)</f>
        <v/>
      </c>
      <c r="Q7" s="2" t="str">
        <f>IF(J7="","",J7/二级地市消费汇总!C9)</f>
        <v/>
      </c>
      <c r="R7" s="2" t="str">
        <f>IF(K7="","",新单数据!K7/二级地市消费汇总!M9)</f>
        <v/>
      </c>
      <c r="S7" s="2" t="str">
        <f>IF(L7="","",L7/二级地市消费汇总!W9)</f>
        <v/>
      </c>
      <c r="T7" s="2" t="str">
        <f>IF(M7="","",M7/二级地市消费汇总!AG9)</f>
        <v/>
      </c>
      <c r="V7" s="38">
        <f t="shared" si="4"/>
        <v>45109</v>
      </c>
      <c r="W7" s="99" t="str">
        <f t="shared" si="5"/>
        <v/>
      </c>
      <c r="X7" s="26"/>
      <c r="Y7" s="26"/>
      <c r="Z7" s="26"/>
      <c r="AA7" s="26"/>
    </row>
    <row r="8" spans="1:27" x14ac:dyDescent="0.15">
      <c r="A8" s="38">
        <v>45110</v>
      </c>
      <c r="B8" s="96" t="str">
        <f t="shared" si="0"/>
        <v/>
      </c>
      <c r="C8" s="97"/>
      <c r="D8" s="98"/>
      <c r="E8" s="98"/>
      <c r="F8" s="98"/>
      <c r="H8" s="38">
        <f t="shared" si="1"/>
        <v>45110</v>
      </c>
      <c r="I8" s="96" t="str">
        <f t="shared" si="2"/>
        <v/>
      </c>
      <c r="J8" s="50"/>
      <c r="K8" s="50"/>
      <c r="L8" s="50"/>
      <c r="M8" s="50"/>
      <c r="O8" s="38">
        <f t="shared" si="3"/>
        <v>45110</v>
      </c>
      <c r="P8" s="2" t="str">
        <f>IF(I8="","",I8/消费汇总!I9)</f>
        <v/>
      </c>
      <c r="Q8" s="2" t="str">
        <f>IF(J8="","",J8/二级地市消费汇总!C10)</f>
        <v/>
      </c>
      <c r="R8" s="2" t="str">
        <f>IF(K8="","",新单数据!K8/二级地市消费汇总!M10)</f>
        <v/>
      </c>
      <c r="S8" s="2" t="str">
        <f>IF(L8="","",L8/二级地市消费汇总!W10)</f>
        <v/>
      </c>
      <c r="T8" s="2" t="str">
        <f>IF(M8="","",M8/二级地市消费汇总!AG10)</f>
        <v/>
      </c>
      <c r="V8" s="38">
        <f t="shared" si="4"/>
        <v>45110</v>
      </c>
      <c r="W8" s="99" t="str">
        <f t="shared" si="5"/>
        <v/>
      </c>
      <c r="X8" s="26"/>
      <c r="Y8" s="26"/>
      <c r="Z8" s="26"/>
      <c r="AA8" s="26"/>
    </row>
    <row r="9" spans="1:27" x14ac:dyDescent="0.15">
      <c r="A9" s="38">
        <v>45111</v>
      </c>
      <c r="B9" s="96" t="str">
        <f t="shared" si="0"/>
        <v/>
      </c>
      <c r="C9" s="97"/>
      <c r="D9" s="98"/>
      <c r="E9" s="98"/>
      <c r="F9" s="98"/>
      <c r="H9" s="38">
        <f t="shared" si="1"/>
        <v>45111</v>
      </c>
      <c r="I9" s="96" t="str">
        <f t="shared" si="2"/>
        <v/>
      </c>
      <c r="J9" s="50"/>
      <c r="K9" s="50"/>
      <c r="L9" s="50"/>
      <c r="M9" s="50"/>
      <c r="O9" s="38">
        <f t="shared" si="3"/>
        <v>45111</v>
      </c>
      <c r="P9" s="2" t="str">
        <f>IF(I9="","",I9/消费汇总!I10)</f>
        <v/>
      </c>
      <c r="Q9" s="2" t="str">
        <f>IF(J9="","",J9/二级地市消费汇总!C11)</f>
        <v/>
      </c>
      <c r="R9" s="2" t="str">
        <f>IF(K9="","",新单数据!K9/二级地市消费汇总!M11)</f>
        <v/>
      </c>
      <c r="S9" s="2" t="str">
        <f>IF(L9="","",L9/二级地市消费汇总!W11)</f>
        <v/>
      </c>
      <c r="T9" s="2" t="str">
        <f>IF(M9="","",M9/二级地市消费汇总!AG11)</f>
        <v/>
      </c>
      <c r="V9" s="38">
        <f t="shared" si="4"/>
        <v>45111</v>
      </c>
      <c r="W9" s="99" t="str">
        <f t="shared" si="5"/>
        <v/>
      </c>
      <c r="X9" s="26"/>
      <c r="Y9" s="26"/>
      <c r="Z9" s="26"/>
      <c r="AA9" s="26"/>
    </row>
    <row r="10" spans="1:27" x14ac:dyDescent="0.15">
      <c r="A10" s="38">
        <v>45112</v>
      </c>
      <c r="B10" s="96" t="str">
        <f t="shared" si="0"/>
        <v/>
      </c>
      <c r="C10" s="97"/>
      <c r="D10" s="98"/>
      <c r="E10" s="98"/>
      <c r="F10" s="98"/>
      <c r="H10" s="38">
        <f t="shared" si="1"/>
        <v>45112</v>
      </c>
      <c r="I10" s="96" t="str">
        <f t="shared" si="2"/>
        <v/>
      </c>
      <c r="J10" s="50"/>
      <c r="K10" s="50"/>
      <c r="L10" s="50"/>
      <c r="M10" s="50"/>
      <c r="O10" s="38">
        <f t="shared" si="3"/>
        <v>45112</v>
      </c>
      <c r="P10" s="2" t="str">
        <f>IF(I10="","",I10/消费汇总!I11)</f>
        <v/>
      </c>
      <c r="Q10" s="2" t="str">
        <f>IF(J10="","",J10/二级地市消费汇总!C12)</f>
        <v/>
      </c>
      <c r="R10" s="2" t="str">
        <f>IF(K10="","",新单数据!K10/二级地市消费汇总!M12)</f>
        <v/>
      </c>
      <c r="S10" s="2" t="str">
        <f>IF(L10="","",L10/二级地市消费汇总!W12)</f>
        <v/>
      </c>
      <c r="T10" s="2" t="str">
        <f>IF(M10="","",M10/二级地市消费汇总!AG12)</f>
        <v/>
      </c>
      <c r="V10" s="38">
        <f t="shared" si="4"/>
        <v>45112</v>
      </c>
      <c r="W10" s="99" t="str">
        <f t="shared" si="5"/>
        <v/>
      </c>
      <c r="X10" s="26"/>
      <c r="Y10" s="26"/>
      <c r="Z10" s="26"/>
      <c r="AA10" s="26"/>
    </row>
    <row r="11" spans="1:27" x14ac:dyDescent="0.15">
      <c r="A11" s="38">
        <v>45113</v>
      </c>
      <c r="B11" s="96" t="str">
        <f t="shared" si="0"/>
        <v/>
      </c>
      <c r="C11" s="97"/>
      <c r="D11" s="98"/>
      <c r="E11" s="98"/>
      <c r="F11" s="98"/>
      <c r="H11" s="38">
        <f t="shared" si="1"/>
        <v>45113</v>
      </c>
      <c r="I11" s="96" t="str">
        <f t="shared" si="2"/>
        <v/>
      </c>
      <c r="J11" s="50"/>
      <c r="K11" s="50"/>
      <c r="L11" s="50"/>
      <c r="M11" s="50"/>
      <c r="O11" s="38">
        <f t="shared" si="3"/>
        <v>45113</v>
      </c>
      <c r="P11" s="2" t="str">
        <f>IF(I11="","",I11/消费汇总!I12)</f>
        <v/>
      </c>
      <c r="Q11" s="2" t="str">
        <f>IF(J11="","",J11/二级地市消费汇总!C13)</f>
        <v/>
      </c>
      <c r="R11" s="2" t="str">
        <f>IF(K11="","",新单数据!K11/二级地市消费汇总!M13)</f>
        <v/>
      </c>
      <c r="S11" s="2" t="str">
        <f>IF(L11="","",L11/二级地市消费汇总!W13)</f>
        <v/>
      </c>
      <c r="T11" s="2" t="str">
        <f>IF(M11="","",M11/二级地市消费汇总!AG13)</f>
        <v/>
      </c>
      <c r="V11" s="38">
        <f t="shared" si="4"/>
        <v>45113</v>
      </c>
      <c r="W11" s="99" t="str">
        <f t="shared" si="5"/>
        <v/>
      </c>
      <c r="X11" s="26"/>
      <c r="Y11" s="26"/>
      <c r="Z11" s="26"/>
      <c r="AA11" s="26"/>
    </row>
    <row r="12" spans="1:27" x14ac:dyDescent="0.15">
      <c r="A12" s="38">
        <v>45114</v>
      </c>
      <c r="B12" s="96" t="str">
        <f t="shared" si="0"/>
        <v/>
      </c>
      <c r="C12" s="97"/>
      <c r="D12" s="98"/>
      <c r="E12" s="98"/>
      <c r="F12" s="98"/>
      <c r="H12" s="38">
        <f t="shared" si="1"/>
        <v>45114</v>
      </c>
      <c r="I12" s="96" t="str">
        <f t="shared" si="2"/>
        <v/>
      </c>
      <c r="J12" s="50"/>
      <c r="K12" s="50"/>
      <c r="L12" s="50"/>
      <c r="M12" s="50"/>
      <c r="O12" s="38">
        <f t="shared" si="3"/>
        <v>45114</v>
      </c>
      <c r="P12" s="2" t="str">
        <f>IF(I12="","",I12/消费汇总!I13)</f>
        <v/>
      </c>
      <c r="Q12" s="2" t="str">
        <f>IF(J12="","",J12/二级地市消费汇总!C14)</f>
        <v/>
      </c>
      <c r="R12" s="2" t="str">
        <f>IF(K12="","",新单数据!K12/二级地市消费汇总!M14)</f>
        <v/>
      </c>
      <c r="S12" s="2" t="str">
        <f>IF(L12="","",L12/二级地市消费汇总!W14)</f>
        <v/>
      </c>
      <c r="T12" s="2" t="str">
        <f>IF(M12="","",M12/二级地市消费汇总!AG14)</f>
        <v/>
      </c>
      <c r="V12" s="38">
        <f t="shared" si="4"/>
        <v>45114</v>
      </c>
      <c r="W12" s="99" t="str">
        <f t="shared" si="5"/>
        <v/>
      </c>
      <c r="X12" s="26"/>
      <c r="Y12" s="26"/>
      <c r="Z12" s="26"/>
      <c r="AA12" s="26"/>
    </row>
    <row r="13" spans="1:27" x14ac:dyDescent="0.15">
      <c r="A13" s="38">
        <v>45115</v>
      </c>
      <c r="B13" s="96" t="str">
        <f t="shared" si="0"/>
        <v/>
      </c>
      <c r="C13" s="97"/>
      <c r="D13" s="98"/>
      <c r="E13" s="98"/>
      <c r="F13" s="98"/>
      <c r="H13" s="38">
        <f t="shared" si="1"/>
        <v>45115</v>
      </c>
      <c r="I13" s="96" t="str">
        <f t="shared" si="2"/>
        <v/>
      </c>
      <c r="J13" s="50"/>
      <c r="K13" s="50"/>
      <c r="L13" s="50"/>
      <c r="M13" s="50"/>
      <c r="O13" s="38">
        <f t="shared" si="3"/>
        <v>45115</v>
      </c>
      <c r="P13" s="2" t="str">
        <f>IF(I13="","",I13/消费汇总!I14)</f>
        <v/>
      </c>
      <c r="Q13" s="2" t="str">
        <f>IF(J13="","",J13/二级地市消费汇总!C15)</f>
        <v/>
      </c>
      <c r="R13" s="2" t="str">
        <f>IF(K13="","",新单数据!K13/二级地市消费汇总!M15)</f>
        <v/>
      </c>
      <c r="S13" s="2" t="str">
        <f>IF(L13="","",L13/二级地市消费汇总!W15)</f>
        <v/>
      </c>
      <c r="T13" s="2" t="str">
        <f>IF(M13="","",M13/二级地市消费汇总!AG15)</f>
        <v/>
      </c>
      <c r="V13" s="38">
        <f t="shared" si="4"/>
        <v>45115</v>
      </c>
      <c r="W13" s="99" t="str">
        <f t="shared" si="5"/>
        <v/>
      </c>
      <c r="X13" s="26"/>
      <c r="Y13" s="26"/>
      <c r="Z13" s="26"/>
      <c r="AA13" s="26"/>
    </row>
    <row r="14" spans="1:27" x14ac:dyDescent="0.15">
      <c r="A14" s="38">
        <v>45116</v>
      </c>
      <c r="B14" s="96" t="str">
        <f t="shared" si="0"/>
        <v/>
      </c>
      <c r="C14" s="97"/>
      <c r="D14" s="98"/>
      <c r="E14" s="98"/>
      <c r="F14" s="98"/>
      <c r="H14" s="38">
        <f t="shared" si="1"/>
        <v>45116</v>
      </c>
      <c r="I14" s="96" t="str">
        <f t="shared" si="2"/>
        <v/>
      </c>
      <c r="J14" s="50"/>
      <c r="K14" s="50"/>
      <c r="L14" s="50"/>
      <c r="M14" s="50"/>
      <c r="O14" s="38">
        <f t="shared" si="3"/>
        <v>45116</v>
      </c>
      <c r="P14" s="2" t="str">
        <f>IF(I14="","",I14/消费汇总!I15)</f>
        <v/>
      </c>
      <c r="Q14" s="2" t="str">
        <f>IF(J14="","",J14/二级地市消费汇总!C16)</f>
        <v/>
      </c>
      <c r="R14" s="2" t="str">
        <f>IF(K14="","",新单数据!K14/二级地市消费汇总!M16)</f>
        <v/>
      </c>
      <c r="S14" s="2" t="str">
        <f>IF(L14="","",L14/二级地市消费汇总!W16)</f>
        <v/>
      </c>
      <c r="T14" s="2" t="str">
        <f>IF(M14="","",M14/二级地市消费汇总!AG16)</f>
        <v/>
      </c>
      <c r="V14" s="38">
        <f t="shared" si="4"/>
        <v>45116</v>
      </c>
      <c r="W14" s="99" t="str">
        <f t="shared" si="5"/>
        <v/>
      </c>
      <c r="X14" s="26"/>
      <c r="Y14" s="26"/>
      <c r="Z14" s="26"/>
      <c r="AA14" s="26"/>
    </row>
    <row r="15" spans="1:27" x14ac:dyDescent="0.15">
      <c r="A15" s="38">
        <v>45117</v>
      </c>
      <c r="B15" s="96" t="str">
        <f t="shared" si="0"/>
        <v/>
      </c>
      <c r="C15" s="97"/>
      <c r="D15" s="98"/>
      <c r="E15" s="98"/>
      <c r="F15" s="98"/>
      <c r="H15" s="38">
        <f t="shared" si="1"/>
        <v>45117</v>
      </c>
      <c r="I15" s="96" t="str">
        <f t="shared" si="2"/>
        <v/>
      </c>
      <c r="J15" s="50"/>
      <c r="K15" s="50"/>
      <c r="L15" s="50"/>
      <c r="M15" s="50"/>
      <c r="O15" s="38">
        <f t="shared" si="3"/>
        <v>45117</v>
      </c>
      <c r="P15" s="2" t="str">
        <f>IF(I15="","",I15/消费汇总!I16)</f>
        <v/>
      </c>
      <c r="Q15" s="2" t="str">
        <f>IF(J15="","",J15/二级地市消费汇总!C17)</f>
        <v/>
      </c>
      <c r="R15" s="2" t="str">
        <f>IF(K15="","",新单数据!K15/二级地市消费汇总!M17)</f>
        <v/>
      </c>
      <c r="S15" s="2" t="str">
        <f>IF(L15="","",L15/二级地市消费汇总!W17)</f>
        <v/>
      </c>
      <c r="T15" s="2" t="str">
        <f>IF(M15="","",M15/二级地市消费汇总!AG17)</f>
        <v/>
      </c>
      <c r="V15" s="38">
        <f t="shared" si="4"/>
        <v>45117</v>
      </c>
      <c r="W15" s="99" t="str">
        <f t="shared" si="5"/>
        <v/>
      </c>
      <c r="X15" s="26"/>
      <c r="Y15" s="26"/>
      <c r="Z15" s="26"/>
      <c r="AA15" s="26"/>
    </row>
    <row r="16" spans="1:27" x14ac:dyDescent="0.15">
      <c r="A16" s="38">
        <v>45118</v>
      </c>
      <c r="B16" s="96" t="str">
        <f t="shared" si="0"/>
        <v/>
      </c>
      <c r="C16" s="97"/>
      <c r="D16" s="98"/>
      <c r="E16" s="98"/>
      <c r="F16" s="98"/>
      <c r="H16" s="38">
        <f t="shared" si="1"/>
        <v>45118</v>
      </c>
      <c r="I16" s="96" t="str">
        <f t="shared" si="2"/>
        <v/>
      </c>
      <c r="J16" s="50"/>
      <c r="K16" s="50"/>
      <c r="L16" s="50"/>
      <c r="M16" s="50"/>
      <c r="O16" s="38">
        <f t="shared" si="3"/>
        <v>45118</v>
      </c>
      <c r="P16" s="2" t="str">
        <f>IF(I16="","",I16/消费汇总!I17)</f>
        <v/>
      </c>
      <c r="Q16" s="2" t="str">
        <f>IF(J16="","",J16/二级地市消费汇总!C18)</f>
        <v/>
      </c>
      <c r="R16" s="2" t="str">
        <f>IF(K16="","",新单数据!K16/二级地市消费汇总!M18)</f>
        <v/>
      </c>
      <c r="S16" s="2" t="str">
        <f>IF(L16="","",L16/二级地市消费汇总!W18)</f>
        <v/>
      </c>
      <c r="T16" s="2" t="str">
        <f>IF(M16="","",M16/二级地市消费汇总!AG18)</f>
        <v/>
      </c>
      <c r="V16" s="38">
        <f t="shared" si="4"/>
        <v>45118</v>
      </c>
      <c r="W16" s="99" t="str">
        <f t="shared" si="5"/>
        <v/>
      </c>
      <c r="X16" s="26"/>
      <c r="Y16" s="26"/>
      <c r="Z16" s="26"/>
      <c r="AA16" s="26"/>
    </row>
    <row r="17" spans="1:27" x14ac:dyDescent="0.15">
      <c r="A17" s="38">
        <v>45119</v>
      </c>
      <c r="B17" s="96" t="str">
        <f t="shared" si="0"/>
        <v/>
      </c>
      <c r="C17" s="98"/>
      <c r="D17" s="98"/>
      <c r="E17" s="98"/>
      <c r="F17" s="98"/>
      <c r="H17" s="38">
        <f t="shared" si="1"/>
        <v>45119</v>
      </c>
      <c r="I17" s="96" t="str">
        <f t="shared" si="2"/>
        <v/>
      </c>
      <c r="J17" s="50"/>
      <c r="K17" s="50"/>
      <c r="L17" s="50"/>
      <c r="M17" s="50"/>
      <c r="O17" s="38">
        <f t="shared" si="3"/>
        <v>45119</v>
      </c>
      <c r="P17" s="2" t="str">
        <f>IF(I17="","",I17/消费汇总!I18)</f>
        <v/>
      </c>
      <c r="Q17" s="2" t="str">
        <f>IF(J17="","",J17/二级地市消费汇总!C19)</f>
        <v/>
      </c>
      <c r="R17" s="2" t="str">
        <f>IF(K17="","",新单数据!K17/二级地市消费汇总!M19)</f>
        <v/>
      </c>
      <c r="S17" s="2" t="str">
        <f>IF(L17="","",L17/二级地市消费汇总!W19)</f>
        <v/>
      </c>
      <c r="T17" s="2" t="str">
        <f>IF(M17="","",M17/二级地市消费汇总!AG19)</f>
        <v/>
      </c>
      <c r="V17" s="38">
        <f t="shared" si="4"/>
        <v>45119</v>
      </c>
      <c r="W17" s="99" t="str">
        <f t="shared" si="5"/>
        <v/>
      </c>
      <c r="X17" s="26"/>
      <c r="Y17" s="26"/>
      <c r="Z17" s="26"/>
      <c r="AA17" s="26"/>
    </row>
    <row r="18" spans="1:27" x14ac:dyDescent="0.15">
      <c r="A18" s="38">
        <v>45120</v>
      </c>
      <c r="B18" s="100" t="str">
        <f t="shared" si="0"/>
        <v/>
      </c>
      <c r="C18" s="101"/>
      <c r="D18" s="101"/>
      <c r="E18" s="101"/>
      <c r="F18" s="101"/>
      <c r="H18" s="38">
        <f t="shared" si="1"/>
        <v>45120</v>
      </c>
      <c r="I18" s="100" t="str">
        <f t="shared" si="2"/>
        <v/>
      </c>
      <c r="J18" s="100"/>
      <c r="K18" s="100"/>
      <c r="L18" s="100"/>
      <c r="M18" s="100"/>
      <c r="O18" s="38">
        <f t="shared" si="3"/>
        <v>45120</v>
      </c>
      <c r="P18" s="2" t="str">
        <f>IF(I18="","",I18/消费汇总!I19)</f>
        <v/>
      </c>
      <c r="Q18" s="2" t="str">
        <f>IF(J18="","",J18/二级地市消费汇总!C20)</f>
        <v/>
      </c>
      <c r="R18" s="2" t="str">
        <f>IF(K18="","",新单数据!K18/二级地市消费汇总!M20)</f>
        <v/>
      </c>
      <c r="S18" s="2" t="str">
        <f>IF(L18="","",L18/二级地市消费汇总!W20)</f>
        <v/>
      </c>
      <c r="T18" s="2" t="str">
        <f>IF(M18="","",M18/二级地市消费汇总!AG20)</f>
        <v/>
      </c>
      <c r="V18" s="38">
        <f t="shared" si="4"/>
        <v>45120</v>
      </c>
      <c r="W18" s="102" t="str">
        <f t="shared" si="5"/>
        <v/>
      </c>
      <c r="X18" s="43"/>
      <c r="Y18" s="43"/>
      <c r="Z18" s="43"/>
      <c r="AA18" s="43"/>
    </row>
    <row r="19" spans="1:27" x14ac:dyDescent="0.15">
      <c r="A19" s="38">
        <v>45121</v>
      </c>
      <c r="B19" s="96" t="str">
        <f t="shared" si="0"/>
        <v/>
      </c>
      <c r="C19" s="98"/>
      <c r="D19" s="98"/>
      <c r="E19" s="98"/>
      <c r="F19" s="98"/>
      <c r="H19" s="38">
        <f t="shared" si="1"/>
        <v>45121</v>
      </c>
      <c r="I19" s="96" t="str">
        <f t="shared" si="2"/>
        <v/>
      </c>
      <c r="J19" s="50"/>
      <c r="K19" s="50"/>
      <c r="L19" s="50"/>
      <c r="M19" s="50"/>
      <c r="O19" s="38">
        <f t="shared" si="3"/>
        <v>45121</v>
      </c>
      <c r="P19" s="2" t="str">
        <f>IF(I19="","",I19/消费汇总!I20)</f>
        <v/>
      </c>
      <c r="Q19" s="2" t="str">
        <f>IF(J19="","",J19/二级地市消费汇总!C21)</f>
        <v/>
      </c>
      <c r="R19" s="2" t="str">
        <f>IF(K19="","",新单数据!K19/二级地市消费汇总!M21)</f>
        <v/>
      </c>
      <c r="S19" s="2" t="str">
        <f>IF(L19="","",L19/二级地市消费汇总!W21)</f>
        <v/>
      </c>
      <c r="T19" s="2" t="str">
        <f>IF(M19="","",M19/二级地市消费汇总!AG21)</f>
        <v/>
      </c>
      <c r="V19" s="38">
        <f t="shared" si="4"/>
        <v>45121</v>
      </c>
      <c r="W19" s="99" t="str">
        <f t="shared" si="5"/>
        <v/>
      </c>
      <c r="X19" s="26"/>
      <c r="Y19" s="26"/>
      <c r="Z19" s="26"/>
      <c r="AA19" s="26"/>
    </row>
    <row r="20" spans="1:27" x14ac:dyDescent="0.15">
      <c r="A20" s="38">
        <v>45122</v>
      </c>
      <c r="B20" s="96" t="str">
        <f t="shared" si="0"/>
        <v/>
      </c>
      <c r="C20" s="103"/>
      <c r="D20" s="98"/>
      <c r="E20" s="98"/>
      <c r="F20" s="98"/>
      <c r="H20" s="38">
        <f t="shared" si="1"/>
        <v>45122</v>
      </c>
      <c r="I20" s="96" t="str">
        <f t="shared" si="2"/>
        <v/>
      </c>
      <c r="J20" s="50"/>
      <c r="K20" s="50"/>
      <c r="L20" s="50"/>
      <c r="M20" s="50"/>
      <c r="O20" s="38">
        <f t="shared" si="3"/>
        <v>45122</v>
      </c>
      <c r="P20" s="2" t="str">
        <f>IF(I20="","",I20/消费汇总!I21)</f>
        <v/>
      </c>
      <c r="Q20" s="2" t="str">
        <f>IF(J20="","",J20/二级地市消费汇总!C22)</f>
        <v/>
      </c>
      <c r="R20" s="2" t="str">
        <f>IF(K20="","",新单数据!K20/二级地市消费汇总!M22)</f>
        <v/>
      </c>
      <c r="S20" s="2" t="str">
        <f>IF(L20="","",L20/二级地市消费汇总!W22)</f>
        <v/>
      </c>
      <c r="T20" s="2" t="str">
        <f>IF(M20="","",M20/二级地市消费汇总!AG22)</f>
        <v/>
      </c>
      <c r="V20" s="38">
        <f t="shared" si="4"/>
        <v>45122</v>
      </c>
      <c r="W20" s="99" t="str">
        <f t="shared" si="5"/>
        <v/>
      </c>
      <c r="X20" s="26"/>
      <c r="Y20" s="26"/>
      <c r="Z20" s="26"/>
      <c r="AA20" s="26"/>
    </row>
    <row r="21" spans="1:27" x14ac:dyDescent="0.15">
      <c r="A21" s="38">
        <v>45123</v>
      </c>
      <c r="B21" s="96" t="str">
        <f t="shared" si="0"/>
        <v/>
      </c>
      <c r="C21" s="98"/>
      <c r="D21" s="98"/>
      <c r="E21" s="98"/>
      <c r="F21" s="98"/>
      <c r="H21" s="38">
        <f t="shared" si="1"/>
        <v>45123</v>
      </c>
      <c r="I21" s="96" t="str">
        <f t="shared" si="2"/>
        <v/>
      </c>
      <c r="J21" s="50"/>
      <c r="K21" s="50"/>
      <c r="L21" s="50"/>
      <c r="M21" s="50"/>
      <c r="O21" s="38">
        <f t="shared" si="3"/>
        <v>45123</v>
      </c>
      <c r="P21" s="2" t="str">
        <f>IF(I21="","",I21/消费汇总!I22)</f>
        <v/>
      </c>
      <c r="Q21" s="2" t="str">
        <f>IF(J21="","",J21/二级地市消费汇总!C23)</f>
        <v/>
      </c>
      <c r="R21" s="2" t="str">
        <f>IF(K21="","",新单数据!K21/二级地市消费汇总!M23)</f>
        <v/>
      </c>
      <c r="S21" s="2" t="str">
        <f>IF(L21="","",L21/二级地市消费汇总!W23)</f>
        <v/>
      </c>
      <c r="T21" s="2" t="str">
        <f>IF(M21="","",M21/二级地市消费汇总!AG23)</f>
        <v/>
      </c>
      <c r="V21" s="38">
        <f t="shared" si="4"/>
        <v>45123</v>
      </c>
      <c r="W21" s="99" t="str">
        <f t="shared" si="5"/>
        <v/>
      </c>
      <c r="X21" s="26"/>
      <c r="Y21" s="26"/>
      <c r="Z21" s="26"/>
      <c r="AA21" s="26"/>
    </row>
    <row r="22" spans="1:27" x14ac:dyDescent="0.15">
      <c r="A22" s="38">
        <v>45124</v>
      </c>
      <c r="B22" s="96" t="str">
        <f t="shared" si="0"/>
        <v/>
      </c>
      <c r="C22" s="98"/>
      <c r="D22" s="98"/>
      <c r="E22" s="98"/>
      <c r="F22" s="98"/>
      <c r="H22" s="38">
        <f t="shared" si="1"/>
        <v>45124</v>
      </c>
      <c r="I22" s="96" t="str">
        <f t="shared" si="2"/>
        <v/>
      </c>
      <c r="J22" s="50"/>
      <c r="K22" s="50"/>
      <c r="L22" s="50"/>
      <c r="M22" s="50"/>
      <c r="O22" s="38">
        <f t="shared" si="3"/>
        <v>45124</v>
      </c>
      <c r="P22" s="2" t="str">
        <f>IF(I22="","",I22/消费汇总!I23)</f>
        <v/>
      </c>
      <c r="Q22" s="2" t="str">
        <f>IF(J22="","",J22/二级地市消费汇总!C24)</f>
        <v/>
      </c>
      <c r="R22" s="2" t="str">
        <f>IF(K22="","",新单数据!K22/二级地市消费汇总!M24)</f>
        <v/>
      </c>
      <c r="S22" s="2" t="str">
        <f>IF(L22="","",L22/二级地市消费汇总!W24)</f>
        <v/>
      </c>
      <c r="T22" s="2" t="str">
        <f>IF(M22="","",M22/二级地市消费汇总!AG24)</f>
        <v/>
      </c>
      <c r="V22" s="38">
        <f t="shared" si="4"/>
        <v>45124</v>
      </c>
      <c r="W22" s="99" t="str">
        <f t="shared" si="5"/>
        <v/>
      </c>
      <c r="X22" s="26"/>
      <c r="Y22" s="26"/>
      <c r="Z22" s="26"/>
      <c r="AA22" s="26"/>
    </row>
    <row r="23" spans="1:27" x14ac:dyDescent="0.15">
      <c r="A23" s="38">
        <v>45125</v>
      </c>
      <c r="B23" s="96" t="str">
        <f t="shared" si="0"/>
        <v/>
      </c>
      <c r="C23" s="98"/>
      <c r="D23" s="98"/>
      <c r="E23" s="98"/>
      <c r="F23" s="98"/>
      <c r="H23" s="38">
        <f t="shared" si="1"/>
        <v>45125</v>
      </c>
      <c r="I23" s="96" t="str">
        <f t="shared" si="2"/>
        <v/>
      </c>
      <c r="J23" s="50"/>
      <c r="K23" s="50"/>
      <c r="L23" s="50"/>
      <c r="M23" s="50"/>
      <c r="O23" s="38">
        <f t="shared" si="3"/>
        <v>45125</v>
      </c>
      <c r="P23" s="2" t="str">
        <f>IF(I23="","",I23/消费汇总!I24)</f>
        <v/>
      </c>
      <c r="Q23" s="2" t="str">
        <f>IF(J23="","",J23/二级地市消费汇总!C25)</f>
        <v/>
      </c>
      <c r="R23" s="2" t="str">
        <f>IF(K23="","",新单数据!K23/二级地市消费汇总!M25)</f>
        <v/>
      </c>
      <c r="S23" s="2" t="str">
        <f>IF(L23="","",L23/二级地市消费汇总!W25)</f>
        <v/>
      </c>
      <c r="T23" s="2" t="str">
        <f>IF(M23="","",M23/二级地市消费汇总!AG25)</f>
        <v/>
      </c>
      <c r="V23" s="38">
        <f t="shared" si="4"/>
        <v>45125</v>
      </c>
      <c r="W23" s="99" t="str">
        <f t="shared" si="5"/>
        <v/>
      </c>
      <c r="X23" s="26"/>
      <c r="Y23" s="26"/>
      <c r="Z23" s="26"/>
      <c r="AA23" s="26"/>
    </row>
    <row r="24" spans="1:27" x14ac:dyDescent="0.15">
      <c r="A24" s="38">
        <v>45126</v>
      </c>
      <c r="B24" s="96" t="str">
        <f t="shared" si="0"/>
        <v/>
      </c>
      <c r="C24" s="98"/>
      <c r="D24" s="98"/>
      <c r="E24" s="98"/>
      <c r="F24" s="98"/>
      <c r="H24" s="38">
        <f t="shared" si="1"/>
        <v>45126</v>
      </c>
      <c r="I24" s="96" t="str">
        <f t="shared" si="2"/>
        <v/>
      </c>
      <c r="J24" s="50"/>
      <c r="K24" s="50"/>
      <c r="L24" s="50"/>
      <c r="M24" s="50"/>
      <c r="O24" s="38">
        <f t="shared" si="3"/>
        <v>45126</v>
      </c>
      <c r="P24" s="2" t="str">
        <f>IF(I24="","",I24/消费汇总!I25)</f>
        <v/>
      </c>
      <c r="Q24" s="2" t="str">
        <f>IF(J24="","",J24/二级地市消费汇总!C26)</f>
        <v/>
      </c>
      <c r="R24" s="2" t="str">
        <f>IF(K24="","",新单数据!K24/二级地市消费汇总!M26)</f>
        <v/>
      </c>
      <c r="S24" s="2" t="str">
        <f>IF(L24="","",L24/二级地市消费汇总!W26)</f>
        <v/>
      </c>
      <c r="T24" s="2" t="str">
        <f>IF(M24="","",M24/二级地市消费汇总!AG26)</f>
        <v/>
      </c>
      <c r="V24" s="38">
        <f t="shared" si="4"/>
        <v>45126</v>
      </c>
      <c r="W24" s="99" t="str">
        <f t="shared" si="5"/>
        <v/>
      </c>
      <c r="X24" s="26"/>
      <c r="Y24" s="26"/>
      <c r="Z24" s="26"/>
      <c r="AA24" s="26"/>
    </row>
    <row r="25" spans="1:27" x14ac:dyDescent="0.15">
      <c r="A25" s="38">
        <v>45127</v>
      </c>
      <c r="B25" s="96" t="str">
        <f t="shared" si="0"/>
        <v/>
      </c>
      <c r="C25" s="98"/>
      <c r="D25" s="98"/>
      <c r="E25" s="98"/>
      <c r="F25" s="98"/>
      <c r="H25" s="38">
        <f t="shared" si="1"/>
        <v>45127</v>
      </c>
      <c r="I25" s="96" t="str">
        <f t="shared" si="2"/>
        <v/>
      </c>
      <c r="J25" s="50"/>
      <c r="K25" s="50"/>
      <c r="L25" s="50"/>
      <c r="M25" s="50"/>
      <c r="O25" s="38">
        <f t="shared" si="3"/>
        <v>45127</v>
      </c>
      <c r="P25" s="2" t="str">
        <f>IF(I25="","",I25/消费汇总!I26)</f>
        <v/>
      </c>
      <c r="Q25" s="2" t="str">
        <f>IF(J25="","",J25/二级地市消费汇总!C27)</f>
        <v/>
      </c>
      <c r="R25" s="2" t="str">
        <f>IF(K25="","",新单数据!K25/二级地市消费汇总!M27)</f>
        <v/>
      </c>
      <c r="S25" s="2" t="str">
        <f>IF(L25="","",L25/二级地市消费汇总!W27)</f>
        <v/>
      </c>
      <c r="T25" s="2" t="str">
        <f>IF(M25="","",M25/二级地市消费汇总!AG27)</f>
        <v/>
      </c>
      <c r="V25" s="38">
        <f t="shared" si="4"/>
        <v>45127</v>
      </c>
      <c r="W25" s="99" t="str">
        <f t="shared" si="5"/>
        <v/>
      </c>
      <c r="X25" s="26"/>
      <c r="Y25" s="26"/>
      <c r="Z25" s="26"/>
      <c r="AA25" s="26"/>
    </row>
    <row r="26" spans="1:27" x14ac:dyDescent="0.15">
      <c r="A26" s="38">
        <v>45128</v>
      </c>
      <c r="B26" s="96" t="str">
        <f t="shared" si="0"/>
        <v/>
      </c>
      <c r="C26" s="98"/>
      <c r="D26" s="98"/>
      <c r="E26" s="98"/>
      <c r="F26" s="98"/>
      <c r="H26" s="38">
        <f t="shared" si="1"/>
        <v>45128</v>
      </c>
      <c r="I26" s="96" t="str">
        <f t="shared" si="2"/>
        <v/>
      </c>
      <c r="J26" s="50"/>
      <c r="K26" s="50"/>
      <c r="L26" s="50"/>
      <c r="M26" s="50"/>
      <c r="O26" s="38">
        <f t="shared" si="3"/>
        <v>45128</v>
      </c>
      <c r="P26" s="2" t="str">
        <f>IF(I26="","",I26/消费汇总!I27)</f>
        <v/>
      </c>
      <c r="Q26" s="2" t="str">
        <f>IF(J26="","",J26/二级地市消费汇总!C28)</f>
        <v/>
      </c>
      <c r="R26" s="2" t="str">
        <f>IF(K26="","",新单数据!K26/二级地市消费汇总!M28)</f>
        <v/>
      </c>
      <c r="S26" s="2" t="str">
        <f>IF(L26="","",L26/二级地市消费汇总!W28)</f>
        <v/>
      </c>
      <c r="T26" s="2" t="str">
        <f>IF(M26="","",M26/二级地市消费汇总!AG28)</f>
        <v/>
      </c>
      <c r="V26" s="38">
        <f t="shared" si="4"/>
        <v>45128</v>
      </c>
      <c r="W26" s="99" t="str">
        <f t="shared" si="5"/>
        <v/>
      </c>
      <c r="X26" s="26"/>
      <c r="Y26" s="26"/>
      <c r="Z26" s="26"/>
      <c r="AA26" s="26"/>
    </row>
    <row r="27" spans="1:27" x14ac:dyDescent="0.15">
      <c r="A27" s="38">
        <v>45129</v>
      </c>
      <c r="B27" s="96" t="str">
        <f t="shared" si="0"/>
        <v/>
      </c>
      <c r="C27" s="98"/>
      <c r="D27" s="98"/>
      <c r="E27" s="98"/>
      <c r="F27" s="98"/>
      <c r="H27" s="38">
        <f t="shared" si="1"/>
        <v>45129</v>
      </c>
      <c r="I27" s="96" t="str">
        <f t="shared" si="2"/>
        <v/>
      </c>
      <c r="J27" s="50"/>
      <c r="K27" s="50"/>
      <c r="L27" s="50"/>
      <c r="M27" s="50"/>
      <c r="O27" s="38">
        <f t="shared" si="3"/>
        <v>45129</v>
      </c>
      <c r="P27" s="2" t="str">
        <f>IF(I27="","",I27/消费汇总!I28)</f>
        <v/>
      </c>
      <c r="Q27" s="2" t="str">
        <f>IF(J27="","",J27/二级地市消费汇总!C29)</f>
        <v/>
      </c>
      <c r="R27" s="2" t="str">
        <f>IF(K27="","",新单数据!K27/二级地市消费汇总!M29)</f>
        <v/>
      </c>
      <c r="S27" s="2" t="str">
        <f>IF(L27="","",L27/二级地市消费汇总!W29)</f>
        <v/>
      </c>
      <c r="T27" s="2" t="str">
        <f>IF(M27="","",M27/二级地市消费汇总!AG29)</f>
        <v/>
      </c>
      <c r="V27" s="38">
        <f t="shared" si="4"/>
        <v>45129</v>
      </c>
      <c r="W27" s="99" t="str">
        <f t="shared" si="5"/>
        <v/>
      </c>
      <c r="X27" s="26"/>
      <c r="Y27" s="26"/>
      <c r="Z27" s="26"/>
      <c r="AA27" s="26"/>
    </row>
    <row r="28" spans="1:27" x14ac:dyDescent="0.15">
      <c r="A28" s="38">
        <v>45130</v>
      </c>
      <c r="B28" s="96" t="str">
        <f t="shared" si="0"/>
        <v/>
      </c>
      <c r="C28" s="98"/>
      <c r="D28" s="98"/>
      <c r="E28" s="98"/>
      <c r="F28" s="98"/>
      <c r="H28" s="38">
        <f t="shared" si="1"/>
        <v>45130</v>
      </c>
      <c r="I28" s="96" t="str">
        <f t="shared" si="2"/>
        <v/>
      </c>
      <c r="J28" s="50"/>
      <c r="K28" s="50"/>
      <c r="L28" s="50"/>
      <c r="M28" s="50"/>
      <c r="O28" s="38">
        <f t="shared" si="3"/>
        <v>45130</v>
      </c>
      <c r="P28" s="2" t="str">
        <f>IF(I28="","",I28/消费汇总!I29)</f>
        <v/>
      </c>
      <c r="Q28" s="2" t="str">
        <f>IF(J28="","",J28/二级地市消费汇总!C30)</f>
        <v/>
      </c>
      <c r="R28" s="2" t="str">
        <f>IF(K28="","",新单数据!K28/二级地市消费汇总!M30)</f>
        <v/>
      </c>
      <c r="S28" s="2" t="str">
        <f>IF(L28="","",L28/二级地市消费汇总!W30)</f>
        <v/>
      </c>
      <c r="T28" s="2" t="str">
        <f>IF(M28="","",M28/二级地市消费汇总!AG30)</f>
        <v/>
      </c>
      <c r="V28" s="38">
        <f t="shared" si="4"/>
        <v>45130</v>
      </c>
      <c r="W28" s="99" t="str">
        <f t="shared" si="5"/>
        <v/>
      </c>
      <c r="X28" s="26"/>
      <c r="Y28" s="26"/>
      <c r="Z28" s="26"/>
      <c r="AA28" s="26"/>
    </row>
    <row r="29" spans="1:27" x14ac:dyDescent="0.15">
      <c r="A29" s="38">
        <v>45131</v>
      </c>
      <c r="B29" s="96" t="str">
        <f t="shared" si="0"/>
        <v/>
      </c>
      <c r="C29" s="98"/>
      <c r="D29" s="98"/>
      <c r="E29" s="98"/>
      <c r="F29" s="98"/>
      <c r="H29" s="38">
        <f t="shared" si="1"/>
        <v>45131</v>
      </c>
      <c r="I29" s="96" t="str">
        <f t="shared" si="2"/>
        <v/>
      </c>
      <c r="J29" s="50"/>
      <c r="K29" s="50"/>
      <c r="L29" s="50"/>
      <c r="M29" s="50"/>
      <c r="O29" s="38">
        <f t="shared" si="3"/>
        <v>45131</v>
      </c>
      <c r="P29" s="2" t="str">
        <f>IF(I29="","",I29/消费汇总!I30)</f>
        <v/>
      </c>
      <c r="Q29" s="2" t="str">
        <f>IF(J29="","",J29/二级地市消费汇总!C31)</f>
        <v/>
      </c>
      <c r="R29" s="2" t="str">
        <f>IF(K29="","",新单数据!K29/二级地市消费汇总!M31)</f>
        <v/>
      </c>
      <c r="S29" s="2" t="str">
        <f>IF(L29="","",L29/二级地市消费汇总!W31)</f>
        <v/>
      </c>
      <c r="T29" s="2" t="str">
        <f>IF(M29="","",M29/二级地市消费汇总!AG31)</f>
        <v/>
      </c>
      <c r="V29" s="38">
        <f t="shared" si="4"/>
        <v>45131</v>
      </c>
      <c r="W29" s="99" t="str">
        <f t="shared" si="5"/>
        <v/>
      </c>
      <c r="X29" s="26"/>
      <c r="Y29" s="26"/>
      <c r="Z29" s="26"/>
      <c r="AA29" s="26"/>
    </row>
    <row r="30" spans="1:27" x14ac:dyDescent="0.15">
      <c r="A30" s="38">
        <v>45132</v>
      </c>
      <c r="B30" s="96" t="str">
        <f t="shared" si="0"/>
        <v/>
      </c>
      <c r="C30" s="98"/>
      <c r="D30" s="98"/>
      <c r="E30" s="98"/>
      <c r="F30" s="98"/>
      <c r="H30" s="38">
        <f t="shared" si="1"/>
        <v>45132</v>
      </c>
      <c r="I30" s="96" t="str">
        <f t="shared" si="2"/>
        <v/>
      </c>
      <c r="J30" s="50"/>
      <c r="K30" s="50"/>
      <c r="L30" s="50"/>
      <c r="M30" s="50"/>
      <c r="O30" s="38">
        <f t="shared" si="3"/>
        <v>45132</v>
      </c>
      <c r="P30" s="2" t="str">
        <f>IF(I30="","",I30/消费汇总!I31)</f>
        <v/>
      </c>
      <c r="Q30" s="2" t="str">
        <f>IF(J30="","",J30/二级地市消费汇总!C32)</f>
        <v/>
      </c>
      <c r="R30" s="2" t="str">
        <f>IF(K30="","",新单数据!K30/二级地市消费汇总!M32)</f>
        <v/>
      </c>
      <c r="S30" s="2" t="str">
        <f>IF(L30="","",L30/二级地市消费汇总!W32)</f>
        <v/>
      </c>
      <c r="T30" s="2" t="str">
        <f>IF(M30="","",M30/二级地市消费汇总!AG32)</f>
        <v/>
      </c>
      <c r="V30" s="38">
        <f t="shared" si="4"/>
        <v>45132</v>
      </c>
      <c r="W30" s="99" t="str">
        <f t="shared" si="5"/>
        <v/>
      </c>
      <c r="X30" s="26"/>
      <c r="Y30" s="26"/>
      <c r="Z30" s="26"/>
      <c r="AA30" s="26"/>
    </row>
    <row r="31" spans="1:27" x14ac:dyDescent="0.15">
      <c r="A31" s="38">
        <v>45133</v>
      </c>
      <c r="B31" s="96" t="str">
        <f t="shared" si="0"/>
        <v/>
      </c>
      <c r="C31" s="98"/>
      <c r="D31" s="98"/>
      <c r="E31" s="98"/>
      <c r="F31" s="98"/>
      <c r="H31" s="38">
        <f t="shared" si="1"/>
        <v>45133</v>
      </c>
      <c r="I31" s="96" t="str">
        <f t="shared" si="2"/>
        <v/>
      </c>
      <c r="J31" s="50"/>
      <c r="K31" s="50"/>
      <c r="L31" s="50"/>
      <c r="M31" s="50"/>
      <c r="O31" s="38">
        <f t="shared" si="3"/>
        <v>45133</v>
      </c>
      <c r="P31" s="2" t="str">
        <f>IF(I31="","",I31/消费汇总!I32)</f>
        <v/>
      </c>
      <c r="Q31" s="2" t="str">
        <f>IF(J31="","",J31/二级地市消费汇总!C33)</f>
        <v/>
      </c>
      <c r="R31" s="2" t="str">
        <f>IF(K31="","",新单数据!K31/二级地市消费汇总!M33)</f>
        <v/>
      </c>
      <c r="S31" s="2" t="str">
        <f>IF(L31="","",L31/二级地市消费汇总!W33)</f>
        <v/>
      </c>
      <c r="T31" s="2" t="str">
        <f>IF(M31="","",M31/二级地市消费汇总!AG33)</f>
        <v/>
      </c>
      <c r="V31" s="38">
        <f t="shared" si="4"/>
        <v>45133</v>
      </c>
      <c r="W31" s="99" t="str">
        <f t="shared" si="5"/>
        <v/>
      </c>
      <c r="X31" s="26"/>
      <c r="Y31" s="26"/>
      <c r="Z31" s="26"/>
      <c r="AA31" s="26"/>
    </row>
    <row r="32" spans="1:27" x14ac:dyDescent="0.15">
      <c r="A32" s="38">
        <v>45134</v>
      </c>
      <c r="B32" s="96" t="str">
        <f t="shared" si="0"/>
        <v/>
      </c>
      <c r="C32" s="98"/>
      <c r="D32" s="98"/>
      <c r="E32" s="98"/>
      <c r="F32" s="98"/>
      <c r="H32" s="38">
        <f t="shared" si="1"/>
        <v>45134</v>
      </c>
      <c r="I32" s="96" t="str">
        <f t="shared" si="2"/>
        <v/>
      </c>
      <c r="J32" s="50"/>
      <c r="K32" s="50"/>
      <c r="L32" s="50"/>
      <c r="M32" s="50"/>
      <c r="O32" s="38">
        <f t="shared" si="3"/>
        <v>45134</v>
      </c>
      <c r="P32" s="2" t="str">
        <f>IF(I32="","",I32/消费汇总!I33)</f>
        <v/>
      </c>
      <c r="Q32" s="2" t="str">
        <f>IF(J32="","",J32/二级地市消费汇总!C34)</f>
        <v/>
      </c>
      <c r="R32" s="2" t="str">
        <f>IF(K32="","",新单数据!K32/二级地市消费汇总!M34)</f>
        <v/>
      </c>
      <c r="S32" s="2" t="str">
        <f>IF(L32="","",L32/二级地市消费汇总!W34)</f>
        <v/>
      </c>
      <c r="T32" s="2" t="str">
        <f>IF(M32="","",M32/二级地市消费汇总!AG34)</f>
        <v/>
      </c>
      <c r="V32" s="38">
        <f t="shared" si="4"/>
        <v>45134</v>
      </c>
      <c r="W32" s="99" t="str">
        <f t="shared" si="5"/>
        <v/>
      </c>
      <c r="X32" s="26"/>
      <c r="Y32" s="26"/>
      <c r="Z32" s="26"/>
      <c r="AA32" s="26"/>
    </row>
    <row r="33" spans="1:27" x14ac:dyDescent="0.15">
      <c r="A33" s="38">
        <v>45135</v>
      </c>
      <c r="B33" s="96" t="str">
        <f t="shared" si="0"/>
        <v/>
      </c>
      <c r="C33" s="98"/>
      <c r="D33" s="98"/>
      <c r="E33" s="98"/>
      <c r="F33" s="98"/>
      <c r="H33" s="38">
        <f t="shared" si="1"/>
        <v>45135</v>
      </c>
      <c r="I33" s="96" t="str">
        <f t="shared" si="2"/>
        <v/>
      </c>
      <c r="J33" s="50"/>
      <c r="K33" s="50"/>
      <c r="L33" s="50"/>
      <c r="M33" s="50"/>
      <c r="O33" s="38">
        <f t="shared" si="3"/>
        <v>45135</v>
      </c>
      <c r="P33" s="2" t="str">
        <f>IF(I33="","",I33/消费汇总!I34)</f>
        <v/>
      </c>
      <c r="Q33" s="2" t="str">
        <f>IF(J33="","",J33/二级地市消费汇总!C35)</f>
        <v/>
      </c>
      <c r="R33" s="2" t="str">
        <f>IF(K33="","",新单数据!K33/二级地市消费汇总!M35)</f>
        <v/>
      </c>
      <c r="S33" s="2" t="str">
        <f>IF(L33="","",L33/二级地市消费汇总!W35)</f>
        <v/>
      </c>
      <c r="T33" s="2" t="str">
        <f>IF(M33="","",M33/二级地市消费汇总!AG35)</f>
        <v/>
      </c>
      <c r="V33" s="38">
        <f t="shared" si="4"/>
        <v>45135</v>
      </c>
      <c r="W33" s="99" t="str">
        <f t="shared" si="5"/>
        <v/>
      </c>
      <c r="X33" s="26"/>
      <c r="Y33" s="26"/>
      <c r="Z33" s="26"/>
      <c r="AA33" s="26"/>
    </row>
    <row r="34" spans="1:27" x14ac:dyDescent="0.15">
      <c r="A34" s="38">
        <v>45136</v>
      </c>
      <c r="B34" s="96" t="str">
        <f t="shared" si="0"/>
        <v/>
      </c>
      <c r="C34" s="98"/>
      <c r="D34" s="98"/>
      <c r="E34" s="98"/>
      <c r="F34" s="98"/>
      <c r="H34" s="38">
        <f t="shared" si="1"/>
        <v>45136</v>
      </c>
      <c r="I34" s="96" t="str">
        <f t="shared" si="2"/>
        <v/>
      </c>
      <c r="J34" s="50"/>
      <c r="K34" s="50"/>
      <c r="L34" s="50"/>
      <c r="M34" s="50"/>
      <c r="O34" s="38">
        <f t="shared" si="3"/>
        <v>45136</v>
      </c>
      <c r="P34" s="2" t="str">
        <f>IF(I34="","",I34/消费汇总!I35)</f>
        <v/>
      </c>
      <c r="Q34" s="2" t="str">
        <f>IF(J34="","",J34/二级地市消费汇总!C36)</f>
        <v/>
      </c>
      <c r="R34" s="2" t="str">
        <f>IF(K34="","",新单数据!K34/二级地市消费汇总!M36)</f>
        <v/>
      </c>
      <c r="S34" s="2" t="str">
        <f>IF(L34="","",L34/二级地市消费汇总!W36)</f>
        <v/>
      </c>
      <c r="T34" s="2" t="str">
        <f>IF(M34="","",M34/二级地市消费汇总!AG36)</f>
        <v/>
      </c>
      <c r="V34" s="38">
        <f t="shared" si="4"/>
        <v>45136</v>
      </c>
      <c r="W34" s="99" t="str">
        <f t="shared" si="5"/>
        <v/>
      </c>
      <c r="X34" s="26"/>
      <c r="Y34" s="26"/>
      <c r="Z34" s="26"/>
      <c r="AA34" s="26"/>
    </row>
    <row r="35" spans="1:27" x14ac:dyDescent="0.15">
      <c r="A35" s="38">
        <v>45137</v>
      </c>
      <c r="B35" s="96" t="str">
        <f t="shared" si="0"/>
        <v/>
      </c>
      <c r="C35" s="98"/>
      <c r="D35" s="98"/>
      <c r="E35" s="98"/>
      <c r="F35" s="98"/>
      <c r="H35" s="38">
        <f t="shared" si="1"/>
        <v>45137</v>
      </c>
      <c r="I35" s="96" t="str">
        <f t="shared" si="2"/>
        <v/>
      </c>
      <c r="J35" s="50"/>
      <c r="K35" s="50"/>
      <c r="L35" s="50"/>
      <c r="M35" s="50"/>
      <c r="O35" s="38">
        <f t="shared" si="3"/>
        <v>45137</v>
      </c>
      <c r="P35" s="2" t="str">
        <f>IF(I35="","",I35/消费汇总!I36)</f>
        <v/>
      </c>
      <c r="Q35" s="2" t="str">
        <f>IF(J35="","",J35/二级地市消费汇总!C37)</f>
        <v/>
      </c>
      <c r="R35" s="2" t="str">
        <f>IF(K35="","",新单数据!K35/二级地市消费汇总!M37)</f>
        <v/>
      </c>
      <c r="S35" s="2" t="str">
        <f>IF(L35="","",L35/二级地市消费汇总!W37)</f>
        <v/>
      </c>
      <c r="T35" s="2" t="str">
        <f>IF(M35="","",M35/二级地市消费汇总!AG37)</f>
        <v/>
      </c>
      <c r="V35" s="38">
        <f t="shared" si="4"/>
        <v>45137</v>
      </c>
      <c r="W35" s="99" t="str">
        <f t="shared" si="5"/>
        <v/>
      </c>
      <c r="X35" s="26"/>
      <c r="Y35" s="26"/>
      <c r="Z35" s="26"/>
      <c r="AA35" s="26"/>
    </row>
    <row r="36" spans="1:27" x14ac:dyDescent="0.15">
      <c r="A36" s="38">
        <v>45138</v>
      </c>
      <c r="B36" s="96" t="str">
        <f t="shared" si="0"/>
        <v/>
      </c>
      <c r="C36" s="98"/>
      <c r="D36" s="98"/>
      <c r="E36" s="98"/>
      <c r="F36" s="98"/>
      <c r="H36" s="38">
        <f t="shared" si="1"/>
        <v>45138</v>
      </c>
      <c r="I36" s="96" t="str">
        <f t="shared" si="2"/>
        <v/>
      </c>
      <c r="J36" s="50"/>
      <c r="K36" s="50"/>
      <c r="L36" s="50"/>
      <c r="M36" s="50"/>
      <c r="O36" s="38">
        <f t="shared" si="3"/>
        <v>45138</v>
      </c>
      <c r="P36" s="2" t="str">
        <f>IF(I36="","",I36/消费汇总!I37)</f>
        <v/>
      </c>
      <c r="Q36" s="2" t="str">
        <f>IF(J36="","",J36/二级地市消费汇总!C38)</f>
        <v/>
      </c>
      <c r="R36" s="2" t="str">
        <f>IF(K36="","",新单数据!K36/二级地市消费汇总!M38)</f>
        <v/>
      </c>
      <c r="S36" s="2" t="str">
        <f>IF(L36="","",L36/二级地市消费汇总!W38)</f>
        <v/>
      </c>
      <c r="T36" s="2" t="str">
        <f>IF(M36="","",M36/二级地市消费汇总!AG38)</f>
        <v/>
      </c>
      <c r="V36" s="38">
        <f t="shared" si="4"/>
        <v>45138</v>
      </c>
      <c r="W36" s="99" t="str">
        <f t="shared" si="5"/>
        <v/>
      </c>
      <c r="X36" s="26"/>
      <c r="Y36" s="26"/>
      <c r="Z36" s="26"/>
      <c r="AA36" s="26"/>
    </row>
    <row r="37" spans="1:27" x14ac:dyDescent="0.15">
      <c r="A37" s="38">
        <v>45139</v>
      </c>
      <c r="B37" s="96" t="str">
        <f t="shared" si="0"/>
        <v/>
      </c>
      <c r="C37" s="98"/>
      <c r="D37" s="98"/>
      <c r="E37" s="98"/>
      <c r="F37" s="98"/>
      <c r="H37" s="38">
        <f t="shared" si="1"/>
        <v>45139</v>
      </c>
      <c r="I37" s="96" t="str">
        <f t="shared" si="2"/>
        <v/>
      </c>
      <c r="J37" s="50"/>
      <c r="K37" s="50"/>
      <c r="L37" s="50"/>
      <c r="M37" s="50"/>
      <c r="O37" s="38">
        <f t="shared" si="3"/>
        <v>45139</v>
      </c>
      <c r="P37" s="2" t="str">
        <f>IF(I37="","",I37/消费汇总!I38)</f>
        <v/>
      </c>
      <c r="Q37" s="2" t="str">
        <f>IF(J37="","",J37/二级地市消费汇总!C39)</f>
        <v/>
      </c>
      <c r="R37" s="2" t="str">
        <f>IF(K37="","",新单数据!K37/二级地市消费汇总!M39)</f>
        <v/>
      </c>
      <c r="S37" s="2" t="str">
        <f>IF(L37="","",L37/二级地市消费汇总!W39)</f>
        <v/>
      </c>
      <c r="T37" s="2" t="str">
        <f>IF(M37="","",M37/二级地市消费汇总!AG39)</f>
        <v/>
      </c>
      <c r="V37" s="38">
        <f t="shared" si="4"/>
        <v>45139</v>
      </c>
      <c r="W37" s="99" t="str">
        <f t="shared" si="5"/>
        <v/>
      </c>
      <c r="X37" s="26"/>
      <c r="Y37" s="26"/>
      <c r="Z37" s="26"/>
      <c r="AA37" s="26"/>
    </row>
    <row r="38" spans="1:27" x14ac:dyDescent="0.15">
      <c r="A38" s="38">
        <v>45140</v>
      </c>
      <c r="B38" s="96" t="str">
        <f t="shared" ref="B38:B69" si="6">IF(C38="","",SUM(C38:F38))</f>
        <v/>
      </c>
      <c r="C38" s="98"/>
      <c r="D38" s="98"/>
      <c r="E38" s="98"/>
      <c r="F38" s="98"/>
      <c r="H38" s="38">
        <f t="shared" si="1"/>
        <v>45140</v>
      </c>
      <c r="I38" s="96" t="str">
        <f t="shared" ref="I38:I69" si="7">IF(J38="","",SUM(J38:M38))</f>
        <v/>
      </c>
      <c r="J38" s="50"/>
      <c r="K38" s="50"/>
      <c r="L38" s="50"/>
      <c r="M38" s="50"/>
      <c r="O38" s="38">
        <f t="shared" si="3"/>
        <v>45140</v>
      </c>
      <c r="P38" s="2" t="str">
        <f>IF(I38="","",I38/消费汇总!I39)</f>
        <v/>
      </c>
      <c r="Q38" s="2" t="str">
        <f>IF(J38="","",J38/二级地市消费汇总!C40)</f>
        <v/>
      </c>
      <c r="R38" s="2" t="str">
        <f>IF(K38="","",新单数据!K38/二级地市消费汇总!M40)</f>
        <v/>
      </c>
      <c r="S38" s="2" t="str">
        <f>IF(L38="","",L38/二级地市消费汇总!W40)</f>
        <v/>
      </c>
      <c r="T38" s="2" t="str">
        <f>IF(M38="","",M38/二级地市消费汇总!AG40)</f>
        <v/>
      </c>
      <c r="V38" s="38">
        <f t="shared" si="4"/>
        <v>45140</v>
      </c>
      <c r="W38" s="99" t="str">
        <f t="shared" ref="W38:W69" si="8">IF(X38="","",SUM(X38:AA38))</f>
        <v/>
      </c>
      <c r="X38" s="26"/>
      <c r="Y38" s="26"/>
      <c r="Z38" s="26"/>
      <c r="AA38" s="26"/>
    </row>
    <row r="39" spans="1:27" x14ac:dyDescent="0.15">
      <c r="A39" s="38">
        <v>45141</v>
      </c>
      <c r="B39" s="96" t="str">
        <f t="shared" si="6"/>
        <v/>
      </c>
      <c r="C39" s="98"/>
      <c r="D39" s="98"/>
      <c r="E39" s="98"/>
      <c r="F39" s="98"/>
      <c r="H39" s="38">
        <f t="shared" si="1"/>
        <v>45141</v>
      </c>
      <c r="I39" s="96" t="str">
        <f t="shared" si="7"/>
        <v/>
      </c>
      <c r="J39" s="50"/>
      <c r="K39" s="50"/>
      <c r="L39" s="50"/>
      <c r="M39" s="50"/>
      <c r="O39" s="38">
        <f t="shared" si="3"/>
        <v>45141</v>
      </c>
      <c r="P39" s="2" t="str">
        <f>IF(I39="","",I39/消费汇总!I40)</f>
        <v/>
      </c>
      <c r="Q39" s="2" t="str">
        <f>IF(J39="","",J39/二级地市消费汇总!C41)</f>
        <v/>
      </c>
      <c r="R39" s="2" t="str">
        <f>IF(K39="","",新单数据!K39/二级地市消费汇总!M41)</f>
        <v/>
      </c>
      <c r="S39" s="2" t="str">
        <f>IF(L39="","",L39/二级地市消费汇总!W41)</f>
        <v/>
      </c>
      <c r="T39" s="2" t="str">
        <f>IF(M39="","",M39/二级地市消费汇总!AG41)</f>
        <v/>
      </c>
      <c r="V39" s="38">
        <f t="shared" si="4"/>
        <v>45141</v>
      </c>
      <c r="W39" s="99" t="str">
        <f t="shared" si="8"/>
        <v/>
      </c>
      <c r="X39" s="26"/>
      <c r="Y39" s="26"/>
      <c r="Z39" s="26"/>
      <c r="AA39" s="26"/>
    </row>
    <row r="40" spans="1:27" x14ac:dyDescent="0.15">
      <c r="A40" s="38">
        <v>45142</v>
      </c>
      <c r="B40" s="96" t="str">
        <f t="shared" si="6"/>
        <v/>
      </c>
      <c r="C40" s="98"/>
      <c r="D40" s="98"/>
      <c r="E40" s="98"/>
      <c r="F40" s="98"/>
      <c r="H40" s="38">
        <f t="shared" si="1"/>
        <v>45142</v>
      </c>
      <c r="I40" s="96" t="str">
        <f t="shared" si="7"/>
        <v/>
      </c>
      <c r="J40" s="50"/>
      <c r="K40" s="50"/>
      <c r="L40" s="50"/>
      <c r="M40" s="50"/>
      <c r="O40" s="38">
        <f t="shared" si="3"/>
        <v>45142</v>
      </c>
      <c r="P40" s="2" t="str">
        <f>IF(I40="","",I40/消费汇总!I41)</f>
        <v/>
      </c>
      <c r="Q40" s="2" t="str">
        <f>IF(J40="","",J40/二级地市消费汇总!C42)</f>
        <v/>
      </c>
      <c r="R40" s="2" t="str">
        <f>IF(K40="","",新单数据!K40/二级地市消费汇总!M42)</f>
        <v/>
      </c>
      <c r="S40" s="2" t="str">
        <f>IF(L40="","",L40/二级地市消费汇总!W42)</f>
        <v/>
      </c>
      <c r="T40" s="2" t="str">
        <f>IF(M40="","",M40/二级地市消费汇总!AG42)</f>
        <v/>
      </c>
      <c r="V40" s="38">
        <f t="shared" si="4"/>
        <v>45142</v>
      </c>
      <c r="W40" s="99" t="str">
        <f t="shared" si="8"/>
        <v/>
      </c>
      <c r="X40" s="26"/>
      <c r="Y40" s="26"/>
      <c r="Z40" s="26"/>
      <c r="AA40" s="26"/>
    </row>
    <row r="41" spans="1:27" x14ac:dyDescent="0.15">
      <c r="A41" s="38">
        <v>45143</v>
      </c>
      <c r="B41" s="96" t="str">
        <f t="shared" si="6"/>
        <v/>
      </c>
      <c r="C41" s="98"/>
      <c r="D41" s="98"/>
      <c r="E41" s="98"/>
      <c r="F41" s="98"/>
      <c r="H41" s="38">
        <f t="shared" si="1"/>
        <v>45143</v>
      </c>
      <c r="I41" s="96" t="str">
        <f t="shared" si="7"/>
        <v/>
      </c>
      <c r="J41" s="50"/>
      <c r="K41" s="50"/>
      <c r="L41" s="50"/>
      <c r="M41" s="50"/>
      <c r="O41" s="38">
        <f t="shared" si="3"/>
        <v>45143</v>
      </c>
      <c r="P41" s="2" t="str">
        <f>IF(I41="","",I41/消费汇总!I42)</f>
        <v/>
      </c>
      <c r="Q41" s="2" t="str">
        <f>IF(J41="","",J41/二级地市消费汇总!C43)</f>
        <v/>
      </c>
      <c r="R41" s="2" t="str">
        <f>IF(K41="","",新单数据!K41/二级地市消费汇总!M43)</f>
        <v/>
      </c>
      <c r="S41" s="2" t="str">
        <f>IF(L41="","",L41/二级地市消费汇总!W43)</f>
        <v/>
      </c>
      <c r="T41" s="2" t="str">
        <f>IF(M41="","",M41/二级地市消费汇总!AG43)</f>
        <v/>
      </c>
      <c r="V41" s="38">
        <f t="shared" si="4"/>
        <v>45143</v>
      </c>
      <c r="W41" s="99" t="str">
        <f t="shared" si="8"/>
        <v/>
      </c>
      <c r="X41" s="26"/>
      <c r="Y41" s="26"/>
      <c r="Z41" s="26"/>
      <c r="AA41" s="26"/>
    </row>
    <row r="42" spans="1:27" x14ac:dyDescent="0.15">
      <c r="A42" s="38">
        <v>45144</v>
      </c>
      <c r="B42" s="96" t="str">
        <f t="shared" si="6"/>
        <v/>
      </c>
      <c r="C42" s="98"/>
      <c r="D42" s="98"/>
      <c r="E42" s="98"/>
      <c r="F42" s="98"/>
      <c r="H42" s="38">
        <f t="shared" si="1"/>
        <v>45144</v>
      </c>
      <c r="I42" s="96" t="str">
        <f t="shared" si="7"/>
        <v/>
      </c>
      <c r="J42" s="50"/>
      <c r="K42" s="50"/>
      <c r="L42" s="50"/>
      <c r="M42" s="50"/>
      <c r="O42" s="38">
        <f t="shared" si="3"/>
        <v>45144</v>
      </c>
      <c r="P42" s="2" t="str">
        <f>IF(I42="","",I42/消费汇总!I43)</f>
        <v/>
      </c>
      <c r="Q42" s="2" t="str">
        <f>IF(J42="","",J42/二级地市消费汇总!C44)</f>
        <v/>
      </c>
      <c r="R42" s="2" t="str">
        <f>IF(K42="","",新单数据!K42/二级地市消费汇总!M44)</f>
        <v/>
      </c>
      <c r="S42" s="2" t="str">
        <f>IF(L42="","",L42/二级地市消费汇总!W44)</f>
        <v/>
      </c>
      <c r="T42" s="2" t="str">
        <f>IF(M42="","",M42/二级地市消费汇总!AG44)</f>
        <v/>
      </c>
      <c r="V42" s="38">
        <f t="shared" si="4"/>
        <v>45144</v>
      </c>
      <c r="W42" s="99" t="str">
        <f t="shared" si="8"/>
        <v/>
      </c>
      <c r="X42" s="26"/>
      <c r="Y42" s="26"/>
      <c r="Z42" s="26"/>
      <c r="AA42" s="26"/>
    </row>
    <row r="43" spans="1:27" x14ac:dyDescent="0.15">
      <c r="A43" s="38">
        <v>45145</v>
      </c>
      <c r="B43" s="96" t="str">
        <f t="shared" si="6"/>
        <v/>
      </c>
      <c r="C43" s="98"/>
      <c r="D43" s="98"/>
      <c r="E43" s="98"/>
      <c r="F43" s="98"/>
      <c r="H43" s="38">
        <f t="shared" si="1"/>
        <v>45145</v>
      </c>
      <c r="I43" s="96" t="str">
        <f t="shared" si="7"/>
        <v/>
      </c>
      <c r="J43" s="50"/>
      <c r="K43" s="50"/>
      <c r="L43" s="50"/>
      <c r="M43" s="50"/>
      <c r="O43" s="38">
        <f t="shared" si="3"/>
        <v>45145</v>
      </c>
      <c r="P43" s="2" t="str">
        <f>IF(I43="","",I43/消费汇总!I44)</f>
        <v/>
      </c>
      <c r="Q43" s="2" t="str">
        <f>IF(J43="","",J43/二级地市消费汇总!C45)</f>
        <v/>
      </c>
      <c r="R43" s="2" t="str">
        <f>IF(K43="","",新单数据!K43/二级地市消费汇总!M45)</f>
        <v/>
      </c>
      <c r="S43" s="2" t="str">
        <f>IF(L43="","",L43/二级地市消费汇总!W45)</f>
        <v/>
      </c>
      <c r="T43" s="2" t="str">
        <f>IF(M43="","",M43/二级地市消费汇总!AG45)</f>
        <v/>
      </c>
      <c r="V43" s="38">
        <f t="shared" si="4"/>
        <v>45145</v>
      </c>
      <c r="W43" s="99" t="str">
        <f t="shared" si="8"/>
        <v/>
      </c>
      <c r="X43" s="26"/>
      <c r="Y43" s="26"/>
      <c r="Z43" s="26"/>
      <c r="AA43" s="26"/>
    </row>
    <row r="44" spans="1:27" x14ac:dyDescent="0.15">
      <c r="A44" s="38">
        <v>45146</v>
      </c>
      <c r="B44" s="96" t="str">
        <f t="shared" si="6"/>
        <v/>
      </c>
      <c r="C44" s="98"/>
      <c r="D44" s="98"/>
      <c r="E44" s="98"/>
      <c r="F44" s="98"/>
      <c r="H44" s="38">
        <f t="shared" si="1"/>
        <v>45146</v>
      </c>
      <c r="I44" s="96" t="str">
        <f t="shared" si="7"/>
        <v/>
      </c>
      <c r="J44" s="50"/>
      <c r="K44" s="50"/>
      <c r="L44" s="50"/>
      <c r="M44" s="50"/>
      <c r="O44" s="38">
        <f t="shared" si="3"/>
        <v>45146</v>
      </c>
      <c r="P44" s="2" t="str">
        <f>IF(I44="","",I44/消费汇总!I45)</f>
        <v/>
      </c>
      <c r="Q44" s="2" t="str">
        <f>IF(J44="","",J44/二级地市消费汇总!C46)</f>
        <v/>
      </c>
      <c r="R44" s="2" t="str">
        <f>IF(K44="","",新单数据!K44/二级地市消费汇总!M46)</f>
        <v/>
      </c>
      <c r="S44" s="2" t="str">
        <f>IF(L44="","",L44/二级地市消费汇总!W46)</f>
        <v/>
      </c>
      <c r="T44" s="2" t="str">
        <f>IF(M44="","",M44/二级地市消费汇总!AG46)</f>
        <v/>
      </c>
      <c r="V44" s="38">
        <f t="shared" si="4"/>
        <v>45146</v>
      </c>
      <c r="W44" s="99" t="str">
        <f t="shared" si="8"/>
        <v/>
      </c>
      <c r="X44" s="26"/>
      <c r="Y44" s="26"/>
      <c r="Z44" s="26"/>
      <c r="AA44" s="26"/>
    </row>
    <row r="45" spans="1:27" x14ac:dyDescent="0.15">
      <c r="A45" s="38">
        <v>45147</v>
      </c>
      <c r="B45" s="96" t="str">
        <f t="shared" si="6"/>
        <v/>
      </c>
      <c r="C45" s="98"/>
      <c r="D45" s="98"/>
      <c r="E45" s="98"/>
      <c r="F45" s="98"/>
      <c r="H45" s="38">
        <f t="shared" si="1"/>
        <v>45147</v>
      </c>
      <c r="I45" s="96" t="str">
        <f t="shared" si="7"/>
        <v/>
      </c>
      <c r="J45" s="50"/>
      <c r="K45" s="50"/>
      <c r="L45" s="50"/>
      <c r="M45" s="50"/>
      <c r="O45" s="38">
        <f t="shared" si="3"/>
        <v>45147</v>
      </c>
      <c r="P45" s="2" t="str">
        <f>IF(I45="","",I45/消费汇总!I46)</f>
        <v/>
      </c>
      <c r="Q45" s="2" t="str">
        <f>IF(J45="","",J45/二级地市消费汇总!C47)</f>
        <v/>
      </c>
      <c r="R45" s="2" t="str">
        <f>IF(K45="","",新单数据!K45/二级地市消费汇总!M47)</f>
        <v/>
      </c>
      <c r="S45" s="2" t="str">
        <f>IF(L45="","",L45/二级地市消费汇总!W47)</f>
        <v/>
      </c>
      <c r="T45" s="2" t="str">
        <f>IF(M45="","",M45/二级地市消费汇总!AG47)</f>
        <v/>
      </c>
      <c r="V45" s="38">
        <f t="shared" si="4"/>
        <v>45147</v>
      </c>
      <c r="W45" s="99" t="str">
        <f t="shared" si="8"/>
        <v/>
      </c>
      <c r="X45" s="26"/>
      <c r="Y45" s="26"/>
      <c r="Z45" s="26"/>
      <c r="AA45" s="26"/>
    </row>
    <row r="46" spans="1:27" x14ac:dyDescent="0.15">
      <c r="A46" s="38">
        <v>45148</v>
      </c>
      <c r="B46" s="96" t="str">
        <f t="shared" si="6"/>
        <v/>
      </c>
      <c r="C46" s="98"/>
      <c r="D46" s="98"/>
      <c r="E46" s="98"/>
      <c r="F46" s="98"/>
      <c r="H46" s="38">
        <f t="shared" si="1"/>
        <v>45148</v>
      </c>
      <c r="I46" s="96" t="str">
        <f t="shared" si="7"/>
        <v/>
      </c>
      <c r="J46" s="50"/>
      <c r="K46" s="50"/>
      <c r="L46" s="50"/>
      <c r="M46" s="50"/>
      <c r="O46" s="38">
        <f t="shared" si="3"/>
        <v>45148</v>
      </c>
      <c r="P46" s="2" t="str">
        <f>IF(I46="","",I46/消费汇总!I47)</f>
        <v/>
      </c>
      <c r="Q46" s="2" t="str">
        <f>IF(J46="","",J46/二级地市消费汇总!C48)</f>
        <v/>
      </c>
      <c r="R46" s="2" t="str">
        <f>IF(K46="","",新单数据!K46/二级地市消费汇总!M48)</f>
        <v/>
      </c>
      <c r="S46" s="2" t="str">
        <f>IF(L46="","",L46/二级地市消费汇总!W48)</f>
        <v/>
      </c>
      <c r="T46" s="2" t="str">
        <f>IF(M46="","",M46/二级地市消费汇总!AG48)</f>
        <v/>
      </c>
      <c r="V46" s="38">
        <f t="shared" si="4"/>
        <v>45148</v>
      </c>
      <c r="W46" s="99" t="str">
        <f t="shared" si="8"/>
        <v/>
      </c>
      <c r="X46" s="26"/>
      <c r="Y46" s="26"/>
      <c r="Z46" s="26"/>
      <c r="AA46" s="26"/>
    </row>
    <row r="47" spans="1:27" x14ac:dyDescent="0.15">
      <c r="A47" s="38">
        <v>45149</v>
      </c>
      <c r="B47" s="96" t="str">
        <f t="shared" si="6"/>
        <v/>
      </c>
      <c r="C47" s="98"/>
      <c r="D47" s="98"/>
      <c r="E47" s="98"/>
      <c r="F47" s="98"/>
      <c r="H47" s="38">
        <f t="shared" si="1"/>
        <v>45149</v>
      </c>
      <c r="I47" s="96" t="str">
        <f t="shared" si="7"/>
        <v/>
      </c>
      <c r="J47" s="50"/>
      <c r="K47" s="50"/>
      <c r="L47" s="50"/>
      <c r="M47" s="50"/>
      <c r="O47" s="38">
        <f t="shared" si="3"/>
        <v>45149</v>
      </c>
      <c r="P47" s="2" t="str">
        <f>IF(I47="","",I47/消费汇总!I48)</f>
        <v/>
      </c>
      <c r="Q47" s="2" t="str">
        <f>IF(J47="","",J47/二级地市消费汇总!C49)</f>
        <v/>
      </c>
      <c r="R47" s="2" t="str">
        <f>IF(K47="","",新单数据!K47/二级地市消费汇总!M49)</f>
        <v/>
      </c>
      <c r="S47" s="2" t="str">
        <f>IF(L47="","",L47/二级地市消费汇总!W49)</f>
        <v/>
      </c>
      <c r="T47" s="2" t="str">
        <f>IF(M47="","",M47/二级地市消费汇总!AG49)</f>
        <v/>
      </c>
      <c r="V47" s="38">
        <f t="shared" si="4"/>
        <v>45149</v>
      </c>
      <c r="W47" s="99" t="str">
        <f t="shared" si="8"/>
        <v/>
      </c>
      <c r="X47" s="26"/>
      <c r="Y47" s="26"/>
      <c r="Z47" s="26"/>
      <c r="AA47" s="26"/>
    </row>
    <row r="48" spans="1:27" x14ac:dyDescent="0.15">
      <c r="A48" s="38">
        <v>45150</v>
      </c>
      <c r="B48" s="96" t="str">
        <f t="shared" si="6"/>
        <v/>
      </c>
      <c r="C48" s="98"/>
      <c r="D48" s="98"/>
      <c r="E48" s="98"/>
      <c r="F48" s="98"/>
      <c r="H48" s="38">
        <f t="shared" si="1"/>
        <v>45150</v>
      </c>
      <c r="I48" s="96" t="str">
        <f t="shared" si="7"/>
        <v/>
      </c>
      <c r="J48" s="50"/>
      <c r="K48" s="50"/>
      <c r="L48" s="50"/>
      <c r="M48" s="50"/>
      <c r="O48" s="38">
        <f t="shared" si="3"/>
        <v>45150</v>
      </c>
      <c r="P48" s="2" t="str">
        <f>IF(I48="","",I48/消费汇总!I49)</f>
        <v/>
      </c>
      <c r="Q48" s="2" t="str">
        <f>IF(J48="","",J48/二级地市消费汇总!C50)</f>
        <v/>
      </c>
      <c r="R48" s="2" t="str">
        <f>IF(K48="","",新单数据!K48/二级地市消费汇总!M50)</f>
        <v/>
      </c>
      <c r="S48" s="2" t="str">
        <f>IF(L48="","",L48/二级地市消费汇总!W50)</f>
        <v/>
      </c>
      <c r="T48" s="2" t="str">
        <f>IF(M48="","",M48/二级地市消费汇总!AG50)</f>
        <v/>
      </c>
      <c r="V48" s="38">
        <f t="shared" si="4"/>
        <v>45150</v>
      </c>
      <c r="W48" s="99" t="str">
        <f t="shared" si="8"/>
        <v/>
      </c>
      <c r="X48" s="26"/>
      <c r="Y48" s="26"/>
      <c r="Z48" s="26"/>
      <c r="AA48" s="26"/>
    </row>
    <row r="49" spans="1:28" x14ac:dyDescent="0.15">
      <c r="A49" s="38">
        <v>45151</v>
      </c>
      <c r="B49" s="96" t="str">
        <f t="shared" si="6"/>
        <v/>
      </c>
      <c r="C49" s="98"/>
      <c r="D49" s="98"/>
      <c r="E49" s="98"/>
      <c r="F49" s="98"/>
      <c r="H49" s="38">
        <f t="shared" si="1"/>
        <v>45151</v>
      </c>
      <c r="I49" s="96" t="str">
        <f t="shared" si="7"/>
        <v/>
      </c>
      <c r="J49" s="50"/>
      <c r="K49" s="50"/>
      <c r="L49" s="50"/>
      <c r="M49" s="50"/>
      <c r="O49" s="38">
        <f t="shared" si="3"/>
        <v>45151</v>
      </c>
      <c r="P49" s="2" t="str">
        <f>IF(I49="","",I49/消费汇总!I50)</f>
        <v/>
      </c>
      <c r="Q49" s="2" t="str">
        <f>IF(J49="","",J49/二级地市消费汇总!C51)</f>
        <v/>
      </c>
      <c r="R49" s="2" t="str">
        <f>IF(K49="","",新单数据!K49/二级地市消费汇总!M51)</f>
        <v/>
      </c>
      <c r="S49" s="2" t="str">
        <f>IF(L49="","",L49/二级地市消费汇总!W51)</f>
        <v/>
      </c>
      <c r="T49" s="2" t="str">
        <f>IF(M49="","",M49/二级地市消费汇总!AG51)</f>
        <v/>
      </c>
      <c r="V49" s="38">
        <f t="shared" si="4"/>
        <v>45151</v>
      </c>
      <c r="W49" s="99" t="str">
        <f t="shared" si="8"/>
        <v/>
      </c>
      <c r="X49" s="26"/>
      <c r="Y49" s="26"/>
      <c r="Z49" s="26"/>
      <c r="AA49" s="26"/>
    </row>
    <row r="50" spans="1:28" x14ac:dyDescent="0.15">
      <c r="A50" s="38">
        <v>45152</v>
      </c>
      <c r="B50" s="96" t="str">
        <f t="shared" si="6"/>
        <v/>
      </c>
      <c r="C50" s="98"/>
      <c r="D50" s="98"/>
      <c r="E50" s="98"/>
      <c r="F50" s="98"/>
      <c r="H50" s="38">
        <f t="shared" si="1"/>
        <v>45152</v>
      </c>
      <c r="I50" s="96" t="str">
        <f t="shared" si="7"/>
        <v/>
      </c>
      <c r="J50" s="50"/>
      <c r="K50" s="50"/>
      <c r="L50" s="50"/>
      <c r="M50" s="50"/>
      <c r="O50" s="38">
        <f t="shared" si="3"/>
        <v>45152</v>
      </c>
      <c r="P50" s="2" t="str">
        <f>IF(I50="","",I50/消费汇总!I51)</f>
        <v/>
      </c>
      <c r="Q50" s="2" t="str">
        <f>IF(J50="","",J50/二级地市消费汇总!C52)</f>
        <v/>
      </c>
      <c r="R50" s="2" t="str">
        <f>IF(K50="","",新单数据!K50/二级地市消费汇总!M52)</f>
        <v/>
      </c>
      <c r="S50" s="2" t="str">
        <f>IF(L50="","",L50/二级地市消费汇总!W52)</f>
        <v/>
      </c>
      <c r="T50" s="2" t="str">
        <f>IF(M50="","",M50/二级地市消费汇总!AG52)</f>
        <v/>
      </c>
      <c r="V50" s="38">
        <f t="shared" si="4"/>
        <v>45152</v>
      </c>
      <c r="W50" s="99" t="str">
        <f t="shared" si="8"/>
        <v/>
      </c>
      <c r="X50" s="26"/>
      <c r="Y50" s="26"/>
      <c r="Z50" s="26"/>
      <c r="AA50" s="26"/>
    </row>
    <row r="51" spans="1:28" x14ac:dyDescent="0.15">
      <c r="A51" s="38">
        <v>45153</v>
      </c>
      <c r="B51" s="96" t="str">
        <f t="shared" si="6"/>
        <v/>
      </c>
      <c r="C51" s="98"/>
      <c r="D51" s="98"/>
      <c r="E51" s="98"/>
      <c r="F51" s="98"/>
      <c r="H51" s="38">
        <f t="shared" si="1"/>
        <v>45153</v>
      </c>
      <c r="I51" s="96" t="str">
        <f t="shared" si="7"/>
        <v/>
      </c>
      <c r="J51" s="50"/>
      <c r="K51" s="50"/>
      <c r="L51" s="50"/>
      <c r="M51" s="50"/>
      <c r="O51" s="38">
        <f t="shared" si="3"/>
        <v>45153</v>
      </c>
      <c r="P51" s="2" t="str">
        <f>IF(I51="","",I51/消费汇总!I52)</f>
        <v/>
      </c>
      <c r="Q51" s="2" t="str">
        <f>IF(J51="","",J51/二级地市消费汇总!C53)</f>
        <v/>
      </c>
      <c r="R51" s="2" t="str">
        <f>IF(K51="","",新单数据!K51/二级地市消费汇总!M53)</f>
        <v/>
      </c>
      <c r="S51" s="2" t="str">
        <f>IF(L51="","",L51/二级地市消费汇总!W53)</f>
        <v/>
      </c>
      <c r="T51" s="2" t="str">
        <f>IF(M51="","",M51/二级地市消费汇总!AG53)</f>
        <v/>
      </c>
      <c r="V51" s="38">
        <f t="shared" si="4"/>
        <v>45153</v>
      </c>
      <c r="W51" s="99" t="str">
        <f t="shared" si="8"/>
        <v/>
      </c>
      <c r="X51" s="26"/>
      <c r="Y51" s="26"/>
      <c r="Z51" s="26"/>
      <c r="AA51" s="26"/>
    </row>
    <row r="52" spans="1:28" x14ac:dyDescent="0.15">
      <c r="A52" s="38">
        <v>45154</v>
      </c>
      <c r="B52" s="96" t="str">
        <f t="shared" si="6"/>
        <v/>
      </c>
      <c r="C52" s="98"/>
      <c r="D52" s="98"/>
      <c r="E52" s="98"/>
      <c r="F52" s="98"/>
      <c r="H52" s="38">
        <f t="shared" si="1"/>
        <v>45154</v>
      </c>
      <c r="I52" s="96" t="str">
        <f t="shared" si="7"/>
        <v/>
      </c>
      <c r="J52" s="50"/>
      <c r="K52" s="50"/>
      <c r="L52" s="50"/>
      <c r="M52" s="50"/>
      <c r="O52" s="38">
        <f t="shared" si="3"/>
        <v>45154</v>
      </c>
      <c r="P52" s="2" t="str">
        <f>IF(I52="","",I52/消费汇总!I53)</f>
        <v/>
      </c>
      <c r="Q52" s="2" t="str">
        <f>IF(J52="","",J52/二级地市消费汇总!C54)</f>
        <v/>
      </c>
      <c r="R52" s="2" t="str">
        <f>IF(K52="","",新单数据!K52/二级地市消费汇总!M54)</f>
        <v/>
      </c>
      <c r="S52" s="2" t="str">
        <f>IF(L52="","",L52/二级地市消费汇总!W54)</f>
        <v/>
      </c>
      <c r="T52" s="2" t="str">
        <f>IF(M52="","",M52/二级地市消费汇总!AG54)</f>
        <v/>
      </c>
      <c r="V52" s="38">
        <f t="shared" si="4"/>
        <v>45154</v>
      </c>
      <c r="W52" s="99" t="str">
        <f t="shared" si="8"/>
        <v/>
      </c>
      <c r="X52" s="26"/>
      <c r="Y52" s="26"/>
      <c r="Z52" s="26"/>
      <c r="AA52" s="26"/>
    </row>
    <row r="53" spans="1:28" x14ac:dyDescent="0.15">
      <c r="A53" s="38">
        <v>45155</v>
      </c>
      <c r="B53" s="96" t="str">
        <f t="shared" si="6"/>
        <v/>
      </c>
      <c r="C53" s="98"/>
      <c r="D53" s="98"/>
      <c r="E53" s="98"/>
      <c r="F53" s="98"/>
      <c r="H53" s="38">
        <f t="shared" si="1"/>
        <v>45155</v>
      </c>
      <c r="I53" s="96" t="str">
        <f t="shared" si="7"/>
        <v/>
      </c>
      <c r="J53" s="50"/>
      <c r="K53" s="50"/>
      <c r="L53" s="50"/>
      <c r="M53" s="50"/>
      <c r="O53" s="38">
        <f t="shared" si="3"/>
        <v>45155</v>
      </c>
      <c r="P53" s="2" t="str">
        <f>IF(I53="","",I53/消费汇总!I54)</f>
        <v/>
      </c>
      <c r="Q53" s="2" t="str">
        <f>IF(J53="","",J53/二级地市消费汇总!C55)</f>
        <v/>
      </c>
      <c r="R53" s="2" t="str">
        <f>IF(K53="","",新单数据!K53/二级地市消费汇总!M55)</f>
        <v/>
      </c>
      <c r="S53" s="2" t="str">
        <f>IF(L53="","",L53/二级地市消费汇总!W55)</f>
        <v/>
      </c>
      <c r="T53" s="2" t="str">
        <f>IF(M53="","",M53/二级地市消费汇总!AG55)</f>
        <v/>
      </c>
      <c r="V53" s="38">
        <f t="shared" si="4"/>
        <v>45155</v>
      </c>
      <c r="W53" s="99" t="str">
        <f t="shared" si="8"/>
        <v/>
      </c>
      <c r="X53" s="26"/>
      <c r="Y53" s="26"/>
      <c r="Z53" s="26"/>
      <c r="AA53" s="26"/>
    </row>
    <row r="54" spans="1:28" x14ac:dyDescent="0.15">
      <c r="A54" s="38">
        <v>45156</v>
      </c>
      <c r="B54" s="96" t="str">
        <f t="shared" si="6"/>
        <v/>
      </c>
      <c r="C54" s="98"/>
      <c r="D54" s="98"/>
      <c r="E54" s="98"/>
      <c r="F54" s="98"/>
      <c r="H54" s="38">
        <f t="shared" si="1"/>
        <v>45156</v>
      </c>
      <c r="I54" s="96" t="str">
        <f t="shared" si="7"/>
        <v/>
      </c>
      <c r="J54" s="50"/>
      <c r="K54" s="50"/>
      <c r="L54" s="50"/>
      <c r="M54" s="50"/>
      <c r="O54" s="38">
        <f t="shared" si="3"/>
        <v>45156</v>
      </c>
      <c r="P54" s="2" t="str">
        <f>IF(I54="","",I54/消费汇总!I55)</f>
        <v/>
      </c>
      <c r="Q54" s="2" t="str">
        <f>IF(J54="","",J54/二级地市消费汇总!C56)</f>
        <v/>
      </c>
      <c r="R54" s="2" t="str">
        <f>IF(K54="","",新单数据!K54/二级地市消费汇总!M56)</f>
        <v/>
      </c>
      <c r="S54" s="2" t="str">
        <f>IF(L54="","",L54/二级地市消费汇总!W56)</f>
        <v/>
      </c>
      <c r="T54" s="2" t="str">
        <f>IF(M54="","",M54/二级地市消费汇总!AG56)</f>
        <v/>
      </c>
      <c r="V54" s="38">
        <f t="shared" si="4"/>
        <v>45156</v>
      </c>
      <c r="W54" s="99" t="str">
        <f t="shared" si="8"/>
        <v/>
      </c>
      <c r="X54" s="26"/>
      <c r="Y54" s="26"/>
      <c r="Z54" s="26"/>
      <c r="AA54" s="26"/>
    </row>
    <row r="55" spans="1:28" x14ac:dyDescent="0.15">
      <c r="A55" s="38">
        <v>45157</v>
      </c>
      <c r="B55" s="96" t="str">
        <f t="shared" si="6"/>
        <v/>
      </c>
      <c r="C55" s="98"/>
      <c r="D55" s="98"/>
      <c r="E55" s="98"/>
      <c r="F55" s="98"/>
      <c r="H55" s="38">
        <f t="shared" si="1"/>
        <v>45157</v>
      </c>
      <c r="I55" s="96" t="str">
        <f t="shared" si="7"/>
        <v/>
      </c>
      <c r="J55" s="50"/>
      <c r="K55" s="50"/>
      <c r="L55" s="50"/>
      <c r="M55" s="50"/>
      <c r="O55" s="38">
        <f t="shared" si="3"/>
        <v>45157</v>
      </c>
      <c r="P55" s="2" t="str">
        <f>IF(I55="","",I55/消费汇总!I56)</f>
        <v/>
      </c>
      <c r="Q55" s="2" t="str">
        <f>IF(J55="","",J55/二级地市消费汇总!C57)</f>
        <v/>
      </c>
      <c r="R55" s="2" t="str">
        <f>IF(K55="","",新单数据!K55/二级地市消费汇总!M57)</f>
        <v/>
      </c>
      <c r="S55" s="2" t="str">
        <f>IF(L55="","",L55/二级地市消费汇总!W57)</f>
        <v/>
      </c>
      <c r="T55" s="2" t="str">
        <f>IF(M55="","",M55/二级地市消费汇总!AG57)</f>
        <v/>
      </c>
      <c r="V55" s="38">
        <f t="shared" si="4"/>
        <v>45157</v>
      </c>
      <c r="W55" s="99" t="str">
        <f t="shared" si="8"/>
        <v/>
      </c>
      <c r="X55" s="26"/>
      <c r="Y55" s="26"/>
      <c r="Z55" s="26"/>
      <c r="AA55" s="26"/>
    </row>
    <row r="56" spans="1:28" x14ac:dyDescent="0.15">
      <c r="A56" s="38">
        <v>45158</v>
      </c>
      <c r="B56" s="96" t="str">
        <f t="shared" si="6"/>
        <v/>
      </c>
      <c r="C56" s="98"/>
      <c r="D56" s="98"/>
      <c r="E56" s="98"/>
      <c r="F56" s="98"/>
      <c r="H56" s="38">
        <f t="shared" si="1"/>
        <v>45158</v>
      </c>
      <c r="I56" s="96" t="str">
        <f t="shared" si="7"/>
        <v/>
      </c>
      <c r="J56" s="50"/>
      <c r="K56" s="50"/>
      <c r="L56" s="50"/>
      <c r="M56" s="50"/>
      <c r="O56" s="38">
        <f t="shared" si="3"/>
        <v>45158</v>
      </c>
      <c r="P56" s="2" t="str">
        <f>IF(I56="","",I56/消费汇总!I57)</f>
        <v/>
      </c>
      <c r="Q56" s="2" t="str">
        <f>IF(J56="","",J56/二级地市消费汇总!C58)</f>
        <v/>
      </c>
      <c r="R56" s="2" t="str">
        <f>IF(K56="","",新单数据!K56/二级地市消费汇总!M58)</f>
        <v/>
      </c>
      <c r="S56" s="2" t="str">
        <f>IF(L56="","",L56/二级地市消费汇总!W58)</f>
        <v/>
      </c>
      <c r="T56" s="2" t="str">
        <f>IF(M56="","",M56/二级地市消费汇总!AG58)</f>
        <v/>
      </c>
      <c r="V56" s="38">
        <f t="shared" si="4"/>
        <v>45158</v>
      </c>
      <c r="W56" s="99" t="str">
        <f t="shared" si="8"/>
        <v/>
      </c>
      <c r="X56" s="26"/>
      <c r="Y56" s="26"/>
      <c r="Z56" s="26"/>
      <c r="AA56" s="26"/>
    </row>
    <row r="57" spans="1:28" x14ac:dyDescent="0.15">
      <c r="A57" s="38">
        <v>45159</v>
      </c>
      <c r="B57" s="96" t="str">
        <f t="shared" si="6"/>
        <v/>
      </c>
      <c r="C57" s="98"/>
      <c r="D57" s="98"/>
      <c r="E57" s="98"/>
      <c r="F57" s="98"/>
      <c r="H57" s="38">
        <f t="shared" si="1"/>
        <v>45159</v>
      </c>
      <c r="I57" s="96" t="str">
        <f t="shared" si="7"/>
        <v/>
      </c>
      <c r="J57" s="50"/>
      <c r="K57" s="50"/>
      <c r="L57" s="50"/>
      <c r="M57" s="50"/>
      <c r="O57" s="38">
        <f t="shared" si="3"/>
        <v>45159</v>
      </c>
      <c r="P57" s="2" t="str">
        <f>IF(I57="","",I57/消费汇总!I58)</f>
        <v/>
      </c>
      <c r="Q57" s="2" t="str">
        <f>IF(J57="","",J57/二级地市消费汇总!C59)</f>
        <v/>
      </c>
      <c r="R57" s="2" t="str">
        <f>IF(K57="","",新单数据!K57/二级地市消费汇总!M59)</f>
        <v/>
      </c>
      <c r="S57" s="2" t="str">
        <f>IF(L57="","",L57/二级地市消费汇总!W59)</f>
        <v/>
      </c>
      <c r="T57" s="2" t="str">
        <f>IF(M57="","",M57/二级地市消费汇总!AG59)</f>
        <v/>
      </c>
      <c r="V57" s="38">
        <f t="shared" si="4"/>
        <v>45159</v>
      </c>
      <c r="W57" s="99" t="str">
        <f t="shared" si="8"/>
        <v/>
      </c>
      <c r="X57" s="26"/>
      <c r="Y57" s="26"/>
      <c r="Z57" s="26"/>
      <c r="AA57" s="26"/>
    </row>
    <row r="58" spans="1:28" x14ac:dyDescent="0.15">
      <c r="A58" s="38">
        <v>45160</v>
      </c>
      <c r="B58" s="96" t="str">
        <f t="shared" si="6"/>
        <v/>
      </c>
      <c r="C58" s="98"/>
      <c r="D58" s="98"/>
      <c r="E58" s="98"/>
      <c r="F58" s="98"/>
      <c r="H58" s="38">
        <f t="shared" si="1"/>
        <v>45160</v>
      </c>
      <c r="I58" s="96" t="str">
        <f t="shared" si="7"/>
        <v/>
      </c>
      <c r="J58" s="50"/>
      <c r="K58" s="50"/>
      <c r="L58" s="50"/>
      <c r="M58" s="50"/>
      <c r="O58" s="38">
        <f t="shared" si="3"/>
        <v>45160</v>
      </c>
      <c r="P58" s="2" t="str">
        <f>IF(I58="","",I58/消费汇总!I59)</f>
        <v/>
      </c>
      <c r="Q58" s="2" t="str">
        <f>IF(J58="","",J58/二级地市消费汇总!C60)</f>
        <v/>
      </c>
      <c r="R58" s="2" t="str">
        <f>IF(K58="","",新单数据!K58/二级地市消费汇总!M60)</f>
        <v/>
      </c>
      <c r="S58" s="2" t="str">
        <f>IF(L58="","",L58/二级地市消费汇总!W60)</f>
        <v/>
      </c>
      <c r="T58" s="2" t="str">
        <f>IF(M58="","",M58/二级地市消费汇总!AG60)</f>
        <v/>
      </c>
      <c r="V58" s="38">
        <f t="shared" si="4"/>
        <v>45160</v>
      </c>
      <c r="W58" s="99" t="str">
        <f t="shared" si="8"/>
        <v/>
      </c>
      <c r="X58" s="26"/>
      <c r="Y58" s="26"/>
      <c r="Z58" s="26"/>
      <c r="AA58" s="26"/>
    </row>
    <row r="59" spans="1:28" x14ac:dyDescent="0.15">
      <c r="A59" s="38">
        <v>45161</v>
      </c>
      <c r="B59" s="96" t="str">
        <f t="shared" si="6"/>
        <v/>
      </c>
      <c r="C59" s="98"/>
      <c r="D59" s="98"/>
      <c r="E59" s="98"/>
      <c r="F59" s="98"/>
      <c r="H59" s="38">
        <f t="shared" si="1"/>
        <v>45161</v>
      </c>
      <c r="I59" s="96" t="str">
        <f t="shared" si="7"/>
        <v/>
      </c>
      <c r="J59" s="50"/>
      <c r="K59" s="50"/>
      <c r="L59" s="50"/>
      <c r="M59" s="50"/>
      <c r="O59" s="38">
        <f t="shared" si="3"/>
        <v>45161</v>
      </c>
      <c r="P59" s="2" t="str">
        <f>IF(I59="","",I59/消费汇总!I60)</f>
        <v/>
      </c>
      <c r="Q59" s="2" t="str">
        <f>IF(J59="","",J59/二级地市消费汇总!C61)</f>
        <v/>
      </c>
      <c r="R59" s="2" t="str">
        <f>IF(K59="","",新单数据!K59/二级地市消费汇总!M61)</f>
        <v/>
      </c>
      <c r="S59" s="2" t="str">
        <f>IF(L59="","",L59/二级地市消费汇总!W61)</f>
        <v/>
      </c>
      <c r="T59" s="2" t="str">
        <f>IF(M59="","",M59/二级地市消费汇总!AG61)</f>
        <v/>
      </c>
      <c r="V59" s="38">
        <f t="shared" si="4"/>
        <v>45161</v>
      </c>
      <c r="W59" s="99" t="str">
        <f t="shared" si="8"/>
        <v/>
      </c>
      <c r="X59" s="26"/>
      <c r="Y59" s="26"/>
      <c r="Z59" s="26"/>
      <c r="AA59" s="26"/>
    </row>
    <row r="60" spans="1:28" x14ac:dyDescent="0.15">
      <c r="A60" s="38">
        <v>45162</v>
      </c>
      <c r="B60" s="96" t="str">
        <f t="shared" si="6"/>
        <v/>
      </c>
      <c r="C60" s="98"/>
      <c r="D60" s="98"/>
      <c r="E60" s="98"/>
      <c r="F60" s="98"/>
      <c r="H60" s="38">
        <f t="shared" si="1"/>
        <v>45162</v>
      </c>
      <c r="I60" s="96" t="str">
        <f t="shared" si="7"/>
        <v/>
      </c>
      <c r="J60" s="50"/>
      <c r="K60" s="50"/>
      <c r="L60" s="50"/>
      <c r="M60" s="50"/>
      <c r="O60" s="38">
        <f t="shared" si="3"/>
        <v>45162</v>
      </c>
      <c r="P60" s="2" t="str">
        <f>IF(I60="","",I60/消费汇总!I61)</f>
        <v/>
      </c>
      <c r="Q60" s="2" t="str">
        <f>IF(J60="","",J60/二级地市消费汇总!C62)</f>
        <v/>
      </c>
      <c r="R60" s="2" t="str">
        <f>IF(K60="","",新单数据!K60/二级地市消费汇总!M62)</f>
        <v/>
      </c>
      <c r="S60" s="2" t="str">
        <f>IF(L60="","",L60/二级地市消费汇总!W62)</f>
        <v/>
      </c>
      <c r="T60" s="2" t="str">
        <f>IF(M60="","",M60/二级地市消费汇总!AG62)</f>
        <v/>
      </c>
      <c r="V60" s="38">
        <f t="shared" si="4"/>
        <v>45162</v>
      </c>
      <c r="W60" s="99" t="str">
        <f t="shared" si="8"/>
        <v/>
      </c>
      <c r="X60" s="26"/>
      <c r="Y60" s="26"/>
      <c r="Z60" s="26"/>
      <c r="AA60" s="26"/>
    </row>
    <row r="61" spans="1:28" x14ac:dyDescent="0.15">
      <c r="A61" s="38">
        <v>45163</v>
      </c>
      <c r="B61" s="96" t="str">
        <f t="shared" si="6"/>
        <v/>
      </c>
      <c r="C61" s="98"/>
      <c r="D61" s="98"/>
      <c r="E61" s="98"/>
      <c r="F61" s="98"/>
      <c r="H61" s="38">
        <f t="shared" si="1"/>
        <v>45163</v>
      </c>
      <c r="I61" s="96" t="str">
        <f t="shared" si="7"/>
        <v/>
      </c>
      <c r="J61" s="50"/>
      <c r="K61" s="50"/>
      <c r="L61" s="50"/>
      <c r="M61" s="50"/>
      <c r="O61" s="38">
        <f t="shared" si="3"/>
        <v>45163</v>
      </c>
      <c r="P61" s="2" t="str">
        <f>IF(I61="","",I61/消费汇总!I62)</f>
        <v/>
      </c>
      <c r="Q61" s="2" t="str">
        <f>IF(J61="","",J61/二级地市消费汇总!C63)</f>
        <v/>
      </c>
      <c r="R61" s="2" t="str">
        <f>IF(K61="","",新单数据!K61/二级地市消费汇总!M63)</f>
        <v/>
      </c>
      <c r="S61" s="2" t="str">
        <f>IF(L61="","",L61/二级地市消费汇总!W63)</f>
        <v/>
      </c>
      <c r="T61" s="2" t="str">
        <f>IF(M61="","",M61/二级地市消费汇总!AG63)</f>
        <v/>
      </c>
      <c r="V61" s="38">
        <f t="shared" si="4"/>
        <v>45163</v>
      </c>
      <c r="W61" s="99" t="str">
        <f t="shared" si="8"/>
        <v/>
      </c>
      <c r="X61" s="26"/>
      <c r="Y61" s="26"/>
      <c r="Z61" s="26"/>
      <c r="AA61" s="26"/>
      <c r="AB61" s="8">
        <v>0</v>
      </c>
    </row>
    <row r="62" spans="1:28" x14ac:dyDescent="0.15">
      <c r="A62" s="38">
        <v>45164</v>
      </c>
      <c r="B62" s="96" t="str">
        <f t="shared" si="6"/>
        <v/>
      </c>
      <c r="C62" s="98"/>
      <c r="D62" s="98"/>
      <c r="E62" s="98"/>
      <c r="F62" s="98"/>
      <c r="H62" s="38">
        <f t="shared" si="1"/>
        <v>45164</v>
      </c>
      <c r="I62" s="96" t="str">
        <f t="shared" si="7"/>
        <v/>
      </c>
      <c r="J62" s="50"/>
      <c r="K62" s="50"/>
      <c r="L62" s="50"/>
      <c r="M62" s="50"/>
      <c r="O62" s="38">
        <f t="shared" si="3"/>
        <v>45164</v>
      </c>
      <c r="P62" s="2" t="str">
        <f>IF(I62="","",I62/消费汇总!I63)</f>
        <v/>
      </c>
      <c r="Q62" s="2" t="str">
        <f>IF(J62="","",J62/二级地市消费汇总!C64)</f>
        <v/>
      </c>
      <c r="R62" s="2" t="str">
        <f>IF(K62="","",新单数据!K62/二级地市消费汇总!M64)</f>
        <v/>
      </c>
      <c r="S62" s="2" t="str">
        <f>IF(L62="","",L62/二级地市消费汇总!W64)</f>
        <v/>
      </c>
      <c r="T62" s="2" t="str">
        <f>IF(M62="","",M62/二级地市消费汇总!AG64)</f>
        <v/>
      </c>
      <c r="V62" s="38">
        <f t="shared" si="4"/>
        <v>45164</v>
      </c>
      <c r="W62" s="99" t="str">
        <f t="shared" si="8"/>
        <v/>
      </c>
      <c r="X62" s="26"/>
      <c r="Y62" s="26"/>
      <c r="Z62" s="26"/>
      <c r="AA62" s="26"/>
    </row>
    <row r="63" spans="1:28" x14ac:dyDescent="0.15">
      <c r="A63" s="38">
        <v>45165</v>
      </c>
      <c r="B63" s="96" t="str">
        <f t="shared" si="6"/>
        <v/>
      </c>
      <c r="C63" s="98"/>
      <c r="D63" s="98"/>
      <c r="E63" s="98"/>
      <c r="F63" s="98"/>
      <c r="H63" s="38">
        <f t="shared" si="1"/>
        <v>45165</v>
      </c>
      <c r="I63" s="96" t="str">
        <f t="shared" si="7"/>
        <v/>
      </c>
      <c r="J63" s="50"/>
      <c r="K63" s="50"/>
      <c r="L63" s="50"/>
      <c r="M63" s="50"/>
      <c r="O63" s="38">
        <f t="shared" si="3"/>
        <v>45165</v>
      </c>
      <c r="P63" s="2" t="str">
        <f>IF(I63="","",I63/消费汇总!I64)</f>
        <v/>
      </c>
      <c r="Q63" s="2" t="str">
        <f>IF(J63="","",J63/二级地市消费汇总!C65)</f>
        <v/>
      </c>
      <c r="R63" s="2" t="str">
        <f>IF(K63="","",新单数据!K63/二级地市消费汇总!M65)</f>
        <v/>
      </c>
      <c r="S63" s="2" t="str">
        <f>IF(L63="","",L63/二级地市消费汇总!W65)</f>
        <v/>
      </c>
      <c r="T63" s="2" t="str">
        <f>IF(M63="","",M63/二级地市消费汇总!AG65)</f>
        <v/>
      </c>
      <c r="V63" s="38">
        <f t="shared" si="4"/>
        <v>45165</v>
      </c>
      <c r="W63" s="99" t="str">
        <f t="shared" si="8"/>
        <v/>
      </c>
      <c r="X63" s="26"/>
      <c r="Y63" s="26"/>
      <c r="Z63" s="26"/>
      <c r="AA63" s="26"/>
    </row>
    <row r="64" spans="1:28" x14ac:dyDescent="0.15">
      <c r="A64" s="38">
        <v>45166</v>
      </c>
      <c r="B64" s="96" t="str">
        <f t="shared" si="6"/>
        <v/>
      </c>
      <c r="C64" s="98"/>
      <c r="D64" s="98"/>
      <c r="E64" s="98"/>
      <c r="F64" s="98"/>
      <c r="H64" s="38">
        <f t="shared" si="1"/>
        <v>45166</v>
      </c>
      <c r="I64" s="96" t="str">
        <f t="shared" si="7"/>
        <v/>
      </c>
      <c r="J64" s="50"/>
      <c r="K64" s="50"/>
      <c r="L64" s="50"/>
      <c r="M64" s="50"/>
      <c r="O64" s="38">
        <f t="shared" si="3"/>
        <v>45166</v>
      </c>
      <c r="P64" s="2" t="str">
        <f>IF(I64="","",I64/消费汇总!I65)</f>
        <v/>
      </c>
      <c r="Q64" s="2" t="str">
        <f>IF(J64="","",J64/二级地市消费汇总!C66)</f>
        <v/>
      </c>
      <c r="R64" s="2" t="str">
        <f>IF(K64="","",新单数据!K64/二级地市消费汇总!M66)</f>
        <v/>
      </c>
      <c r="S64" s="2" t="str">
        <f>IF(L64="","",L64/二级地市消费汇总!W66)</f>
        <v/>
      </c>
      <c r="T64" s="2" t="str">
        <f>IF(M64="","",M64/二级地市消费汇总!AG66)</f>
        <v/>
      </c>
      <c r="V64" s="38">
        <f t="shared" si="4"/>
        <v>45166</v>
      </c>
      <c r="W64" s="99" t="str">
        <f t="shared" si="8"/>
        <v/>
      </c>
      <c r="X64" s="26"/>
      <c r="Y64" s="26"/>
      <c r="Z64" s="26"/>
      <c r="AA64" s="26"/>
    </row>
    <row r="65" spans="1:28" x14ac:dyDescent="0.15">
      <c r="A65" s="38">
        <v>45167</v>
      </c>
      <c r="B65" s="96" t="str">
        <f t="shared" si="6"/>
        <v/>
      </c>
      <c r="C65" s="98"/>
      <c r="D65" s="98"/>
      <c r="E65" s="98"/>
      <c r="F65" s="98"/>
      <c r="H65" s="38">
        <f t="shared" si="1"/>
        <v>45167</v>
      </c>
      <c r="I65" s="96" t="str">
        <f t="shared" si="7"/>
        <v/>
      </c>
      <c r="J65" s="50"/>
      <c r="K65" s="50"/>
      <c r="L65" s="50"/>
      <c r="M65" s="50"/>
      <c r="O65" s="38">
        <f t="shared" si="3"/>
        <v>45167</v>
      </c>
      <c r="P65" s="2" t="str">
        <f>IF(I65="","",I65/消费汇总!I66)</f>
        <v/>
      </c>
      <c r="Q65" s="2" t="str">
        <f>IF(J65="","",J65/二级地市消费汇总!C67)</f>
        <v/>
      </c>
      <c r="R65" s="2" t="str">
        <f>IF(K65="","",新单数据!K65/二级地市消费汇总!M67)</f>
        <v/>
      </c>
      <c r="S65" s="2" t="str">
        <f>IF(L65="","",L65/二级地市消费汇总!W67)</f>
        <v/>
      </c>
      <c r="T65" s="2" t="str">
        <f>IF(M65="","",M65/二级地市消费汇总!AG67)</f>
        <v/>
      </c>
      <c r="V65" s="38">
        <f t="shared" si="4"/>
        <v>45167</v>
      </c>
      <c r="W65" s="99" t="str">
        <f t="shared" si="8"/>
        <v/>
      </c>
      <c r="X65" s="26"/>
      <c r="Y65" s="26"/>
      <c r="Z65" s="26"/>
      <c r="AA65" s="26"/>
    </row>
    <row r="66" spans="1:28" x14ac:dyDescent="0.15">
      <c r="A66" s="38">
        <v>45168</v>
      </c>
      <c r="B66" s="96" t="str">
        <f t="shared" si="6"/>
        <v/>
      </c>
      <c r="C66" s="98"/>
      <c r="D66" s="98"/>
      <c r="E66" s="98"/>
      <c r="F66" s="98"/>
      <c r="H66" s="38">
        <f t="shared" si="1"/>
        <v>45168</v>
      </c>
      <c r="I66" s="96" t="str">
        <f t="shared" si="7"/>
        <v/>
      </c>
      <c r="J66" s="50"/>
      <c r="K66" s="50"/>
      <c r="L66" s="50"/>
      <c r="M66" s="50"/>
      <c r="O66" s="38">
        <f t="shared" si="3"/>
        <v>45168</v>
      </c>
      <c r="P66" s="2" t="str">
        <f>IF(I66="","",I66/消费汇总!I67)</f>
        <v/>
      </c>
      <c r="Q66" s="2" t="str">
        <f>IF(J66="","",J66/二级地市消费汇总!C68)</f>
        <v/>
      </c>
      <c r="R66" s="2" t="str">
        <f>IF(K66="","",新单数据!K66/二级地市消费汇总!M68)</f>
        <v/>
      </c>
      <c r="S66" s="2" t="str">
        <f>IF(L66="","",L66/二级地市消费汇总!W68)</f>
        <v/>
      </c>
      <c r="T66" s="2" t="str">
        <f>IF(M66="","",M66/二级地市消费汇总!AG68)</f>
        <v/>
      </c>
      <c r="V66" s="38">
        <f t="shared" si="4"/>
        <v>45168</v>
      </c>
      <c r="W66" s="99" t="str">
        <f t="shared" si="8"/>
        <v/>
      </c>
      <c r="X66" s="26"/>
      <c r="Y66" s="26"/>
      <c r="Z66" s="26"/>
      <c r="AA66" s="26"/>
    </row>
    <row r="67" spans="1:28" x14ac:dyDescent="0.15">
      <c r="A67" s="38">
        <v>45169</v>
      </c>
      <c r="B67" s="96" t="str">
        <f t="shared" si="6"/>
        <v/>
      </c>
      <c r="C67" s="98"/>
      <c r="D67" s="98"/>
      <c r="E67" s="98"/>
      <c r="F67" s="98"/>
      <c r="H67" s="38">
        <f t="shared" si="1"/>
        <v>45169</v>
      </c>
      <c r="I67" s="96" t="str">
        <f t="shared" si="7"/>
        <v/>
      </c>
      <c r="J67" s="50"/>
      <c r="K67" s="50"/>
      <c r="L67" s="50"/>
      <c r="M67" s="50"/>
      <c r="O67" s="38">
        <f t="shared" si="3"/>
        <v>45169</v>
      </c>
      <c r="P67" s="2" t="str">
        <f>IF(I67="","",I67/消费汇总!I68)</f>
        <v/>
      </c>
      <c r="Q67" s="2" t="str">
        <f>IF(J67="","",J67/二级地市消费汇总!C69)</f>
        <v/>
      </c>
      <c r="R67" s="2" t="str">
        <f>IF(K67="","",新单数据!K67/二级地市消费汇总!M69)</f>
        <v/>
      </c>
      <c r="S67" s="2" t="str">
        <f>IF(L67="","",L67/二级地市消费汇总!W69)</f>
        <v/>
      </c>
      <c r="T67" s="2" t="str">
        <f>IF(M67="","",M67/二级地市消费汇总!AG69)</f>
        <v/>
      </c>
      <c r="V67" s="38">
        <f t="shared" si="4"/>
        <v>45169</v>
      </c>
      <c r="W67" s="99" t="str">
        <f t="shared" si="8"/>
        <v/>
      </c>
      <c r="X67" s="26"/>
      <c r="Y67" s="26"/>
      <c r="Z67" s="26"/>
      <c r="AA67" s="26"/>
    </row>
    <row r="68" spans="1:28" x14ac:dyDescent="0.15">
      <c r="A68" s="38">
        <v>45170</v>
      </c>
      <c r="B68" s="96" t="str">
        <f t="shared" si="6"/>
        <v/>
      </c>
      <c r="C68" s="98"/>
      <c r="D68" s="98"/>
      <c r="E68" s="98"/>
      <c r="F68" s="98"/>
      <c r="H68" s="38">
        <f t="shared" si="1"/>
        <v>45170</v>
      </c>
      <c r="I68" s="96" t="str">
        <f t="shared" si="7"/>
        <v/>
      </c>
      <c r="J68" s="50"/>
      <c r="K68" s="50"/>
      <c r="L68" s="50"/>
      <c r="M68" s="50"/>
      <c r="O68" s="38">
        <f t="shared" si="3"/>
        <v>45170</v>
      </c>
      <c r="P68" s="2" t="str">
        <f>IF(I68="","",I68/消费汇总!I69)</f>
        <v/>
      </c>
      <c r="Q68" s="2" t="str">
        <f>IF(J68="","",J68/二级地市消费汇总!C70)</f>
        <v/>
      </c>
      <c r="R68" s="2" t="str">
        <f>IF(K68="","",新单数据!K68/二级地市消费汇总!M70)</f>
        <v/>
      </c>
      <c r="S68" s="2" t="str">
        <f>IF(L68="","",L68/二级地市消费汇总!W70)</f>
        <v/>
      </c>
      <c r="T68" s="2" t="str">
        <f>IF(M68="","",M68/二级地市消费汇总!AG70)</f>
        <v/>
      </c>
      <c r="V68" s="38">
        <f t="shared" si="4"/>
        <v>45170</v>
      </c>
      <c r="W68" s="99" t="str">
        <f t="shared" si="8"/>
        <v/>
      </c>
      <c r="X68" s="26"/>
      <c r="Y68" s="26"/>
      <c r="Z68" s="26"/>
      <c r="AA68" s="26"/>
    </row>
    <row r="69" spans="1:28" x14ac:dyDescent="0.15">
      <c r="A69" s="38">
        <v>45171</v>
      </c>
      <c r="B69" s="96" t="str">
        <f t="shared" si="6"/>
        <v/>
      </c>
      <c r="C69" s="98"/>
      <c r="D69" s="98"/>
      <c r="E69" s="98"/>
      <c r="F69" s="98"/>
      <c r="H69" s="38">
        <f t="shared" si="1"/>
        <v>45171</v>
      </c>
      <c r="I69" s="96" t="str">
        <f t="shared" si="7"/>
        <v/>
      </c>
      <c r="J69" s="50"/>
      <c r="K69" s="50"/>
      <c r="L69" s="50"/>
      <c r="M69" s="50"/>
      <c r="O69" s="38">
        <f t="shared" si="3"/>
        <v>45171</v>
      </c>
      <c r="P69" s="2" t="str">
        <f>IF(I69="","",I69/消费汇总!I70)</f>
        <v/>
      </c>
      <c r="Q69" s="2" t="str">
        <f>IF(J69="","",J69/二级地市消费汇总!C71)</f>
        <v/>
      </c>
      <c r="R69" s="2" t="str">
        <f>IF(K69="","",新单数据!K69/二级地市消费汇总!M71)</f>
        <v/>
      </c>
      <c r="S69" s="2" t="str">
        <f>IF(L69="","",L69/二级地市消费汇总!W71)</f>
        <v/>
      </c>
      <c r="T69" s="2" t="str">
        <f>IF(M69="","",M69/二级地市消费汇总!AG71)</f>
        <v/>
      </c>
      <c r="V69" s="38">
        <f t="shared" si="4"/>
        <v>45171</v>
      </c>
      <c r="W69" s="99" t="str">
        <f t="shared" si="8"/>
        <v/>
      </c>
      <c r="X69" s="26"/>
      <c r="Y69" s="26"/>
      <c r="Z69" s="26"/>
      <c r="AA69" s="26"/>
    </row>
    <row r="70" spans="1:28" x14ac:dyDescent="0.15">
      <c r="A70" s="38">
        <v>45172</v>
      </c>
      <c r="B70" s="96" t="str">
        <f t="shared" ref="B70:B101" si="9">IF(C70="","",SUM(C70:F70))</f>
        <v/>
      </c>
      <c r="C70" s="98"/>
      <c r="D70" s="98"/>
      <c r="E70" s="98"/>
      <c r="F70" s="98"/>
      <c r="H70" s="38">
        <f t="shared" ref="H70:H96" si="10">A70</f>
        <v>45172</v>
      </c>
      <c r="I70" s="96" t="str">
        <f t="shared" ref="I70:I101" si="11">IF(J70="","",SUM(J70:M70))</f>
        <v/>
      </c>
      <c r="J70" s="50"/>
      <c r="K70" s="50"/>
      <c r="L70" s="50"/>
      <c r="M70" s="50"/>
      <c r="O70" s="38">
        <f t="shared" ref="O70:O96" si="12">H70</f>
        <v>45172</v>
      </c>
      <c r="P70" s="2" t="str">
        <f>IF(I70="","",I70/消费汇总!I71)</f>
        <v/>
      </c>
      <c r="Q70" s="2" t="str">
        <f>IF(J70="","",J70/二级地市消费汇总!C72)</f>
        <v/>
      </c>
      <c r="R70" s="2" t="str">
        <f>IF(K70="","",新单数据!K70/二级地市消费汇总!M72)</f>
        <v/>
      </c>
      <c r="S70" s="2" t="str">
        <f>IF(L70="","",L70/二级地市消费汇总!W72)</f>
        <v/>
      </c>
      <c r="T70" s="2" t="str">
        <f>IF(M70="","",M70/二级地市消费汇总!AG72)</f>
        <v/>
      </c>
      <c r="V70" s="38">
        <f t="shared" ref="V70:V96" si="13">O70</f>
        <v>45172</v>
      </c>
      <c r="W70" s="99" t="str">
        <f t="shared" ref="W70:W101" si="14">IF(X70="","",SUM(X70:AA70))</f>
        <v/>
      </c>
      <c r="X70" s="26"/>
      <c r="Y70" s="26"/>
      <c r="Z70" s="26"/>
      <c r="AA70" s="26"/>
    </row>
    <row r="71" spans="1:28" x14ac:dyDescent="0.15">
      <c r="A71" s="38">
        <v>45173</v>
      </c>
      <c r="B71" s="96" t="str">
        <f t="shared" si="9"/>
        <v/>
      </c>
      <c r="C71" s="98"/>
      <c r="D71" s="98"/>
      <c r="E71" s="98"/>
      <c r="F71" s="98"/>
      <c r="H71" s="38">
        <f t="shared" si="10"/>
        <v>45173</v>
      </c>
      <c r="I71" s="96" t="str">
        <f t="shared" si="11"/>
        <v/>
      </c>
      <c r="J71" s="50"/>
      <c r="K71" s="50"/>
      <c r="L71" s="50"/>
      <c r="M71" s="50"/>
      <c r="O71" s="38">
        <f t="shared" si="12"/>
        <v>45173</v>
      </c>
      <c r="P71" s="2" t="str">
        <f>IF(I71="","",I71/消费汇总!I72)</f>
        <v/>
      </c>
      <c r="Q71" s="2" t="str">
        <f>IF(J71="","",J71/二级地市消费汇总!C73)</f>
        <v/>
      </c>
      <c r="R71" s="2" t="str">
        <f>IF(K71="","",新单数据!K71/二级地市消费汇总!M73)</f>
        <v/>
      </c>
      <c r="S71" s="2" t="str">
        <f>IF(L71="","",L71/二级地市消费汇总!W73)</f>
        <v/>
      </c>
      <c r="T71" s="2" t="str">
        <f>IF(M71="","",M71/二级地市消费汇总!AG73)</f>
        <v/>
      </c>
      <c r="V71" s="38">
        <f t="shared" si="13"/>
        <v>45173</v>
      </c>
      <c r="W71" s="99" t="str">
        <f t="shared" si="14"/>
        <v/>
      </c>
      <c r="X71" s="26"/>
      <c r="Y71" s="26"/>
      <c r="Z71" s="26"/>
      <c r="AA71" s="26"/>
    </row>
    <row r="72" spans="1:28" x14ac:dyDescent="0.15">
      <c r="A72" s="38">
        <v>45174</v>
      </c>
      <c r="B72" s="96" t="str">
        <f t="shared" si="9"/>
        <v/>
      </c>
      <c r="C72" s="98"/>
      <c r="D72" s="98"/>
      <c r="E72" s="98"/>
      <c r="F72" s="98"/>
      <c r="H72" s="38">
        <f t="shared" si="10"/>
        <v>45174</v>
      </c>
      <c r="I72" s="96" t="str">
        <f t="shared" si="11"/>
        <v/>
      </c>
      <c r="J72" s="50"/>
      <c r="K72" s="50"/>
      <c r="L72" s="50"/>
      <c r="M72" s="50"/>
      <c r="O72" s="38">
        <f t="shared" si="12"/>
        <v>45174</v>
      </c>
      <c r="P72" s="2" t="str">
        <f>IF(I72="","",I72/消费汇总!I73)</f>
        <v/>
      </c>
      <c r="Q72" s="2" t="str">
        <f>IF(J72="","",J72/二级地市消费汇总!C74)</f>
        <v/>
      </c>
      <c r="R72" s="2" t="str">
        <f>IF(K72="","",新单数据!K72/二级地市消费汇总!M74)</f>
        <v/>
      </c>
      <c r="S72" s="2" t="str">
        <f>IF(L72="","",L72/二级地市消费汇总!W74)</f>
        <v/>
      </c>
      <c r="T72" s="2" t="str">
        <f>IF(M72="","",M72/二级地市消费汇总!AG74)</f>
        <v/>
      </c>
      <c r="V72" s="38">
        <f t="shared" si="13"/>
        <v>45174</v>
      </c>
      <c r="W72" s="99" t="str">
        <f t="shared" si="14"/>
        <v/>
      </c>
      <c r="X72" s="26"/>
      <c r="Y72" s="26"/>
      <c r="Z72" s="26"/>
      <c r="AA72" s="26"/>
    </row>
    <row r="73" spans="1:28" x14ac:dyDescent="0.15">
      <c r="A73" s="38">
        <v>45175</v>
      </c>
      <c r="B73" s="96" t="str">
        <f t="shared" si="9"/>
        <v/>
      </c>
      <c r="C73" s="98"/>
      <c r="D73" s="98"/>
      <c r="E73" s="98"/>
      <c r="F73" s="98"/>
      <c r="H73" s="38">
        <f t="shared" si="10"/>
        <v>45175</v>
      </c>
      <c r="I73" s="96" t="str">
        <f t="shared" si="11"/>
        <v/>
      </c>
      <c r="J73" s="50"/>
      <c r="K73" s="50"/>
      <c r="L73" s="50"/>
      <c r="M73" s="50"/>
      <c r="O73" s="38">
        <f t="shared" si="12"/>
        <v>45175</v>
      </c>
      <c r="P73" s="2" t="str">
        <f>IF(I73="","",I73/消费汇总!I74)</f>
        <v/>
      </c>
      <c r="Q73" s="2" t="str">
        <f>IF(J73="","",J73/二级地市消费汇总!C75)</f>
        <v/>
      </c>
      <c r="R73" s="2" t="str">
        <f>IF(K73="","",新单数据!K73/二级地市消费汇总!M75)</f>
        <v/>
      </c>
      <c r="S73" s="2" t="str">
        <f>IF(L73="","",L73/二级地市消费汇总!W75)</f>
        <v/>
      </c>
      <c r="T73" s="2" t="str">
        <f>IF(M73="","",M73/二级地市消费汇总!AG75)</f>
        <v/>
      </c>
      <c r="V73" s="38">
        <f t="shared" si="13"/>
        <v>45175</v>
      </c>
      <c r="W73" s="99" t="str">
        <f t="shared" si="14"/>
        <v/>
      </c>
      <c r="X73" s="26"/>
      <c r="Y73" s="26"/>
      <c r="Z73" s="26"/>
      <c r="AA73" s="26"/>
    </row>
    <row r="74" spans="1:28" x14ac:dyDescent="0.15">
      <c r="A74" s="38">
        <v>45176</v>
      </c>
      <c r="B74" s="96" t="str">
        <f t="shared" si="9"/>
        <v/>
      </c>
      <c r="C74" s="98"/>
      <c r="D74" s="98"/>
      <c r="E74" s="98"/>
      <c r="F74" s="98"/>
      <c r="H74" s="38">
        <f t="shared" si="10"/>
        <v>45176</v>
      </c>
      <c r="I74" s="96" t="str">
        <f t="shared" si="11"/>
        <v/>
      </c>
      <c r="J74" s="50"/>
      <c r="K74" s="50"/>
      <c r="L74" s="50"/>
      <c r="M74" s="50"/>
      <c r="O74" s="38">
        <f t="shared" si="12"/>
        <v>45176</v>
      </c>
      <c r="P74" s="2" t="str">
        <f>IF(I74="","",I74/消费汇总!I75)</f>
        <v/>
      </c>
      <c r="Q74" s="2" t="str">
        <f>IF(J74="","",J74/二级地市消费汇总!C76)</f>
        <v/>
      </c>
      <c r="R74" s="2" t="str">
        <f>IF(K74="","",新单数据!K74/二级地市消费汇总!M76)</f>
        <v/>
      </c>
      <c r="S74" s="2" t="str">
        <f>IF(L74="","",L74/二级地市消费汇总!W76)</f>
        <v/>
      </c>
      <c r="T74" s="2" t="str">
        <f>IF(M74="","",M74/二级地市消费汇总!AG76)</f>
        <v/>
      </c>
      <c r="V74" s="38">
        <f t="shared" si="13"/>
        <v>45176</v>
      </c>
      <c r="W74" s="99" t="str">
        <f t="shared" si="14"/>
        <v/>
      </c>
      <c r="X74" s="26"/>
      <c r="Y74" s="26"/>
      <c r="Z74" s="26"/>
      <c r="AA74" s="26"/>
    </row>
    <row r="75" spans="1:28" x14ac:dyDescent="0.15">
      <c r="A75" s="38">
        <v>45177</v>
      </c>
      <c r="B75" s="96" t="str">
        <f t="shared" si="9"/>
        <v/>
      </c>
      <c r="C75" s="98"/>
      <c r="D75" s="98"/>
      <c r="E75" s="98"/>
      <c r="F75" s="98"/>
      <c r="H75" s="38">
        <f t="shared" si="10"/>
        <v>45177</v>
      </c>
      <c r="I75" s="96" t="str">
        <f t="shared" si="11"/>
        <v/>
      </c>
      <c r="J75" s="50"/>
      <c r="K75" s="50"/>
      <c r="L75" s="50"/>
      <c r="M75" s="50"/>
      <c r="O75" s="38">
        <f t="shared" si="12"/>
        <v>45177</v>
      </c>
      <c r="P75" s="2" t="str">
        <f>IF(I75="","",I75/消费汇总!I76)</f>
        <v/>
      </c>
      <c r="Q75" s="2" t="str">
        <f>IF(J75="","",J75/二级地市消费汇总!C77)</f>
        <v/>
      </c>
      <c r="R75" s="2" t="str">
        <f>IF(K75="","",新单数据!K75/二级地市消费汇总!M77)</f>
        <v/>
      </c>
      <c r="S75" s="2" t="str">
        <f>IF(L75="","",L75/二级地市消费汇总!W77)</f>
        <v/>
      </c>
      <c r="T75" s="2" t="str">
        <f>IF(M75="","",M75/二级地市消费汇总!AG77)</f>
        <v/>
      </c>
      <c r="V75" s="38">
        <f t="shared" si="13"/>
        <v>45177</v>
      </c>
      <c r="W75" s="99" t="str">
        <f t="shared" si="14"/>
        <v/>
      </c>
      <c r="X75" s="26"/>
      <c r="Y75" s="26"/>
      <c r="Z75" s="26"/>
      <c r="AA75" s="26"/>
    </row>
    <row r="76" spans="1:28" x14ac:dyDescent="0.15">
      <c r="A76" s="38">
        <v>45178</v>
      </c>
      <c r="B76" s="96" t="str">
        <f t="shared" si="9"/>
        <v/>
      </c>
      <c r="C76" s="98"/>
      <c r="D76" s="98"/>
      <c r="E76" s="98"/>
      <c r="F76" s="98"/>
      <c r="H76" s="38">
        <f t="shared" si="10"/>
        <v>45178</v>
      </c>
      <c r="I76" s="96" t="str">
        <f t="shared" si="11"/>
        <v/>
      </c>
      <c r="J76" s="50"/>
      <c r="K76" s="50"/>
      <c r="L76" s="50"/>
      <c r="M76" s="50"/>
      <c r="O76" s="38">
        <f t="shared" si="12"/>
        <v>45178</v>
      </c>
      <c r="P76" s="2" t="str">
        <f>IF(I76="","",I76/消费汇总!I77)</f>
        <v/>
      </c>
      <c r="Q76" s="2" t="str">
        <f>IF(J76="","",J76/二级地市消费汇总!C78)</f>
        <v/>
      </c>
      <c r="R76" s="2" t="str">
        <f>IF(K76="","",新单数据!K76/二级地市消费汇总!M78)</f>
        <v/>
      </c>
      <c r="S76" s="2" t="str">
        <f>IF(L76="","",L76/二级地市消费汇总!W78)</f>
        <v/>
      </c>
      <c r="T76" s="2" t="str">
        <f>IF(M76="","",M76/二级地市消费汇总!AG78)</f>
        <v/>
      </c>
      <c r="V76" s="38">
        <f t="shared" si="13"/>
        <v>45178</v>
      </c>
      <c r="W76" s="99" t="str">
        <f t="shared" si="14"/>
        <v/>
      </c>
      <c r="X76" s="26"/>
      <c r="Y76" s="26"/>
      <c r="Z76" s="26"/>
      <c r="AA76" s="26"/>
    </row>
    <row r="77" spans="1:28" x14ac:dyDescent="0.15">
      <c r="A77" s="38">
        <v>45179</v>
      </c>
      <c r="B77" s="96" t="str">
        <f t="shared" si="9"/>
        <v/>
      </c>
      <c r="C77" s="98"/>
      <c r="D77" s="98"/>
      <c r="E77" s="98"/>
      <c r="F77" s="98"/>
      <c r="H77" s="38">
        <f t="shared" si="10"/>
        <v>45179</v>
      </c>
      <c r="I77" s="96" t="str">
        <f t="shared" si="11"/>
        <v/>
      </c>
      <c r="J77" s="50"/>
      <c r="K77" s="50"/>
      <c r="L77" s="50"/>
      <c r="M77" s="50"/>
      <c r="O77" s="38">
        <f t="shared" si="12"/>
        <v>45179</v>
      </c>
      <c r="P77" s="2" t="str">
        <f>IF(I77="","",I77/消费汇总!I78)</f>
        <v/>
      </c>
      <c r="Q77" s="2" t="str">
        <f>IF(J77="","",J77/二级地市消费汇总!C79)</f>
        <v/>
      </c>
      <c r="R77" s="2" t="str">
        <f>IF(K77="","",新单数据!K77/二级地市消费汇总!M79)</f>
        <v/>
      </c>
      <c r="S77" s="2" t="str">
        <f>IF(L77="","",L77/二级地市消费汇总!W79)</f>
        <v/>
      </c>
      <c r="T77" s="2" t="str">
        <f>IF(M77="","",M77/二级地市消费汇总!AG79)</f>
        <v/>
      </c>
      <c r="V77" s="38">
        <f t="shared" si="13"/>
        <v>45179</v>
      </c>
      <c r="W77" s="99" t="str">
        <f t="shared" si="14"/>
        <v/>
      </c>
      <c r="X77" s="26"/>
      <c r="Y77" s="26"/>
      <c r="Z77" s="26"/>
      <c r="AA77" s="26"/>
    </row>
    <row r="78" spans="1:28" x14ac:dyDescent="0.15">
      <c r="A78" s="38">
        <v>45180</v>
      </c>
      <c r="B78" s="96" t="str">
        <f t="shared" si="9"/>
        <v/>
      </c>
      <c r="C78" s="98"/>
      <c r="D78" s="98"/>
      <c r="E78" s="98"/>
      <c r="F78" s="98"/>
      <c r="H78" s="38">
        <f t="shared" si="10"/>
        <v>45180</v>
      </c>
      <c r="I78" s="96" t="str">
        <f t="shared" si="11"/>
        <v/>
      </c>
      <c r="J78" s="50"/>
      <c r="K78" s="50"/>
      <c r="L78" s="50"/>
      <c r="M78" s="50"/>
      <c r="O78" s="38">
        <f t="shared" si="12"/>
        <v>45180</v>
      </c>
      <c r="P78" s="2" t="str">
        <f>IF(I78="","",I78/消费汇总!I79)</f>
        <v/>
      </c>
      <c r="Q78" s="2" t="str">
        <f>IF(J78="","",J78/二级地市消费汇总!C80)</f>
        <v/>
      </c>
      <c r="R78" s="2" t="str">
        <f>IF(K78="","",新单数据!K78/二级地市消费汇总!M80)</f>
        <v/>
      </c>
      <c r="S78" s="2" t="str">
        <f>IF(L78="","",L78/二级地市消费汇总!W80)</f>
        <v/>
      </c>
      <c r="T78" s="2" t="str">
        <f>IF(M78="","",M78/二级地市消费汇总!AG80)</f>
        <v/>
      </c>
      <c r="V78" s="38">
        <f t="shared" si="13"/>
        <v>45180</v>
      </c>
      <c r="W78" s="99" t="str">
        <f t="shared" si="14"/>
        <v/>
      </c>
      <c r="X78" s="26"/>
      <c r="Y78" s="26"/>
      <c r="Z78" s="26"/>
      <c r="AA78" s="26"/>
    </row>
    <row r="79" spans="1:28" x14ac:dyDescent="0.15">
      <c r="A79" s="38">
        <v>45181</v>
      </c>
      <c r="B79" s="96" t="str">
        <f t="shared" si="9"/>
        <v/>
      </c>
      <c r="C79" s="98"/>
      <c r="D79" s="98"/>
      <c r="E79" s="98"/>
      <c r="F79" s="98"/>
      <c r="H79" s="38">
        <f t="shared" si="10"/>
        <v>45181</v>
      </c>
      <c r="I79" s="96" t="str">
        <f t="shared" si="11"/>
        <v/>
      </c>
      <c r="J79" s="50"/>
      <c r="K79" s="50"/>
      <c r="L79" s="50"/>
      <c r="M79" s="50"/>
      <c r="O79" s="38">
        <f t="shared" si="12"/>
        <v>45181</v>
      </c>
      <c r="P79" s="2" t="str">
        <f>IF(I79="","",I79/消费汇总!I80)</f>
        <v/>
      </c>
      <c r="Q79" s="2" t="str">
        <f>IF(J79="","",J79/二级地市消费汇总!C81)</f>
        <v/>
      </c>
      <c r="R79" s="2" t="str">
        <f>IF(K79="","",新单数据!K79/二级地市消费汇总!M81)</f>
        <v/>
      </c>
      <c r="S79" s="2" t="str">
        <f>IF(L79="","",L79/二级地市消费汇总!W81)</f>
        <v/>
      </c>
      <c r="T79" s="2" t="str">
        <f>IF(M79="","",M79/二级地市消费汇总!AG81)</f>
        <v/>
      </c>
      <c r="V79" s="38">
        <f t="shared" si="13"/>
        <v>45181</v>
      </c>
      <c r="W79" s="99" t="str">
        <f t="shared" si="14"/>
        <v/>
      </c>
      <c r="X79" s="26"/>
      <c r="Y79" s="26"/>
      <c r="Z79" s="26"/>
      <c r="AA79" s="26"/>
      <c r="AB79" s="8">
        <v>0</v>
      </c>
    </row>
    <row r="80" spans="1:28" x14ac:dyDescent="0.15">
      <c r="A80" s="38">
        <v>45182</v>
      </c>
      <c r="B80" s="96" t="str">
        <f t="shared" si="9"/>
        <v/>
      </c>
      <c r="C80" s="98"/>
      <c r="D80" s="98"/>
      <c r="E80" s="98"/>
      <c r="F80" s="98"/>
      <c r="H80" s="38">
        <f t="shared" si="10"/>
        <v>45182</v>
      </c>
      <c r="I80" s="96" t="str">
        <f t="shared" si="11"/>
        <v/>
      </c>
      <c r="J80" s="50"/>
      <c r="K80" s="50"/>
      <c r="L80" s="50"/>
      <c r="M80" s="50"/>
      <c r="O80" s="38">
        <f t="shared" si="12"/>
        <v>45182</v>
      </c>
      <c r="P80" s="2" t="str">
        <f>IF(I80="","",I80/消费汇总!I81)</f>
        <v/>
      </c>
      <c r="Q80" s="2" t="str">
        <f>IF(J80="","",J80/二级地市消费汇总!C82)</f>
        <v/>
      </c>
      <c r="R80" s="2" t="str">
        <f>IF(K80="","",新单数据!K80/二级地市消费汇总!M82)</f>
        <v/>
      </c>
      <c r="S80" s="2" t="str">
        <f>IF(L80="","",L80/二级地市消费汇总!W82)</f>
        <v/>
      </c>
      <c r="T80" s="2" t="str">
        <f>IF(M80="","",M80/二级地市消费汇总!AG82)</f>
        <v/>
      </c>
      <c r="V80" s="38">
        <f t="shared" si="13"/>
        <v>45182</v>
      </c>
      <c r="W80" s="99" t="str">
        <f t="shared" si="14"/>
        <v/>
      </c>
      <c r="X80" s="26"/>
      <c r="Y80" s="26"/>
      <c r="Z80" s="26"/>
      <c r="AA80" s="26"/>
    </row>
    <row r="81" spans="1:28" x14ac:dyDescent="0.15">
      <c r="A81" s="38">
        <v>45183</v>
      </c>
      <c r="B81" s="96" t="str">
        <f t="shared" si="9"/>
        <v/>
      </c>
      <c r="C81" s="104"/>
      <c r="D81" s="105"/>
      <c r="E81" s="105"/>
      <c r="F81" s="105"/>
      <c r="H81" s="38">
        <f t="shared" si="10"/>
        <v>45183</v>
      </c>
      <c r="I81" s="96" t="str">
        <f t="shared" si="11"/>
        <v/>
      </c>
      <c r="J81" s="50"/>
      <c r="K81" s="50"/>
      <c r="L81" s="50"/>
      <c r="M81" s="50"/>
      <c r="O81" s="38">
        <f t="shared" si="12"/>
        <v>45183</v>
      </c>
      <c r="P81" s="2" t="str">
        <f>IF(I81="","",I81/消费汇总!I82)</f>
        <v/>
      </c>
      <c r="Q81" s="2" t="str">
        <f>IF(J81="","",J81/二级地市消费汇总!C83)</f>
        <v/>
      </c>
      <c r="R81" s="2" t="str">
        <f>IF(K81="","",新单数据!K81/二级地市消费汇总!M83)</f>
        <v/>
      </c>
      <c r="S81" s="2" t="str">
        <f>IF(L81="","",L81/二级地市消费汇总!W83)</f>
        <v/>
      </c>
      <c r="T81" s="2" t="str">
        <f>IF(M81="","",M81/二级地市消费汇总!AG83)</f>
        <v/>
      </c>
      <c r="V81" s="38">
        <f t="shared" si="13"/>
        <v>45183</v>
      </c>
      <c r="W81" s="99" t="str">
        <f t="shared" si="14"/>
        <v/>
      </c>
      <c r="X81" s="26"/>
      <c r="Y81" s="26"/>
      <c r="Z81" s="26"/>
      <c r="AA81" s="26"/>
    </row>
    <row r="82" spans="1:28" x14ac:dyDescent="0.15">
      <c r="A82" s="38">
        <v>45184</v>
      </c>
      <c r="B82" s="96" t="str">
        <f t="shared" si="9"/>
        <v/>
      </c>
      <c r="C82" s="98"/>
      <c r="D82" s="98"/>
      <c r="E82" s="98"/>
      <c r="F82" s="98"/>
      <c r="H82" s="38">
        <f t="shared" si="10"/>
        <v>45184</v>
      </c>
      <c r="I82" s="96" t="str">
        <f t="shared" si="11"/>
        <v/>
      </c>
      <c r="J82" s="50"/>
      <c r="K82" s="50"/>
      <c r="L82" s="50"/>
      <c r="M82" s="50"/>
      <c r="O82" s="38">
        <f t="shared" si="12"/>
        <v>45184</v>
      </c>
      <c r="P82" s="2" t="str">
        <f>IF(I82="","",I82/消费汇总!I83)</f>
        <v/>
      </c>
      <c r="Q82" s="2" t="str">
        <f>IF(J82="","",J82/二级地市消费汇总!C84)</f>
        <v/>
      </c>
      <c r="R82" s="2" t="str">
        <f>IF(K82="","",新单数据!K82/二级地市消费汇总!M84)</f>
        <v/>
      </c>
      <c r="S82" s="2" t="str">
        <f>IF(L82="","",L82/二级地市消费汇总!W84)</f>
        <v/>
      </c>
      <c r="T82" s="2" t="str">
        <f>IF(M82="","",M82/二级地市消费汇总!AG84)</f>
        <v/>
      </c>
      <c r="V82" s="38">
        <f t="shared" si="13"/>
        <v>45184</v>
      </c>
      <c r="W82" s="99" t="str">
        <f t="shared" si="14"/>
        <v/>
      </c>
      <c r="X82" s="26"/>
      <c r="Y82" s="26"/>
      <c r="Z82" s="26"/>
      <c r="AA82" s="26"/>
    </row>
    <row r="83" spans="1:28" x14ac:dyDescent="0.15">
      <c r="A83" s="38">
        <v>45185</v>
      </c>
      <c r="B83" s="96" t="str">
        <f t="shared" si="9"/>
        <v/>
      </c>
      <c r="C83" s="98"/>
      <c r="D83" s="98"/>
      <c r="E83" s="98"/>
      <c r="F83" s="98"/>
      <c r="H83" s="38">
        <f t="shared" si="10"/>
        <v>45185</v>
      </c>
      <c r="I83" s="96" t="str">
        <f t="shared" si="11"/>
        <v/>
      </c>
      <c r="J83" s="50"/>
      <c r="K83" s="50"/>
      <c r="L83" s="50"/>
      <c r="M83" s="50"/>
      <c r="O83" s="38">
        <f t="shared" si="12"/>
        <v>45185</v>
      </c>
      <c r="P83" s="2" t="str">
        <f>IF(I83="","",I83/消费汇总!I84)</f>
        <v/>
      </c>
      <c r="Q83" s="2" t="str">
        <f>IF(J83="","",J83/二级地市消费汇总!C85)</f>
        <v/>
      </c>
      <c r="R83" s="2" t="str">
        <f>IF(K83="","",新单数据!K83/二级地市消费汇总!M85)</f>
        <v/>
      </c>
      <c r="S83" s="2" t="str">
        <f>IF(L83="","",L83/二级地市消费汇总!W85)</f>
        <v/>
      </c>
      <c r="T83" s="2" t="str">
        <f>IF(M83="","",M83/二级地市消费汇总!AG85)</f>
        <v/>
      </c>
      <c r="V83" s="38">
        <f t="shared" si="13"/>
        <v>45185</v>
      </c>
      <c r="W83" s="99" t="str">
        <f t="shared" si="14"/>
        <v/>
      </c>
      <c r="X83" s="26"/>
      <c r="Y83" s="26"/>
      <c r="Z83" s="26"/>
      <c r="AA83" s="26"/>
    </row>
    <row r="84" spans="1:28" x14ac:dyDescent="0.15">
      <c r="A84" s="38">
        <v>45186</v>
      </c>
      <c r="B84" s="96" t="str">
        <f t="shared" si="9"/>
        <v/>
      </c>
      <c r="C84" s="98"/>
      <c r="D84" s="98"/>
      <c r="E84" s="98"/>
      <c r="F84" s="98"/>
      <c r="H84" s="38">
        <f t="shared" si="10"/>
        <v>45186</v>
      </c>
      <c r="I84" s="96" t="str">
        <f t="shared" si="11"/>
        <v/>
      </c>
      <c r="J84" s="50"/>
      <c r="K84" s="50"/>
      <c r="L84" s="50"/>
      <c r="M84" s="50"/>
      <c r="O84" s="38">
        <f t="shared" si="12"/>
        <v>45186</v>
      </c>
      <c r="P84" s="2" t="str">
        <f>IF(I84="","",I84/消费汇总!I85)</f>
        <v/>
      </c>
      <c r="Q84" s="2" t="str">
        <f>IF(J84="","",J84/二级地市消费汇总!C86)</f>
        <v/>
      </c>
      <c r="R84" s="2" t="str">
        <f>IF(K84="","",新单数据!K84/二级地市消费汇总!M86)</f>
        <v/>
      </c>
      <c r="S84" s="2" t="str">
        <f>IF(L84="","",L84/二级地市消费汇总!W86)</f>
        <v/>
      </c>
      <c r="T84" s="2" t="str">
        <f>IF(M84="","",M84/二级地市消费汇总!AG86)</f>
        <v/>
      </c>
      <c r="V84" s="38">
        <f t="shared" si="13"/>
        <v>45186</v>
      </c>
      <c r="W84" s="99" t="str">
        <f t="shared" si="14"/>
        <v/>
      </c>
      <c r="X84" s="26"/>
      <c r="Y84" s="26"/>
      <c r="Z84" s="26"/>
      <c r="AA84" s="26"/>
    </row>
    <row r="85" spans="1:28" x14ac:dyDescent="0.15">
      <c r="A85" s="38">
        <v>45187</v>
      </c>
      <c r="B85" s="96" t="str">
        <f t="shared" si="9"/>
        <v/>
      </c>
      <c r="C85" s="98"/>
      <c r="D85" s="98"/>
      <c r="E85" s="98"/>
      <c r="F85" s="98"/>
      <c r="H85" s="38">
        <f t="shared" si="10"/>
        <v>45187</v>
      </c>
      <c r="I85" s="96" t="str">
        <f t="shared" si="11"/>
        <v/>
      </c>
      <c r="J85" s="50"/>
      <c r="K85" s="50"/>
      <c r="L85" s="50"/>
      <c r="M85" s="50"/>
      <c r="O85" s="38">
        <f t="shared" si="12"/>
        <v>45187</v>
      </c>
      <c r="P85" s="2" t="str">
        <f>IF(I85="","",I85/消费汇总!I86)</f>
        <v/>
      </c>
      <c r="Q85" s="2" t="str">
        <f>IF(J85="","",J85/二级地市消费汇总!C87)</f>
        <v/>
      </c>
      <c r="R85" s="2" t="str">
        <f>IF(K85="","",新单数据!K85/二级地市消费汇总!M87)</f>
        <v/>
      </c>
      <c r="S85" s="2" t="str">
        <f>IF(L85="","",L85/二级地市消费汇总!W87)</f>
        <v/>
      </c>
      <c r="T85" s="2" t="str">
        <f>IF(M85="","",M85/二级地市消费汇总!AG87)</f>
        <v/>
      </c>
      <c r="V85" s="38">
        <f t="shared" si="13"/>
        <v>45187</v>
      </c>
      <c r="W85" s="99" t="str">
        <f t="shared" si="14"/>
        <v/>
      </c>
      <c r="X85" s="26"/>
      <c r="Y85" s="26"/>
      <c r="Z85" s="26"/>
      <c r="AA85" s="26"/>
    </row>
    <row r="86" spans="1:28" x14ac:dyDescent="0.15">
      <c r="A86" s="38">
        <v>45188</v>
      </c>
      <c r="B86" s="96" t="str">
        <f t="shared" si="9"/>
        <v/>
      </c>
      <c r="C86" s="98"/>
      <c r="D86" s="98"/>
      <c r="E86" s="98"/>
      <c r="F86" s="98"/>
      <c r="H86" s="38">
        <f t="shared" si="10"/>
        <v>45188</v>
      </c>
      <c r="I86" s="96" t="str">
        <f t="shared" si="11"/>
        <v/>
      </c>
      <c r="J86" s="50"/>
      <c r="K86" s="50"/>
      <c r="L86" s="50"/>
      <c r="M86" s="50"/>
      <c r="O86" s="38">
        <f t="shared" si="12"/>
        <v>45188</v>
      </c>
      <c r="P86" s="2" t="str">
        <f>IF(I86="","",I86/消费汇总!I87)</f>
        <v/>
      </c>
      <c r="Q86" s="2" t="str">
        <f>IF(J86="","",J86/二级地市消费汇总!C88)</f>
        <v/>
      </c>
      <c r="R86" s="2" t="str">
        <f>IF(K86="","",新单数据!K86/二级地市消费汇总!M88)</f>
        <v/>
      </c>
      <c r="S86" s="2" t="str">
        <f>IF(L86="","",L86/二级地市消费汇总!W88)</f>
        <v/>
      </c>
      <c r="T86" s="2" t="str">
        <f>IF(M86="","",M86/二级地市消费汇总!AG88)</f>
        <v/>
      </c>
      <c r="V86" s="38">
        <f t="shared" si="13"/>
        <v>45188</v>
      </c>
      <c r="W86" s="99" t="str">
        <f t="shared" si="14"/>
        <v/>
      </c>
      <c r="X86" s="26"/>
      <c r="Y86" s="26"/>
      <c r="Z86" s="26"/>
      <c r="AA86" s="26"/>
    </row>
    <row r="87" spans="1:28" x14ac:dyDescent="0.15">
      <c r="A87" s="38">
        <v>45189</v>
      </c>
      <c r="B87" s="96" t="str">
        <f t="shared" si="9"/>
        <v/>
      </c>
      <c r="C87" s="98"/>
      <c r="D87" s="98"/>
      <c r="E87" s="98"/>
      <c r="F87" s="98"/>
      <c r="H87" s="38">
        <f t="shared" si="10"/>
        <v>45189</v>
      </c>
      <c r="I87" s="96" t="str">
        <f t="shared" si="11"/>
        <v/>
      </c>
      <c r="J87" s="50"/>
      <c r="K87" s="50"/>
      <c r="L87" s="50"/>
      <c r="M87" s="50"/>
      <c r="O87" s="38">
        <f t="shared" si="12"/>
        <v>45189</v>
      </c>
      <c r="P87" s="2" t="str">
        <f>IF(I87="","",I87/消费汇总!I88)</f>
        <v/>
      </c>
      <c r="Q87" s="2" t="str">
        <f>IF(J87="","",J87/二级地市消费汇总!C89)</f>
        <v/>
      </c>
      <c r="R87" s="2" t="str">
        <f>IF(K87="","",新单数据!K87/二级地市消费汇总!M89)</f>
        <v/>
      </c>
      <c r="S87" s="2" t="str">
        <f>IF(L87="","",L87/二级地市消费汇总!W89)</f>
        <v/>
      </c>
      <c r="T87" s="2" t="str">
        <f>IF(M87="","",M87/二级地市消费汇总!AG89)</f>
        <v/>
      </c>
      <c r="V87" s="38">
        <f t="shared" si="13"/>
        <v>45189</v>
      </c>
      <c r="W87" s="99" t="str">
        <f t="shared" si="14"/>
        <v/>
      </c>
      <c r="X87" s="26"/>
      <c r="Y87" s="26"/>
      <c r="Z87" s="26"/>
      <c r="AA87" s="26"/>
    </row>
    <row r="88" spans="1:28" x14ac:dyDescent="0.15">
      <c r="A88" s="38">
        <v>45190</v>
      </c>
      <c r="B88" s="96" t="str">
        <f t="shared" si="9"/>
        <v/>
      </c>
      <c r="C88" s="98"/>
      <c r="D88" s="98"/>
      <c r="E88" s="98"/>
      <c r="F88" s="98"/>
      <c r="H88" s="38">
        <f t="shared" si="10"/>
        <v>45190</v>
      </c>
      <c r="I88" s="96" t="str">
        <f t="shared" si="11"/>
        <v/>
      </c>
      <c r="J88" s="50"/>
      <c r="K88" s="50"/>
      <c r="L88" s="50"/>
      <c r="M88" s="50"/>
      <c r="O88" s="38">
        <f t="shared" si="12"/>
        <v>45190</v>
      </c>
      <c r="P88" s="2" t="str">
        <f>IF(I88="","",I88/消费汇总!I89)</f>
        <v/>
      </c>
      <c r="Q88" s="2" t="str">
        <f>IF(J88="","",J88/二级地市消费汇总!C90)</f>
        <v/>
      </c>
      <c r="R88" s="2" t="str">
        <f>IF(K88="","",新单数据!K88/二级地市消费汇总!M90)</f>
        <v/>
      </c>
      <c r="S88" s="2" t="str">
        <f>IF(L88="","",L88/二级地市消费汇总!W90)</f>
        <v/>
      </c>
      <c r="T88" s="2" t="str">
        <f>IF(M88="","",M88/二级地市消费汇总!AG90)</f>
        <v/>
      </c>
      <c r="V88" s="38">
        <f t="shared" si="13"/>
        <v>45190</v>
      </c>
      <c r="W88" s="99" t="str">
        <f t="shared" si="14"/>
        <v/>
      </c>
      <c r="X88" s="26"/>
      <c r="Y88" s="26"/>
      <c r="Z88" s="26"/>
      <c r="AA88" s="26"/>
    </row>
    <row r="89" spans="1:28" x14ac:dyDescent="0.15">
      <c r="A89" s="38">
        <v>45191</v>
      </c>
      <c r="B89" s="96" t="str">
        <f t="shared" si="9"/>
        <v/>
      </c>
      <c r="C89" s="98"/>
      <c r="D89" s="98"/>
      <c r="E89" s="98"/>
      <c r="F89" s="98"/>
      <c r="H89" s="38">
        <f t="shared" si="10"/>
        <v>45191</v>
      </c>
      <c r="I89" s="96" t="str">
        <f t="shared" si="11"/>
        <v/>
      </c>
      <c r="J89" s="50"/>
      <c r="K89" s="50"/>
      <c r="L89" s="50"/>
      <c r="M89" s="50"/>
      <c r="O89" s="38">
        <f t="shared" si="12"/>
        <v>45191</v>
      </c>
      <c r="P89" s="2" t="str">
        <f>IF(I89="","",I89/消费汇总!I90)</f>
        <v/>
      </c>
      <c r="Q89" s="2" t="str">
        <f>IF(J89="","",J89/二级地市消费汇总!C91)</f>
        <v/>
      </c>
      <c r="R89" s="2" t="str">
        <f>IF(K89="","",新单数据!K89/二级地市消费汇总!M91)</f>
        <v/>
      </c>
      <c r="S89" s="2" t="str">
        <f>IF(L89="","",L89/二级地市消费汇总!W91)</f>
        <v/>
      </c>
      <c r="T89" s="2" t="str">
        <f>IF(M89="","",M89/二级地市消费汇总!AG91)</f>
        <v/>
      </c>
      <c r="V89" s="38">
        <f t="shared" si="13"/>
        <v>45191</v>
      </c>
      <c r="W89" s="99" t="str">
        <f t="shared" si="14"/>
        <v/>
      </c>
      <c r="X89" s="26"/>
      <c r="Y89" s="26"/>
      <c r="Z89" s="26"/>
      <c r="AA89" s="26"/>
      <c r="AB89" s="8">
        <v>0</v>
      </c>
    </row>
    <row r="90" spans="1:28" x14ac:dyDescent="0.15">
      <c r="A90" s="38">
        <v>45192</v>
      </c>
      <c r="B90" s="96" t="str">
        <f t="shared" si="9"/>
        <v/>
      </c>
      <c r="C90" s="98"/>
      <c r="D90" s="98"/>
      <c r="E90" s="98"/>
      <c r="F90" s="98"/>
      <c r="H90" s="38">
        <f t="shared" si="10"/>
        <v>45192</v>
      </c>
      <c r="I90" s="96" t="str">
        <f t="shared" si="11"/>
        <v/>
      </c>
      <c r="J90" s="50"/>
      <c r="K90" s="50"/>
      <c r="L90" s="50"/>
      <c r="M90" s="50"/>
      <c r="O90" s="38">
        <f t="shared" si="12"/>
        <v>45192</v>
      </c>
      <c r="P90" s="2" t="str">
        <f>IF(I90="","",I90/消费汇总!I91)</f>
        <v/>
      </c>
      <c r="Q90" s="2" t="str">
        <f>IF(J90="","",J90/二级地市消费汇总!C92)</f>
        <v/>
      </c>
      <c r="R90" s="2" t="str">
        <f>IF(K90="","",新单数据!K90/二级地市消费汇总!M92)</f>
        <v/>
      </c>
      <c r="S90" s="2" t="str">
        <f>IF(L90="","",L90/二级地市消费汇总!W92)</f>
        <v/>
      </c>
      <c r="T90" s="2" t="str">
        <f>IF(M90="","",M90/二级地市消费汇总!AG92)</f>
        <v/>
      </c>
      <c r="V90" s="38">
        <f t="shared" si="13"/>
        <v>45192</v>
      </c>
      <c r="W90" s="99" t="str">
        <f t="shared" si="14"/>
        <v/>
      </c>
      <c r="X90" s="26"/>
      <c r="Y90" s="26"/>
      <c r="Z90" s="26"/>
      <c r="AA90" s="26"/>
      <c r="AB90" s="8">
        <v>0</v>
      </c>
    </row>
    <row r="91" spans="1:28" x14ac:dyDescent="0.15">
      <c r="A91" s="38">
        <v>45193</v>
      </c>
      <c r="B91" s="96" t="str">
        <f t="shared" si="9"/>
        <v/>
      </c>
      <c r="C91" s="98"/>
      <c r="D91" s="98"/>
      <c r="E91" s="98"/>
      <c r="F91" s="98"/>
      <c r="H91" s="38">
        <f t="shared" si="10"/>
        <v>45193</v>
      </c>
      <c r="I91" s="96" t="str">
        <f t="shared" si="11"/>
        <v/>
      </c>
      <c r="J91" s="50"/>
      <c r="K91" s="50"/>
      <c r="L91" s="50"/>
      <c r="M91" s="50"/>
      <c r="O91" s="38">
        <f t="shared" si="12"/>
        <v>45193</v>
      </c>
      <c r="P91" s="2" t="str">
        <f>IF(I91="","",I91/消费汇总!I92)</f>
        <v/>
      </c>
      <c r="Q91" s="2" t="str">
        <f>IF(J91="","",J91/二级地市消费汇总!C93)</f>
        <v/>
      </c>
      <c r="R91" s="2" t="str">
        <f>IF(K91="","",新单数据!K91/二级地市消费汇总!M93)</f>
        <v/>
      </c>
      <c r="S91" s="2" t="str">
        <f>IF(L91="","",L91/二级地市消费汇总!W93)</f>
        <v/>
      </c>
      <c r="T91" s="2" t="str">
        <f>IF(M91="","",M91/二级地市消费汇总!AG93)</f>
        <v/>
      </c>
      <c r="V91" s="38">
        <f t="shared" si="13"/>
        <v>45193</v>
      </c>
      <c r="W91" s="99" t="str">
        <f t="shared" si="14"/>
        <v/>
      </c>
      <c r="X91" s="26"/>
      <c r="Y91" s="26"/>
      <c r="Z91" s="26"/>
      <c r="AA91" s="26"/>
      <c r="AB91" s="8">
        <v>0</v>
      </c>
    </row>
    <row r="92" spans="1:28" x14ac:dyDescent="0.15">
      <c r="A92" s="38">
        <v>45194</v>
      </c>
      <c r="B92" s="96" t="str">
        <f t="shared" si="9"/>
        <v/>
      </c>
      <c r="C92" s="98"/>
      <c r="D92" s="98"/>
      <c r="E92" s="98"/>
      <c r="F92" s="98"/>
      <c r="H92" s="38">
        <f t="shared" si="10"/>
        <v>45194</v>
      </c>
      <c r="I92" s="96" t="str">
        <f t="shared" si="11"/>
        <v/>
      </c>
      <c r="J92" s="50"/>
      <c r="K92" s="50"/>
      <c r="L92" s="50"/>
      <c r="M92" s="50"/>
      <c r="O92" s="38">
        <f t="shared" si="12"/>
        <v>45194</v>
      </c>
      <c r="P92" s="2" t="str">
        <f>IF(I92="","",I92/消费汇总!I93)</f>
        <v/>
      </c>
      <c r="Q92" s="2" t="str">
        <f>IF(J92="","",J92/二级地市消费汇总!C94)</f>
        <v/>
      </c>
      <c r="R92" s="2" t="str">
        <f>IF(K92="","",新单数据!K92/二级地市消费汇总!M94)</f>
        <v/>
      </c>
      <c r="S92" s="2" t="str">
        <f>IF(L92="","",L92/二级地市消费汇总!W94)</f>
        <v/>
      </c>
      <c r="T92" s="2" t="str">
        <f>IF(M92="","",M92/二级地市消费汇总!AG94)</f>
        <v/>
      </c>
      <c r="V92" s="38">
        <f t="shared" si="13"/>
        <v>45194</v>
      </c>
      <c r="W92" s="99" t="str">
        <f t="shared" si="14"/>
        <v/>
      </c>
      <c r="X92" s="26"/>
      <c r="Y92" s="26"/>
      <c r="Z92" s="26"/>
      <c r="AA92" s="26"/>
    </row>
    <row r="93" spans="1:28" x14ac:dyDescent="0.15">
      <c r="A93" s="38">
        <v>45195</v>
      </c>
      <c r="B93" s="96" t="str">
        <f t="shared" si="9"/>
        <v/>
      </c>
      <c r="C93" s="98"/>
      <c r="D93" s="98"/>
      <c r="E93" s="98"/>
      <c r="F93" s="98"/>
      <c r="H93" s="38">
        <f t="shared" si="10"/>
        <v>45195</v>
      </c>
      <c r="I93" s="96" t="str">
        <f t="shared" si="11"/>
        <v/>
      </c>
      <c r="J93" s="50"/>
      <c r="K93" s="50"/>
      <c r="L93" s="50"/>
      <c r="M93" s="50"/>
      <c r="O93" s="38">
        <f t="shared" si="12"/>
        <v>45195</v>
      </c>
      <c r="P93" s="2" t="str">
        <f>IF(I93="","",I93/消费汇总!I94)</f>
        <v/>
      </c>
      <c r="Q93" s="2" t="str">
        <f>IF(J93="","",J93/二级地市消费汇总!C95)</f>
        <v/>
      </c>
      <c r="R93" s="2" t="str">
        <f>IF(K93="","",新单数据!K93/二级地市消费汇总!M95)</f>
        <v/>
      </c>
      <c r="S93" s="2" t="str">
        <f>IF(L93="","",L93/二级地市消费汇总!W95)</f>
        <v/>
      </c>
      <c r="T93" s="2" t="str">
        <f>IF(M93="","",M93/二级地市消费汇总!AG95)</f>
        <v/>
      </c>
      <c r="V93" s="38">
        <f t="shared" si="13"/>
        <v>45195</v>
      </c>
      <c r="W93" s="99" t="str">
        <f t="shared" si="14"/>
        <v/>
      </c>
      <c r="X93" s="26"/>
      <c r="Y93" s="26"/>
      <c r="Z93" s="26"/>
      <c r="AA93" s="26"/>
    </row>
    <row r="94" spans="1:28" x14ac:dyDescent="0.15">
      <c r="A94" s="38">
        <v>45196</v>
      </c>
      <c r="B94" s="96" t="str">
        <f t="shared" si="9"/>
        <v/>
      </c>
      <c r="C94" s="98"/>
      <c r="D94" s="98"/>
      <c r="E94" s="98"/>
      <c r="F94" s="98"/>
      <c r="H94" s="38">
        <f t="shared" si="10"/>
        <v>45196</v>
      </c>
      <c r="I94" s="96" t="str">
        <f t="shared" si="11"/>
        <v/>
      </c>
      <c r="J94" s="50"/>
      <c r="K94" s="50"/>
      <c r="L94" s="50"/>
      <c r="M94" s="50"/>
      <c r="O94" s="38">
        <f t="shared" si="12"/>
        <v>45196</v>
      </c>
      <c r="P94" s="2" t="str">
        <f>IF(I94="","",I94/消费汇总!I95)</f>
        <v/>
      </c>
      <c r="Q94" s="2" t="str">
        <f>IF(J94="","",J94/二级地市消费汇总!C96)</f>
        <v/>
      </c>
      <c r="R94" s="2" t="str">
        <f>IF(K94="","",新单数据!K94/二级地市消费汇总!M96)</f>
        <v/>
      </c>
      <c r="S94" s="2" t="str">
        <f>IF(L94="","",L94/二级地市消费汇总!W96)</f>
        <v/>
      </c>
      <c r="T94" s="2" t="str">
        <f>IF(M94="","",M94/二级地市消费汇总!AG96)</f>
        <v/>
      </c>
      <c r="V94" s="38">
        <f t="shared" si="13"/>
        <v>45196</v>
      </c>
      <c r="W94" s="99" t="str">
        <f t="shared" si="14"/>
        <v/>
      </c>
      <c r="X94" s="26"/>
      <c r="Y94" s="26"/>
      <c r="Z94" s="26"/>
      <c r="AA94" s="26"/>
    </row>
    <row r="95" spans="1:28" x14ac:dyDescent="0.15">
      <c r="A95" s="38">
        <v>45197</v>
      </c>
      <c r="B95" s="96" t="str">
        <f t="shared" si="9"/>
        <v/>
      </c>
      <c r="C95" s="98"/>
      <c r="D95" s="98"/>
      <c r="E95" s="98"/>
      <c r="F95" s="98"/>
      <c r="H95" s="38">
        <f t="shared" si="10"/>
        <v>45197</v>
      </c>
      <c r="I95" s="96" t="str">
        <f t="shared" si="11"/>
        <v/>
      </c>
      <c r="J95" s="50"/>
      <c r="K95" s="50"/>
      <c r="L95" s="50"/>
      <c r="M95" s="50"/>
      <c r="O95" s="38">
        <f t="shared" si="12"/>
        <v>45197</v>
      </c>
      <c r="P95" s="2" t="str">
        <f>IF(I95="","",I95/消费汇总!I96)</f>
        <v/>
      </c>
      <c r="Q95" s="2" t="str">
        <f>IF(J95="","",J95/二级地市消费汇总!C97)</f>
        <v/>
      </c>
      <c r="R95" s="2" t="str">
        <f>IF(K95="","",新单数据!K95/二级地市消费汇总!M97)</f>
        <v/>
      </c>
      <c r="S95" s="2" t="str">
        <f>IF(L95="","",L95/二级地市消费汇总!W97)</f>
        <v/>
      </c>
      <c r="T95" s="2" t="str">
        <f>IF(M95="","",M95/二级地市消费汇总!AG97)</f>
        <v/>
      </c>
      <c r="V95" s="38">
        <f t="shared" si="13"/>
        <v>45197</v>
      </c>
      <c r="W95" s="99" t="str">
        <f t="shared" si="14"/>
        <v/>
      </c>
      <c r="X95" s="26"/>
      <c r="Y95" s="26"/>
      <c r="Z95" s="26"/>
      <c r="AA95" s="26"/>
    </row>
    <row r="96" spans="1:28" x14ac:dyDescent="0.15">
      <c r="A96" s="38">
        <v>45198</v>
      </c>
      <c r="B96" s="96" t="str">
        <f t="shared" si="9"/>
        <v/>
      </c>
      <c r="C96" s="98"/>
      <c r="D96" s="98"/>
      <c r="E96" s="98"/>
      <c r="F96" s="98"/>
      <c r="H96" s="38">
        <f t="shared" si="10"/>
        <v>45198</v>
      </c>
      <c r="I96" s="96" t="str">
        <f t="shared" si="11"/>
        <v/>
      </c>
      <c r="J96" s="50"/>
      <c r="K96" s="50"/>
      <c r="L96" s="50"/>
      <c r="M96" s="50"/>
      <c r="O96" s="38">
        <f t="shared" si="12"/>
        <v>45198</v>
      </c>
      <c r="P96" s="2" t="str">
        <f>IF(I96="","",I96/消费汇总!I97)</f>
        <v/>
      </c>
      <c r="Q96" s="2" t="str">
        <f>IF(J96="","",J96/二级地市消费汇总!C98)</f>
        <v/>
      </c>
      <c r="R96" s="2" t="str">
        <f>IF(K96="","",新单数据!K96/二级地市消费汇总!M98)</f>
        <v/>
      </c>
      <c r="S96" s="2" t="str">
        <f>IF(L96="","",L96/二级地市消费汇总!W98)</f>
        <v/>
      </c>
      <c r="T96" s="2" t="str">
        <f>IF(M96="","",M96/二级地市消费汇总!AG98)</f>
        <v/>
      </c>
      <c r="V96" s="38">
        <f t="shared" si="13"/>
        <v>45198</v>
      </c>
      <c r="W96" s="99" t="str">
        <f t="shared" si="14"/>
        <v/>
      </c>
      <c r="X96" s="26"/>
      <c r="Y96" s="26"/>
      <c r="Z96" s="26"/>
      <c r="AA96" s="26"/>
    </row>
    <row r="97" spans="1:27" x14ac:dyDescent="0.15">
      <c r="A97" s="38">
        <v>45199</v>
      </c>
      <c r="B97" s="96" t="str">
        <f t="shared" ref="B97" si="15">IF(C97="","",SUM(C97:F97))</f>
        <v/>
      </c>
      <c r="C97" s="98"/>
      <c r="D97" s="98"/>
      <c r="E97" s="98"/>
      <c r="F97" s="98"/>
      <c r="H97" s="38">
        <f t="shared" ref="H97" si="16">A97</f>
        <v>45199</v>
      </c>
      <c r="I97" s="96" t="str">
        <f t="shared" ref="I97" si="17">IF(J97="","",SUM(J97:M97))</f>
        <v/>
      </c>
      <c r="J97" s="50"/>
      <c r="K97" s="50"/>
      <c r="L97" s="50"/>
      <c r="M97" s="50"/>
      <c r="O97" s="38">
        <f t="shared" ref="O97" si="18">H97</f>
        <v>45199</v>
      </c>
      <c r="P97" s="2" t="str">
        <f>IF(I97="","",I97/消费汇总!I98)</f>
        <v/>
      </c>
      <c r="Q97" s="2" t="str">
        <f>IF(J97="","",J97/二级地市消费汇总!C99)</f>
        <v/>
      </c>
      <c r="R97" s="2" t="str">
        <f>IF(K97="","",新单数据!K97/二级地市消费汇总!M99)</f>
        <v/>
      </c>
      <c r="S97" s="2" t="str">
        <f>IF(L97="","",L97/二级地市消费汇总!W99)</f>
        <v/>
      </c>
      <c r="T97" s="2" t="str">
        <f>IF(M97="","",M97/二级地市消费汇总!AG99)</f>
        <v/>
      </c>
      <c r="V97" s="38">
        <f t="shared" ref="V97" si="19">O97</f>
        <v>45199</v>
      </c>
      <c r="W97" s="99" t="str">
        <f t="shared" ref="W97" si="20">IF(X97="","",SUM(X97:AA97))</f>
        <v/>
      </c>
      <c r="X97" s="26"/>
      <c r="Y97" s="26"/>
      <c r="Z97" s="26"/>
      <c r="AA97" s="26"/>
    </row>
  </sheetData>
  <phoneticPr fontId="5" type="noConversion"/>
  <conditionalFormatting sqref="A6:A97 H6:H97 O6:O97 V6:V97">
    <cfRule type="expression" dxfId="32" priority="14">
      <formula>OR(WEEKDAY(A6)=1,WEEKDAY(A6)=7)</formula>
    </cfRule>
  </conditionalFormatting>
  <pageMargins left="0.69930555555555596" right="0.69930555555555596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rgb="FF002060"/>
  </sheetPr>
  <dimension ref="A1:L98"/>
  <sheetViews>
    <sheetView showGridLines="0" workbookViewId="0">
      <pane ySplit="6" topLeftCell="A7" activePane="bottomLeft" state="frozen"/>
      <selection pane="bottomLeft" activeCell="K1" sqref="K1"/>
    </sheetView>
  </sheetViews>
  <sheetFormatPr defaultRowHeight="13.5" x14ac:dyDescent="0.15"/>
  <cols>
    <col min="2" max="2" width="12.75" style="78" customWidth="1"/>
    <col min="3" max="3" width="10.25" style="78" customWidth="1"/>
    <col min="4" max="4" width="10.5" style="78" customWidth="1"/>
    <col min="5" max="5" width="12.75" style="78" customWidth="1"/>
    <col min="6" max="6" width="10.375" style="78" customWidth="1"/>
    <col min="7" max="7" width="10.5" style="78" customWidth="1"/>
    <col min="8" max="10" width="11.125" style="78" customWidth="1"/>
  </cols>
  <sheetData>
    <row r="1" spans="1:10" ht="17.25" customHeight="1" thickBot="1" x14ac:dyDescent="0.2">
      <c r="A1" s="135" t="s">
        <v>60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0" s="9" customFormat="1" ht="16.5" customHeight="1" x14ac:dyDescent="0.15">
      <c r="A2" s="15"/>
      <c r="B2" s="106" t="s">
        <v>61</v>
      </c>
      <c r="C2" s="106" t="s">
        <v>62</v>
      </c>
      <c r="D2" s="106" t="s">
        <v>63</v>
      </c>
      <c r="E2" s="106" t="s">
        <v>64</v>
      </c>
      <c r="F2" s="106" t="s">
        <v>65</v>
      </c>
      <c r="G2" s="106" t="s">
        <v>66</v>
      </c>
      <c r="H2" s="106" t="s">
        <v>67</v>
      </c>
      <c r="I2" s="106" t="s">
        <v>68</v>
      </c>
      <c r="J2" s="106" t="s">
        <v>69</v>
      </c>
    </row>
    <row r="3" spans="1:10" s="9" customFormat="1" ht="16.5" customHeight="1" x14ac:dyDescent="0.15">
      <c r="A3" s="107" t="s">
        <v>70</v>
      </c>
      <c r="B3" s="108" t="str">
        <f t="shared" ref="B3:J3" si="0">IF(B4="","",SUM(B4:B6))</f>
        <v/>
      </c>
      <c r="C3" s="108" t="str">
        <f t="shared" si="0"/>
        <v/>
      </c>
      <c r="D3" s="108" t="str">
        <f t="shared" si="0"/>
        <v/>
      </c>
      <c r="E3" s="108" t="str">
        <f t="shared" si="0"/>
        <v/>
      </c>
      <c r="F3" s="108" t="str">
        <f t="shared" si="0"/>
        <v/>
      </c>
      <c r="G3" s="108" t="str">
        <f t="shared" si="0"/>
        <v/>
      </c>
      <c r="H3" s="108" t="str">
        <f t="shared" si="0"/>
        <v/>
      </c>
      <c r="I3" s="108" t="str">
        <f t="shared" si="0"/>
        <v/>
      </c>
      <c r="J3" s="108" t="str">
        <f t="shared" si="0"/>
        <v/>
      </c>
    </row>
    <row r="4" spans="1:10" s="9" customFormat="1" ht="16.5" customHeight="1" x14ac:dyDescent="0.15">
      <c r="A4" s="12" t="s">
        <v>72</v>
      </c>
      <c r="B4" s="86" t="str">
        <f t="shared" ref="B4:J4" si="1">IF(B7="","",SUM(B7:B36))</f>
        <v/>
      </c>
      <c r="C4" s="86" t="str">
        <f t="shared" si="1"/>
        <v/>
      </c>
      <c r="D4" s="86" t="str">
        <f t="shared" si="1"/>
        <v/>
      </c>
      <c r="E4" s="86" t="str">
        <f t="shared" si="1"/>
        <v/>
      </c>
      <c r="F4" s="86" t="str">
        <f t="shared" si="1"/>
        <v/>
      </c>
      <c r="G4" s="86" t="str">
        <f t="shared" si="1"/>
        <v/>
      </c>
      <c r="H4" s="86" t="str">
        <f t="shared" si="1"/>
        <v/>
      </c>
      <c r="I4" s="86" t="str">
        <f t="shared" si="1"/>
        <v/>
      </c>
      <c r="J4" s="86" t="str">
        <f t="shared" si="1"/>
        <v/>
      </c>
    </row>
    <row r="5" spans="1:10" s="9" customFormat="1" ht="16.5" customHeight="1" x14ac:dyDescent="0.15">
      <c r="A5" s="12" t="s">
        <v>74</v>
      </c>
      <c r="B5" s="86" t="str">
        <f t="shared" ref="B5:J5" si="2">IF(B37="","",SUM(B37:B67))</f>
        <v/>
      </c>
      <c r="C5" s="86" t="str">
        <f t="shared" si="2"/>
        <v/>
      </c>
      <c r="D5" s="86" t="str">
        <f t="shared" si="2"/>
        <v/>
      </c>
      <c r="E5" s="86" t="str">
        <f t="shared" si="2"/>
        <v/>
      </c>
      <c r="F5" s="86" t="str">
        <f t="shared" si="2"/>
        <v/>
      </c>
      <c r="G5" s="86" t="str">
        <f t="shared" si="2"/>
        <v/>
      </c>
      <c r="H5" s="86" t="str">
        <f t="shared" si="2"/>
        <v/>
      </c>
      <c r="I5" s="86" t="str">
        <f t="shared" si="2"/>
        <v/>
      </c>
      <c r="J5" s="86" t="str">
        <f t="shared" si="2"/>
        <v/>
      </c>
    </row>
    <row r="6" spans="1:10" ht="16.5" customHeight="1" x14ac:dyDescent="0.15">
      <c r="A6" s="12" t="s">
        <v>76</v>
      </c>
      <c r="B6" s="86" t="str">
        <f t="shared" ref="B6:J6" si="3">IF(B68="","",SUM(B68:B97))</f>
        <v/>
      </c>
      <c r="C6" s="86" t="str">
        <f t="shared" si="3"/>
        <v/>
      </c>
      <c r="D6" s="86" t="str">
        <f t="shared" si="3"/>
        <v/>
      </c>
      <c r="E6" s="86" t="str">
        <f t="shared" si="3"/>
        <v/>
      </c>
      <c r="F6" s="86" t="str">
        <f t="shared" si="3"/>
        <v/>
      </c>
      <c r="G6" s="86" t="str">
        <f t="shared" si="3"/>
        <v/>
      </c>
      <c r="H6" s="86" t="str">
        <f t="shared" si="3"/>
        <v/>
      </c>
      <c r="I6" s="86" t="str">
        <f t="shared" si="3"/>
        <v/>
      </c>
      <c r="J6" s="86" t="str">
        <f t="shared" si="3"/>
        <v/>
      </c>
    </row>
    <row r="7" spans="1:10" ht="16.5" customHeight="1" x14ac:dyDescent="0.15">
      <c r="A7" s="38">
        <v>45108</v>
      </c>
      <c r="B7" s="109"/>
      <c r="C7" s="109"/>
      <c r="D7" s="109"/>
      <c r="E7" s="109"/>
      <c r="F7" s="109"/>
      <c r="G7" s="109"/>
      <c r="H7" s="109"/>
      <c r="I7" s="109"/>
      <c r="J7" s="109"/>
    </row>
    <row r="8" spans="1:10" ht="16.5" customHeight="1" x14ac:dyDescent="0.15">
      <c r="A8" s="38">
        <v>45109</v>
      </c>
      <c r="B8" s="109"/>
      <c r="C8" s="109"/>
      <c r="D8" s="109"/>
      <c r="E8" s="109"/>
      <c r="F8" s="109"/>
      <c r="G8" s="109"/>
      <c r="H8" s="109"/>
      <c r="I8" s="109"/>
      <c r="J8" s="109"/>
    </row>
    <row r="9" spans="1:10" ht="16.5" customHeight="1" x14ac:dyDescent="0.15">
      <c r="A9" s="38">
        <v>45110</v>
      </c>
      <c r="B9" s="109"/>
      <c r="C9" s="109"/>
      <c r="D9" s="109"/>
      <c r="E9" s="109"/>
      <c r="F9" s="109"/>
      <c r="G9" s="109"/>
      <c r="H9" s="109"/>
      <c r="I9" s="109"/>
      <c r="J9" s="109"/>
    </row>
    <row r="10" spans="1:10" ht="16.5" customHeight="1" x14ac:dyDescent="0.15">
      <c r="A10" s="38">
        <v>45111</v>
      </c>
      <c r="B10" s="109"/>
      <c r="C10" s="109"/>
      <c r="D10" s="109"/>
      <c r="E10" s="109"/>
      <c r="F10" s="109"/>
      <c r="G10" s="109"/>
      <c r="H10" s="109"/>
      <c r="I10" s="109"/>
      <c r="J10" s="109"/>
    </row>
    <row r="11" spans="1:10" ht="16.5" customHeight="1" x14ac:dyDescent="0.15">
      <c r="A11" s="38">
        <v>45112</v>
      </c>
      <c r="B11" s="109"/>
      <c r="C11" s="109"/>
      <c r="D11" s="109"/>
      <c r="E11" s="109"/>
      <c r="F11" s="109"/>
      <c r="G11" s="109"/>
      <c r="H11" s="109"/>
      <c r="I11" s="109"/>
      <c r="J11" s="109"/>
    </row>
    <row r="12" spans="1:10" ht="16.5" customHeight="1" x14ac:dyDescent="0.15">
      <c r="A12" s="38">
        <v>45113</v>
      </c>
      <c r="B12" s="109"/>
      <c r="C12" s="109"/>
      <c r="D12" s="109"/>
      <c r="E12" s="109"/>
      <c r="F12" s="109"/>
      <c r="G12" s="109"/>
      <c r="H12" s="109"/>
      <c r="I12" s="109"/>
      <c r="J12" s="109"/>
    </row>
    <row r="13" spans="1:10" ht="16.5" customHeight="1" x14ac:dyDescent="0.15">
      <c r="A13" s="38">
        <v>45114</v>
      </c>
      <c r="B13" s="109"/>
      <c r="C13" s="109"/>
      <c r="D13" s="109"/>
      <c r="E13" s="109"/>
      <c r="F13" s="109"/>
      <c r="G13" s="109"/>
      <c r="H13" s="109"/>
      <c r="I13" s="109"/>
      <c r="J13" s="109"/>
    </row>
    <row r="14" spans="1:10" ht="16.5" customHeight="1" x14ac:dyDescent="0.15">
      <c r="A14" s="38">
        <v>45115</v>
      </c>
      <c r="B14" s="109"/>
      <c r="C14" s="109"/>
      <c r="D14" s="109"/>
      <c r="E14" s="109"/>
      <c r="F14" s="109"/>
      <c r="G14" s="109"/>
      <c r="H14" s="109"/>
      <c r="I14" s="109"/>
      <c r="J14" s="109"/>
    </row>
    <row r="15" spans="1:10" ht="16.5" customHeight="1" x14ac:dyDescent="0.15">
      <c r="A15" s="38">
        <v>45116</v>
      </c>
      <c r="B15" s="109"/>
      <c r="C15" s="109"/>
      <c r="D15" s="109"/>
      <c r="E15" s="109"/>
      <c r="F15" s="109"/>
      <c r="G15" s="109"/>
      <c r="H15" s="109"/>
      <c r="I15" s="109"/>
      <c r="J15" s="109"/>
    </row>
    <row r="16" spans="1:10" ht="16.5" customHeight="1" x14ac:dyDescent="0.15">
      <c r="A16" s="38">
        <v>45117</v>
      </c>
      <c r="B16" s="109"/>
      <c r="C16" s="109"/>
      <c r="D16" s="109"/>
      <c r="E16" s="109"/>
      <c r="F16" s="109"/>
      <c r="G16" s="109"/>
      <c r="H16" s="109"/>
      <c r="I16" s="109"/>
      <c r="J16" s="109"/>
    </row>
    <row r="17" spans="1:10" ht="16.5" customHeight="1" x14ac:dyDescent="0.15">
      <c r="A17" s="38">
        <v>45118</v>
      </c>
      <c r="B17" s="109"/>
      <c r="C17" s="109"/>
      <c r="D17" s="109"/>
      <c r="E17" s="109"/>
      <c r="F17" s="109"/>
      <c r="G17" s="109"/>
      <c r="H17" s="109"/>
      <c r="I17" s="109"/>
      <c r="J17" s="109"/>
    </row>
    <row r="18" spans="1:10" ht="16.5" customHeight="1" x14ac:dyDescent="0.15">
      <c r="A18" s="38">
        <v>45119</v>
      </c>
      <c r="B18" s="109"/>
      <c r="C18" s="109"/>
      <c r="D18" s="109"/>
      <c r="E18" s="109"/>
      <c r="F18" s="109"/>
      <c r="G18" s="109"/>
      <c r="H18" s="109"/>
      <c r="I18" s="109"/>
      <c r="J18" s="109"/>
    </row>
    <row r="19" spans="1:10" ht="16.5" customHeight="1" x14ac:dyDescent="0.15">
      <c r="A19" s="38">
        <v>45120</v>
      </c>
      <c r="B19" s="109"/>
      <c r="C19" s="109"/>
      <c r="D19" s="109"/>
      <c r="E19" s="109"/>
      <c r="F19" s="109"/>
      <c r="G19" s="109"/>
      <c r="H19" s="109"/>
      <c r="I19" s="109"/>
      <c r="J19" s="109"/>
    </row>
    <row r="20" spans="1:10" ht="16.5" customHeight="1" x14ac:dyDescent="0.15">
      <c r="A20" s="38">
        <v>45121</v>
      </c>
      <c r="B20" s="109"/>
      <c r="C20" s="109"/>
      <c r="D20" s="109"/>
      <c r="E20" s="109"/>
      <c r="F20" s="109"/>
      <c r="G20" s="109"/>
      <c r="H20" s="109"/>
      <c r="I20" s="109"/>
      <c r="J20" s="109"/>
    </row>
    <row r="21" spans="1:10" ht="16.5" customHeight="1" x14ac:dyDescent="0.15">
      <c r="A21" s="38">
        <v>45122</v>
      </c>
      <c r="B21" s="109"/>
      <c r="C21" s="109"/>
      <c r="D21" s="109"/>
      <c r="E21" s="109"/>
      <c r="F21" s="109"/>
      <c r="G21" s="109"/>
      <c r="H21" s="109"/>
      <c r="I21" s="109"/>
      <c r="J21" s="109"/>
    </row>
    <row r="22" spans="1:10" ht="16.5" customHeight="1" x14ac:dyDescent="0.15">
      <c r="A22" s="38">
        <v>45123</v>
      </c>
      <c r="B22" s="109"/>
      <c r="C22" s="109"/>
      <c r="D22" s="109"/>
      <c r="E22" s="109"/>
      <c r="F22" s="109"/>
      <c r="G22" s="109"/>
      <c r="H22" s="109"/>
      <c r="I22" s="109"/>
      <c r="J22" s="109"/>
    </row>
    <row r="23" spans="1:10" ht="16.5" customHeight="1" x14ac:dyDescent="0.15">
      <c r="A23" s="38">
        <v>45124</v>
      </c>
      <c r="B23" s="109"/>
      <c r="C23" s="109"/>
      <c r="D23" s="109"/>
      <c r="E23" s="109"/>
      <c r="F23" s="109"/>
      <c r="G23" s="109"/>
      <c r="H23" s="109"/>
      <c r="I23" s="109"/>
      <c r="J23" s="109"/>
    </row>
    <row r="24" spans="1:10" ht="16.5" customHeight="1" x14ac:dyDescent="0.15">
      <c r="A24" s="38">
        <v>45125</v>
      </c>
      <c r="B24" s="109"/>
      <c r="C24" s="109"/>
      <c r="D24" s="109"/>
      <c r="E24" s="109"/>
      <c r="F24" s="109"/>
      <c r="G24" s="109"/>
      <c r="H24" s="109"/>
      <c r="I24" s="109"/>
      <c r="J24" s="109"/>
    </row>
    <row r="25" spans="1:10" ht="16.5" customHeight="1" x14ac:dyDescent="0.15">
      <c r="A25" s="38">
        <v>45126</v>
      </c>
      <c r="B25" s="109"/>
      <c r="C25" s="109"/>
      <c r="D25" s="109"/>
      <c r="E25" s="109"/>
      <c r="F25" s="109"/>
      <c r="G25" s="109"/>
      <c r="H25" s="109"/>
      <c r="I25" s="109"/>
      <c r="J25" s="109"/>
    </row>
    <row r="26" spans="1:10" ht="16.5" customHeight="1" x14ac:dyDescent="0.15">
      <c r="A26" s="38">
        <v>45127</v>
      </c>
      <c r="B26" s="109"/>
      <c r="C26" s="109"/>
      <c r="D26" s="109"/>
      <c r="E26" s="109"/>
      <c r="F26" s="109"/>
      <c r="G26" s="109"/>
      <c r="H26" s="109"/>
      <c r="I26" s="109"/>
      <c r="J26" s="109"/>
    </row>
    <row r="27" spans="1:10" ht="16.5" customHeight="1" x14ac:dyDescent="0.15">
      <c r="A27" s="38">
        <v>45128</v>
      </c>
      <c r="B27" s="109"/>
      <c r="C27" s="109"/>
      <c r="D27" s="109"/>
      <c r="E27" s="109"/>
      <c r="F27" s="109"/>
      <c r="G27" s="109"/>
      <c r="H27" s="109"/>
      <c r="I27" s="109"/>
      <c r="J27" s="109"/>
    </row>
    <row r="28" spans="1:10" ht="16.5" customHeight="1" x14ac:dyDescent="0.15">
      <c r="A28" s="38">
        <v>45129</v>
      </c>
      <c r="B28" s="109"/>
      <c r="C28" s="109"/>
      <c r="D28" s="109"/>
      <c r="E28" s="109"/>
      <c r="F28" s="109"/>
      <c r="G28" s="109"/>
      <c r="H28" s="109"/>
      <c r="I28" s="109"/>
      <c r="J28" s="109"/>
    </row>
    <row r="29" spans="1:10" ht="16.5" customHeight="1" x14ac:dyDescent="0.15">
      <c r="A29" s="38">
        <v>45130</v>
      </c>
      <c r="B29" s="109"/>
      <c r="C29" s="109"/>
      <c r="D29" s="109"/>
      <c r="E29" s="109"/>
      <c r="F29" s="109"/>
      <c r="G29" s="109"/>
      <c r="H29" s="109"/>
      <c r="I29" s="109"/>
      <c r="J29" s="109"/>
    </row>
    <row r="30" spans="1:10" ht="16.5" customHeight="1" x14ac:dyDescent="0.15">
      <c r="A30" s="38">
        <v>45131</v>
      </c>
      <c r="B30" s="109"/>
      <c r="C30" s="109"/>
      <c r="D30" s="109"/>
      <c r="E30" s="109"/>
      <c r="F30" s="109"/>
      <c r="G30" s="109"/>
      <c r="H30" s="109"/>
      <c r="I30" s="109"/>
      <c r="J30" s="109"/>
    </row>
    <row r="31" spans="1:10" ht="16.5" customHeight="1" x14ac:dyDescent="0.15">
      <c r="A31" s="38">
        <v>45132</v>
      </c>
      <c r="B31" s="109"/>
      <c r="C31" s="109"/>
      <c r="D31" s="109"/>
      <c r="E31" s="109"/>
      <c r="F31" s="109"/>
      <c r="G31" s="109"/>
      <c r="H31" s="109"/>
      <c r="I31" s="109"/>
      <c r="J31" s="109"/>
    </row>
    <row r="32" spans="1:10" ht="16.5" customHeight="1" x14ac:dyDescent="0.15">
      <c r="A32" s="38">
        <v>45133</v>
      </c>
      <c r="B32" s="109"/>
      <c r="C32" s="109"/>
      <c r="D32" s="109"/>
      <c r="E32" s="109"/>
      <c r="F32" s="109"/>
      <c r="G32" s="109"/>
      <c r="H32" s="109"/>
      <c r="I32" s="109"/>
      <c r="J32" s="109"/>
    </row>
    <row r="33" spans="1:12" ht="16.5" customHeight="1" x14ac:dyDescent="0.15">
      <c r="A33" s="38">
        <v>45134</v>
      </c>
      <c r="B33" s="109"/>
      <c r="C33" s="109"/>
      <c r="D33" s="109"/>
      <c r="E33" s="109"/>
      <c r="F33" s="109"/>
      <c r="G33" s="109"/>
      <c r="H33" s="109"/>
      <c r="I33" s="109"/>
      <c r="J33" s="109"/>
    </row>
    <row r="34" spans="1:12" ht="16.5" customHeight="1" x14ac:dyDescent="0.15">
      <c r="A34" s="38">
        <v>45135</v>
      </c>
      <c r="B34" s="109"/>
      <c r="C34" s="109"/>
      <c r="D34" s="109"/>
      <c r="E34" s="109"/>
      <c r="F34" s="109"/>
      <c r="G34" s="109"/>
      <c r="H34" s="109"/>
      <c r="I34" s="109"/>
      <c r="J34" s="109"/>
    </row>
    <row r="35" spans="1:12" ht="16.5" customHeight="1" x14ac:dyDescent="0.15">
      <c r="A35" s="38">
        <v>45136</v>
      </c>
      <c r="B35" s="109"/>
      <c r="C35" s="109"/>
      <c r="D35" s="109"/>
      <c r="E35" s="109"/>
      <c r="F35" s="109"/>
      <c r="G35" s="109"/>
      <c r="H35" s="109"/>
      <c r="I35" s="109"/>
      <c r="J35" s="109"/>
    </row>
    <row r="36" spans="1:12" ht="16.5" customHeight="1" x14ac:dyDescent="0.15">
      <c r="A36" s="38">
        <v>45137</v>
      </c>
      <c r="B36" s="109"/>
      <c r="C36" s="109"/>
      <c r="D36" s="109"/>
      <c r="E36" s="109"/>
      <c r="F36" s="109"/>
      <c r="G36" s="109"/>
      <c r="H36" s="109"/>
      <c r="I36" s="109"/>
      <c r="J36" s="109"/>
    </row>
    <row r="37" spans="1:12" ht="16.5" customHeight="1" x14ac:dyDescent="0.15">
      <c r="A37" s="38">
        <v>45138</v>
      </c>
      <c r="B37" s="109"/>
      <c r="C37" s="109"/>
      <c r="D37" s="109"/>
      <c r="E37" s="109"/>
      <c r="F37" s="109"/>
      <c r="G37" s="109"/>
      <c r="H37" s="109"/>
      <c r="I37" s="109"/>
      <c r="J37" s="109"/>
    </row>
    <row r="38" spans="1:12" ht="16.5" customHeight="1" x14ac:dyDescent="0.15">
      <c r="A38" s="38">
        <v>45139</v>
      </c>
      <c r="B38" s="109"/>
      <c r="C38" s="109"/>
      <c r="D38" s="109"/>
      <c r="E38" s="109"/>
      <c r="F38" s="109"/>
      <c r="G38" s="109"/>
      <c r="H38" s="109"/>
      <c r="I38" s="109"/>
      <c r="J38" s="109"/>
    </row>
    <row r="39" spans="1:12" ht="16.5" customHeight="1" x14ac:dyDescent="0.15">
      <c r="A39" s="38">
        <v>45140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10"/>
      <c r="L39" s="110"/>
    </row>
    <row r="40" spans="1:12" ht="16.5" customHeight="1" x14ac:dyDescent="0.15">
      <c r="A40" s="38">
        <v>45141</v>
      </c>
      <c r="B40" s="109"/>
      <c r="C40" s="109"/>
      <c r="D40" s="109"/>
      <c r="E40" s="109"/>
      <c r="F40" s="109"/>
      <c r="G40" s="109"/>
      <c r="H40" s="109"/>
      <c r="I40" s="109"/>
      <c r="J40" s="109"/>
    </row>
    <row r="41" spans="1:12" ht="16.5" customHeight="1" x14ac:dyDescent="0.15">
      <c r="A41" s="38">
        <v>45142</v>
      </c>
      <c r="B41" s="109"/>
      <c r="C41" s="109"/>
      <c r="D41" s="109"/>
      <c r="E41" s="109"/>
      <c r="F41" s="109"/>
      <c r="G41" s="109"/>
      <c r="H41" s="109"/>
      <c r="I41" s="109"/>
      <c r="J41" s="109"/>
    </row>
    <row r="42" spans="1:12" ht="16.5" customHeight="1" x14ac:dyDescent="0.15">
      <c r="A42" s="38">
        <v>45143</v>
      </c>
      <c r="B42" s="109"/>
      <c r="C42" s="109"/>
      <c r="D42" s="109"/>
      <c r="E42" s="109"/>
      <c r="F42" s="109"/>
      <c r="G42" s="109"/>
      <c r="H42" s="109"/>
      <c r="I42" s="109"/>
      <c r="J42" s="109"/>
    </row>
    <row r="43" spans="1:12" ht="16.5" customHeight="1" x14ac:dyDescent="0.15">
      <c r="A43" s="38">
        <v>45144</v>
      </c>
      <c r="B43" s="109"/>
      <c r="C43" s="109"/>
      <c r="D43" s="109"/>
      <c r="E43" s="109"/>
      <c r="F43" s="109"/>
      <c r="G43" s="109"/>
      <c r="H43" s="109"/>
      <c r="I43" s="109"/>
      <c r="J43" s="109"/>
    </row>
    <row r="44" spans="1:12" ht="16.5" customHeight="1" x14ac:dyDescent="0.15">
      <c r="A44" s="38">
        <v>45145</v>
      </c>
      <c r="B44" s="109"/>
      <c r="C44" s="109"/>
      <c r="D44" s="109"/>
      <c r="E44" s="109"/>
      <c r="F44" s="109"/>
      <c r="G44" s="109"/>
      <c r="H44" s="109"/>
      <c r="I44" s="109"/>
      <c r="J44" s="109"/>
    </row>
    <row r="45" spans="1:12" ht="16.5" customHeight="1" x14ac:dyDescent="0.15">
      <c r="A45" s="38">
        <v>45146</v>
      </c>
      <c r="B45" s="109"/>
      <c r="C45" s="109"/>
      <c r="D45" s="109"/>
      <c r="E45" s="109"/>
      <c r="F45" s="109"/>
      <c r="G45" s="109"/>
      <c r="H45" s="109"/>
      <c r="I45" s="109"/>
      <c r="J45" s="109"/>
    </row>
    <row r="46" spans="1:12" ht="16.5" customHeight="1" x14ac:dyDescent="0.15">
      <c r="A46" s="38">
        <v>45147</v>
      </c>
      <c r="B46" s="109"/>
      <c r="C46" s="109"/>
      <c r="D46" s="109"/>
      <c r="E46" s="109"/>
      <c r="F46" s="109"/>
      <c r="G46" s="109"/>
      <c r="H46" s="109"/>
      <c r="I46" s="109"/>
      <c r="J46" s="109"/>
    </row>
    <row r="47" spans="1:12" ht="16.5" customHeight="1" x14ac:dyDescent="0.15">
      <c r="A47" s="38">
        <v>45148</v>
      </c>
      <c r="B47" s="109"/>
      <c r="C47" s="109"/>
      <c r="D47" s="109"/>
      <c r="E47" s="109"/>
      <c r="F47" s="109"/>
      <c r="G47" s="109"/>
      <c r="H47" s="109"/>
      <c r="I47" s="109"/>
      <c r="J47" s="109"/>
    </row>
    <row r="48" spans="1:12" ht="16.5" customHeight="1" x14ac:dyDescent="0.15">
      <c r="A48" s="38">
        <v>45149</v>
      </c>
      <c r="B48" s="109"/>
      <c r="C48" s="109"/>
      <c r="D48" s="109"/>
      <c r="E48" s="109"/>
      <c r="F48" s="109"/>
      <c r="G48" s="109"/>
      <c r="H48" s="109"/>
      <c r="I48" s="109"/>
      <c r="J48" s="109"/>
    </row>
    <row r="49" spans="1:10" ht="16.5" customHeight="1" x14ac:dyDescent="0.15">
      <c r="A49" s="38">
        <v>45150</v>
      </c>
      <c r="B49" s="109"/>
      <c r="C49" s="109"/>
      <c r="D49" s="109"/>
      <c r="E49" s="109"/>
      <c r="F49" s="109"/>
      <c r="G49" s="109"/>
      <c r="H49" s="109"/>
      <c r="I49" s="109"/>
      <c r="J49" s="109"/>
    </row>
    <row r="50" spans="1:10" ht="16.5" customHeight="1" x14ac:dyDescent="0.15">
      <c r="A50" s="38">
        <v>45151</v>
      </c>
      <c r="B50" s="109"/>
      <c r="C50" s="109"/>
      <c r="D50" s="109"/>
      <c r="E50" s="109"/>
      <c r="F50" s="109"/>
      <c r="G50" s="109"/>
      <c r="H50" s="109"/>
      <c r="I50" s="109"/>
      <c r="J50" s="109"/>
    </row>
    <row r="51" spans="1:10" ht="16.5" customHeight="1" x14ac:dyDescent="0.15">
      <c r="A51" s="38">
        <v>45152</v>
      </c>
      <c r="B51" s="109"/>
      <c r="C51" s="109"/>
      <c r="D51" s="109"/>
      <c r="E51" s="109"/>
      <c r="F51" s="109"/>
      <c r="G51" s="109"/>
      <c r="H51" s="109"/>
      <c r="I51" s="109"/>
      <c r="J51" s="109"/>
    </row>
    <row r="52" spans="1:10" ht="16.5" customHeight="1" x14ac:dyDescent="0.15">
      <c r="A52" s="38">
        <v>45153</v>
      </c>
      <c r="B52" s="109"/>
      <c r="C52" s="109"/>
      <c r="D52" s="109"/>
      <c r="E52" s="109"/>
      <c r="F52" s="109"/>
      <c r="G52" s="109"/>
      <c r="H52" s="109"/>
      <c r="I52" s="109"/>
      <c r="J52" s="109"/>
    </row>
    <row r="53" spans="1:10" ht="16.5" customHeight="1" x14ac:dyDescent="0.15">
      <c r="A53" s="38">
        <v>45154</v>
      </c>
      <c r="B53" s="109"/>
      <c r="C53" s="109"/>
      <c r="D53" s="109"/>
      <c r="E53" s="109"/>
      <c r="F53" s="109"/>
      <c r="G53" s="109"/>
      <c r="H53" s="109"/>
      <c r="I53" s="109"/>
      <c r="J53" s="109"/>
    </row>
    <row r="54" spans="1:10" ht="16.5" customHeight="1" x14ac:dyDescent="0.15">
      <c r="A54" s="38">
        <v>45155</v>
      </c>
      <c r="B54" s="109"/>
      <c r="C54" s="109"/>
      <c r="D54" s="109"/>
      <c r="E54" s="109"/>
      <c r="F54" s="109"/>
      <c r="G54" s="109"/>
      <c r="H54" s="109"/>
      <c r="I54" s="109"/>
      <c r="J54" s="109"/>
    </row>
    <row r="55" spans="1:10" ht="16.5" customHeight="1" x14ac:dyDescent="0.15">
      <c r="A55" s="38">
        <v>45156</v>
      </c>
      <c r="B55" s="109"/>
      <c r="C55" s="109"/>
      <c r="D55" s="109"/>
      <c r="E55" s="109"/>
      <c r="F55" s="109"/>
      <c r="G55" s="109"/>
      <c r="H55" s="109"/>
      <c r="I55" s="109"/>
      <c r="J55" s="109"/>
    </row>
    <row r="56" spans="1:10" ht="16.5" customHeight="1" x14ac:dyDescent="0.15">
      <c r="A56" s="38">
        <v>45157</v>
      </c>
      <c r="B56" s="109"/>
      <c r="C56" s="109"/>
      <c r="D56" s="109"/>
      <c r="E56" s="109"/>
      <c r="F56" s="109"/>
      <c r="G56" s="109"/>
      <c r="H56" s="109"/>
      <c r="I56" s="109"/>
      <c r="J56" s="109"/>
    </row>
    <row r="57" spans="1:10" ht="16.5" customHeight="1" x14ac:dyDescent="0.15">
      <c r="A57" s="38">
        <v>45158</v>
      </c>
      <c r="B57" s="109"/>
      <c r="C57" s="109"/>
      <c r="D57" s="109"/>
      <c r="E57" s="109"/>
      <c r="F57" s="109"/>
      <c r="G57" s="109"/>
      <c r="H57" s="109"/>
      <c r="I57" s="109"/>
      <c r="J57" s="109"/>
    </row>
    <row r="58" spans="1:10" ht="16.5" customHeight="1" x14ac:dyDescent="0.15">
      <c r="A58" s="38">
        <v>45159</v>
      </c>
      <c r="B58" s="109"/>
      <c r="C58" s="109"/>
      <c r="D58" s="109"/>
      <c r="E58" s="109"/>
      <c r="F58" s="109"/>
      <c r="G58" s="109"/>
      <c r="H58" s="109"/>
      <c r="I58" s="109"/>
      <c r="J58" s="109"/>
    </row>
    <row r="59" spans="1:10" ht="16.5" customHeight="1" x14ac:dyDescent="0.15">
      <c r="A59" s="38">
        <v>45160</v>
      </c>
      <c r="B59" s="109"/>
      <c r="C59" s="109"/>
      <c r="D59" s="109"/>
      <c r="E59" s="109"/>
      <c r="F59" s="109"/>
      <c r="G59" s="109"/>
      <c r="H59" s="109"/>
      <c r="I59" s="109"/>
      <c r="J59" s="109"/>
    </row>
    <row r="60" spans="1:10" ht="16.5" customHeight="1" x14ac:dyDescent="0.15">
      <c r="A60" s="38">
        <v>45161</v>
      </c>
      <c r="B60" s="109"/>
      <c r="C60" s="109"/>
      <c r="D60" s="109"/>
      <c r="E60" s="109"/>
      <c r="F60" s="109"/>
      <c r="G60" s="109"/>
      <c r="H60" s="109"/>
      <c r="I60" s="109"/>
      <c r="J60" s="109"/>
    </row>
    <row r="61" spans="1:10" ht="16.5" customHeight="1" x14ac:dyDescent="0.15">
      <c r="A61" s="38">
        <v>45162</v>
      </c>
      <c r="B61" s="109"/>
      <c r="C61" s="109"/>
      <c r="D61" s="109"/>
      <c r="E61" s="109"/>
      <c r="F61" s="109"/>
      <c r="G61" s="109"/>
      <c r="H61" s="109"/>
      <c r="I61" s="109"/>
      <c r="J61" s="109"/>
    </row>
    <row r="62" spans="1:10" ht="16.5" customHeight="1" x14ac:dyDescent="0.15">
      <c r="A62" s="38">
        <v>45163</v>
      </c>
      <c r="B62" s="109"/>
      <c r="C62" s="109"/>
      <c r="D62" s="109"/>
      <c r="E62" s="109"/>
      <c r="F62" s="109"/>
      <c r="G62" s="109"/>
      <c r="H62" s="109"/>
      <c r="I62" s="109"/>
      <c r="J62" s="109"/>
    </row>
    <row r="63" spans="1:10" ht="16.5" customHeight="1" x14ac:dyDescent="0.15">
      <c r="A63" s="38">
        <v>45164</v>
      </c>
      <c r="B63" s="109"/>
      <c r="C63" s="109"/>
      <c r="D63" s="109"/>
      <c r="E63" s="109"/>
      <c r="F63" s="109"/>
      <c r="G63" s="109"/>
      <c r="H63" s="109"/>
      <c r="I63" s="109"/>
      <c r="J63" s="109"/>
    </row>
    <row r="64" spans="1:10" ht="16.5" customHeight="1" x14ac:dyDescent="0.15">
      <c r="A64" s="38">
        <v>45165</v>
      </c>
      <c r="B64" s="109"/>
      <c r="C64" s="109"/>
      <c r="D64" s="109"/>
      <c r="E64" s="109"/>
      <c r="F64" s="109"/>
      <c r="G64" s="109"/>
      <c r="H64" s="109"/>
      <c r="I64" s="109"/>
      <c r="J64" s="109"/>
    </row>
    <row r="65" spans="1:10" ht="16.5" customHeight="1" x14ac:dyDescent="0.15">
      <c r="A65" s="38">
        <v>45166</v>
      </c>
      <c r="B65" s="109"/>
      <c r="C65" s="109"/>
      <c r="D65" s="109"/>
      <c r="E65" s="109"/>
      <c r="F65" s="109"/>
      <c r="G65" s="109"/>
      <c r="H65" s="109"/>
      <c r="I65" s="109"/>
      <c r="J65" s="109"/>
    </row>
    <row r="66" spans="1:10" ht="16.5" customHeight="1" x14ac:dyDescent="0.15">
      <c r="A66" s="38">
        <v>45167</v>
      </c>
      <c r="B66" s="109"/>
      <c r="C66" s="109"/>
      <c r="D66" s="109"/>
      <c r="E66" s="109"/>
      <c r="F66" s="109"/>
      <c r="G66" s="109"/>
      <c r="H66" s="109"/>
      <c r="I66" s="109"/>
      <c r="J66" s="109"/>
    </row>
    <row r="67" spans="1:10" ht="16.5" customHeight="1" x14ac:dyDescent="0.15">
      <c r="A67" s="38">
        <v>45168</v>
      </c>
      <c r="B67" s="109"/>
      <c r="C67" s="109"/>
      <c r="D67" s="109"/>
      <c r="E67" s="109"/>
      <c r="F67" s="109"/>
      <c r="G67" s="109"/>
      <c r="H67" s="109"/>
      <c r="I67" s="109"/>
      <c r="J67" s="109"/>
    </row>
    <row r="68" spans="1:10" ht="16.5" customHeight="1" x14ac:dyDescent="0.15">
      <c r="A68" s="38">
        <v>45169</v>
      </c>
      <c r="B68" s="109"/>
      <c r="C68" s="109"/>
      <c r="D68" s="109"/>
      <c r="E68" s="109"/>
      <c r="F68" s="109"/>
      <c r="G68" s="109"/>
      <c r="H68" s="109"/>
      <c r="I68" s="109"/>
      <c r="J68" s="109"/>
    </row>
    <row r="69" spans="1:10" ht="16.5" customHeight="1" x14ac:dyDescent="0.15">
      <c r="A69" s="38">
        <v>45170</v>
      </c>
      <c r="B69" s="109"/>
      <c r="C69" s="109"/>
      <c r="D69" s="109"/>
      <c r="E69" s="109"/>
      <c r="F69" s="109"/>
      <c r="G69" s="109"/>
      <c r="H69" s="109"/>
      <c r="I69" s="109"/>
      <c r="J69" s="109"/>
    </row>
    <row r="70" spans="1:10" ht="16.5" customHeight="1" x14ac:dyDescent="0.15">
      <c r="A70" s="38">
        <v>45171</v>
      </c>
      <c r="B70" s="109"/>
      <c r="C70" s="109"/>
      <c r="D70" s="109"/>
      <c r="E70" s="109"/>
      <c r="F70" s="109"/>
      <c r="G70" s="109"/>
      <c r="H70" s="109"/>
      <c r="I70" s="109"/>
      <c r="J70" s="109"/>
    </row>
    <row r="71" spans="1:10" ht="16.5" customHeight="1" x14ac:dyDescent="0.15">
      <c r="A71" s="38">
        <v>45172</v>
      </c>
      <c r="B71" s="109"/>
      <c r="C71" s="109"/>
      <c r="D71" s="109"/>
      <c r="E71" s="109"/>
      <c r="F71" s="109"/>
      <c r="G71" s="109"/>
      <c r="H71" s="109"/>
      <c r="I71" s="109"/>
      <c r="J71" s="109"/>
    </row>
    <row r="72" spans="1:10" ht="16.5" customHeight="1" x14ac:dyDescent="0.15">
      <c r="A72" s="38">
        <v>45173</v>
      </c>
      <c r="B72" s="109"/>
      <c r="C72" s="109"/>
      <c r="D72" s="109"/>
      <c r="E72" s="109"/>
      <c r="F72" s="109"/>
      <c r="G72" s="109"/>
      <c r="H72" s="109"/>
      <c r="I72" s="109"/>
      <c r="J72" s="109"/>
    </row>
    <row r="73" spans="1:10" ht="16.5" customHeight="1" x14ac:dyDescent="0.15">
      <c r="A73" s="38">
        <v>45174</v>
      </c>
      <c r="B73" s="109"/>
      <c r="C73" s="109"/>
      <c r="D73" s="109"/>
      <c r="E73" s="109"/>
      <c r="F73" s="109"/>
      <c r="G73" s="109"/>
      <c r="H73" s="109"/>
      <c r="I73" s="109"/>
      <c r="J73" s="109"/>
    </row>
    <row r="74" spans="1:10" ht="16.5" customHeight="1" x14ac:dyDescent="0.15">
      <c r="A74" s="38">
        <v>45175</v>
      </c>
      <c r="B74" s="109"/>
      <c r="C74" s="109"/>
      <c r="D74" s="109"/>
      <c r="E74" s="109"/>
      <c r="F74" s="109"/>
      <c r="G74" s="109"/>
      <c r="H74" s="109"/>
      <c r="I74" s="109"/>
      <c r="J74" s="109"/>
    </row>
    <row r="75" spans="1:10" ht="16.5" customHeight="1" x14ac:dyDescent="0.15">
      <c r="A75" s="38">
        <v>45176</v>
      </c>
      <c r="B75" s="109"/>
      <c r="C75" s="109"/>
      <c r="D75" s="109"/>
      <c r="E75" s="109"/>
      <c r="F75" s="109"/>
      <c r="G75" s="109"/>
      <c r="H75" s="109"/>
      <c r="I75" s="109"/>
      <c r="J75" s="109"/>
    </row>
    <row r="76" spans="1:10" ht="16.5" customHeight="1" x14ac:dyDescent="0.15">
      <c r="A76" s="38">
        <v>45177</v>
      </c>
      <c r="B76" s="109"/>
      <c r="C76" s="109"/>
      <c r="D76" s="109"/>
      <c r="E76" s="109"/>
      <c r="F76" s="109"/>
      <c r="G76" s="109"/>
      <c r="H76" s="109"/>
      <c r="I76" s="109"/>
      <c r="J76" s="109"/>
    </row>
    <row r="77" spans="1:10" ht="16.5" customHeight="1" x14ac:dyDescent="0.15">
      <c r="A77" s="38">
        <v>45178</v>
      </c>
      <c r="B77" s="109"/>
      <c r="C77" s="109"/>
      <c r="D77" s="109"/>
      <c r="E77" s="109"/>
      <c r="F77" s="109"/>
      <c r="G77" s="109"/>
      <c r="H77" s="109"/>
      <c r="I77" s="109"/>
      <c r="J77" s="109"/>
    </row>
    <row r="78" spans="1:10" ht="16.5" customHeight="1" x14ac:dyDescent="0.15">
      <c r="A78" s="38">
        <v>45179</v>
      </c>
      <c r="B78" s="109"/>
      <c r="C78" s="109"/>
      <c r="D78" s="109"/>
      <c r="E78" s="109"/>
      <c r="F78" s="109"/>
      <c r="G78" s="109"/>
      <c r="H78" s="109"/>
      <c r="I78" s="109"/>
      <c r="J78" s="109"/>
    </row>
    <row r="79" spans="1:10" ht="16.5" customHeight="1" x14ac:dyDescent="0.15">
      <c r="A79" s="38">
        <v>45180</v>
      </c>
      <c r="B79" s="109"/>
      <c r="C79" s="109"/>
      <c r="D79" s="109"/>
      <c r="E79" s="109"/>
      <c r="F79" s="109"/>
      <c r="G79" s="109"/>
      <c r="H79" s="109"/>
      <c r="I79" s="109"/>
      <c r="J79" s="109"/>
    </row>
    <row r="80" spans="1:10" ht="16.5" customHeight="1" x14ac:dyDescent="0.15">
      <c r="A80" s="38">
        <v>45181</v>
      </c>
      <c r="B80" s="109"/>
      <c r="C80" s="109"/>
      <c r="D80" s="109"/>
      <c r="E80" s="109"/>
      <c r="F80" s="109"/>
      <c r="G80" s="109"/>
      <c r="H80" s="109"/>
      <c r="I80" s="109"/>
      <c r="J80" s="109"/>
    </row>
    <row r="81" spans="1:10" ht="16.5" customHeight="1" x14ac:dyDescent="0.15">
      <c r="A81" s="38">
        <v>45182</v>
      </c>
      <c r="B81" s="109"/>
      <c r="C81" s="109"/>
      <c r="D81" s="109"/>
      <c r="E81" s="109"/>
      <c r="F81" s="109"/>
      <c r="G81" s="109"/>
      <c r="H81" s="109"/>
      <c r="I81" s="109"/>
      <c r="J81" s="109"/>
    </row>
    <row r="82" spans="1:10" ht="16.5" customHeight="1" x14ac:dyDescent="0.15">
      <c r="A82" s="38">
        <v>45183</v>
      </c>
      <c r="B82" s="109"/>
      <c r="C82" s="109"/>
      <c r="D82" s="109"/>
      <c r="E82" s="109"/>
      <c r="F82" s="109"/>
      <c r="G82" s="109"/>
      <c r="H82" s="109"/>
      <c r="I82" s="109"/>
      <c r="J82" s="109"/>
    </row>
    <row r="83" spans="1:10" ht="16.5" customHeight="1" x14ac:dyDescent="0.15">
      <c r="A83" s="38">
        <v>45184</v>
      </c>
      <c r="B83" s="109"/>
      <c r="C83" s="109"/>
      <c r="D83" s="109"/>
      <c r="E83" s="109"/>
      <c r="F83" s="109"/>
      <c r="G83" s="109"/>
      <c r="H83" s="109"/>
      <c r="I83" s="109"/>
      <c r="J83" s="109"/>
    </row>
    <row r="84" spans="1:10" ht="16.5" customHeight="1" x14ac:dyDescent="0.15">
      <c r="A84" s="38">
        <v>45185</v>
      </c>
      <c r="B84" s="109"/>
      <c r="C84" s="109"/>
      <c r="D84" s="109"/>
      <c r="E84" s="109"/>
      <c r="F84" s="109"/>
      <c r="G84" s="109"/>
      <c r="H84" s="109"/>
      <c r="I84" s="109"/>
      <c r="J84" s="109"/>
    </row>
    <row r="85" spans="1:10" ht="16.5" customHeight="1" x14ac:dyDescent="0.15">
      <c r="A85" s="38">
        <v>45186</v>
      </c>
      <c r="B85" s="109"/>
      <c r="C85" s="109"/>
      <c r="D85" s="109"/>
      <c r="E85" s="109"/>
      <c r="F85" s="109"/>
      <c r="G85" s="109"/>
      <c r="H85" s="109"/>
      <c r="I85" s="109"/>
      <c r="J85" s="109"/>
    </row>
    <row r="86" spans="1:10" ht="16.5" customHeight="1" x14ac:dyDescent="0.15">
      <c r="A86" s="38">
        <v>45187</v>
      </c>
      <c r="B86" s="109"/>
      <c r="C86" s="109"/>
      <c r="D86" s="109"/>
      <c r="E86" s="109"/>
      <c r="F86" s="109"/>
      <c r="G86" s="109"/>
      <c r="H86" s="109"/>
      <c r="I86" s="109"/>
      <c r="J86" s="109"/>
    </row>
    <row r="87" spans="1:10" ht="16.5" customHeight="1" x14ac:dyDescent="0.15">
      <c r="A87" s="38">
        <v>45188</v>
      </c>
      <c r="B87" s="109"/>
      <c r="C87" s="109"/>
      <c r="D87" s="109"/>
      <c r="E87" s="109"/>
      <c r="F87" s="109"/>
      <c r="G87" s="109"/>
      <c r="H87" s="109"/>
      <c r="I87" s="109"/>
      <c r="J87" s="109"/>
    </row>
    <row r="88" spans="1:10" ht="16.5" customHeight="1" x14ac:dyDescent="0.15">
      <c r="A88" s="38">
        <v>45189</v>
      </c>
      <c r="B88" s="109"/>
      <c r="C88" s="109"/>
      <c r="D88" s="109"/>
      <c r="E88" s="109"/>
      <c r="F88" s="109"/>
      <c r="G88" s="109"/>
      <c r="H88" s="109"/>
      <c r="I88" s="109"/>
      <c r="J88" s="109"/>
    </row>
    <row r="89" spans="1:10" ht="16.5" customHeight="1" x14ac:dyDescent="0.15">
      <c r="A89" s="38">
        <v>45190</v>
      </c>
      <c r="B89" s="109"/>
      <c r="C89" s="109"/>
      <c r="D89" s="109"/>
      <c r="E89" s="109"/>
      <c r="F89" s="109"/>
      <c r="G89" s="109"/>
      <c r="H89" s="109"/>
      <c r="I89" s="109"/>
      <c r="J89" s="109"/>
    </row>
    <row r="90" spans="1:10" ht="16.5" customHeight="1" x14ac:dyDescent="0.15">
      <c r="A90" s="38">
        <v>45191</v>
      </c>
      <c r="B90" s="109"/>
      <c r="C90" s="109"/>
      <c r="D90" s="109"/>
      <c r="E90" s="109"/>
      <c r="F90" s="109"/>
      <c r="G90" s="109"/>
      <c r="H90" s="109"/>
      <c r="I90" s="109"/>
      <c r="J90" s="109"/>
    </row>
    <row r="91" spans="1:10" ht="16.5" customHeight="1" x14ac:dyDescent="0.15">
      <c r="A91" s="38">
        <v>45192</v>
      </c>
      <c r="B91" s="109"/>
      <c r="C91" s="109"/>
      <c r="D91" s="109"/>
      <c r="E91" s="109"/>
      <c r="F91" s="109"/>
      <c r="G91" s="109"/>
      <c r="H91" s="109"/>
      <c r="I91" s="109"/>
      <c r="J91" s="109"/>
    </row>
    <row r="92" spans="1:10" ht="16.5" customHeight="1" x14ac:dyDescent="0.15">
      <c r="A92" s="38">
        <v>45193</v>
      </c>
      <c r="B92" s="109"/>
      <c r="C92" s="109"/>
      <c r="D92" s="109"/>
      <c r="E92" s="109"/>
      <c r="F92" s="109"/>
      <c r="G92" s="109"/>
      <c r="H92" s="109"/>
      <c r="I92" s="109"/>
      <c r="J92" s="109"/>
    </row>
    <row r="93" spans="1:10" ht="16.5" customHeight="1" x14ac:dyDescent="0.15">
      <c r="A93" s="38">
        <v>45194</v>
      </c>
      <c r="B93" s="109"/>
      <c r="C93" s="109"/>
      <c r="D93" s="109"/>
      <c r="E93" s="109"/>
      <c r="F93" s="109"/>
      <c r="G93" s="109"/>
      <c r="H93" s="109"/>
      <c r="I93" s="109"/>
      <c r="J93" s="109"/>
    </row>
    <row r="94" spans="1:10" ht="16.5" customHeight="1" x14ac:dyDescent="0.15">
      <c r="A94" s="38">
        <v>45195</v>
      </c>
      <c r="B94" s="109"/>
      <c r="C94" s="109"/>
      <c r="D94" s="109"/>
      <c r="E94" s="109"/>
      <c r="F94" s="109"/>
      <c r="G94" s="109"/>
      <c r="H94" s="109"/>
      <c r="I94" s="109"/>
      <c r="J94" s="109"/>
    </row>
    <row r="95" spans="1:10" ht="16.5" customHeight="1" x14ac:dyDescent="0.15">
      <c r="A95" s="38">
        <v>45196</v>
      </c>
      <c r="B95" s="109"/>
      <c r="C95" s="109"/>
      <c r="D95" s="109"/>
      <c r="E95" s="109"/>
      <c r="F95" s="109"/>
      <c r="G95" s="109"/>
      <c r="H95" s="109"/>
      <c r="I95" s="109"/>
      <c r="J95" s="109"/>
    </row>
    <row r="96" spans="1:10" ht="16.5" customHeight="1" x14ac:dyDescent="0.15">
      <c r="A96" s="38">
        <v>45197</v>
      </c>
      <c r="B96" s="109"/>
      <c r="C96" s="109"/>
      <c r="D96" s="109"/>
      <c r="E96" s="109"/>
      <c r="F96" s="109"/>
      <c r="G96" s="109"/>
      <c r="H96" s="109"/>
      <c r="I96" s="109"/>
      <c r="J96" s="109"/>
    </row>
    <row r="97" spans="1:10" ht="16.5" customHeight="1" x14ac:dyDescent="0.15">
      <c r="A97" s="38">
        <v>45198</v>
      </c>
      <c r="B97" s="109"/>
      <c r="C97" s="109"/>
      <c r="D97" s="109"/>
      <c r="E97" s="109"/>
      <c r="F97" s="109"/>
      <c r="G97" s="109"/>
      <c r="H97" s="109"/>
      <c r="I97" s="109"/>
      <c r="J97" s="109"/>
    </row>
    <row r="98" spans="1:10" ht="16.5" x14ac:dyDescent="0.15">
      <c r="A98" s="38">
        <v>45199</v>
      </c>
      <c r="B98" s="109"/>
      <c r="C98" s="109"/>
      <c r="D98" s="109"/>
      <c r="E98" s="109"/>
      <c r="F98" s="109"/>
      <c r="G98" s="109"/>
      <c r="H98" s="109"/>
      <c r="I98" s="109"/>
      <c r="J98" s="109"/>
    </row>
  </sheetData>
  <mergeCells count="1">
    <mergeCell ref="A1:J1"/>
  </mergeCells>
  <phoneticPr fontId="5" type="noConversion"/>
  <conditionalFormatting sqref="A7:A98">
    <cfRule type="expression" dxfId="23" priority="3">
      <formula>OR(WEEKDAY(A7,2)=6,WEEKDAY(A7,2)=7)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Q3任务监控表</vt:lpstr>
      <vt:lpstr>消费汇总</vt:lpstr>
      <vt:lpstr>二级地市消费汇总</vt:lpstr>
      <vt:lpstr>新单数据</vt:lpstr>
      <vt:lpstr>潜力行业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licc</dc:creator>
  <cp:lastModifiedBy>user</cp:lastModifiedBy>
  <cp:lastPrinted>2021-09-23T01:55:34Z</cp:lastPrinted>
  <dcterms:created xsi:type="dcterms:W3CDTF">2006-09-13T11:21:00Z</dcterms:created>
  <dcterms:modified xsi:type="dcterms:W3CDTF">2023-07-01T01:46:49Z</dcterms:modified>
</cp:coreProperties>
</file>