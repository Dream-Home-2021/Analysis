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553" visibility="visible" windowHeight="8010" windowWidth="20490"/>
  </bookViews>
  <sheets>
    <sheet name="Q3任务监控表" sheetId="1" state="visible" r:id="rId1"/>
    <sheet name="消费汇总" sheetId="2" state="visible" r:id="rId2"/>
    <sheet name="二级地市消费汇总" sheetId="3" state="visible" r:id="rId3"/>
    <sheet name="新单数据" sheetId="4" state="visible" r:id="rId4"/>
    <sheet name="潜力行业" sheetId="5" state="visible" r:id="rId5"/>
  </sheets>
  <definedNames/>
  <calcPr calcId="144525" fullCalcOnLoad="1"/>
</workbook>
</file>

<file path=xl/styles.xml><?xml version="1.0" encoding="utf-8"?>
<styleSheet xmlns="http://schemas.openxmlformats.org/spreadsheetml/2006/main">
  <numFmts count="9">
    <numFmt formatCode="#,##0_);[Red]\(#,##0\)" numFmtId="164"/>
    <numFmt formatCode="_ * #,##0_ ;_ * \-#,##0_ ;_ * &quot;-&quot;??_ ;_ @_ " numFmtId="165"/>
    <numFmt formatCode="_ * #,##0.00_ ;_ * \-#,##0.00_ ;_ * &quot;-&quot;??_ ;_ @_ " numFmtId="166"/>
    <numFmt formatCode="#,##0;[Red]#,##0" numFmtId="167"/>
    <numFmt formatCode="0_);[Red]\(0\)" numFmtId="168"/>
    <numFmt formatCode="#,##0_ " numFmtId="169"/>
    <numFmt formatCode="0.00_ " numFmtId="170"/>
    <numFmt formatCode="0.0_);[Red]\(0.0\)" numFmtId="171"/>
    <numFmt formatCode="_-* #,##0_-;\-* #,##0_-;_-* &quot;-&quot;_-;_-@_-" numFmtId="172"/>
  </numFmts>
  <fonts count="35">
    <font>
      <name val="宋体"/>
      <charset val="134"/>
      <color indexed="8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0"/>
    </font>
    <font>
      <name val="微软雅黑"/>
      <charset val="134"/>
      <b val="1"/>
      <color theme="1"/>
      <sz val="10"/>
    </font>
    <font>
      <name val="微软雅黑"/>
      <charset val="134"/>
      <color theme="1"/>
      <sz val="10"/>
    </font>
    <font>
      <name val="微软雅黑"/>
      <charset val="134"/>
      <color indexed="8"/>
      <sz val="10"/>
    </font>
    <font>
      <name val="微软雅黑"/>
      <charset val="134"/>
      <b val="1"/>
      <color indexed="8"/>
      <sz val="10"/>
    </font>
    <font>
      <name val="微软雅黑"/>
      <charset val="134"/>
      <sz val="10"/>
    </font>
    <font>
      <name val="宋体"/>
      <charset val="134"/>
      <color indexed="8"/>
      <sz val="10"/>
    </font>
    <font>
      <name val="宋体"/>
      <charset val="134"/>
      <color theme="1"/>
      <sz val="11"/>
      <scheme val="minor"/>
    </font>
    <font>
      <name val="微软雅黑"/>
      <charset val="134"/>
      <b val="1"/>
      <color theme="0" tint="-0.0499893185216834"/>
      <sz val="10"/>
    </font>
    <font>
      <name val="宋体"/>
      <charset val="134"/>
      <color theme="0" tint="-0.0499893185216834"/>
      <sz val="11"/>
    </font>
    <font>
      <name val="微软雅黑"/>
      <charset val="134"/>
      <color theme="0" tint="-0.0499893185216834"/>
      <sz val="10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9C65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sz val="12"/>
    </font>
    <font>
      <name val="宋体"/>
      <charset val="134"/>
      <color theme="3"/>
      <sz val="18"/>
      <scheme val="major"/>
    </font>
    <font>
      <name val="宋体"/>
      <charset val="134"/>
      <b val="1"/>
      <color theme="3"/>
      <sz val="18"/>
      <scheme val="major"/>
    </font>
  </fonts>
  <fills count="47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0DC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C2CD2D"/>
        <bgColor indexed="64"/>
      </patternFill>
    </fill>
    <fill>
      <patternFill patternType="solid">
        <fgColor rgb="FFF1FFAB"/>
        <bgColor indexed="64"/>
      </patternFill>
    </fill>
    <fill>
      <patternFill patternType="solid">
        <fgColor rgb="FFEBEFB7"/>
        <bgColor indexed="64"/>
      </patternFill>
    </fill>
    <fill>
      <patternFill patternType="solid">
        <fgColor rgb="FFDCE381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60">
    <xf applyAlignment="1" borderId="0" fillId="0" fontId="0" numFmtId="0">
      <alignment vertical="center"/>
    </xf>
    <xf applyAlignment="1" borderId="0" fillId="0" fontId="9" numFmtId="42">
      <alignment vertical="center"/>
    </xf>
    <xf applyAlignment="1" borderId="0" fillId="33" fontId="16" numFmtId="0">
      <alignment vertical="center"/>
    </xf>
    <xf applyAlignment="1" borderId="19" fillId="29" fontId="19" numFmtId="0">
      <alignment vertical="center"/>
    </xf>
    <xf applyAlignment="1" borderId="0" fillId="0" fontId="9" numFmtId="44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0" fillId="0" fontId="9" numFmtId="41">
      <alignment vertical="center"/>
    </xf>
    <xf applyAlignment="1" borderId="0" fillId="24" fontId="16" numFmtId="0">
      <alignment vertical="center"/>
    </xf>
    <xf applyAlignment="1" borderId="0" fillId="40" fontId="27" numFmtId="0">
      <alignment vertical="center"/>
    </xf>
    <xf applyAlignment="1" borderId="0" fillId="0" fontId="0" numFmtId="43">
      <alignment vertical="center"/>
    </xf>
    <xf applyAlignment="1" borderId="0" fillId="26" fontId="15" numFmtId="0">
      <alignment vertical="center"/>
    </xf>
    <xf applyAlignment="1" borderId="0" fillId="0" fontId="26" numFmtId="0">
      <alignment vertical="center"/>
    </xf>
    <xf applyAlignment="1" borderId="0" fillId="0" fontId="0" numFmtId="9">
      <alignment vertical="center"/>
    </xf>
    <xf applyAlignment="1" borderId="0" fillId="0" fontId="31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0" fillId="0" fontId="24" numFmtId="0">
      <alignment vertical="center"/>
    </xf>
    <xf applyAlignment="1" borderId="16" fillId="23" fontId="9" numFmtId="0">
      <alignment vertical="center"/>
    </xf>
    <xf applyAlignment="1" borderId="0" fillId="22" fontId="15" numFmtId="0">
      <alignment vertical="center"/>
    </xf>
    <xf applyAlignment="1" borderId="0" fillId="0" fontId="14" numFmtId="0">
      <alignment vertical="center"/>
    </xf>
    <xf applyAlignment="1" borderId="0" fillId="0" fontId="21" numFmtId="0">
      <alignment vertical="center"/>
    </xf>
    <xf applyAlignment="1" borderId="0" fillId="0" fontId="23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20" fillId="0" fontId="25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20" fillId="0" fontId="29" numFmtId="0">
      <alignment vertical="center"/>
    </xf>
    <xf applyAlignment="1" borderId="0" fillId="11" fontId="15" numFmtId="0">
      <alignment vertical="center"/>
    </xf>
    <xf applyAlignment="1" borderId="15" fillId="0" fontId="14" numFmtId="0">
      <alignment vertical="center"/>
    </xf>
    <xf applyAlignment="1" borderId="14" fillId="21" fontId="13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0" fillId="28" fontId="15" numFmtId="0">
      <alignment vertical="center"/>
    </xf>
    <xf applyAlignment="1" borderId="19" fillId="21" fontId="28" numFmtId="0">
      <alignment vertical="center"/>
    </xf>
    <xf applyAlignment="1" borderId="21" fillId="44" fontId="30" numFmtId="0">
      <alignment vertical="center"/>
    </xf>
    <xf applyAlignment="1" borderId="0" fillId="12" fontId="9" numFmtId="0">
      <alignment vertical="center"/>
    </xf>
    <xf applyAlignment="1" borderId="16" fillId="23" fontId="9" numFmtId="0">
      <alignment vertical="center"/>
    </xf>
    <xf applyAlignment="1" borderId="17" fillId="0" fontId="17" numFmtId="0">
      <alignment vertical="center"/>
    </xf>
    <xf applyAlignment="1" borderId="0" fillId="41" fontId="9" numFmtId="0">
      <alignment vertical="center"/>
    </xf>
    <xf applyAlignment="1" borderId="0" fillId="32" fontId="16" numFmtId="0">
      <alignment vertical="center"/>
    </xf>
    <xf applyAlignment="1" borderId="0" fillId="25" fontId="15" numFmtId="0">
      <alignment vertical="center"/>
    </xf>
    <xf applyAlignment="1" borderId="18" fillId="0" fontId="18" numFmtId="0">
      <alignment vertical="center"/>
    </xf>
    <xf applyAlignment="1" borderId="0" fillId="31" fontId="20" numFmtId="0">
      <alignment vertical="center"/>
    </xf>
    <xf applyAlignment="1" borderId="0" fillId="36" fontId="22" numFmtId="0">
      <alignment vertical="center"/>
    </xf>
    <xf applyAlignment="1" borderId="0" fillId="43" fontId="16" numFmtId="0">
      <alignment vertical="center"/>
    </xf>
    <xf applyAlignment="1" borderId="0" fillId="17" fontId="15" numFmtId="0">
      <alignment vertical="center"/>
    </xf>
    <xf applyAlignment="1" borderId="0" fillId="12" fontId="16" numFmtId="0">
      <alignment vertical="center"/>
    </xf>
    <xf applyAlignment="1" borderId="0" fillId="3" fontId="16" numFmtId="0">
      <alignment vertical="center"/>
    </xf>
    <xf applyAlignment="1" borderId="0" fillId="35" fontId="16" numFmtId="0">
      <alignment vertical="center"/>
    </xf>
    <xf applyAlignment="1" borderId="0" fillId="27" fontId="16" numFmtId="0">
      <alignment vertical="center"/>
    </xf>
    <xf applyAlignment="1" borderId="0" fillId="0" fontId="0" numFmtId="172">
      <alignment vertical="center"/>
    </xf>
    <xf applyAlignment="1" borderId="0" fillId="39" fontId="15" numFmtId="0">
      <alignment vertical="center"/>
    </xf>
    <xf applyAlignment="1" borderId="0" fillId="30" fontId="15" numFmtId="0">
      <alignment vertical="center"/>
    </xf>
    <xf applyAlignment="1" borderId="0" fillId="38" fontId="16" numFmtId="0">
      <alignment vertical="center"/>
    </xf>
    <xf applyAlignment="1" borderId="0" fillId="37" fontId="16" numFmtId="0">
      <alignment vertical="center"/>
    </xf>
    <xf applyAlignment="1" borderId="0" fillId="42" fontId="15" numFmtId="0">
      <alignment vertical="center"/>
    </xf>
    <xf applyAlignment="1" borderId="0" fillId="41" fontId="16" numFmtId="0">
      <alignment vertical="center"/>
    </xf>
    <xf applyAlignment="1" borderId="0" fillId="34" fontId="15" numFmtId="0">
      <alignment vertical="center"/>
    </xf>
    <xf applyAlignment="1" borderId="0" fillId="18" fontId="15" numFmtId="0">
      <alignment vertical="center"/>
    </xf>
    <xf applyAlignment="1" borderId="0" fillId="45" fontId="16" numFmtId="0">
      <alignment vertical="center"/>
    </xf>
    <xf applyAlignment="1" borderId="0" fillId="46" fontId="15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0" fillId="0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0" fillId="0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0" fillId="4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applyAlignment="1" borderId="16" fillId="23" fontId="9" numFmtId="0">
      <alignment vertical="center"/>
    </xf>
    <xf borderId="0" fillId="0" fontId="32" numFmtId="0"/>
    <xf borderId="0" fillId="0" fontId="9" numFmtId="0"/>
    <xf applyAlignment="1" borderId="16" fillId="23" fontId="9" numFmtId="0">
      <alignment vertical="center"/>
    </xf>
    <xf applyAlignment="1" borderId="0" fillId="3" fontId="9" numFmtId="0">
      <alignment vertical="center"/>
    </xf>
    <xf applyAlignment="1" borderId="0" fillId="35" fontId="9" numFmtId="0">
      <alignment vertical="center"/>
    </xf>
    <xf applyAlignment="1" borderId="0" fillId="27" fontId="9" numFmtId="0">
      <alignment vertical="center"/>
    </xf>
    <xf applyAlignment="1" borderId="0" fillId="33" fontId="9" numFmtId="0">
      <alignment vertical="center"/>
    </xf>
    <xf applyAlignment="1" borderId="0" fillId="24" fontId="9" numFmtId="0">
      <alignment vertical="center"/>
    </xf>
    <xf applyAlignment="1" borderId="0" fillId="38" fontId="9" numFmtId="0">
      <alignment vertical="center"/>
    </xf>
    <xf applyAlignment="1" borderId="0" fillId="37" fontId="9" numFmtId="0">
      <alignment vertical="center"/>
    </xf>
    <xf applyAlignment="1" borderId="0" fillId="32" fontId="9" numFmtId="0">
      <alignment vertical="center"/>
    </xf>
    <xf applyAlignment="1" borderId="0" fillId="45" fontId="9" numFmtId="0">
      <alignment vertical="center"/>
    </xf>
    <xf applyAlignment="1" borderId="0" fillId="0" fontId="33" numFmtId="0">
      <alignment vertical="center"/>
    </xf>
    <xf applyAlignment="1" borderId="0" fillId="0" fontId="9" numFmtId="43">
      <alignment vertical="center"/>
    </xf>
    <xf applyAlignment="1" borderId="0" fillId="0" fontId="34" numFmtId="0">
      <alignment vertical="center"/>
    </xf>
    <xf applyAlignment="1" borderId="0" fillId="0" fontId="9" numFmtId="9">
      <alignment vertical="center"/>
    </xf>
  </cellStyleXfs>
  <cellXfs count="185">
    <xf applyAlignment="1" borderId="0" fillId="0" fontId="0" numFmtId="0" pivotButton="0" quotePrefix="0" xfId="0">
      <alignment vertical="center"/>
    </xf>
    <xf applyAlignment="1" borderId="0" fillId="0" fontId="1" numFmtId="0" pivotButton="0" quotePrefix="0" xfId="0">
      <alignment vertical="center"/>
    </xf>
    <xf applyAlignment="1" borderId="0" fillId="0" fontId="0" numFmtId="164" pivotButton="0" quotePrefix="0" xfId="0">
      <alignment vertical="center"/>
    </xf>
    <xf applyAlignment="1" borderId="1" fillId="2" fontId="2" numFmtId="0" pivotButton="0" quotePrefix="0" xfId="0">
      <alignment horizontal="center" vertical="center"/>
    </xf>
    <xf borderId="2" fillId="0" fontId="0" numFmtId="0" pivotButton="0" quotePrefix="0" xfId="0"/>
    <xf applyAlignment="1" borderId="3" fillId="2" fontId="2" numFmtId="0" pivotButton="0" quotePrefix="0" xfId="0">
      <alignment horizontal="center" vertical="center"/>
    </xf>
    <xf applyAlignment="1" borderId="3" fillId="2" fontId="2" numFmtId="164" pivotButton="0" quotePrefix="0" xfId="0">
      <alignment horizontal="center" vertical="center"/>
    </xf>
    <xf applyAlignment="1" borderId="4" fillId="3" fontId="3" numFmtId="165" pivotButton="0" quotePrefix="0" xfId="0">
      <alignment horizontal="center" vertical="center"/>
    </xf>
    <xf applyAlignment="1" borderId="5" fillId="3" fontId="3" numFmtId="164" pivotButton="0" quotePrefix="0" xfId="0">
      <alignment horizontal="center" vertical="center"/>
    </xf>
    <xf applyAlignment="1" borderId="5" fillId="4" fontId="3" numFmtId="0" pivotButton="0" quotePrefix="0" xfId="144">
      <alignment horizontal="center" vertical="center" wrapText="1"/>
    </xf>
    <xf applyAlignment="1" borderId="5" fillId="4" fontId="3" numFmtId="164" pivotButton="0" quotePrefix="0" xfId="144">
      <alignment horizontal="center" vertical="center" wrapText="1"/>
    </xf>
    <xf applyAlignment="1" borderId="5" fillId="0" fontId="4" numFmtId="58" pivotButton="0" quotePrefix="0" xfId="0">
      <alignment horizontal="center" vertical="center"/>
    </xf>
    <xf applyAlignment="1" borderId="5" fillId="5" fontId="5" numFmtId="164" pivotButton="0" quotePrefix="0" xfId="10">
      <alignment horizontal="center" vertical="center"/>
    </xf>
    <xf applyAlignment="1" borderId="5" fillId="6" fontId="4" numFmtId="58" pivotButton="0" quotePrefix="0" xfId="0">
      <alignment horizontal="center" vertical="center"/>
    </xf>
    <xf applyAlignment="1" borderId="0" fillId="0" fontId="0" numFmtId="166" pivotButton="0" quotePrefix="0" xfId="0">
      <alignment vertical="center"/>
    </xf>
    <xf applyAlignment="1" borderId="0" fillId="0" fontId="5" numFmtId="0" pivotButton="0" quotePrefix="0" xfId="0">
      <alignment vertical="center"/>
    </xf>
    <xf applyAlignment="1" borderId="0" fillId="0" fontId="5" numFmtId="164" pivotButton="0" quotePrefix="0" xfId="0">
      <alignment horizontal="center" vertical="center"/>
    </xf>
    <xf applyAlignment="1" borderId="0" fillId="0" fontId="5" numFmtId="0" pivotButton="0" quotePrefix="0" xfId="0">
      <alignment horizontal="center" vertical="center"/>
    </xf>
    <xf applyAlignment="1" borderId="5" fillId="7" fontId="6" numFmtId="0" pivotButton="0" quotePrefix="0" xfId="0">
      <alignment horizontal="center" vertical="center"/>
    </xf>
    <xf applyAlignment="1" borderId="5" fillId="7" fontId="6" numFmtId="164" pivotButton="0" quotePrefix="0" xfId="0">
      <alignment horizontal="center" vertical="center"/>
    </xf>
    <xf applyAlignment="1" borderId="5" fillId="8" fontId="6" numFmtId="0" pivotButton="0" quotePrefix="0" xfId="0">
      <alignment horizontal="center" vertical="center"/>
    </xf>
    <xf applyAlignment="1" borderId="5" fillId="8" fontId="5" numFmtId="164" pivotButton="0" quotePrefix="0" xfId="10">
      <alignment horizontal="center" vertical="center"/>
    </xf>
    <xf applyAlignment="1" borderId="5" fillId="9" fontId="6" numFmtId="0" pivotButton="0" quotePrefix="0" xfId="0">
      <alignment horizontal="center" vertical="center"/>
    </xf>
    <xf applyAlignment="1" borderId="5" fillId="0" fontId="5" numFmtId="164" pivotButton="0" quotePrefix="0" xfId="10">
      <alignment horizontal="center" vertical="center"/>
    </xf>
    <xf applyAlignment="1" borderId="6" fillId="5" fontId="7" numFmtId="167" pivotButton="0" quotePrefix="0" xfId="102">
      <alignment horizontal="center" vertical="center"/>
    </xf>
    <xf applyAlignment="1" borderId="5" fillId="0" fontId="5" numFmtId="164" pivotButton="0" quotePrefix="0" xfId="0">
      <alignment horizontal="center" vertical="center"/>
    </xf>
    <xf applyAlignment="1" borderId="5" fillId="0" fontId="7" numFmtId="164" pivotButton="0" quotePrefix="0" xfId="0">
      <alignment horizontal="center" vertical="center"/>
    </xf>
    <xf applyAlignment="1" borderId="5" fillId="0" fontId="8" numFmtId="164" pivotButton="0" quotePrefix="0" xfId="10">
      <alignment horizontal="center" vertical="center"/>
    </xf>
    <xf applyAlignment="1" borderId="5" fillId="0" fontId="8" numFmtId="164" pivotButton="0" quotePrefix="0" xfId="0">
      <alignment horizontal="center" vertical="center"/>
    </xf>
    <xf applyAlignment="1" borderId="5" fillId="7" fontId="6" numFmtId="0" pivotButton="0" quotePrefix="0" xfId="0">
      <alignment horizontal="center" shrinkToFit="1" vertical="center"/>
    </xf>
    <xf applyAlignment="1" borderId="5" fillId="10" fontId="5" numFmtId="10" pivotButton="0" quotePrefix="0" xfId="13">
      <alignment horizontal="center" vertical="center"/>
    </xf>
    <xf applyAlignment="1" borderId="5" fillId="0" fontId="5" numFmtId="10" pivotButton="0" quotePrefix="0" xfId="13">
      <alignment horizontal="center" vertical="center"/>
    </xf>
    <xf applyAlignment="1" borderId="5" fillId="8" fontId="5" numFmtId="0" pivotButton="0" quotePrefix="0" xfId="10">
      <alignment horizontal="center" vertical="center"/>
    </xf>
    <xf applyAlignment="1" borderId="5" fillId="0" fontId="5" numFmtId="165" pivotButton="0" quotePrefix="0" xfId="10">
      <alignment horizontal="center" vertical="center"/>
    </xf>
    <xf applyAlignment="1" borderId="5" fillId="0" fontId="5" numFmtId="0" pivotButton="0" quotePrefix="0" xfId="0">
      <alignment horizontal="center" vertical="center"/>
    </xf>
    <xf applyAlignment="1" borderId="5" fillId="0" fontId="9" numFmtId="168" pivotButton="0" quotePrefix="0" xfId="0">
      <alignment horizontal="center" vertical="center"/>
    </xf>
    <xf applyAlignment="1" borderId="5" fillId="0" fontId="8" numFmtId="0" pivotButton="0" quotePrefix="0" xfId="0">
      <alignment horizontal="center" vertical="center"/>
    </xf>
    <xf applyAlignment="1" borderId="5" fillId="0" fontId="5" numFmtId="0" pivotButton="0" quotePrefix="0" xfId="0">
      <alignment horizontal="center" vertical="center"/>
    </xf>
    <xf applyAlignment="1" borderId="7" fillId="0" fontId="4" numFmtId="164" pivotButton="0" quotePrefix="0" xfId="0">
      <alignment horizontal="center" vertical="center"/>
    </xf>
    <xf applyAlignment="1" borderId="5" fillId="0" fontId="4" numFmtId="164" pivotButton="0" quotePrefix="0" xfId="0">
      <alignment horizontal="center" vertical="center"/>
    </xf>
    <xf borderId="0" fillId="0" fontId="0" numFmtId="0" pivotButton="0" quotePrefix="0" xfId="0"/>
    <xf applyAlignment="1" borderId="0" fillId="0" fontId="0" numFmtId="164" pivotButton="0" quotePrefix="0" xfId="10">
      <alignment vertical="center"/>
    </xf>
    <xf applyAlignment="1" borderId="8" fillId="2" fontId="2" numFmtId="0" pivotButton="0" quotePrefix="0" xfId="144">
      <alignment horizontal="center" vertical="center" wrapText="1"/>
    </xf>
    <xf applyAlignment="1" borderId="5" fillId="2" fontId="2" numFmtId="164" pivotButton="0" quotePrefix="0" xfId="10">
      <alignment horizontal="center" vertical="center"/>
    </xf>
    <xf borderId="9" fillId="0" fontId="0" numFmtId="0" pivotButton="0" quotePrefix="0" xfId="0"/>
    <xf borderId="4" fillId="0" fontId="0" numFmtId="0" pivotButton="0" quotePrefix="0" xfId="0"/>
    <xf applyAlignment="1" borderId="5" fillId="2" fontId="2" numFmtId="164" pivotButton="0" quotePrefix="0" xfId="10">
      <alignment horizontal="center" vertical="center" wrapText="1"/>
    </xf>
    <xf applyAlignment="1" borderId="10" fillId="2" fontId="2" numFmtId="164" pivotButton="0" quotePrefix="0" xfId="10">
      <alignment horizontal="center" vertical="center"/>
    </xf>
    <xf borderId="8" fillId="0" fontId="0" numFmtId="0" pivotButton="0" quotePrefix="0" xfId="0"/>
    <xf borderId="6" fillId="0" fontId="0" numFmtId="0" pivotButton="0" quotePrefix="0" xfId="0"/>
    <xf applyAlignment="1" borderId="7" fillId="2" fontId="2" numFmtId="164" pivotButton="0" quotePrefix="0" xfId="10">
      <alignment horizontal="center" vertical="center" wrapText="1"/>
    </xf>
    <xf applyAlignment="1" borderId="5" fillId="2" fontId="2" numFmtId="164" pivotButton="0" quotePrefix="0" xfId="144">
      <alignment horizontal="center" vertical="center" wrapText="1"/>
    </xf>
    <xf applyAlignment="1" borderId="10" fillId="2" fontId="2" numFmtId="164" pivotButton="0" quotePrefix="0" xfId="144">
      <alignment horizontal="center" vertical="center" wrapText="1"/>
    </xf>
    <xf applyAlignment="1" borderId="5" fillId="11" fontId="3" numFmtId="0" pivotButton="0" quotePrefix="0" xfId="144">
      <alignment horizontal="center" vertical="center" wrapText="1"/>
    </xf>
    <xf applyAlignment="1" borderId="5" fillId="11" fontId="3" numFmtId="164" pivotButton="0" quotePrefix="0" xfId="10">
      <alignment horizontal="center" vertical="center" wrapText="1"/>
    </xf>
    <xf applyAlignment="1" borderId="5" fillId="4" fontId="3" numFmtId="164" pivotButton="0" quotePrefix="0" xfId="10">
      <alignment horizontal="center" vertical="center" wrapText="1"/>
    </xf>
    <xf applyAlignment="1" borderId="5" fillId="12" fontId="7" numFmtId="164" pivotButton="0" quotePrefix="0" xfId="10">
      <alignment horizontal="center" vertical="center"/>
    </xf>
    <xf applyAlignment="1" borderId="6" fillId="12" fontId="7" numFmtId="164" pivotButton="0" quotePrefix="0" xfId="10">
      <alignment horizontal="center" vertical="center"/>
    </xf>
    <xf borderId="7" fillId="0" fontId="0" numFmtId="0" pivotButton="0" quotePrefix="0" xfId="0"/>
    <xf applyAlignment="1" borderId="8" fillId="2" fontId="2" numFmtId="164" pivotButton="0" quotePrefix="0" xfId="144">
      <alignment horizontal="center" vertical="center" wrapText="1"/>
    </xf>
    <xf applyAlignment="1" borderId="0" fillId="0" fontId="1" numFmtId="164" pivotButton="0" quotePrefix="0" xfId="0">
      <alignment vertical="center"/>
    </xf>
    <xf applyAlignment="1" borderId="5" fillId="11" fontId="3" numFmtId="164" pivotButton="0" quotePrefix="0" xfId="144">
      <alignment horizontal="center" vertical="center" wrapText="1"/>
    </xf>
    <xf applyAlignment="1" borderId="0" fillId="0" fontId="0" numFmtId="164" pivotButton="0" quotePrefix="0" xfId="13">
      <alignment vertical="center"/>
    </xf>
    <xf applyAlignment="1" borderId="0" fillId="5" fontId="0" numFmtId="0" pivotButton="0" quotePrefix="0" xfId="0">
      <alignment vertical="center"/>
    </xf>
    <xf applyAlignment="1" borderId="0" fillId="0" fontId="0" numFmtId="165" pivotButton="0" quotePrefix="0" xfId="10">
      <alignment vertical="center"/>
    </xf>
    <xf applyAlignment="1" borderId="0" fillId="5" fontId="0" numFmtId="165" pivotButton="0" quotePrefix="0" xfId="10">
      <alignment vertical="center"/>
    </xf>
    <xf applyAlignment="1" borderId="5" fillId="2" fontId="10" numFmtId="0" pivotButton="0" quotePrefix="0" xfId="0">
      <alignment horizontal="center" vertical="center" wrapText="1"/>
    </xf>
    <xf applyAlignment="1" borderId="5" fillId="2" fontId="10" numFmtId="165" pivotButton="0" quotePrefix="0" xfId="10">
      <alignment horizontal="center" vertical="center" wrapText="1"/>
    </xf>
    <xf applyAlignment="1" borderId="5" fillId="2" fontId="10" numFmtId="165" pivotButton="0" quotePrefix="0" xfId="10">
      <alignment horizontal="center" vertical="center"/>
    </xf>
    <xf applyAlignment="1" borderId="0" fillId="5" fontId="11" numFmtId="0" pivotButton="0" quotePrefix="0" xfId="0">
      <alignment vertical="center"/>
    </xf>
    <xf applyAlignment="1" borderId="11" fillId="2" fontId="10" numFmtId="0" pivotButton="0" quotePrefix="0" xfId="0">
      <alignment horizontal="center" vertical="center"/>
    </xf>
    <xf borderId="11" fillId="0" fontId="0" numFmtId="0" pivotButton="0" quotePrefix="0" xfId="0"/>
    <xf applyAlignment="1" borderId="5" fillId="13" fontId="3" numFmtId="0" pivotButton="0" quotePrefix="0" xfId="0">
      <alignment horizontal="center" vertical="center"/>
    </xf>
    <xf applyAlignment="1" borderId="5" fillId="13" fontId="4" numFmtId="167" pivotButton="0" quotePrefix="0" xfId="0">
      <alignment horizontal="center" vertical="center"/>
    </xf>
    <xf applyAlignment="1" borderId="5" fillId="14" fontId="3" numFmtId="0" pivotButton="0" quotePrefix="0" xfId="0">
      <alignment horizontal="center" vertical="center"/>
    </xf>
    <xf applyAlignment="1" borderId="5" fillId="14" fontId="4" numFmtId="167" pivotButton="0" quotePrefix="0" xfId="0">
      <alignment horizontal="center" vertical="center"/>
    </xf>
    <xf applyAlignment="1" borderId="12" fillId="14" fontId="3" numFmtId="0" pivotButton="0" quotePrefix="0" xfId="0">
      <alignment horizontal="center" vertical="center"/>
    </xf>
    <xf applyAlignment="1" borderId="12" fillId="14" fontId="4" numFmtId="167" pivotButton="0" quotePrefix="0" xfId="0">
      <alignment horizontal="center" vertical="center"/>
    </xf>
    <xf applyAlignment="1" borderId="5" fillId="0" fontId="7" numFmtId="58" pivotButton="0" quotePrefix="0" xfId="0">
      <alignment horizontal="center" vertical="center"/>
    </xf>
    <xf applyAlignment="1" borderId="6" fillId="0" fontId="7" numFmtId="167" pivotButton="0" quotePrefix="0" xfId="0">
      <alignment horizontal="center" vertical="center"/>
    </xf>
    <xf applyAlignment="1" borderId="10" fillId="0" fontId="7" numFmtId="58" pivotButton="0" quotePrefix="0" xfId="0">
      <alignment horizontal="center" vertical="center"/>
    </xf>
    <xf applyAlignment="1" borderId="5" fillId="15" fontId="7" numFmtId="58" pivotButton="0" quotePrefix="0" xfId="0">
      <alignment horizontal="center" vertical="center"/>
    </xf>
    <xf applyAlignment="1" borderId="5" fillId="13" fontId="7" numFmtId="167" pivotButton="0" quotePrefix="0" xfId="0">
      <alignment horizontal="center" vertical="center"/>
    </xf>
    <xf applyAlignment="1" borderId="6" fillId="5" fontId="7" numFmtId="167" pivotButton="0" quotePrefix="0" xfId="0">
      <alignment horizontal="center" vertical="center"/>
    </xf>
    <xf applyAlignment="1" borderId="5" fillId="5" fontId="7" numFmtId="167" pivotButton="0" quotePrefix="0" xfId="0">
      <alignment horizontal="center" vertical="center"/>
    </xf>
    <xf applyAlignment="1" borderId="0" fillId="5" fontId="11" numFmtId="165" pivotButton="0" quotePrefix="0" xfId="10">
      <alignment vertical="center"/>
    </xf>
    <xf applyAlignment="1" borderId="0" fillId="5" fontId="12" numFmtId="167" pivotButton="0" quotePrefix="0" xfId="0">
      <alignment horizontal="center" vertical="center"/>
    </xf>
    <xf applyAlignment="1" borderId="0" fillId="5" fontId="7" numFmtId="167" pivotButton="0" quotePrefix="0" xfId="0">
      <alignment horizontal="center" vertical="center"/>
    </xf>
    <xf applyAlignment="1" borderId="5" fillId="14" fontId="7" numFmtId="167" pivotButton="0" quotePrefix="0" xfId="0">
      <alignment horizontal="center" vertical="center"/>
    </xf>
    <xf applyAlignment="1" borderId="12" fillId="14" fontId="7" numFmtId="167" pivotButton="0" quotePrefix="0" xfId="0">
      <alignment horizontal="center" vertical="center"/>
    </xf>
    <xf applyAlignment="1" borderId="5" fillId="0" fontId="0" numFmtId="0" pivotButton="0" quotePrefix="0" xfId="0">
      <alignment vertical="center"/>
    </xf>
    <xf applyAlignment="1" borderId="2" fillId="0" fontId="0" numFmtId="0" pivotButton="0" quotePrefix="0" xfId="0">
      <alignment vertical="center"/>
    </xf>
    <xf applyAlignment="1" borderId="5" fillId="16" fontId="6" numFmtId="0" pivotButton="0" quotePrefix="0" xfId="0">
      <alignment horizontal="center" vertical="center"/>
    </xf>
    <xf applyAlignment="1" borderId="5" fillId="0" fontId="6" numFmtId="0" pivotButton="0" quotePrefix="0" xfId="0">
      <alignment horizontal="center" vertical="center"/>
    </xf>
    <xf applyAlignment="1" borderId="5" fillId="17" fontId="5" numFmtId="0" pivotButton="0" quotePrefix="0" xfId="0">
      <alignment horizontal="center" vertical="center"/>
    </xf>
    <xf applyAlignment="1" borderId="5" fillId="18" fontId="5" numFmtId="0" pivotButton="0" quotePrefix="0" xfId="0">
      <alignment horizontal="center" vertical="center"/>
    </xf>
    <xf applyAlignment="1" borderId="12" fillId="16" fontId="6" numFmtId="0" pivotButton="0" quotePrefix="0" xfId="0">
      <alignment horizontal="center" vertical="center"/>
    </xf>
    <xf applyAlignment="1" borderId="12" fillId="0" fontId="6" numFmtId="0" pivotButton="0" quotePrefix="0" xfId="0">
      <alignment horizontal="center" vertical="center"/>
    </xf>
    <xf applyAlignment="1" borderId="12" fillId="15" fontId="5" numFmtId="0" pivotButton="0" quotePrefix="0" xfId="0">
      <alignment horizontal="center" vertical="center"/>
    </xf>
    <xf applyAlignment="1" borderId="12" fillId="19" fontId="5" numFmtId="0" pivotButton="0" quotePrefix="0" xfId="0">
      <alignment horizontal="center" vertical="center"/>
    </xf>
    <xf applyAlignment="1" borderId="6" fillId="16" fontId="6" numFmtId="0" pivotButton="0" quotePrefix="0" xfId="0">
      <alignment horizontal="center" vertical="center"/>
    </xf>
    <xf applyAlignment="1" borderId="5" fillId="20" fontId="6" numFmtId="0" pivotButton="0" quotePrefix="0" xfId="0">
      <alignment horizontal="center" vertical="center"/>
    </xf>
    <xf applyAlignment="1" borderId="5" fillId="0" fontId="6" numFmtId="0" pivotButton="0" quotePrefix="0" xfId="0">
      <alignment horizontal="center"/>
    </xf>
    <xf applyAlignment="1" borderId="5" fillId="0" fontId="5" numFmtId="169" pivotButton="0" quotePrefix="0" xfId="10">
      <alignment horizontal="center" vertical="center"/>
    </xf>
    <xf borderId="13" fillId="0" fontId="0" numFmtId="0" pivotButton="0" quotePrefix="0" xfId="0"/>
    <xf applyAlignment="1" borderId="0" fillId="0" fontId="6" numFmtId="0" pivotButton="0" quotePrefix="0" xfId="0">
      <alignment horizontal="center"/>
    </xf>
    <xf applyAlignment="1" borderId="0" fillId="0" fontId="5" numFmtId="169" pivotButton="0" quotePrefix="0" xfId="10">
      <alignment horizontal="center" vertical="center"/>
    </xf>
    <xf applyAlignment="1" borderId="0" fillId="0" fontId="5" numFmtId="10" pivotButton="0" quotePrefix="0" xfId="13">
      <alignment horizontal="center" vertical="center"/>
    </xf>
    <xf applyAlignment="1" borderId="5" fillId="0" fontId="5" numFmtId="166" pivotButton="0" quotePrefix="0" xfId="10">
      <alignment horizontal="center" vertical="center"/>
    </xf>
    <xf applyAlignment="1" borderId="5" fillId="0" fontId="5" numFmtId="170" pivotButton="0" quotePrefix="0" xfId="10">
      <alignment horizontal="center" vertical="center"/>
    </xf>
    <xf applyAlignment="1" borderId="5" fillId="0" fontId="5" numFmtId="171" pivotButton="0" quotePrefix="0" xfId="10">
      <alignment horizontal="center" vertical="center"/>
    </xf>
    <xf applyAlignment="1" borderId="5" fillId="0" fontId="5" numFmtId="10" pivotButton="0" quotePrefix="0" xfId="13">
      <alignment horizontal="center"/>
    </xf>
    <xf applyAlignment="1" borderId="0" fillId="0" fontId="0" numFmtId="10" pivotButton="0" quotePrefix="0" xfId="0">
      <alignment vertical="center"/>
    </xf>
    <xf applyAlignment="1" borderId="0" fillId="0" fontId="0" numFmtId="169" pivotButton="0" quotePrefix="0" xfId="0">
      <alignment vertical="center"/>
    </xf>
    <xf applyAlignment="1" borderId="0" fillId="0" fontId="5" numFmtId="10" pivotButton="0" quotePrefix="0" xfId="13">
      <alignment horizontal="center"/>
    </xf>
    <xf borderId="0" fillId="0" fontId="0" numFmtId="166" pivotButton="0" quotePrefix="0" xfId="0"/>
    <xf borderId="0" fillId="0" fontId="0" numFmtId="169" pivotButton="0" quotePrefix="0" xfId="0"/>
    <xf applyAlignment="1" borderId="5" fillId="0" fontId="5" numFmtId="0" pivotButton="0" quotePrefix="0" xfId="10">
      <alignment horizontal="center" vertical="center"/>
    </xf>
    <xf applyAlignment="1" borderId="5" fillId="0" fontId="5" numFmtId="166" pivotButton="0" quotePrefix="0" xfId="10">
      <alignment horizontal="center"/>
    </xf>
    <xf applyAlignment="1" borderId="5" fillId="13" fontId="7" numFmtId="167" pivotButton="0" quotePrefix="1" xfId="0">
      <alignment horizontal="center" vertical="center"/>
    </xf>
    <xf applyAlignment="1" borderId="5" fillId="14" fontId="4" numFmtId="167" pivotButton="0" quotePrefix="1" xfId="0">
      <alignment horizontal="center" vertical="center"/>
    </xf>
    <xf applyAlignment="1" borderId="12" fillId="14" fontId="4" numFmtId="167" pivotButton="0" quotePrefix="1" xfId="0">
      <alignment horizontal="center" vertical="center"/>
    </xf>
    <xf applyAlignment="1" borderId="5" fillId="0" fontId="5" numFmtId="169" pivotButton="0" quotePrefix="0" xfId="10">
      <alignment horizontal="center" vertical="center"/>
    </xf>
    <xf applyAlignment="1" borderId="0" fillId="0" fontId="0" numFmtId="169" pivotButton="0" quotePrefix="0" xfId="0">
      <alignment vertical="center"/>
    </xf>
    <xf applyAlignment="1" borderId="0" fillId="0" fontId="5" numFmtId="169" pivotButton="0" quotePrefix="0" xfId="10">
      <alignment horizontal="center" vertical="center"/>
    </xf>
    <xf borderId="0" fillId="0" fontId="0" numFmtId="166" pivotButton="0" quotePrefix="0" xfId="0"/>
    <xf borderId="0" fillId="0" fontId="0" numFmtId="169" pivotButton="0" quotePrefix="0" xfId="0"/>
    <xf applyAlignment="1" borderId="5" fillId="0" fontId="5" numFmtId="164" pivotButton="0" quotePrefix="0" xfId="10">
      <alignment horizontal="center" vertical="center"/>
    </xf>
    <xf applyAlignment="1" borderId="5" fillId="0" fontId="5" numFmtId="166" pivotButton="0" quotePrefix="0" xfId="10">
      <alignment horizontal="center" vertical="center"/>
    </xf>
    <xf applyAlignment="1" borderId="5" fillId="0" fontId="5" numFmtId="166" pivotButton="0" quotePrefix="0" xfId="10">
      <alignment horizontal="center"/>
    </xf>
    <xf applyAlignment="1" borderId="5" fillId="0" fontId="5" numFmtId="170" pivotButton="0" quotePrefix="0" xfId="10">
      <alignment horizontal="center" vertical="center"/>
    </xf>
    <xf applyAlignment="1" borderId="5" fillId="0" fontId="5" numFmtId="171" pivotButton="0" quotePrefix="0" xfId="10">
      <alignment horizontal="center" vertical="center"/>
    </xf>
    <xf applyAlignment="1" borderId="0" fillId="0" fontId="0" numFmtId="165" pivotButton="0" quotePrefix="0" xfId="10">
      <alignment vertical="center"/>
    </xf>
    <xf applyAlignment="1" borderId="0" fillId="5" fontId="0" numFmtId="165" pivotButton="0" quotePrefix="0" xfId="10">
      <alignment vertical="center"/>
    </xf>
    <xf applyAlignment="1" borderId="5" fillId="2" fontId="10" numFmtId="165" pivotButton="0" quotePrefix="0" xfId="10">
      <alignment horizontal="center" vertical="center" wrapText="1"/>
    </xf>
    <xf applyAlignment="1" borderId="5" fillId="2" fontId="10" numFmtId="165" pivotButton="0" quotePrefix="0" xfId="10">
      <alignment horizontal="center" vertical="center"/>
    </xf>
    <xf applyAlignment="1" borderId="0" fillId="5" fontId="11" numFmtId="165" pivotButton="0" quotePrefix="0" xfId="10">
      <alignment vertical="center"/>
    </xf>
    <xf applyAlignment="1" borderId="0" fillId="5" fontId="12" numFmtId="167" pivotButton="0" quotePrefix="0" xfId="0">
      <alignment horizontal="center" vertical="center"/>
    </xf>
    <xf applyAlignment="1" borderId="5" fillId="13" fontId="4" numFmtId="167" pivotButton="0" quotePrefix="0" xfId="0">
      <alignment horizontal="center" vertical="center"/>
    </xf>
    <xf applyAlignment="1" borderId="5" fillId="13" fontId="7" numFmtId="167" pivotButton="0" quotePrefix="1" xfId="0">
      <alignment horizontal="center" vertical="center"/>
    </xf>
    <xf applyAlignment="1" borderId="5" fillId="13" fontId="7" numFmtId="167" pivotButton="0" quotePrefix="0" xfId="0">
      <alignment horizontal="center" vertical="center"/>
    </xf>
    <xf applyAlignment="1" borderId="0" fillId="5" fontId="7" numFmtId="167" pivotButton="0" quotePrefix="0" xfId="0">
      <alignment horizontal="center" vertical="center"/>
    </xf>
    <xf applyAlignment="1" borderId="5" fillId="14" fontId="4" numFmtId="167" pivotButton="0" quotePrefix="0" xfId="0">
      <alignment horizontal="center" vertical="center"/>
    </xf>
    <xf applyAlignment="1" borderId="5" fillId="14" fontId="4" numFmtId="167" pivotButton="0" quotePrefix="1" xfId="0">
      <alignment horizontal="center" vertical="center"/>
    </xf>
    <xf applyAlignment="1" borderId="5" fillId="14" fontId="7" numFmtId="167" pivotButton="0" quotePrefix="0" xfId="0">
      <alignment horizontal="center" vertical="center"/>
    </xf>
    <xf applyAlignment="1" borderId="12" fillId="14" fontId="4" numFmtId="167" pivotButton="0" quotePrefix="1" xfId="0">
      <alignment horizontal="center" vertical="center"/>
    </xf>
    <xf applyAlignment="1" borderId="12" fillId="14" fontId="4" numFmtId="167" pivotButton="0" quotePrefix="0" xfId="0">
      <alignment horizontal="center" vertical="center"/>
    </xf>
    <xf applyAlignment="1" borderId="12" fillId="14" fontId="7" numFmtId="167" pivotButton="0" quotePrefix="0" xfId="0">
      <alignment horizontal="center" vertical="center"/>
    </xf>
    <xf applyAlignment="1" borderId="6" fillId="0" fontId="7" numFmtId="167" pivotButton="0" quotePrefix="0" xfId="0">
      <alignment horizontal="center" vertical="center"/>
    </xf>
    <xf applyAlignment="1" borderId="6" fillId="5" fontId="7" numFmtId="167" pivotButton="0" quotePrefix="0" xfId="0">
      <alignment horizontal="center" vertical="center"/>
    </xf>
    <xf applyAlignment="1" borderId="5" fillId="5" fontId="7" numFmtId="167" pivotButton="0" quotePrefix="0" xfId="0">
      <alignment horizontal="center" vertical="center"/>
    </xf>
    <xf applyAlignment="1" borderId="0" fillId="0" fontId="0" numFmtId="164" pivotButton="0" quotePrefix="0" xfId="10">
      <alignment vertical="center"/>
    </xf>
    <xf applyAlignment="1" borderId="0" fillId="0" fontId="0" numFmtId="164" pivotButton="0" quotePrefix="0" xfId="0">
      <alignment vertical="center"/>
    </xf>
    <xf applyAlignment="1" borderId="5" fillId="2" fontId="2" numFmtId="164" pivotButton="0" quotePrefix="0" xfId="10">
      <alignment horizontal="center" vertical="center"/>
    </xf>
    <xf applyAlignment="1" borderId="8" fillId="2" fontId="2" numFmtId="164" pivotButton="0" quotePrefix="0" xfId="144">
      <alignment horizontal="center" vertical="center" wrapText="1"/>
    </xf>
    <xf applyAlignment="1" borderId="5" fillId="2" fontId="2" numFmtId="164" pivotButton="0" quotePrefix="0" xfId="10">
      <alignment horizontal="center" vertical="center" wrapText="1"/>
    </xf>
    <xf applyAlignment="1" borderId="10" fillId="2" fontId="2" numFmtId="164" pivotButton="0" quotePrefix="0" xfId="10">
      <alignment horizontal="center" vertical="center"/>
    </xf>
    <xf applyAlignment="1" borderId="7" fillId="2" fontId="2" numFmtId="164" pivotButton="0" quotePrefix="0" xfId="10">
      <alignment horizontal="center" vertical="center" wrapText="1"/>
    </xf>
    <xf applyAlignment="1" borderId="5" fillId="2" fontId="2" numFmtId="164" pivotButton="0" quotePrefix="0" xfId="144">
      <alignment horizontal="center" vertical="center" wrapText="1"/>
    </xf>
    <xf applyAlignment="1" borderId="10" fillId="2" fontId="2" numFmtId="164" pivotButton="0" quotePrefix="0" xfId="144">
      <alignment horizontal="center" vertical="center" wrapText="1"/>
    </xf>
    <xf applyAlignment="1" borderId="5" fillId="11" fontId="3" numFmtId="164" pivotButton="0" quotePrefix="0" xfId="10">
      <alignment horizontal="center" vertical="center" wrapText="1"/>
    </xf>
    <xf applyAlignment="1" borderId="0" fillId="0" fontId="1" numFmtId="164" pivotButton="0" quotePrefix="0" xfId="0">
      <alignment vertical="center"/>
    </xf>
    <xf applyAlignment="1" borderId="5" fillId="11" fontId="3" numFmtId="164" pivotButton="0" quotePrefix="0" xfId="144">
      <alignment horizontal="center" vertical="center" wrapText="1"/>
    </xf>
    <xf applyAlignment="1" borderId="5" fillId="4" fontId="3" numFmtId="164" pivotButton="0" quotePrefix="0" xfId="144">
      <alignment horizontal="center" vertical="center" wrapText="1"/>
    </xf>
    <xf applyAlignment="1" borderId="5" fillId="4" fontId="3" numFmtId="164" pivotButton="0" quotePrefix="0" xfId="10">
      <alignment horizontal="center" vertical="center" wrapText="1"/>
    </xf>
    <xf applyAlignment="1" borderId="5" fillId="12" fontId="7" numFmtId="164" pivotButton="0" quotePrefix="0" xfId="10">
      <alignment horizontal="center" vertical="center"/>
    </xf>
    <xf applyAlignment="1" borderId="6" fillId="12" fontId="7" numFmtId="164" pivotButton="0" quotePrefix="0" xfId="10">
      <alignment horizontal="center" vertical="center"/>
    </xf>
    <xf applyAlignment="1" borderId="0" fillId="0" fontId="0" numFmtId="164" pivotButton="0" quotePrefix="0" xfId="13">
      <alignment vertical="center"/>
    </xf>
    <xf applyAlignment="1" borderId="0" fillId="0" fontId="5" numFmtId="164" pivotButton="0" quotePrefix="0" xfId="0">
      <alignment horizontal="center" vertical="center"/>
    </xf>
    <xf applyAlignment="1" borderId="5" fillId="7" fontId="6" numFmtId="164" pivotButton="0" quotePrefix="0" xfId="0">
      <alignment horizontal="center" vertical="center"/>
    </xf>
    <xf applyAlignment="1" borderId="5" fillId="8" fontId="5" numFmtId="164" pivotButton="0" quotePrefix="0" xfId="10">
      <alignment horizontal="center" vertical="center"/>
    </xf>
    <xf applyAlignment="1" borderId="6" fillId="5" fontId="7" numFmtId="167" pivotButton="0" quotePrefix="0" xfId="102">
      <alignment horizontal="center" vertical="center"/>
    </xf>
    <xf applyAlignment="1" borderId="5" fillId="0" fontId="5" numFmtId="164" pivotButton="0" quotePrefix="0" xfId="0">
      <alignment horizontal="center" vertical="center"/>
    </xf>
    <xf applyAlignment="1" borderId="5" fillId="0" fontId="5" numFmtId="165" pivotButton="0" quotePrefix="0" xfId="10">
      <alignment horizontal="center" vertical="center"/>
    </xf>
    <xf applyAlignment="1" borderId="5" fillId="0" fontId="7" numFmtId="164" pivotButton="0" quotePrefix="0" xfId="0">
      <alignment horizontal="center" vertical="center"/>
    </xf>
    <xf applyAlignment="1" borderId="5" fillId="0" fontId="8" numFmtId="164" pivotButton="0" quotePrefix="0" xfId="10">
      <alignment horizontal="center" vertical="center"/>
    </xf>
    <xf applyAlignment="1" borderId="5" fillId="0" fontId="8" numFmtId="164" pivotButton="0" quotePrefix="0" xfId="0">
      <alignment horizontal="center" vertical="center"/>
    </xf>
    <xf applyAlignment="1" borderId="5" fillId="0" fontId="9" numFmtId="168" pivotButton="0" quotePrefix="0" xfId="0">
      <alignment horizontal="center" vertical="center"/>
    </xf>
    <xf applyAlignment="1" borderId="7" fillId="0" fontId="4" numFmtId="164" pivotButton="0" quotePrefix="0" xfId="0">
      <alignment horizontal="center" vertical="center"/>
    </xf>
    <xf applyAlignment="1" borderId="5" fillId="0" fontId="4" numFmtId="164" pivotButton="0" quotePrefix="0" xfId="0">
      <alignment horizontal="center" vertical="center"/>
    </xf>
    <xf applyAlignment="1" borderId="3" fillId="2" fontId="2" numFmtId="164" pivotButton="0" quotePrefix="0" xfId="0">
      <alignment horizontal="center" vertical="center"/>
    </xf>
    <xf applyAlignment="1" borderId="4" fillId="3" fontId="3" numFmtId="165" pivotButton="0" quotePrefix="0" xfId="0">
      <alignment horizontal="center" vertical="center"/>
    </xf>
    <xf applyAlignment="1" borderId="5" fillId="3" fontId="3" numFmtId="164" pivotButton="0" quotePrefix="0" xfId="0">
      <alignment horizontal="center" vertical="center"/>
    </xf>
    <xf applyAlignment="1" borderId="5" fillId="5" fontId="5" numFmtId="164" pivotButton="0" quotePrefix="0" xfId="10">
      <alignment horizontal="center" vertical="center"/>
    </xf>
    <xf applyAlignment="1" borderId="0" fillId="0" fontId="0" numFmtId="166" pivotButton="0" quotePrefix="0" xfId="0">
      <alignment vertical="center"/>
    </xf>
  </cellXfs>
  <cellStyles count="160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name="注释 28" xfId="5"/>
    <cellStyle name="注释 33" xfId="6"/>
    <cellStyle builtinId="6" name="千位分隔[0]" xfId="7"/>
    <cellStyle builtinId="39" name="40% - 强调文字颜色 3" xfId="8"/>
    <cellStyle builtinId="27" name="差" xfId="9"/>
    <cellStyle builtinId="3" name="千位分隔" xfId="10"/>
    <cellStyle builtinId="40" name="60% - 强调文字颜色 3" xfId="11"/>
    <cellStyle builtinId="8" name="超链接" xfId="12"/>
    <cellStyle builtinId="5" name="百分比" xfId="13"/>
    <cellStyle builtinId="9" name="已访问的超链接" xfId="14"/>
    <cellStyle builtinId="10" name="注释" xfId="15"/>
    <cellStyle name="注释 13" xfId="16"/>
    <cellStyle builtinId="11" name="警告文本" xfId="17"/>
    <cellStyle name="注释 5" xfId="18"/>
    <cellStyle builtinId="36" name="60% - 强调文字颜色 2" xfId="19"/>
    <cellStyle builtinId="19" name="标题 4" xfId="20"/>
    <cellStyle builtinId="15" name="标题" xfId="21"/>
    <cellStyle builtinId="53" name="解释性文本" xfId="22"/>
    <cellStyle name="注释 2" xfId="23"/>
    <cellStyle name="注释 20" xfId="24"/>
    <cellStyle name="注释 15" xfId="25"/>
    <cellStyle builtinId="16" name="标题 1" xfId="26"/>
    <cellStyle name="注释 3" xfId="27"/>
    <cellStyle name="注释 21" xfId="28"/>
    <cellStyle name="注释 16" xfId="29"/>
    <cellStyle builtinId="17" name="标题 2" xfId="30"/>
    <cellStyle builtinId="32" name="60% - 强调文字颜色 1" xfId="31"/>
    <cellStyle builtinId="18" name="标题 3" xfId="32"/>
    <cellStyle builtinId="21" name="输出" xfId="33"/>
    <cellStyle name="注释 2 41" xfId="34"/>
    <cellStyle name="注释 2 36" xfId="35"/>
    <cellStyle name="注释 25" xfId="36"/>
    <cellStyle name="注释 30" xfId="37"/>
    <cellStyle builtinId="44" name="60% - 强调文字颜色 4" xfId="38"/>
    <cellStyle builtinId="22" name="计算" xfId="39"/>
    <cellStyle builtinId="23" name="检查单元格" xfId="40"/>
    <cellStyle name="20% - 着色 1 2" xfId="41"/>
    <cellStyle name="注释 2 3" xfId="42"/>
    <cellStyle builtinId="24" name="链接单元格" xfId="43"/>
    <cellStyle name="40% - 着色 5 2" xfId="44"/>
    <cellStyle builtinId="50" name="20% - 强调文字颜色 6" xfId="45"/>
    <cellStyle builtinId="33" name="强调文字颜色 2" xfId="46"/>
    <cellStyle builtinId="25" name="汇总" xfId="47"/>
    <cellStyle builtinId="26" name="好" xfId="48"/>
    <cellStyle builtinId="28" name="适中" xfId="49"/>
    <cellStyle builtinId="46" name="20% - 强调文字颜色 5" xfId="50"/>
    <cellStyle builtinId="29" name="强调文字颜色 1" xfId="51"/>
    <cellStyle builtinId="30" name="20% - 强调文字颜色 1" xfId="52"/>
    <cellStyle builtinId="31" name="40% - 强调文字颜色 1" xfId="53"/>
    <cellStyle builtinId="34" name="20% - 强调文字颜色 2" xfId="54"/>
    <cellStyle builtinId="35" name="40% - 强调文字颜色 2" xfId="55"/>
    <cellStyle name="千位分隔[0] 2" xfId="56"/>
    <cellStyle builtinId="37" name="强调文字颜色 3" xfId="57"/>
    <cellStyle builtinId="41" name="强调文字颜色 4" xfId="58"/>
    <cellStyle builtinId="42" name="20% - 强调文字颜色 4" xfId="59"/>
    <cellStyle builtinId="43" name="40% - 强调文字颜色 4" xfId="60"/>
    <cellStyle builtinId="45" name="强调文字颜色 5" xfId="61"/>
    <cellStyle builtinId="47" name="40% - 强调文字颜色 5" xfId="62"/>
    <cellStyle builtinId="48" name="60% - 强调文字颜色 5" xfId="63"/>
    <cellStyle builtinId="49" name="强调文字颜色 6" xfId="64"/>
    <cellStyle builtinId="51" name="40% - 强调文字颜色 6" xfId="65"/>
    <cellStyle builtinId="52" name="60% - 强调文字颜色 6" xfId="66"/>
    <cellStyle name="注释 40" xfId="67"/>
    <cellStyle name="注释 35" xfId="68"/>
    <cellStyle name="注释 31" xfId="69"/>
    <cellStyle name="注释 26" xfId="70"/>
    <cellStyle name="注释 42" xfId="71"/>
    <cellStyle name="注释 37" xfId="72"/>
    <cellStyle name="注释 14" xfId="73"/>
    <cellStyle name="注释 39" xfId="74"/>
    <cellStyle name="注释 44" xfId="75"/>
    <cellStyle name="注释 17" xfId="76"/>
    <cellStyle name="注释 22" xfId="77"/>
    <cellStyle name="注释 34" xfId="78"/>
    <cellStyle name="注释 29" xfId="79"/>
    <cellStyle name="注释 12" xfId="80"/>
    <cellStyle name="注释 4" xfId="81"/>
    <cellStyle name="注释 18" xfId="82"/>
    <cellStyle name="注释 23" xfId="83"/>
    <cellStyle name="注释 10" xfId="84"/>
    <cellStyle name="常规 3" xfId="85"/>
    <cellStyle name="注释 32" xfId="86"/>
    <cellStyle name="注释 27" xfId="87"/>
    <cellStyle name="注释 9" xfId="88"/>
    <cellStyle name="注释 24" xfId="89"/>
    <cellStyle name="注释 19" xfId="90"/>
    <cellStyle name="注释 38" xfId="91"/>
    <cellStyle name="注释 43" xfId="92"/>
    <cellStyle name="注释 6" xfId="93"/>
    <cellStyle name="注释 7" xfId="94"/>
    <cellStyle name="注释 2 2" xfId="95"/>
    <cellStyle name="注释 8" xfId="96"/>
    <cellStyle name="注释 41" xfId="97"/>
    <cellStyle name="注释 36" xfId="98"/>
    <cellStyle name="注释 2 4" xfId="99"/>
    <cellStyle name="注释 2 5" xfId="100"/>
    <cellStyle name="注释 11" xfId="101"/>
    <cellStyle name="常规 4" xfId="102"/>
    <cellStyle name="注释 2 6" xfId="103"/>
    <cellStyle name="注释 2 7" xfId="104"/>
    <cellStyle name="注释 2 8" xfId="105"/>
    <cellStyle name="注释 2 9" xfId="106"/>
    <cellStyle name="注释 2 10" xfId="107"/>
    <cellStyle name="注释 2 11" xfId="108"/>
    <cellStyle name="注释 2 12" xfId="109"/>
    <cellStyle name="注释 2 13" xfId="110"/>
    <cellStyle name="注释 2 14" xfId="111"/>
    <cellStyle name="20% - 着色 5 2" xfId="112"/>
    <cellStyle name="注释 2 15" xfId="113"/>
    <cellStyle name="注释 2 20" xfId="114"/>
    <cellStyle name="注释 2 16" xfId="115"/>
    <cellStyle name="注释 2 21" xfId="116"/>
    <cellStyle name="注释 2 17" xfId="117"/>
    <cellStyle name="注释 2 22" xfId="118"/>
    <cellStyle name="注释 2 18" xfId="119"/>
    <cellStyle name="注释 2 23" xfId="120"/>
    <cellStyle name="注释 2 19" xfId="121"/>
    <cellStyle name="注释 2 24" xfId="122"/>
    <cellStyle name="注释 2 25" xfId="123"/>
    <cellStyle name="注释 2 30" xfId="124"/>
    <cellStyle name="注释 2 26" xfId="125"/>
    <cellStyle name="注释 2 31" xfId="126"/>
    <cellStyle name="注释 2 27" xfId="127"/>
    <cellStyle name="注释 2 32" xfId="128"/>
    <cellStyle name="注释 2 28" xfId="129"/>
    <cellStyle name="注释 2 33" xfId="130"/>
    <cellStyle name="注释 2 29" xfId="131"/>
    <cellStyle name="注释 2 34" xfId="132"/>
    <cellStyle name="注释 45" xfId="133"/>
    <cellStyle name="注释 2 35" xfId="134"/>
    <cellStyle name="注释 2 40" xfId="135"/>
    <cellStyle name="注释 2 37" xfId="136"/>
    <cellStyle name="注释 2 42" xfId="137"/>
    <cellStyle name="注释 2 38" xfId="138"/>
    <cellStyle name="注释 2 43" xfId="139"/>
    <cellStyle name="注释 2 39" xfId="140"/>
    <cellStyle name="注释 2 44" xfId="141"/>
    <cellStyle name="注释 46" xfId="142"/>
    <cellStyle name="注释 2 45" xfId="143"/>
    <cellStyle name="常规_消费统计" xfId="144"/>
    <cellStyle name="常规 2" xfId="145"/>
    <cellStyle name="注释 47" xfId="146"/>
    <cellStyle name="40% - 着色 1 2" xfId="147"/>
    <cellStyle name="20% - 着色 2 2" xfId="148"/>
    <cellStyle name="40% - 着色 2 2" xfId="149"/>
    <cellStyle name="20% - 着色 3 2" xfId="150"/>
    <cellStyle name="40% - 着色 3 2" xfId="151"/>
    <cellStyle name="20% - 着色 4 2" xfId="152"/>
    <cellStyle name="40% - 着色 4 2" xfId="153"/>
    <cellStyle name="20% - 着色 6 2" xfId="154"/>
    <cellStyle name="40% - 着色 6 2" xfId="155"/>
    <cellStyle name="标题 5" xfId="156"/>
    <cellStyle name="千位分隔 2" xfId="157"/>
    <cellStyle name="标题 5 2" xfId="158"/>
    <cellStyle name="百分比 2" xfId="159"/>
  </cellStyles>
  <dxfs count="11"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4"/>
          <bgColor theme="4"/>
        </patternFill>
      </fill>
    </dxf>
    <dxf>
      <font>
        <color rgb="FFFF0000"/>
      </font>
    </dxf>
  </dxf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S27"/>
  <sheetViews>
    <sheetView showGridLines="0" tabSelected="1" workbookViewId="0">
      <pane activePane="bottomLeft" state="frozen" topLeftCell="A4" ySplit="3"/>
      <selection activeCell="A1" sqref="A1"/>
      <selection activeCell="A1" pane="bottomLeft" sqref="A1"/>
    </sheetView>
  </sheetViews>
  <sheetFormatPr baseColWidth="8" defaultColWidth="9" defaultRowHeight="13.5"/>
  <cols>
    <col customWidth="1" max="1" min="1" style="40" width="9.625"/>
    <col customWidth="1" max="2" min="2" style="40" width="14.2583333333333"/>
    <col customWidth="1" max="3" min="3" style="40" width="13.125"/>
    <col customWidth="1" max="4" min="4" style="40" width="11.2583333333333"/>
    <col customWidth="1" max="5" min="5" style="40" width="10"/>
    <col customWidth="1" max="6" min="6" style="40" width="11.375"/>
    <col customWidth="1" max="7" min="7" style="40" width="12.875"/>
    <col customWidth="1" max="9" min="8" style="40" width="10.125"/>
    <col customWidth="1" max="10" min="10" style="40" width="1.5"/>
    <col customWidth="1" max="11" min="11" style="40" width="9.375"/>
    <col customWidth="1" max="12" min="12" style="40" width="19.7583333333333"/>
    <col customWidth="1" max="13" min="13" style="40" width="12.875"/>
    <col customWidth="1" max="14" min="14" style="40" width="10.125"/>
    <col customWidth="1" max="15" min="15" style="40" width="10"/>
    <col customWidth="1" max="16" min="16" style="40" width="9.625"/>
    <col customWidth="1" max="17" min="17" style="40" width="13.375"/>
    <col customWidth="1" max="19" min="18" style="40" width="9.625"/>
  </cols>
  <sheetData>
    <row customHeight="1" ht="16.5" r="1" s="40">
      <c r="A1" s="92" t="inlineStr">
        <is>
          <t>本季度天数</t>
        </is>
      </c>
      <c r="B1" s="93" t="n">
        <v>92</v>
      </c>
      <c r="C1" s="93" t="inlineStr">
        <is>
          <t>时间进度差</t>
        </is>
      </c>
      <c r="D1" s="93" t="inlineStr">
        <is>
          <t>预警颜色</t>
        </is>
      </c>
      <c r="E1" s="93" t="inlineStr">
        <is>
          <t>时间进度差</t>
        </is>
      </c>
      <c r="F1" s="93" t="inlineStr">
        <is>
          <t>预警颜色</t>
        </is>
      </c>
    </row>
    <row customHeight="1" ht="16.5" r="2" s="40">
      <c r="A2" s="92" t="inlineStr">
        <is>
          <t>已过天数</t>
        </is>
      </c>
      <c r="B2" s="93">
        <f>COUNTIFS(消费汇总!B7:B96,"&gt;0")</f>
        <v/>
      </c>
      <c r="C2" s="93" t="inlineStr">
        <is>
          <t>0%-10%</t>
        </is>
      </c>
      <c r="D2" s="94" t="n"/>
      <c r="E2" s="93" t="inlineStr">
        <is>
          <t>20%-30%</t>
        </is>
      </c>
      <c r="F2" s="95" t="n"/>
    </row>
    <row customFormat="1" customHeight="1" ht="17.25" r="3" s="91">
      <c r="A3" s="96" t="inlineStr">
        <is>
          <t>剩余天数</t>
        </is>
      </c>
      <c r="B3" s="97">
        <f>B1-B2</f>
        <v/>
      </c>
      <c r="C3" s="97" t="inlineStr">
        <is>
          <t>10%-20%</t>
        </is>
      </c>
      <c r="D3" s="98" t="n"/>
      <c r="E3" s="97" t="inlineStr">
        <is>
          <t>&gt;30%</t>
        </is>
      </c>
      <c r="F3" s="99" t="n"/>
    </row>
    <row customHeight="1" ht="16.5" r="4" s="40">
      <c r="A4" s="100" t="inlineStr">
        <is>
          <t>地区</t>
        </is>
      </c>
      <c r="B4" s="100" t="inlineStr">
        <is>
          <t>考核指标</t>
        </is>
      </c>
      <c r="C4" s="100" t="inlineStr">
        <is>
          <t>季度任务值</t>
        </is>
      </c>
      <c r="D4" s="100" t="inlineStr">
        <is>
          <t>QTD完成</t>
        </is>
      </c>
      <c r="E4" s="100" t="inlineStr">
        <is>
          <t>QTD完成率</t>
        </is>
      </c>
      <c r="F4" s="100" t="inlineStr">
        <is>
          <t>近七天日均</t>
        </is>
      </c>
      <c r="G4" s="100" t="inlineStr">
        <is>
          <t>日均差额</t>
        </is>
      </c>
      <c r="H4" s="100" t="inlineStr">
        <is>
          <t>预估完成率</t>
        </is>
      </c>
      <c r="I4" s="100" t="inlineStr">
        <is>
          <t>时间进度差</t>
        </is>
      </c>
      <c r="J4" s="91" t="n"/>
    </row>
    <row customHeight="1" ht="16.5" r="5" s="40">
      <c r="A5" s="101" t="inlineStr">
        <is>
          <t>易尔通</t>
        </is>
      </c>
      <c r="B5" s="102" t="inlineStr">
        <is>
          <t>总包消费</t>
        </is>
      </c>
      <c r="C5" s="122" t="n"/>
      <c r="D5" s="122">
        <f>消费汇总!B3</f>
        <v/>
      </c>
      <c r="E5" s="31">
        <f>IF(C5="","-",D5/C5)</f>
        <v/>
      </c>
      <c r="F5" s="122">
        <f>SUM(OFFSET(消费汇总!B7,COUNT(消费汇总!B7:B96,"&gt;=0")-1,,-7,))/7</f>
        <v/>
      </c>
      <c r="G5" s="122">
        <f>IF(C5="","",(C5-D5)/$B$3-F5)</f>
        <v/>
      </c>
      <c r="H5" s="31">
        <f>IF(C5="","-",(F5*$B$3+D5)/C5)</f>
        <v/>
      </c>
      <c r="I5" s="111">
        <f>IF(C5="","",E5-$B$2/$B$1)</f>
        <v/>
      </c>
    </row>
    <row customHeight="1" ht="16.5" r="6" s="40">
      <c r="A6" s="104" t="n"/>
      <c r="B6" s="102" t="inlineStr">
        <is>
          <t>大搜消费</t>
        </is>
      </c>
      <c r="C6" s="122" t="n"/>
      <c r="D6" s="122">
        <f>消费汇总!C3</f>
        <v/>
      </c>
      <c r="E6" s="31">
        <f>IF(C6="","-",D6/C6)</f>
        <v/>
      </c>
      <c r="F6" s="122">
        <f>SUM(OFFSET(消费汇总!C7,COUNT(消费汇总!C7:C96,"&gt;=0")-1,,-7,))/7</f>
        <v/>
      </c>
      <c r="G6" s="122">
        <f>IF(C6="","",(C6-D6)/$B$3-F6)</f>
        <v/>
      </c>
      <c r="H6" s="31">
        <f>IF(C6="","-",(F6*$B$3+D6)/C6)</f>
        <v/>
      </c>
      <c r="I6" s="111">
        <f>IF(C6="","",E6-$B$2/$B$1)</f>
        <v/>
      </c>
    </row>
    <row customHeight="1" ht="16.5" r="7" s="40">
      <c r="A7" s="104" t="n"/>
      <c r="B7" s="102" t="inlineStr">
        <is>
          <t>信息流消费</t>
        </is>
      </c>
      <c r="C7" s="122" t="n"/>
      <c r="D7" s="122">
        <f>消费汇总!D3</f>
        <v/>
      </c>
      <c r="E7" s="31">
        <f>IF(C7="","-",D7/C7)</f>
        <v/>
      </c>
      <c r="F7" s="122">
        <f>SUM(OFFSET(消费汇总!D7,COUNT(消费汇总!D7:D96,"&gt;=0")-1,,-7,))/7</f>
        <v/>
      </c>
      <c r="G7" s="122">
        <f>IF(C7="","",(C7-D7)/$B$3-F7)</f>
        <v/>
      </c>
      <c r="H7" s="31">
        <f>IF(C7="","-",(F7*$B$3+D7)/C7)</f>
        <v/>
      </c>
      <c r="I7" s="111">
        <f>IF(C7="","",E7-$B$2/$B$1)</f>
        <v/>
      </c>
    </row>
    <row customHeight="1" ht="16.5" r="8" s="40">
      <c r="A8" s="104" t="n"/>
      <c r="B8" s="102" t="inlineStr">
        <is>
          <t>潜力行业消费</t>
        </is>
      </c>
      <c r="C8" s="122" t="n"/>
      <c r="D8" s="122">
        <f>潜力行业!B3</f>
        <v/>
      </c>
      <c r="E8" s="31">
        <f>IF(C8="","-",D8/C8)</f>
        <v/>
      </c>
      <c r="F8" s="122">
        <f>SUM(OFFSET(潜力行业!B7,COUNT(潜力行业!B7:B96,"&gt;=0")-1,,-7,))/7</f>
        <v/>
      </c>
      <c r="G8" s="122">
        <f>IF(C8="","",(C8-D8)/$B$3-F8)</f>
        <v/>
      </c>
      <c r="H8" s="31">
        <f>IF(C8="","-",(F8*$B$3+D8)/C8)</f>
        <v/>
      </c>
      <c r="I8" s="111">
        <f>IF(C8="","",E8-$B$2/$B$1)</f>
        <v/>
      </c>
    </row>
    <row customHeight="1" ht="18" r="9" s="40">
      <c r="A9" s="104" t="n"/>
      <c r="B9" s="102" t="inlineStr">
        <is>
          <t>二级地市消费-整体</t>
        </is>
      </c>
      <c r="C9" s="122" t="n"/>
      <c r="D9" s="122">
        <f>SUM(D10:D12)</f>
        <v/>
      </c>
      <c r="E9" s="31">
        <f>IF(C9="","-",D9/C9)</f>
        <v/>
      </c>
      <c r="F9" s="122">
        <f>SUM(F10:F12)</f>
        <v/>
      </c>
      <c r="G9" s="122">
        <f>IF(C9="","",(C9-D9)/$B$3-F9)</f>
        <v/>
      </c>
      <c r="H9" s="31">
        <f>IF(C9="","-",(F9*$B$3+D9)/C9)</f>
        <v/>
      </c>
      <c r="I9" s="111">
        <f>IF(C9="","",E9-$B$2/$B$1)</f>
        <v/>
      </c>
      <c r="L9" s="112" t="n"/>
    </row>
    <row customHeight="1" ht="16.5" r="10" s="40">
      <c r="A10" s="104" t="n"/>
      <c r="B10" s="102" t="inlineStr">
        <is>
          <t>泉州市</t>
        </is>
      </c>
      <c r="C10" s="122" t="n"/>
      <c r="D10" s="122">
        <f>二级地市消费汇总!L4</f>
        <v/>
      </c>
      <c r="E10" s="31">
        <f>IF(C10="","-",D10/C10)</f>
        <v/>
      </c>
      <c r="F10" s="122">
        <f>SUM(OFFSET(二级地市消费汇总!L8,COUNT(二级地市消费汇总!L8:L97,"&gt;=0")-1,,-7,))/7</f>
        <v/>
      </c>
      <c r="G10" s="122">
        <f>IF(C10="","",(C10-D10)/$B$3-F10)</f>
        <v/>
      </c>
      <c r="H10" s="31">
        <f>IF(C10="","-",(F10*$B$3+D10)/C10)</f>
        <v/>
      </c>
      <c r="I10" s="111">
        <f>IF(C10="","",E10-$B$2/$B$1)</f>
        <v/>
      </c>
    </row>
    <row customHeight="1" ht="16.5" r="11" s="40">
      <c r="A11" s="104" t="n"/>
      <c r="B11" s="102" t="inlineStr">
        <is>
          <t>漳州市</t>
        </is>
      </c>
      <c r="C11" s="122" t="n"/>
      <c r="D11" s="122">
        <f>二级地市消费汇总!V4</f>
        <v/>
      </c>
      <c r="E11" s="31">
        <f>IF(C11="","-",D11/C11)</f>
        <v/>
      </c>
      <c r="F11" s="122">
        <f>SUM(OFFSET(二级地市消费汇总!V8,COUNT(二级地市消费汇总!V8:V97,"&gt;=0")-1,,-7,))/7</f>
        <v/>
      </c>
      <c r="G11" s="122">
        <f>IF(C11="","",(C11-D11)/$B$3-F11)</f>
        <v/>
      </c>
      <c r="H11" s="31">
        <f>IF(C11="","-",(F11*$B$3+D11)/C11)</f>
        <v/>
      </c>
      <c r="I11" s="111">
        <f>IF(C11="","",E11-$B$2/$B$1)</f>
        <v/>
      </c>
      <c r="L11" s="123" t="n"/>
    </row>
    <row customHeight="1" ht="16.5" r="12" s="40">
      <c r="A12" s="49" t="n"/>
      <c r="B12" s="102" t="inlineStr">
        <is>
          <t>龙岩市</t>
        </is>
      </c>
      <c r="C12" s="122" t="n"/>
      <c r="D12" s="122">
        <f>二级地市消费汇总!AF4</f>
        <v/>
      </c>
      <c r="E12" s="31">
        <f>IF(C12="","-",D12/C12)</f>
        <v/>
      </c>
      <c r="F12" s="122">
        <f>SUM(OFFSET(二级地市消费汇总!AF8,COUNT(二级地市消费汇总!AF8:AF97,"&gt;=0")-1,,-7,))/7</f>
        <v/>
      </c>
      <c r="G12" s="122">
        <f>IF(C12="","",(C12-D12)/$B$3-F12)</f>
        <v/>
      </c>
      <c r="H12" s="31">
        <f>IF(C12="","-",(F12*$B$3+D12)/C12)</f>
        <v/>
      </c>
      <c r="I12" s="111">
        <f>IF(C12="","",E12-$B$2/$B$1)</f>
        <v/>
      </c>
    </row>
    <row customHeight="1" ht="18" r="13" s="40">
      <c r="B13" s="105" t="n"/>
      <c r="C13" s="124" t="n"/>
      <c r="D13" s="124" t="n"/>
      <c r="E13" s="107" t="n"/>
      <c r="F13" s="124" t="n"/>
      <c r="G13" s="124" t="n"/>
      <c r="H13" s="107" t="n"/>
      <c r="I13" s="114" t="n"/>
      <c r="J13" s="125" t="n"/>
      <c r="L13" s="123" t="n"/>
    </row>
    <row customHeight="1" ht="18" r="14" s="40">
      <c r="L14" s="126" t="n"/>
    </row>
    <row customHeight="1" ht="16.5" r="15" s="40">
      <c r="A15" s="92" t="inlineStr">
        <is>
          <t>地区</t>
        </is>
      </c>
      <c r="B15" s="92" t="inlineStr">
        <is>
          <t>考核指标</t>
        </is>
      </c>
      <c r="C15" s="92" t="inlineStr">
        <is>
          <t>季度任务值</t>
        </is>
      </c>
      <c r="D15" s="92" t="inlineStr">
        <is>
          <t>QTD完成</t>
        </is>
      </c>
      <c r="E15" s="92" t="inlineStr">
        <is>
          <t>QTD完成率</t>
        </is>
      </c>
      <c r="F15" s="92" t="inlineStr">
        <is>
          <t>近七天日均</t>
        </is>
      </c>
      <c r="G15" s="92" t="inlineStr">
        <is>
          <t>日均差额</t>
        </is>
      </c>
      <c r="H15" s="92" t="inlineStr">
        <is>
          <t>预估完成率</t>
        </is>
      </c>
      <c r="I15" s="92" t="inlineStr">
        <is>
          <t>时间进度差</t>
        </is>
      </c>
      <c r="K15" s="92" t="inlineStr">
        <is>
          <t>地区</t>
        </is>
      </c>
      <c r="L15" s="92" t="inlineStr">
        <is>
          <t>考核指标</t>
        </is>
      </c>
      <c r="M15" s="92" t="inlineStr">
        <is>
          <t>季度任务值</t>
        </is>
      </c>
      <c r="N15" s="92" t="inlineStr">
        <is>
          <t>QTD完成</t>
        </is>
      </c>
      <c r="O15" s="92" t="inlineStr">
        <is>
          <t>QTD完成率</t>
        </is>
      </c>
      <c r="P15" s="92" t="inlineStr">
        <is>
          <t>近七天日均</t>
        </is>
      </c>
      <c r="Q15" s="92" t="inlineStr">
        <is>
          <t>日均差额</t>
        </is>
      </c>
      <c r="R15" s="92" t="inlineStr">
        <is>
          <t>预估完成率</t>
        </is>
      </c>
      <c r="S15" s="92" t="inlineStr">
        <is>
          <t>时间进度差</t>
        </is>
      </c>
    </row>
    <row customHeight="1" ht="16.5" r="16" s="40">
      <c r="A16" s="101" t="inlineStr">
        <is>
          <t>厦门(企业)</t>
        </is>
      </c>
      <c r="B16" s="102" t="inlineStr">
        <is>
          <t>总包消费</t>
        </is>
      </c>
      <c r="C16" s="122" t="n"/>
      <c r="D16" s="122">
        <f>二级地市消费汇总!C4</f>
        <v/>
      </c>
      <c r="E16" s="31">
        <f>IF(C16="","-",D16/C16)</f>
        <v/>
      </c>
      <c r="F16" s="127">
        <f>SUM(OFFSET(二级地市消费汇总!C8,COUNTIF(二级地市消费汇总!C8:C97,"&gt;0")-1,0,-7,1))/7</f>
        <v/>
      </c>
      <c r="G16" s="128">
        <f>IF(C16="","",(C16-D16)/$B$3-F16)</f>
        <v/>
      </c>
      <c r="H16" s="31">
        <f>IF(C16="","-",(F16*$B$3+D16)/C16)</f>
        <v/>
      </c>
      <c r="I16" s="111">
        <f>IF(C16="","",E16-$B$2/$B$1)</f>
        <v/>
      </c>
      <c r="K16" s="101" t="inlineStr">
        <is>
          <t>泉州(企业)</t>
        </is>
      </c>
      <c r="L16" s="102" t="inlineStr">
        <is>
          <t>总包消费</t>
        </is>
      </c>
      <c r="M16" s="122" t="n"/>
      <c r="N16" s="122">
        <f>二级地市消费汇总!M4</f>
        <v/>
      </c>
      <c r="O16" s="31">
        <f>IF(M16="","-",N16/M16)</f>
        <v/>
      </c>
      <c r="P16" s="127">
        <f>SUM(OFFSET(二级地市消费汇总!M8,COUNTIF(二级地市消费汇总!M8:M97,"&gt;0")-1,0,-7,1))/7</f>
        <v/>
      </c>
      <c r="Q16" s="129">
        <f>IF(M16="","",(M16-N16)/$B$3-P16)</f>
        <v/>
      </c>
      <c r="R16" s="31">
        <f>IF(M16="","-",(P16*$B$3+N16)/M16)</f>
        <v/>
      </c>
      <c r="S16" s="111">
        <f>IF(M16="","",O16-$B$2/$B$1)</f>
        <v/>
      </c>
    </row>
    <row customHeight="1" ht="16.5" r="17" s="40">
      <c r="A17" s="104" t="n"/>
      <c r="B17" s="102" t="inlineStr">
        <is>
          <t>大搜消费</t>
        </is>
      </c>
      <c r="C17" s="122" t="n"/>
      <c r="D17" s="122">
        <f>二级地市消费汇总!D4</f>
        <v/>
      </c>
      <c r="E17" s="31">
        <f>IF(C17="","-",D17/C17)</f>
        <v/>
      </c>
      <c r="F17" s="127">
        <f>SUM(OFFSET(二级地市消费汇总!D8,COUNT(二级地市消费汇总!D8:D97,"&gt;=0")-1,,-7,))/7</f>
        <v/>
      </c>
      <c r="G17" s="130">
        <f>IF(C17="","",(C17-D17)/$B$3-F17)</f>
        <v/>
      </c>
      <c r="H17" s="31">
        <f>IF(C17="","-",(F17*$B$3+D17)/C17)</f>
        <v/>
      </c>
      <c r="I17" s="111">
        <f>IF(C17="","",E17-$B$2/$B$1)</f>
        <v/>
      </c>
      <c r="K17" s="104" t="n"/>
      <c r="L17" s="102" t="inlineStr">
        <is>
          <t>大搜消费</t>
        </is>
      </c>
      <c r="M17" s="122" t="n"/>
      <c r="N17" s="117">
        <f>二级地市消费汇总!N4</f>
        <v/>
      </c>
      <c r="O17" s="31">
        <f>IF(M17="","-",N17/M17)</f>
        <v/>
      </c>
      <c r="P17" s="127">
        <f>SUM(OFFSET(二级地市消费汇总!N8,COUNT(二级地市消费汇总!N8:N97,"&gt;=0")-1,,-7,))/7</f>
        <v/>
      </c>
      <c r="Q17" s="131">
        <f>IF(M17="","",(M17-N17)/$B$3-P17)</f>
        <v/>
      </c>
      <c r="R17" s="31">
        <f>IF(M17="","-",(P17*$B$3+N17)/M17)</f>
        <v/>
      </c>
      <c r="S17" s="111">
        <f>IF(M17="","",O17-$B$2/$B$1)</f>
        <v/>
      </c>
    </row>
    <row customHeight="1" ht="16.5" r="18" s="40">
      <c r="A18" s="104" t="n"/>
      <c r="B18" s="102" t="inlineStr">
        <is>
          <t>信息流消费</t>
        </is>
      </c>
      <c r="C18" s="122" t="n"/>
      <c r="D18" s="122">
        <f>二级地市消费汇总!E4</f>
        <v/>
      </c>
      <c r="E18" s="31">
        <f>IF(C18="","-",D18/C18)</f>
        <v/>
      </c>
      <c r="F18" s="127">
        <f>SUM(OFFSET(二级地市消费汇总!E8,COUNTIF(二级地市消费汇总!E8:E97,"&gt;0")-1,0,-7,1))/7</f>
        <v/>
      </c>
      <c r="G18" s="128">
        <f>IF(C18="","",(C18-D18)/$B$3-F18)</f>
        <v/>
      </c>
      <c r="H18" s="31">
        <f>IF(C18="","-",(F18*$B$3+D18)/C18)</f>
        <v/>
      </c>
      <c r="I18" s="111">
        <f>IF(C18="","",E18-$B$2/$B$1)</f>
        <v/>
      </c>
      <c r="K18" s="104" t="n"/>
      <c r="L18" s="102" t="inlineStr">
        <is>
          <t>信息流消费</t>
        </is>
      </c>
      <c r="M18" s="122" t="n"/>
      <c r="N18" s="122">
        <f>二级地市消费汇总!O4</f>
        <v/>
      </c>
      <c r="O18" s="31">
        <f>IF(M18="","-",N18/M18)</f>
        <v/>
      </c>
      <c r="P18" s="127">
        <f>SUM(OFFSET(二级地市消费汇总!O8,COUNTIF(二级地市消费汇总!O8:O97,"&gt;0")-1,0,-7,1))/7</f>
        <v/>
      </c>
      <c r="Q18" s="128">
        <f>IF(M18="","",(M18-N18)/$B$3-P18)</f>
        <v/>
      </c>
      <c r="R18" s="31">
        <f>IF(M18="","-",(P18*$B$3+N18)/M18)</f>
        <v/>
      </c>
      <c r="S18" s="111">
        <f>IF(M18="","",O18-$B$2/$B$1)</f>
        <v/>
      </c>
    </row>
    <row customHeight="1" ht="16.5" r="19" s="40">
      <c r="A19" s="104" t="n"/>
      <c r="B19" s="102" t="inlineStr">
        <is>
          <t>非医疗消费</t>
        </is>
      </c>
      <c r="C19" s="122" t="n"/>
      <c r="D19" s="122">
        <f>二级地市消费汇总!F4</f>
        <v/>
      </c>
      <c r="E19" s="31">
        <f>IF(C19="","-",D19/C19)</f>
        <v/>
      </c>
      <c r="F19" s="127">
        <f>SUM(OFFSET(二级地市消费汇总!F8,COUNTIF(二级地市消费汇总!F8:F97,"&gt;0")-1,0,-7,1))/7</f>
        <v/>
      </c>
      <c r="G19" s="128">
        <f>IF(C19="","",(C19-D19)/$B$3-F19)</f>
        <v/>
      </c>
      <c r="H19" s="31">
        <f>IF(C19="","-",(F19*$B$3+D19)/C19)</f>
        <v/>
      </c>
      <c r="I19" s="111">
        <f>IF(C19="","",E19-$B$2/$B$1)</f>
        <v/>
      </c>
      <c r="K19" s="104" t="n"/>
      <c r="L19" s="102" t="inlineStr">
        <is>
          <t>非医疗消费</t>
        </is>
      </c>
      <c r="M19" s="122" t="n"/>
      <c r="N19" s="122">
        <f>二级地市消费汇总!P4</f>
        <v/>
      </c>
      <c r="O19" s="31">
        <f>IF(M19="","-",N19/M19)</f>
        <v/>
      </c>
      <c r="P19" s="127">
        <f>SUM(OFFSET(二级地市消费汇总!P8,COUNTIF(二级地市消费汇总!P8:P97,"&gt;0")-1,0,-7,1))/7</f>
        <v/>
      </c>
      <c r="Q19" s="128">
        <f>IF(M19="","",(M19-N19)/$B$3-P19)</f>
        <v/>
      </c>
      <c r="R19" s="31">
        <f>IF(M19="","-",(P19*$B$3+N19)/M19)</f>
        <v/>
      </c>
      <c r="S19" s="111">
        <f>IF(M19="","",O19-$B$2/$B$1)</f>
        <v/>
      </c>
    </row>
    <row customHeight="1" ht="16.5" r="20" s="40">
      <c r="A20" s="49" t="n"/>
      <c r="B20" s="102" t="inlineStr">
        <is>
          <t>医疗消费</t>
        </is>
      </c>
      <c r="C20" s="122" t="n"/>
      <c r="D20" s="122">
        <f>二级地市消费汇总!G4</f>
        <v/>
      </c>
      <c r="E20" s="31">
        <f>IF(C20="","-",D20/C20)</f>
        <v/>
      </c>
      <c r="F20" s="127">
        <f>SUM(OFFSET(二级地市消费汇总!G8,COUNTIF(二级地市消费汇总!G8:G97,"&gt;0")-1,0,-7,1))/7</f>
        <v/>
      </c>
      <c r="G20" s="131">
        <f>IF(C20="","",(C20-D20)/$B$3-F20)</f>
        <v/>
      </c>
      <c r="H20" s="31">
        <f>IF(C20="","-",(F20*$B$3+D20)/C20)</f>
        <v/>
      </c>
      <c r="I20" s="111">
        <f>IF(C20="","",E20-$B$2/$B$1)</f>
        <v/>
      </c>
      <c r="K20" s="49" t="n"/>
      <c r="L20" s="102" t="inlineStr">
        <is>
          <t>医疗消费</t>
        </is>
      </c>
      <c r="M20" s="122" t="n"/>
      <c r="N20" s="122">
        <f>二级地市消费汇总!Q4</f>
        <v/>
      </c>
      <c r="O20" s="31">
        <f>IF(M20="","-",N20/M20)</f>
        <v/>
      </c>
      <c r="P20" s="127">
        <f>SUM(OFFSET(二级地市消费汇总!Q8,COUNTIF(二级地市消费汇总!Q8:Q97,"&gt;0")-1,0,-7,1))/7</f>
        <v/>
      </c>
      <c r="Q20" s="131">
        <f>IF(M20="","",(M20-N20)/$B$3-P20)</f>
        <v/>
      </c>
      <c r="R20" s="31">
        <f>IF(M20="","-",(P20*$B$3+N20)/M20)</f>
        <v/>
      </c>
      <c r="S20" s="111">
        <f>IF(M20="","",O20-$B$2/$B$1)</f>
        <v/>
      </c>
    </row>
    <row customHeight="1" ht="16.5" r="22" s="40">
      <c r="A22" s="92" t="inlineStr">
        <is>
          <t>地区</t>
        </is>
      </c>
      <c r="B22" s="92" t="inlineStr">
        <is>
          <t>考核指标</t>
        </is>
      </c>
      <c r="C22" s="92" t="inlineStr">
        <is>
          <t>季度任务值</t>
        </is>
      </c>
      <c r="D22" s="92" t="inlineStr">
        <is>
          <t>QTD完成</t>
        </is>
      </c>
      <c r="E22" s="92" t="inlineStr">
        <is>
          <t>QTD完成率</t>
        </is>
      </c>
      <c r="F22" s="92" t="inlineStr">
        <is>
          <t>近七天日均</t>
        </is>
      </c>
      <c r="G22" s="92" t="inlineStr">
        <is>
          <t>日均差额</t>
        </is>
      </c>
      <c r="H22" s="92" t="inlineStr">
        <is>
          <t>预估完成率</t>
        </is>
      </c>
      <c r="I22" s="92" t="inlineStr">
        <is>
          <t>时间进度差</t>
        </is>
      </c>
      <c r="K22" s="92" t="inlineStr">
        <is>
          <t>地区</t>
        </is>
      </c>
      <c r="L22" s="92" t="inlineStr">
        <is>
          <t>考核指标</t>
        </is>
      </c>
      <c r="M22" s="92" t="inlineStr">
        <is>
          <t>季度任务值</t>
        </is>
      </c>
      <c r="N22" s="92" t="inlineStr">
        <is>
          <t>QTD完成</t>
        </is>
      </c>
      <c r="O22" s="92" t="inlineStr">
        <is>
          <t>QTD完成率</t>
        </is>
      </c>
      <c r="P22" s="92" t="inlineStr">
        <is>
          <t>近七天日均</t>
        </is>
      </c>
      <c r="Q22" s="92" t="inlineStr">
        <is>
          <t>日均差额</t>
        </is>
      </c>
      <c r="R22" s="92" t="inlineStr">
        <is>
          <t>预估完成率</t>
        </is>
      </c>
      <c r="S22" s="92" t="inlineStr">
        <is>
          <t>时间进度差</t>
        </is>
      </c>
    </row>
    <row customHeight="1" ht="16.5" r="23" s="40">
      <c r="A23" s="101" t="inlineStr">
        <is>
          <t>漳州(企业)</t>
        </is>
      </c>
      <c r="B23" s="102" t="inlineStr">
        <is>
          <t>总包消费</t>
        </is>
      </c>
      <c r="C23" s="122" t="n"/>
      <c r="D23" s="122">
        <f>二级地市消费汇总!W4</f>
        <v/>
      </c>
      <c r="E23" s="31">
        <f>IF(C23="","-",D23/C23)</f>
        <v/>
      </c>
      <c r="F23" s="127">
        <f>SUM(OFFSET(二级地市消费汇总!W8,COUNTIF(二级地市消费汇总!W8:W97,"&gt;0")-1,0,-7,1))/7</f>
        <v/>
      </c>
      <c r="G23" s="128">
        <f>IF(C23="","",(C23-D23)/$B$3-F23)</f>
        <v/>
      </c>
      <c r="H23" s="31">
        <f>IF(C23="","-",(F23*$B$3+D23)/C23)</f>
        <v/>
      </c>
      <c r="I23" s="111">
        <f>IF(C23="","",E23-$B$2/$B$1)</f>
        <v/>
      </c>
      <c r="K23" s="101" t="inlineStr">
        <is>
          <t>龙岩(企业)</t>
        </is>
      </c>
      <c r="L23" s="102" t="inlineStr">
        <is>
          <t>总包消费</t>
        </is>
      </c>
      <c r="M23" s="122" t="n"/>
      <c r="N23" s="122">
        <f>二级地市消费汇总!AG4</f>
        <v/>
      </c>
      <c r="O23" s="31">
        <f>IF(M23="","-",N23/M23)</f>
        <v/>
      </c>
      <c r="P23" s="127">
        <f>SUM(OFFSET(二级地市消费汇总!AG8,COUNTIF(二级地市消费汇总!AF8:AF97,"&gt;0")-1,0,-7,1))/7</f>
        <v/>
      </c>
      <c r="Q23" s="128">
        <f>IF(M23="","",(M23-N23)/$B$3-P23)</f>
        <v/>
      </c>
      <c r="R23" s="31">
        <f>IF(M23="","-",(P23*$B$3+N23)/M23)</f>
        <v/>
      </c>
      <c r="S23" s="111">
        <f>IF(M23="","",O23-$B$2/$B$1)</f>
        <v/>
      </c>
    </row>
    <row customHeight="1" ht="16.5" r="24" s="40">
      <c r="A24" s="104" t="n"/>
      <c r="B24" s="102" t="inlineStr">
        <is>
          <t>大搜消费</t>
        </is>
      </c>
      <c r="C24" s="122" t="n"/>
      <c r="D24" s="122">
        <f>二级地市消费汇总!X4</f>
        <v/>
      </c>
      <c r="E24" s="31">
        <f>IF(C24="","-",D24/C24)</f>
        <v/>
      </c>
      <c r="F24" s="127">
        <f>SUM(OFFSET(二级地市消费汇总!X8,COUNT(二级地市消费汇总!X8:X97,"&gt;0")-1,,-7,))/7</f>
        <v/>
      </c>
      <c r="G24" s="131">
        <f>IF(C24="","",(C24-D24)/$B$3-F24)</f>
        <v/>
      </c>
      <c r="H24" s="31">
        <f>IF(C24="","-",(F24*$B$3+D24)/C24)</f>
        <v/>
      </c>
      <c r="I24" s="111">
        <f>IF(C24="","",E24-$B$2/$B$1)</f>
        <v/>
      </c>
      <c r="K24" s="104" t="n"/>
      <c r="L24" s="102" t="inlineStr">
        <is>
          <t>大搜消费</t>
        </is>
      </c>
      <c r="M24" s="122" t="n"/>
      <c r="N24" s="122">
        <f>二级地市消费汇总!AH4</f>
        <v/>
      </c>
      <c r="O24" s="31">
        <f>IF(M24="","-",N24/M24)</f>
        <v/>
      </c>
      <c r="P24" s="127">
        <f>SUM(OFFSET(二级地市消费汇总!AH8,COUNT(二级地市消费汇总!AH8:AH97,"&gt;=0")-1,,-7,))/7</f>
        <v/>
      </c>
      <c r="Q24" s="131">
        <f>IF(M24="","",(M24-N24)/$B$3-P24)</f>
        <v/>
      </c>
      <c r="R24" s="31">
        <f>IF(M24="","-",(P24*$B$3+N24)/M24)</f>
        <v/>
      </c>
      <c r="S24" s="111">
        <f>IF(M24="","",O24-$B$2/$B$1)</f>
        <v/>
      </c>
    </row>
    <row customHeight="1" ht="16.5" r="25" s="40">
      <c r="A25" s="104" t="n"/>
      <c r="B25" s="102" t="inlineStr">
        <is>
          <t>信息流消费</t>
        </is>
      </c>
      <c r="C25" s="122" t="n"/>
      <c r="D25" s="122">
        <f>二级地市消费汇总!Y4</f>
        <v/>
      </c>
      <c r="E25" s="31">
        <f>IF(C25="","-",D25/C25)</f>
        <v/>
      </c>
      <c r="F25" s="127">
        <f>SUM(OFFSET(二级地市消费汇总!Y8,COUNTIF(二级地市消费汇总!Y8:Y97,"&gt;0")-1,0,-7,1))/7</f>
        <v/>
      </c>
      <c r="G25" s="128">
        <f>IF(C25="","",(C25-D25)/$B$3-F25)</f>
        <v/>
      </c>
      <c r="H25" s="31">
        <f>IF(C25="","-",(F25*$B$3+D25)/C25)</f>
        <v/>
      </c>
      <c r="I25" s="111">
        <f>IF(C25="","",E25-$B$2/$B$1)</f>
        <v/>
      </c>
      <c r="K25" s="104" t="n"/>
      <c r="L25" s="102" t="inlineStr">
        <is>
          <t>信息流消费</t>
        </is>
      </c>
      <c r="M25" s="122" t="n"/>
      <c r="N25" s="122">
        <f>二级地市消费汇总!AI4</f>
        <v/>
      </c>
      <c r="O25" s="31">
        <f>IF(M25="","-",N25/M25)</f>
        <v/>
      </c>
      <c r="P25" s="127">
        <f>SUM(OFFSET(二级地市消费汇总!AI8,COUNTIF(二级地市消费汇总!AI8:AI97,"&gt;0")-1,0,-7,1))/7</f>
        <v/>
      </c>
      <c r="Q25" s="128">
        <f>IF(M25="","",(M25-N25)/$B$3-P25)</f>
        <v/>
      </c>
      <c r="R25" s="31">
        <f>IF(M25="","-",(P25*$B$3+N25)/M25)</f>
        <v/>
      </c>
      <c r="S25" s="111">
        <f>IF(M25="","",O25-$B$2/$B$1)</f>
        <v/>
      </c>
    </row>
    <row customHeight="1" ht="16.5" r="26" s="40">
      <c r="A26" s="104" t="n"/>
      <c r="B26" s="102" t="inlineStr">
        <is>
          <t>非医疗消费</t>
        </is>
      </c>
      <c r="C26" s="122" t="n"/>
      <c r="D26" s="122">
        <f>二级地市消费汇总!Z5</f>
        <v/>
      </c>
      <c r="E26" s="31">
        <f>IF(C26="","-",D26/C26)</f>
        <v/>
      </c>
      <c r="F26" s="127">
        <f>SUM(OFFSET(二级地市消费汇总!Z8,COUNTIF(二级地市消费汇总!Z8:Z97,"&gt;0")-1,0,-7,1))/7</f>
        <v/>
      </c>
      <c r="G26" s="128">
        <f>IF(C26="","",(C26-D26)/$B$3-F26)</f>
        <v/>
      </c>
      <c r="H26" s="31">
        <f>IF(C26="","-",(F26*$B$3+D26)/C26)</f>
        <v/>
      </c>
      <c r="I26" s="111">
        <f>IF(C26="","",E26-$B$2/$B$1)</f>
        <v/>
      </c>
      <c r="K26" s="104" t="n"/>
      <c r="L26" s="102" t="inlineStr">
        <is>
          <t>非医疗消费</t>
        </is>
      </c>
      <c r="M26" s="122" t="n"/>
      <c r="N26" s="122">
        <f>二级地市消费汇总!AJ4</f>
        <v/>
      </c>
      <c r="O26" s="31">
        <f>IF(M26="","-",N26/M26)</f>
        <v/>
      </c>
      <c r="P26" s="127">
        <f>SUM(OFFSET(二级地市消费汇总!AJ8,COUNTIF(二级地市消费汇总!AJ8:AJ97,"&gt;0")-1,0,-7,1))/7</f>
        <v/>
      </c>
      <c r="Q26" s="128">
        <f>IF(M26="","",(M26-N26)/$B$3-P26)</f>
        <v/>
      </c>
      <c r="R26" s="31">
        <f>IF(M26="","-",(P26*$B$3+N26)/M26)</f>
        <v/>
      </c>
      <c r="S26" s="111">
        <f>IF(M26="","",O26-$B$2/$B$1)</f>
        <v/>
      </c>
    </row>
    <row customHeight="1" ht="16.5" r="27" s="40">
      <c r="A27" s="49" t="n"/>
      <c r="B27" s="102" t="inlineStr">
        <is>
          <t>医疗消费</t>
        </is>
      </c>
      <c r="C27" s="122" t="n"/>
      <c r="D27" s="122">
        <f>二级地市消费汇总!AA4</f>
        <v/>
      </c>
      <c r="E27" s="31">
        <f>IF(C27="","-",D27/C27)</f>
        <v/>
      </c>
      <c r="F27" s="127">
        <f>SUM(OFFSET(二级地市消费汇总!AA8,COUNTIF(二级地市消费汇总!AA8:AA97,"&gt;0")-1,0,-7,1))/7</f>
        <v/>
      </c>
      <c r="G27" s="131">
        <f>IF(C27="","",(C27-D27)/$B$3-F27)</f>
        <v/>
      </c>
      <c r="H27" s="31">
        <f>IF(C27="","-",(F27*$B$3+D27)/C27)</f>
        <v/>
      </c>
      <c r="I27" s="111">
        <f>IF(C27="","",E27-$B$2/$B$1)</f>
        <v/>
      </c>
      <c r="K27" s="49" t="n"/>
      <c r="L27" s="102" t="inlineStr">
        <is>
          <t>医疗消费</t>
        </is>
      </c>
      <c r="M27" s="122" t="n"/>
      <c r="N27" s="122">
        <f>二级地市消费汇总!AK4</f>
        <v/>
      </c>
      <c r="O27" s="31">
        <f>IF(M27="","-",N27/M27)</f>
        <v/>
      </c>
      <c r="P27" s="127">
        <f>SUM(OFFSET(二级地市消费汇总!AK8,COUNTIF(二级地市消费汇总!AK8:AK97,"&gt;0")-1,0,-7,1))/7</f>
        <v/>
      </c>
      <c r="Q27" s="131">
        <f>IF(M27="","",(M27-N27)/$B$3-P27)</f>
        <v/>
      </c>
      <c r="R27" s="31">
        <f>IF(M27="","-",(P27*$B$3+N27)/M27)</f>
        <v/>
      </c>
      <c r="S27" s="111">
        <f>IF(M27="","",O27-$B$2/$B$1)</f>
        <v/>
      </c>
    </row>
  </sheetData>
  <mergeCells count="5">
    <mergeCell ref="A16:A20"/>
    <mergeCell ref="K23:K27"/>
    <mergeCell ref="A5:A12"/>
    <mergeCell ref="A23:A27"/>
    <mergeCell ref="K16:K20"/>
  </mergeCells>
  <conditionalFormatting sqref="I5:I13 I16:I20 I23:I27 S16:S20 S23:S27">
    <cfRule dxfId="0" operator="greaterThanOrEqual" priority="457" type="cellIs">
      <formula>0</formula>
    </cfRule>
    <cfRule dxfId="1" operator="between" priority="459" type="cellIs">
      <formula>-0.3</formula>
      <formula>-1</formula>
    </cfRule>
    <cfRule dxfId="2" operator="between" priority="460" type="cellIs">
      <formula>-0.2</formula>
      <formula>-0.3</formula>
    </cfRule>
    <cfRule dxfId="3" operator="between" priority="461" type="cellIs">
      <formula>-0.1</formula>
      <formula>-0.2</formula>
    </cfRule>
    <cfRule dxfId="4" operator="between" priority="462" type="cellIs">
      <formula>0</formula>
      <formula>-0.1</formula>
    </cfRule>
    <cfRule dxfId="0" operator="equal" priority="463" type="cellIs">
      <formula>0</formula>
    </cfRule>
    <cfRule dxfId="1" operator="between" priority="529" type="cellIs">
      <formula>0.3</formula>
      <formula>1</formula>
    </cfRule>
    <cfRule operator="between" priority="530" type="cellIs">
      <formula>0.3</formula>
      <formula>1</formula>
    </cfRule>
    <cfRule dxfId="2" operator="between" priority="531" type="cellIs">
      <formula>0.2</formula>
      <formula>0.3</formula>
    </cfRule>
    <cfRule dxfId="3" operator="between" priority="532" type="cellIs">
      <formula>0.1</formula>
      <formula>0.2</formula>
    </cfRule>
    <cfRule dxfId="4" operator="between" priority="533" type="cellIs">
      <formula>0</formula>
      <formula>0.1</formula>
    </cfRule>
    <cfRule dxfId="4" operator="between" priority="726" type="cellIs">
      <formula>0</formula>
      <formula>0.1</formula>
    </cfRule>
    <cfRule dxfId="5" operator="between" priority="734" type="cellIs">
      <formula>0.21</formula>
      <formula>0.3</formula>
    </cfRule>
    <cfRule dxfId="3" operator="between" priority="735" type="cellIs">
      <formula>0.11</formula>
      <formula>0.2</formula>
    </cfRule>
    <cfRule dxfId="6" operator="between" priority="736" type="cellIs">
      <formula>0.31</formula>
      <formula>1</formula>
    </cfRule>
    <cfRule dxfId="7" operator="between" priority="737" type="cellIs">
      <formula>0.21</formula>
      <formula>0.3</formula>
    </cfRule>
    <cfRule dxfId="8" operator="between" priority="738" type="cellIs">
      <formula>0.1</formula>
      <formula>0.2</formula>
    </cfRule>
    <cfRule operator="between" priority="739" type="cellIs">
      <formula>0.1</formula>
      <formula>0.2</formula>
    </cfRule>
    <cfRule dxfId="9" operator="between" priority="740" type="cellIs">
      <formula>0</formula>
      <formula>0.1</formula>
    </cfRule>
  </conditionalFormatting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AC98"/>
  <sheetViews>
    <sheetView topLeftCell="M1" workbookViewId="0">
      <pane activePane="bottomLeft" state="frozen" topLeftCell="A40" ySplit="6"/>
      <selection activeCell="A1" sqref="A1"/>
      <selection activeCell="Y43" pane="bottomLeft" sqref="Y43"/>
    </sheetView>
  </sheetViews>
  <sheetFormatPr baseColWidth="8" defaultColWidth="9" defaultRowHeight="13.5"/>
  <cols>
    <col customWidth="1" max="1" min="1" style="40" width="15.375"/>
    <col customWidth="1" max="2" min="2" style="40" width="12.875"/>
    <col customWidth="1" max="3" min="3" style="40" width="13.875"/>
    <col customWidth="1" max="4" min="4" style="40" width="13.125"/>
    <col customWidth="1" max="5" min="5" style="40" width="10.2583333333333"/>
    <col customWidth="1" max="6" min="6" style="40" width="10.625"/>
    <col customWidth="1" max="7" min="7" style="63" width="1.25833333333333"/>
    <col customWidth="1" max="8" min="8" style="40" width="8"/>
    <col customWidth="1" max="9" min="9" style="40" width="11.375"/>
    <col customWidth="1" max="20" min="10" style="132" width="10.625"/>
    <col customWidth="1" hidden="1" max="21" min="21" style="40" width="9.258333333333329"/>
    <col customWidth="1" hidden="1" max="22" min="22" style="40" width="12.125"/>
    <col customWidth="1" max="23" min="23" style="133" width="1.5"/>
    <col customWidth="1" max="24" min="24" style="40" width="8.875"/>
    <col customWidth="1" max="25" min="25" style="40" width="10.5"/>
    <col customWidth="1" max="26" min="26" style="132" width="11.375"/>
    <col customWidth="1" max="29" min="27" style="132" width="10.625"/>
  </cols>
  <sheetData>
    <row customHeight="1" ht="16.5" r="1" s="40">
      <c r="A1" s="66" t="inlineStr">
        <is>
          <t>汇总（企业+框架）</t>
        </is>
      </c>
      <c r="B1" s="66" t="inlineStr">
        <is>
          <t>总包</t>
        </is>
      </c>
      <c r="C1" s="134" t="inlineStr">
        <is>
          <t>大搜消费</t>
        </is>
      </c>
      <c r="D1" s="135" t="inlineStr">
        <is>
          <t>信息流消费</t>
        </is>
      </c>
      <c r="E1" s="135" t="inlineStr">
        <is>
          <t>医疗</t>
        </is>
      </c>
      <c r="F1" s="135" t="inlineStr">
        <is>
          <t>非医疗</t>
        </is>
      </c>
      <c r="G1" s="69" t="n"/>
      <c r="H1" s="70" t="inlineStr">
        <is>
          <t>企业汇总</t>
        </is>
      </c>
      <c r="I1" s="66" t="inlineStr">
        <is>
          <t>总包</t>
        </is>
      </c>
      <c r="J1" s="58" t="n"/>
      <c r="K1" s="66" t="inlineStr">
        <is>
          <t>大搜</t>
        </is>
      </c>
      <c r="L1" s="58" t="n"/>
      <c r="M1" s="66" t="inlineStr">
        <is>
          <t>信息流</t>
        </is>
      </c>
      <c r="N1" s="58" t="n"/>
      <c r="O1" s="66" t="inlineStr">
        <is>
          <t>医疗</t>
        </is>
      </c>
      <c r="P1" s="58" t="n"/>
      <c r="Q1" s="66" t="inlineStr">
        <is>
          <t>非医疗</t>
        </is>
      </c>
      <c r="R1" s="58" t="n"/>
      <c r="S1" s="66" t="inlineStr">
        <is>
          <t>品牌展示</t>
        </is>
      </c>
      <c r="T1" s="58" t="n"/>
      <c r="U1" s="66" t="inlineStr">
        <is>
          <t>中小客户数QTD完成</t>
        </is>
      </c>
      <c r="V1" s="66" t="inlineStr">
        <is>
          <t>中小消费QTD完成</t>
        </is>
      </c>
      <c r="W1" s="136" t="n"/>
      <c r="X1" s="66" t="inlineStr">
        <is>
          <t>框架汇总</t>
        </is>
      </c>
      <c r="Y1" s="66" t="inlineStr">
        <is>
          <t>总包</t>
        </is>
      </c>
      <c r="Z1" s="134" t="inlineStr">
        <is>
          <t>大搜消费</t>
        </is>
      </c>
      <c r="AA1" s="135" t="inlineStr">
        <is>
          <t>信息流消费</t>
        </is>
      </c>
      <c r="AB1" s="135" t="inlineStr">
        <is>
          <t>医疗</t>
        </is>
      </c>
      <c r="AC1" s="135" t="inlineStr">
        <is>
          <t>非医疗</t>
        </is>
      </c>
    </row>
    <row customHeight="1" ht="12" r="2" s="40">
      <c r="A2" s="49" t="n"/>
      <c r="B2" s="49" t="n"/>
      <c r="C2" s="49" t="n"/>
      <c r="D2" s="49" t="n"/>
      <c r="E2" s="49" t="n"/>
      <c r="F2" s="49" t="n"/>
      <c r="G2" s="69" t="n"/>
      <c r="H2" s="71" t="n"/>
      <c r="I2" s="66" t="inlineStr">
        <is>
          <t>消费</t>
        </is>
      </c>
      <c r="J2" s="135" t="inlineStr">
        <is>
          <t>有消费客户数</t>
        </is>
      </c>
      <c r="K2" s="66" t="inlineStr">
        <is>
          <t>消费</t>
        </is>
      </c>
      <c r="L2" s="135" t="inlineStr">
        <is>
          <t>有消费客户数</t>
        </is>
      </c>
      <c r="M2" s="66" t="inlineStr">
        <is>
          <t>消费</t>
        </is>
      </c>
      <c r="N2" s="135" t="inlineStr">
        <is>
          <t>有消费客户数</t>
        </is>
      </c>
      <c r="O2" s="66" t="inlineStr">
        <is>
          <t>消费</t>
        </is>
      </c>
      <c r="P2" s="135" t="inlineStr">
        <is>
          <t>有消费客户数</t>
        </is>
      </c>
      <c r="Q2" s="66" t="inlineStr">
        <is>
          <t>消费</t>
        </is>
      </c>
      <c r="R2" s="135" t="inlineStr">
        <is>
          <t>有消费客户数</t>
        </is>
      </c>
      <c r="S2" s="66" t="inlineStr">
        <is>
          <t>消费</t>
        </is>
      </c>
      <c r="T2" s="135" t="inlineStr">
        <is>
          <t>有消费客户数</t>
        </is>
      </c>
      <c r="U2" s="49" t="n"/>
      <c r="V2" s="49" t="n"/>
      <c r="W2" s="137" t="n"/>
      <c r="X2" s="49" t="n"/>
      <c r="Y2" s="49" t="n"/>
      <c r="Z2" s="49" t="n"/>
      <c r="AA2" s="49" t="n"/>
      <c r="AB2" s="49" t="n"/>
      <c r="AC2" s="49" t="n"/>
    </row>
    <row customHeight="1" ht="16.5" r="3" s="40">
      <c r="A3" s="72" t="inlineStr">
        <is>
          <t>2023Q3</t>
        </is>
      </c>
      <c r="B3" s="138">
        <f>IF(B4="","",SUM(B4:B6))</f>
        <v/>
      </c>
      <c r="C3" s="138">
        <f>IF(C4="","",SUM(C4:C6))</f>
        <v/>
      </c>
      <c r="D3" s="138">
        <f>IF(D4="","",SUM(D4:D6))</f>
        <v/>
      </c>
      <c r="E3" s="138">
        <f>IF(E4="","",SUM(E4:E6))</f>
        <v/>
      </c>
      <c r="F3" s="138">
        <f>IF(F4="","",SUM(F4:F6))</f>
        <v/>
      </c>
      <c r="H3" s="72" t="inlineStr">
        <is>
          <t>2023Q3</t>
        </is>
      </c>
      <c r="I3" s="138">
        <f>IF(I4="","",SUM(I4:I6))</f>
        <v/>
      </c>
      <c r="J3" s="139" t="inlineStr">
        <is>
          <t>-</t>
        </is>
      </c>
      <c r="K3" s="140">
        <f>IF(K4="","",SUM(K4:K6))</f>
        <v/>
      </c>
      <c r="L3" s="139" t="inlineStr">
        <is>
          <t>-</t>
        </is>
      </c>
      <c r="M3" s="140">
        <f>IF(M4="","",SUM(M4:M6))</f>
        <v/>
      </c>
      <c r="N3" s="139" t="inlineStr">
        <is>
          <t>-</t>
        </is>
      </c>
      <c r="O3" s="140">
        <f>IF(O4="","",SUM(O4:O6))</f>
        <v/>
      </c>
      <c r="P3" s="139" t="inlineStr">
        <is>
          <t>-</t>
        </is>
      </c>
      <c r="Q3" s="140">
        <f>IF(Q4="","",SUM(Q4:Q6))</f>
        <v/>
      </c>
      <c r="R3" s="139" t="inlineStr">
        <is>
          <t>-</t>
        </is>
      </c>
      <c r="S3" s="140">
        <f>IF(S4="","",SUM(S4:S6))</f>
        <v/>
      </c>
      <c r="T3" s="139" t="inlineStr">
        <is>
          <t>-</t>
        </is>
      </c>
      <c r="U3" s="140">
        <f>MAX(U7:U96)</f>
        <v/>
      </c>
      <c r="V3" s="140">
        <f>MAX(V7:V96)</f>
        <v/>
      </c>
      <c r="W3" s="141" t="n"/>
      <c r="X3" s="72" t="inlineStr">
        <is>
          <t>2023Q3</t>
        </is>
      </c>
      <c r="Y3" s="138">
        <f>IF(Y4="","",SUM(Y4:Y6))</f>
        <v/>
      </c>
      <c r="Z3" s="138">
        <f>IF(Z4="","",SUM(Z4:Z6))</f>
        <v/>
      </c>
      <c r="AA3" s="138">
        <f>IF(AA4="","",SUM(AA4:AA6))</f>
        <v/>
      </c>
      <c r="AB3" s="138">
        <f>IF(AB4="","",SUM(AB4:AB6))</f>
        <v/>
      </c>
      <c r="AC3" s="138">
        <f>IF(AC4="","",SUM(AC4:AC6))</f>
        <v/>
      </c>
    </row>
    <row customHeight="1" ht="16.5" r="4" s="40">
      <c r="A4" s="74" t="inlineStr">
        <is>
          <t>7月份</t>
        </is>
      </c>
      <c r="B4" s="142">
        <f>IF(B7="","",SUM(B7:B37))</f>
        <v/>
      </c>
      <c r="C4" s="142">
        <f>IF(C7="","",SUM(C7:C37))</f>
        <v/>
      </c>
      <c r="D4" s="142">
        <f>IF(D7="","",SUM(D7:D37))</f>
        <v/>
      </c>
      <c r="E4" s="142">
        <f>IF(E7="","",SUM(E7:E37))</f>
        <v/>
      </c>
      <c r="F4" s="142">
        <f>IF(F7="","",SUM(F7:F37))</f>
        <v/>
      </c>
      <c r="G4" s="142" t="n"/>
      <c r="H4" s="74" t="inlineStr">
        <is>
          <t>7月份</t>
        </is>
      </c>
      <c r="I4" s="142">
        <f>IF(I7="","",SUM(I7:I37))</f>
        <v/>
      </c>
      <c r="J4" s="143" t="inlineStr">
        <is>
          <t>-</t>
        </is>
      </c>
      <c r="K4" s="142">
        <f>IF(K7="","",SUM(K7:K37))</f>
        <v/>
      </c>
      <c r="L4" s="143" t="inlineStr">
        <is>
          <t>-</t>
        </is>
      </c>
      <c r="M4" s="142">
        <f>IF(M7="","",SUM(M7:M37))</f>
        <v/>
      </c>
      <c r="N4" s="143" t="inlineStr">
        <is>
          <t>-</t>
        </is>
      </c>
      <c r="O4" s="142">
        <f>IF(O7="","",SUM(O7:O37))</f>
        <v/>
      </c>
      <c r="P4" s="143" t="inlineStr">
        <is>
          <t>-</t>
        </is>
      </c>
      <c r="Q4" s="142">
        <f>IF(Q7="","",SUM(Q7:Q37))</f>
        <v/>
      </c>
      <c r="R4" s="143" t="inlineStr">
        <is>
          <t>-</t>
        </is>
      </c>
      <c r="S4" s="142">
        <f>IF(S7="","",SUM(S7:S37))</f>
        <v/>
      </c>
      <c r="T4" s="143" t="inlineStr">
        <is>
          <t>-</t>
        </is>
      </c>
      <c r="U4" s="144">
        <f>IF(U7="","",MAX(U7:U37))</f>
        <v/>
      </c>
      <c r="V4" s="144">
        <f>IF(V7="","",MAX(V7:V37))</f>
        <v/>
      </c>
      <c r="W4" s="141" t="n"/>
      <c r="X4" s="74" t="inlineStr">
        <is>
          <t>7月份</t>
        </is>
      </c>
      <c r="Y4" s="142">
        <f>IF(Y7="","",SUM(Y7:Y37))</f>
        <v/>
      </c>
      <c r="Z4" s="142">
        <f>IF(Z7="","",SUM(Z7:Z37))</f>
        <v/>
      </c>
      <c r="AA4" s="142">
        <f>IF(AA7="","",SUM(AA7:AA37))</f>
        <v/>
      </c>
      <c r="AB4" s="142">
        <f>IF(AB7="","",SUM(AB7:AB37))</f>
        <v/>
      </c>
      <c r="AC4" s="142">
        <f>IF(AC7="","",SUM(AC7:AC37))</f>
        <v/>
      </c>
    </row>
    <row customHeight="1" ht="16.5" r="5" s="40">
      <c r="A5" s="74" t="inlineStr">
        <is>
          <t>8月份</t>
        </is>
      </c>
      <c r="B5" s="142">
        <f>IF(B37="","",SUM(B38:B68))</f>
        <v/>
      </c>
      <c r="C5" s="142">
        <f>IF(C37="","",SUM(C38:C68))</f>
        <v/>
      </c>
      <c r="D5" s="142">
        <f>IF(D37="","",SUM(D38:D68))</f>
        <v/>
      </c>
      <c r="E5" s="142">
        <f>IF(E37="","",SUM(E38:E68))</f>
        <v/>
      </c>
      <c r="F5" s="142">
        <f>IF(F37="","",SUM(F38:F68))</f>
        <v/>
      </c>
      <c r="G5" s="142" t="n"/>
      <c r="H5" s="74" t="inlineStr">
        <is>
          <t>8月份</t>
        </is>
      </c>
      <c r="I5" s="142">
        <f>IF(I37="","",SUM(I38:I68))</f>
        <v/>
      </c>
      <c r="J5" s="145" t="inlineStr">
        <is>
          <t>-</t>
        </is>
      </c>
      <c r="K5" s="142">
        <f>IF(K37="","",SUM(K38:K68))</f>
        <v/>
      </c>
      <c r="L5" s="145" t="inlineStr">
        <is>
          <t>-</t>
        </is>
      </c>
      <c r="M5" s="142">
        <f>IF(M37="","",SUM(M38:M68))</f>
        <v/>
      </c>
      <c r="N5" s="145" t="inlineStr">
        <is>
          <t>-</t>
        </is>
      </c>
      <c r="O5" s="142">
        <f>IF(O37="","",SUM(O38:O68))</f>
        <v/>
      </c>
      <c r="P5" s="145" t="inlineStr">
        <is>
          <t>-</t>
        </is>
      </c>
      <c r="Q5" s="142">
        <f>IF(Q37="","",SUM(Q38:Q68))</f>
        <v/>
      </c>
      <c r="R5" s="145" t="inlineStr">
        <is>
          <t>-</t>
        </is>
      </c>
      <c r="S5" s="142">
        <f>IF(S37="","",SUM(S38:S68))</f>
        <v/>
      </c>
      <c r="T5" s="143" t="inlineStr">
        <is>
          <t>-</t>
        </is>
      </c>
      <c r="U5" s="144">
        <f>IF(U38="","",MAX(U38:U65))</f>
        <v/>
      </c>
      <c r="V5" s="144">
        <f>IF(V38="","",MAX(V38:V65))</f>
        <v/>
      </c>
      <c r="W5" s="141" t="n"/>
      <c r="X5" s="74" t="inlineStr">
        <is>
          <t>8月份</t>
        </is>
      </c>
      <c r="Y5" s="142">
        <f>IF(Y37="","",SUM(Y38:Y69))</f>
        <v/>
      </c>
      <c r="Z5" s="142">
        <f>IF(Z37="","",SUM(Z38:Z69))</f>
        <v/>
      </c>
      <c r="AA5" s="142">
        <f>IF(AA37="","",SUM(AA38:AA69))</f>
        <v/>
      </c>
      <c r="AB5" s="142">
        <f>IF(AB37="","",SUM(AB38:AB69))</f>
        <v/>
      </c>
      <c r="AC5" s="142">
        <f>IF(AC37="","",SUM(AC38:AC69))</f>
        <v/>
      </c>
    </row>
    <row customHeight="1" ht="17.25" r="6" s="40">
      <c r="A6" s="76" t="inlineStr">
        <is>
          <t>9月份</t>
        </is>
      </c>
      <c r="B6" s="146">
        <f>IF(B68="","",SUM(B69:B98))</f>
        <v/>
      </c>
      <c r="C6" s="146">
        <f>IF(C68="","",SUM(C69:C98))</f>
        <v/>
      </c>
      <c r="D6" s="146">
        <f>IF(D68="","",SUM(D69:D98))</f>
        <v/>
      </c>
      <c r="E6" s="146">
        <f>IF(E68="","",SUM(E69:E98))</f>
        <v/>
      </c>
      <c r="F6" s="146">
        <f>IF(F68="","",SUM(F69:F98))</f>
        <v/>
      </c>
      <c r="G6" s="146" t="n"/>
      <c r="H6" s="76" t="inlineStr">
        <is>
          <t>9月份</t>
        </is>
      </c>
      <c r="I6" s="146">
        <f>IF(I68="","",SUM(I69:I98))</f>
        <v/>
      </c>
      <c r="J6" s="145" t="inlineStr">
        <is>
          <t>-</t>
        </is>
      </c>
      <c r="K6" s="146">
        <f>IF(K68="","",SUM(K69:K98))</f>
        <v/>
      </c>
      <c r="L6" s="145" t="inlineStr">
        <is>
          <t>-</t>
        </is>
      </c>
      <c r="M6" s="146">
        <f>IF(M68="","",SUM(M69:M98))</f>
        <v/>
      </c>
      <c r="N6" s="145" t="inlineStr">
        <is>
          <t>-</t>
        </is>
      </c>
      <c r="O6" s="146">
        <f>IF(O68="","",SUM(O69:O98))</f>
        <v/>
      </c>
      <c r="P6" s="145" t="inlineStr">
        <is>
          <t>-</t>
        </is>
      </c>
      <c r="Q6" s="146">
        <f>IF(Q68="","",SUM(Q69:Q98))</f>
        <v/>
      </c>
      <c r="R6" s="145" t="inlineStr">
        <is>
          <t>-</t>
        </is>
      </c>
      <c r="S6" s="146">
        <f>IF(S68="","",SUM(S69:S98))</f>
        <v/>
      </c>
      <c r="T6" s="145" t="inlineStr">
        <is>
          <t>-</t>
        </is>
      </c>
      <c r="U6" s="147">
        <f>IF(U66="","",MAX(U66:U96))</f>
        <v/>
      </c>
      <c r="V6" s="147">
        <f>IF(V66="","",MAX(V66:V96))</f>
        <v/>
      </c>
      <c r="W6" s="141" t="n"/>
      <c r="X6" s="76" t="inlineStr">
        <is>
          <t>9月份</t>
        </is>
      </c>
      <c r="Y6" s="146">
        <f>IF(Y68="","",SUM(Y68:Y97))</f>
        <v/>
      </c>
      <c r="Z6" s="146">
        <f>IF(Z68="","",SUM(Z68:Z97))</f>
        <v/>
      </c>
      <c r="AA6" s="146">
        <f>IF(AA68="","",SUM(AA68:AA97))</f>
        <v/>
      </c>
      <c r="AB6" s="146">
        <f>IF(AB68="","",SUM(AB68:AB97))</f>
        <v/>
      </c>
      <c r="AC6" s="146">
        <f>IF(AC68="","",SUM(AC68:AC97))</f>
        <v/>
      </c>
    </row>
    <row customHeight="1" ht="16.5" r="7" s="40">
      <c r="A7" s="78" t="n">
        <v>45108</v>
      </c>
      <c r="B7" s="148" t="n">
        <v>2652042.74</v>
      </c>
      <c r="C7" s="148" t="n">
        <v>2290223.61</v>
      </c>
      <c r="D7" s="148" t="n">
        <v>361819.13</v>
      </c>
      <c r="E7" s="148" t="n">
        <v>865389.16</v>
      </c>
      <c r="F7" s="148" t="n">
        <v>1786653.58</v>
      </c>
      <c r="H7" s="80">
        <f>A7</f>
        <v/>
      </c>
      <c r="I7" s="149" t="n">
        <v>1104058.59</v>
      </c>
      <c r="J7" s="149" t="n">
        <v>1319</v>
      </c>
      <c r="K7" s="149" t="n">
        <v>1020012.3</v>
      </c>
      <c r="L7" s="149" t="n">
        <v>1296</v>
      </c>
      <c r="M7" s="149" t="n">
        <v>84046.28999999999</v>
      </c>
      <c r="N7" s="149" t="n">
        <v>89</v>
      </c>
      <c r="O7" s="149" t="n">
        <v>785709.78</v>
      </c>
      <c r="P7" s="149" t="n">
        <v>111</v>
      </c>
      <c r="Q7" s="149" t="n">
        <v>318348.81</v>
      </c>
      <c r="R7" s="149" t="n">
        <v>1208</v>
      </c>
      <c r="S7" s="149" t="n">
        <v>19203.28</v>
      </c>
      <c r="T7" s="149" t="n">
        <v>66</v>
      </c>
      <c r="U7" s="149" t="n"/>
      <c r="V7" s="149" t="n"/>
      <c r="W7" s="141" t="n"/>
      <c r="X7" s="78">
        <f>H7</f>
        <v/>
      </c>
      <c r="Y7" s="149" t="n">
        <v>1547984.15</v>
      </c>
      <c r="Z7" s="149" t="n">
        <v>1270211.31</v>
      </c>
      <c r="AA7" s="149" t="n">
        <v>277772.84</v>
      </c>
      <c r="AB7" s="149" t="n">
        <v>79679.38</v>
      </c>
      <c r="AC7" s="149" t="n">
        <v>1468304.77</v>
      </c>
    </row>
    <row customHeight="1" ht="16.5" r="8" s="40">
      <c r="A8" s="78" t="n">
        <v>45109</v>
      </c>
      <c r="B8" s="148" t="n">
        <v>2647909.56</v>
      </c>
      <c r="C8" s="148" t="n">
        <v>2244939.39</v>
      </c>
      <c r="D8" s="148" t="n">
        <v>402970.17</v>
      </c>
      <c r="E8" s="148" t="n">
        <v>936972.35</v>
      </c>
      <c r="F8" s="148" t="n">
        <v>1710937.21</v>
      </c>
      <c r="H8" s="80">
        <f>A8</f>
        <v/>
      </c>
      <c r="I8" s="150" t="n">
        <v>1140824.3</v>
      </c>
      <c r="J8" s="150" t="n">
        <v>1246</v>
      </c>
      <c r="K8" s="150" t="n">
        <v>1040005.95</v>
      </c>
      <c r="L8" s="150" t="n">
        <v>1219</v>
      </c>
      <c r="M8" s="150" t="n">
        <v>100818.35</v>
      </c>
      <c r="N8" s="150" t="n">
        <v>86</v>
      </c>
      <c r="O8" s="150" t="n">
        <v>846086.88</v>
      </c>
      <c r="P8" s="150" t="n">
        <v>110</v>
      </c>
      <c r="Q8" s="150" t="n">
        <v>294737.42</v>
      </c>
      <c r="R8" s="150" t="n">
        <v>1136</v>
      </c>
      <c r="S8" s="150" t="n">
        <v>19241.58</v>
      </c>
      <c r="T8" s="150" t="n">
        <v>63</v>
      </c>
      <c r="U8" s="150" t="n"/>
      <c r="V8" s="150" t="n"/>
      <c r="W8" s="141" t="n"/>
      <c r="X8" s="78">
        <f>H8</f>
        <v/>
      </c>
      <c r="Y8" s="149" t="n">
        <v>1507085.26</v>
      </c>
      <c r="Z8" s="149" t="n">
        <v>1204933.44</v>
      </c>
      <c r="AA8" s="149" t="n">
        <v>302151.82</v>
      </c>
      <c r="AB8" s="149" t="n">
        <v>90885.47</v>
      </c>
      <c r="AC8" s="149" t="n">
        <v>1416199.79</v>
      </c>
    </row>
    <row customHeight="1" ht="16.5" r="9" s="40">
      <c r="A9" s="78" t="n">
        <v>45110</v>
      </c>
      <c r="B9" s="148" t="n">
        <v>2706078.47</v>
      </c>
      <c r="C9" s="148" t="n">
        <v>2341853.59</v>
      </c>
      <c r="D9" s="148" t="n">
        <v>364224.88</v>
      </c>
      <c r="E9" s="148" t="n">
        <v>932061.12</v>
      </c>
      <c r="F9" s="148" t="n">
        <v>1774017.35</v>
      </c>
      <c r="H9" s="80">
        <f>A9</f>
        <v/>
      </c>
      <c r="I9" s="150" t="n">
        <v>1255292.16</v>
      </c>
      <c r="J9" s="150" t="n">
        <v>1471</v>
      </c>
      <c r="K9" s="150" t="n">
        <v>1152257.09</v>
      </c>
      <c r="L9" s="150" t="n">
        <v>1445</v>
      </c>
      <c r="M9" s="150" t="n">
        <v>103035.07</v>
      </c>
      <c r="N9" s="150" t="n">
        <v>91</v>
      </c>
      <c r="O9" s="150" t="n">
        <v>859948.2</v>
      </c>
      <c r="P9" s="150" t="n">
        <v>116</v>
      </c>
      <c r="Q9" s="150" t="n">
        <v>395343.96</v>
      </c>
      <c r="R9" s="150" t="n">
        <v>1355</v>
      </c>
      <c r="S9" s="150" t="n">
        <v>19789.63</v>
      </c>
      <c r="T9" s="150" t="n">
        <v>74</v>
      </c>
      <c r="U9" s="150" t="n"/>
      <c r="V9" s="150" t="n"/>
      <c r="W9" s="141" t="n"/>
      <c r="X9" s="78">
        <f>H9</f>
        <v/>
      </c>
      <c r="Y9" s="149" t="n">
        <v>1450786.31</v>
      </c>
      <c r="Z9" s="149" t="n">
        <v>1189596.5</v>
      </c>
      <c r="AA9" s="149" t="n">
        <v>261189.81</v>
      </c>
      <c r="AB9" s="149" t="n">
        <v>72112.92</v>
      </c>
      <c r="AC9" s="149" t="n">
        <v>1378673.39</v>
      </c>
    </row>
    <row customHeight="1" ht="16.5" r="10" s="40">
      <c r="A10" s="78" t="n">
        <v>45111</v>
      </c>
      <c r="B10" s="148" t="n">
        <v>2897712.23</v>
      </c>
      <c r="C10" s="148" t="n">
        <v>2493063.22</v>
      </c>
      <c r="D10" s="148" t="n">
        <v>404649.01</v>
      </c>
      <c r="E10" s="148" t="n">
        <v>933562.8</v>
      </c>
      <c r="F10" s="148" t="n">
        <v>1964149.43</v>
      </c>
      <c r="H10" s="80">
        <f>A10</f>
        <v/>
      </c>
      <c r="I10" s="150" t="n">
        <v>1235003.62</v>
      </c>
      <c r="J10" s="150" t="n">
        <v>1472</v>
      </c>
      <c r="K10" s="150" t="n">
        <v>1121318.95</v>
      </c>
      <c r="L10" s="150" t="n">
        <v>1446</v>
      </c>
      <c r="M10" s="150" t="n">
        <v>113684.67</v>
      </c>
      <c r="N10" s="150" t="n">
        <v>93</v>
      </c>
      <c r="O10" s="150" t="n">
        <v>835568.5</v>
      </c>
      <c r="P10" s="150" t="n">
        <v>119</v>
      </c>
      <c r="Q10" s="150" t="n">
        <v>399435.12</v>
      </c>
      <c r="R10" s="150" t="n">
        <v>1353</v>
      </c>
      <c r="S10" s="150" t="n">
        <v>19926.19</v>
      </c>
      <c r="T10" s="150" t="n">
        <v>76</v>
      </c>
      <c r="U10" s="150" t="n"/>
      <c r="V10" s="150" t="n"/>
      <c r="W10" s="141" t="n"/>
      <c r="X10" s="78">
        <f>H10</f>
        <v/>
      </c>
      <c r="Y10" s="149" t="n">
        <v>1662708.61</v>
      </c>
      <c r="Z10" s="149" t="n">
        <v>1371744.27</v>
      </c>
      <c r="AA10" s="149" t="n">
        <v>290964.34</v>
      </c>
      <c r="AB10" s="149" t="n">
        <v>97994.3</v>
      </c>
      <c r="AC10" s="149" t="n">
        <v>1564714.31</v>
      </c>
    </row>
    <row customHeight="1" ht="16.5" r="11" s="40">
      <c r="A11" s="78" t="n">
        <v>45112</v>
      </c>
      <c r="B11" s="148" t="n">
        <v>2804238.73</v>
      </c>
      <c r="C11" s="148" t="n">
        <v>2406020.61</v>
      </c>
      <c r="D11" s="148" t="n">
        <v>398218.12</v>
      </c>
      <c r="E11" s="148" t="n">
        <v>917883.05</v>
      </c>
      <c r="F11" s="148" t="n">
        <v>1886355.68</v>
      </c>
      <c r="H11" s="80">
        <f>A11</f>
        <v/>
      </c>
      <c r="I11" s="150" t="n">
        <v>1242119.91</v>
      </c>
      <c r="J11" s="150" t="n">
        <v>1460</v>
      </c>
      <c r="K11" s="150" t="n">
        <v>1149758.08</v>
      </c>
      <c r="L11" s="150" t="n">
        <v>1438</v>
      </c>
      <c r="M11" s="150" t="n">
        <v>92361.83</v>
      </c>
      <c r="N11" s="150" t="n">
        <v>93</v>
      </c>
      <c r="O11" s="150" t="n">
        <v>830027.97</v>
      </c>
      <c r="P11" s="150" t="n">
        <v>118</v>
      </c>
      <c r="Q11" s="150" t="n">
        <v>412091.94</v>
      </c>
      <c r="R11" s="150" t="n">
        <v>1342</v>
      </c>
      <c r="S11" s="150" t="n">
        <v>20068.53</v>
      </c>
      <c r="T11" s="150" t="n">
        <v>77</v>
      </c>
      <c r="U11" s="150" t="n"/>
      <c r="V11" s="150" t="n"/>
      <c r="W11" s="141" t="n"/>
      <c r="X11" s="78">
        <f>H11</f>
        <v/>
      </c>
      <c r="Y11" s="149" t="n">
        <v>1562118.82</v>
      </c>
      <c r="Z11" s="149" t="n">
        <v>1256262.53</v>
      </c>
      <c r="AA11" s="149" t="n">
        <v>305856.29</v>
      </c>
      <c r="AB11" s="149" t="n">
        <v>87855.08</v>
      </c>
      <c r="AC11" s="149" t="n">
        <v>1474263.74</v>
      </c>
    </row>
    <row customHeight="1" ht="16.5" r="12" s="40">
      <c r="A12" s="78" t="n">
        <v>45113</v>
      </c>
      <c r="B12" s="148" t="n">
        <v>2700281.48</v>
      </c>
      <c r="C12" s="148" t="n">
        <v>2292522.25</v>
      </c>
      <c r="D12" s="148" t="n">
        <v>407759.23</v>
      </c>
      <c r="E12" s="148" t="n">
        <v>948886.3</v>
      </c>
      <c r="F12" s="148" t="n">
        <v>1751395.18</v>
      </c>
      <c r="H12" s="80">
        <f>A12</f>
        <v/>
      </c>
      <c r="I12" s="150" t="n">
        <v>1258906.82</v>
      </c>
      <c r="J12" s="150" t="n">
        <v>1471</v>
      </c>
      <c r="K12" s="150" t="n">
        <v>1152661.64</v>
      </c>
      <c r="L12" s="150" t="n">
        <v>1451</v>
      </c>
      <c r="M12" s="150" t="n">
        <v>106245.18</v>
      </c>
      <c r="N12" s="150" t="n">
        <v>88</v>
      </c>
      <c r="O12" s="150" t="n">
        <v>857044.5600000001</v>
      </c>
      <c r="P12" s="150" t="n">
        <v>118</v>
      </c>
      <c r="Q12" s="150" t="n">
        <v>401862.26</v>
      </c>
      <c r="R12" s="150" t="n">
        <v>1353</v>
      </c>
      <c r="S12" s="150" t="n">
        <v>20121.34</v>
      </c>
      <c r="T12" s="150" t="n">
        <v>74</v>
      </c>
      <c r="U12" s="150" t="n"/>
      <c r="V12" s="150" t="n"/>
      <c r="W12" s="141" t="n"/>
      <c r="X12" s="78">
        <f>H12</f>
        <v/>
      </c>
      <c r="Y12" s="149" t="n">
        <v>1441374.66</v>
      </c>
      <c r="Z12" s="149" t="n">
        <v>1139860.61</v>
      </c>
      <c r="AA12" s="149" t="n">
        <v>301514.05</v>
      </c>
      <c r="AB12" s="149" t="n">
        <v>91841.74000000001</v>
      </c>
      <c r="AC12" s="149" t="n">
        <v>1349532.92</v>
      </c>
    </row>
    <row customHeight="1" ht="16.5" r="13" s="40">
      <c r="A13" s="78" t="n">
        <v>45114</v>
      </c>
      <c r="B13" s="148" t="n">
        <v>2778292.95</v>
      </c>
      <c r="C13" s="148" t="n">
        <v>2363160.67</v>
      </c>
      <c r="D13" s="148" t="n">
        <v>415132.28</v>
      </c>
      <c r="E13" s="148" t="n">
        <v>926628.95</v>
      </c>
      <c r="F13" s="148" t="n">
        <v>1851664</v>
      </c>
      <c r="H13" s="80">
        <f>A13</f>
        <v/>
      </c>
      <c r="I13" s="150" t="n">
        <v>1220191.83</v>
      </c>
      <c r="J13" s="150" t="n">
        <v>1468</v>
      </c>
      <c r="K13" s="150" t="n">
        <v>1122118.45</v>
      </c>
      <c r="L13" s="150" t="n">
        <v>1446</v>
      </c>
      <c r="M13" s="150" t="n">
        <v>98073.38</v>
      </c>
      <c r="N13" s="150" t="n">
        <v>89</v>
      </c>
      <c r="O13" s="150" t="n">
        <v>827200.17</v>
      </c>
      <c r="P13" s="150" t="n">
        <v>119</v>
      </c>
      <c r="Q13" s="150" t="n">
        <v>392991.66</v>
      </c>
      <c r="R13" s="150" t="n">
        <v>1349</v>
      </c>
      <c r="S13" s="150" t="n">
        <v>20088.24</v>
      </c>
      <c r="T13" s="150" t="n">
        <v>76</v>
      </c>
      <c r="U13" s="150" t="n"/>
      <c r="V13" s="150" t="n"/>
      <c r="W13" s="141" t="n"/>
      <c r="X13" s="78">
        <f>H13</f>
        <v/>
      </c>
      <c r="Y13" s="149" t="n">
        <v>1558101.12</v>
      </c>
      <c r="Z13" s="149" t="n">
        <v>1241042.22</v>
      </c>
      <c r="AA13" s="149" t="n">
        <v>317058.9</v>
      </c>
      <c r="AB13" s="149" t="n">
        <v>99428.78</v>
      </c>
      <c r="AC13" s="149" t="n">
        <v>1458672.34</v>
      </c>
    </row>
    <row customHeight="1" ht="16.5" r="14" s="40">
      <c r="A14" s="78" t="n">
        <v>45115</v>
      </c>
      <c r="B14" s="148" t="n">
        <v>2770385.84</v>
      </c>
      <c r="C14" s="148" t="n">
        <v>2331606.86</v>
      </c>
      <c r="D14" s="148" t="n">
        <v>438778.98</v>
      </c>
      <c r="E14" s="148" t="n">
        <v>928684.05</v>
      </c>
      <c r="F14" s="148" t="n">
        <v>1841701.79</v>
      </c>
      <c r="H14" s="80">
        <f>A14</f>
        <v/>
      </c>
      <c r="I14" s="150" t="n">
        <v>1141778.77</v>
      </c>
      <c r="J14" s="150" t="n">
        <v>1313</v>
      </c>
      <c r="K14" s="150" t="n">
        <v>1026375.88</v>
      </c>
      <c r="L14" s="150" t="n">
        <v>1292</v>
      </c>
      <c r="M14" s="150" t="n">
        <v>115402.89</v>
      </c>
      <c r="N14" s="150" t="n">
        <v>78</v>
      </c>
      <c r="O14" s="150" t="n">
        <v>828162.3100000001</v>
      </c>
      <c r="P14" s="150" t="n">
        <v>116</v>
      </c>
      <c r="Q14" s="150" t="n">
        <v>313616.46</v>
      </c>
      <c r="R14" s="150" t="n">
        <v>1197</v>
      </c>
      <c r="S14" s="150" t="n">
        <v>19627.61</v>
      </c>
      <c r="T14" s="150" t="n">
        <v>69</v>
      </c>
      <c r="U14" s="150" t="n"/>
      <c r="V14" s="150" t="n"/>
      <c r="W14" s="141" t="n"/>
      <c r="X14" s="78">
        <f>H14</f>
        <v/>
      </c>
      <c r="Y14" s="149" t="n">
        <v>1628607.07</v>
      </c>
      <c r="Z14" s="149" t="n">
        <v>1305230.98</v>
      </c>
      <c r="AA14" s="149" t="n">
        <v>323376.09</v>
      </c>
      <c r="AB14" s="149" t="n">
        <v>100521.74</v>
      </c>
      <c r="AC14" s="149" t="n">
        <v>1528085.33</v>
      </c>
    </row>
    <row customHeight="1" ht="16.5" r="15" s="40">
      <c r="A15" s="78" t="n">
        <v>45116</v>
      </c>
      <c r="B15" s="148" t="n">
        <v>2620557.94</v>
      </c>
      <c r="C15" s="148" t="n">
        <v>2177164.08</v>
      </c>
      <c r="D15" s="148" t="n">
        <v>443393.86</v>
      </c>
      <c r="E15" s="148" t="n">
        <v>958399.46</v>
      </c>
      <c r="F15" s="148" t="n">
        <v>1662158.48</v>
      </c>
      <c r="H15" s="80">
        <f>A15</f>
        <v/>
      </c>
      <c r="I15" s="150" t="n">
        <v>1171607.19</v>
      </c>
      <c r="J15" s="150" t="n">
        <v>1222</v>
      </c>
      <c r="K15" s="150" t="n">
        <v>1052141.48</v>
      </c>
      <c r="L15" s="150" t="n">
        <v>1196</v>
      </c>
      <c r="M15" s="150" t="n">
        <v>119465.71</v>
      </c>
      <c r="N15" s="150" t="n">
        <v>80</v>
      </c>
      <c r="O15" s="150" t="n">
        <v>855668.41</v>
      </c>
      <c r="P15" s="150" t="n">
        <v>116</v>
      </c>
      <c r="Q15" s="150" t="n">
        <v>315938.78</v>
      </c>
      <c r="R15" s="150" t="n">
        <v>1106</v>
      </c>
      <c r="S15" s="150" t="n">
        <v>19650.52</v>
      </c>
      <c r="T15" s="150" t="n">
        <v>67</v>
      </c>
      <c r="U15" s="150" t="n"/>
      <c r="V15" s="150" t="n"/>
      <c r="W15" s="141" t="n"/>
      <c r="X15" s="78">
        <f>H15</f>
        <v/>
      </c>
      <c r="Y15" s="149" t="n">
        <v>1448950.75</v>
      </c>
      <c r="Z15" s="149" t="n">
        <v>1125022.6</v>
      </c>
      <c r="AA15" s="149" t="n">
        <v>323928.15</v>
      </c>
      <c r="AB15" s="149" t="n">
        <v>102731.05</v>
      </c>
      <c r="AC15" s="149" t="n">
        <v>1346219.7</v>
      </c>
    </row>
    <row customHeight="1" ht="16.5" r="16" s="40">
      <c r="A16" s="78" t="n">
        <v>45117</v>
      </c>
      <c r="B16" s="148" t="n">
        <v>2849382.96</v>
      </c>
      <c r="C16" s="148" t="n">
        <v>2419400.36</v>
      </c>
      <c r="D16" s="148" t="n">
        <v>429982.6</v>
      </c>
      <c r="E16" s="148" t="n">
        <v>953498.97</v>
      </c>
      <c r="F16" s="148" t="n">
        <v>1895883.99</v>
      </c>
      <c r="H16" s="80">
        <f>A16</f>
        <v/>
      </c>
      <c r="I16" s="150" t="n">
        <v>1264323.71</v>
      </c>
      <c r="J16" s="150" t="n">
        <v>1442</v>
      </c>
      <c r="K16" s="150" t="n">
        <v>1154532.8</v>
      </c>
      <c r="L16" s="150" t="n">
        <v>1422</v>
      </c>
      <c r="M16" s="150" t="n">
        <v>109790.91</v>
      </c>
      <c r="N16" s="150" t="n">
        <v>83</v>
      </c>
      <c r="O16" s="150" t="n">
        <v>860662.73</v>
      </c>
      <c r="P16" s="150" t="n">
        <v>118</v>
      </c>
      <c r="Q16" s="150" t="n">
        <v>403660.98</v>
      </c>
      <c r="R16" s="150" t="n">
        <v>1324</v>
      </c>
      <c r="S16" s="150" t="n">
        <v>22236.19</v>
      </c>
      <c r="T16" s="150" t="n">
        <v>77</v>
      </c>
      <c r="U16" s="90" t="n"/>
      <c r="V16" s="150" t="n"/>
      <c r="W16" s="141" t="n"/>
      <c r="X16" s="78">
        <f>H16</f>
        <v/>
      </c>
      <c r="Y16" s="149" t="n">
        <v>1585059.25</v>
      </c>
      <c r="Z16" s="149" t="n">
        <v>1264867.56</v>
      </c>
      <c r="AA16" s="149" t="n">
        <v>320191.69</v>
      </c>
      <c r="AB16" s="149" t="n">
        <v>92836.24000000001</v>
      </c>
      <c r="AC16" s="149" t="n">
        <v>1492223.01</v>
      </c>
    </row>
    <row customHeight="1" ht="16.5" r="17" s="40">
      <c r="A17" s="78" t="n">
        <v>45118</v>
      </c>
      <c r="B17" s="148" t="n">
        <v>2788937.25</v>
      </c>
      <c r="C17" s="148" t="n">
        <v>2319252.94</v>
      </c>
      <c r="D17" s="148" t="n">
        <v>469684.31</v>
      </c>
      <c r="E17" s="148" t="n">
        <v>931288.09</v>
      </c>
      <c r="F17" s="148" t="n">
        <v>1857649.16</v>
      </c>
      <c r="H17" s="80">
        <f>A17</f>
        <v/>
      </c>
      <c r="I17" s="150" t="n">
        <v>1215283.03</v>
      </c>
      <c r="J17" s="150" t="n">
        <v>1459</v>
      </c>
      <c r="K17" s="150" t="n">
        <v>1122186.15</v>
      </c>
      <c r="L17" s="150" t="n">
        <v>1438</v>
      </c>
      <c r="M17" s="150" t="n">
        <v>93096.88</v>
      </c>
      <c r="N17" s="150" t="n">
        <v>84</v>
      </c>
      <c r="O17" s="150" t="n">
        <v>824825.48</v>
      </c>
      <c r="P17" s="150" t="n">
        <v>121</v>
      </c>
      <c r="Q17" s="150" t="n">
        <v>390457.55</v>
      </c>
      <c r="R17" s="150" t="n">
        <v>1338</v>
      </c>
      <c r="S17" s="150" t="n">
        <v>22188.25</v>
      </c>
      <c r="T17" s="150" t="n">
        <v>76</v>
      </c>
      <c r="U17" s="150" t="n"/>
      <c r="V17" s="150" t="n"/>
      <c r="W17" s="141" t="n"/>
      <c r="X17" s="78">
        <f>H17</f>
        <v/>
      </c>
      <c r="Y17" s="149" t="n">
        <v>1573654.22</v>
      </c>
      <c r="Z17" s="149" t="n">
        <v>1197066.79</v>
      </c>
      <c r="AA17" s="149" t="n">
        <v>376587.43</v>
      </c>
      <c r="AB17" s="149" t="n">
        <v>106462.61</v>
      </c>
      <c r="AC17" s="149" t="n">
        <v>1467191.61</v>
      </c>
    </row>
    <row customHeight="1" ht="16.5" r="18" s="40">
      <c r="A18" s="78" t="n">
        <v>45119</v>
      </c>
      <c r="B18" s="148" t="n">
        <v>2898685.07</v>
      </c>
      <c r="C18" s="148" t="n">
        <v>2427509.61</v>
      </c>
      <c r="D18" s="148" t="n">
        <v>471175.46</v>
      </c>
      <c r="E18" s="148" t="n">
        <v>928984.09</v>
      </c>
      <c r="F18" s="148" t="n">
        <v>1969700.98</v>
      </c>
      <c r="H18" s="80">
        <f>A18</f>
        <v/>
      </c>
      <c r="I18" s="150" t="n">
        <v>1210539.9</v>
      </c>
      <c r="J18" s="150" t="n">
        <v>1460</v>
      </c>
      <c r="K18" s="150" t="n">
        <v>1112260.03</v>
      </c>
      <c r="L18" s="150" t="n">
        <v>1438</v>
      </c>
      <c r="M18" s="150" t="n">
        <v>98279.87</v>
      </c>
      <c r="N18" s="150" t="n">
        <v>87</v>
      </c>
      <c r="O18" s="150" t="n">
        <v>826796.99</v>
      </c>
      <c r="P18" s="150" t="n">
        <v>121</v>
      </c>
      <c r="Q18" s="150" t="n">
        <v>383742.91</v>
      </c>
      <c r="R18" s="150" t="n">
        <v>1339</v>
      </c>
      <c r="S18" s="150" t="n">
        <v>22148.32</v>
      </c>
      <c r="T18" s="150" t="n">
        <v>75</v>
      </c>
      <c r="U18" s="150" t="n"/>
      <c r="V18" s="150" t="n"/>
      <c r="W18" s="141" t="n"/>
      <c r="X18" s="78">
        <f>H18</f>
        <v/>
      </c>
      <c r="Y18" s="149" t="n">
        <v>1688145.17</v>
      </c>
      <c r="Z18" s="149" t="n">
        <v>1315249.58</v>
      </c>
      <c r="AA18" s="149" t="n">
        <v>372895.59</v>
      </c>
      <c r="AB18" s="149" t="n">
        <v>102187.1</v>
      </c>
      <c r="AC18" s="149" t="n">
        <v>1585958.07</v>
      </c>
    </row>
    <row customHeight="1" ht="16.5" r="19" s="40">
      <c r="A19" s="78" t="n">
        <v>45120</v>
      </c>
      <c r="B19" s="148" t="n">
        <v>2835521.88</v>
      </c>
      <c r="C19" s="148" t="n">
        <v>2409413.12</v>
      </c>
      <c r="D19" s="148" t="n">
        <v>426108.76</v>
      </c>
      <c r="E19" s="148" t="n">
        <v>894718.12</v>
      </c>
      <c r="F19" s="148" t="n">
        <v>1940803.76</v>
      </c>
      <c r="H19" s="80">
        <f>A19</f>
        <v/>
      </c>
      <c r="I19" s="150" t="n">
        <v>1193648.49</v>
      </c>
      <c r="J19" s="150" t="n">
        <v>1481</v>
      </c>
      <c r="K19" s="150" t="n">
        <v>1093103.75</v>
      </c>
      <c r="L19" s="150" t="n">
        <v>1456</v>
      </c>
      <c r="M19" s="150" t="n">
        <v>100544.74</v>
      </c>
      <c r="N19" s="150" t="n">
        <v>95</v>
      </c>
      <c r="O19" s="150" t="n">
        <v>802815.35</v>
      </c>
      <c r="P19" s="150" t="n">
        <v>123</v>
      </c>
      <c r="Q19" s="150" t="n">
        <v>390833.14</v>
      </c>
      <c r="R19" s="150" t="n">
        <v>1358</v>
      </c>
      <c r="S19" s="150" t="n">
        <v>21946.04</v>
      </c>
      <c r="T19" s="150" t="n">
        <v>76</v>
      </c>
      <c r="U19" s="150" t="n"/>
      <c r="V19" s="150" t="n"/>
      <c r="W19" s="141" t="n"/>
      <c r="X19" s="78">
        <f>H19</f>
        <v/>
      </c>
      <c r="Y19" s="149" t="n">
        <v>1641873.39</v>
      </c>
      <c r="Z19" s="149" t="n">
        <v>1316309.37</v>
      </c>
      <c r="AA19" s="149" t="n">
        <v>325564.02</v>
      </c>
      <c r="AB19" s="149" t="n">
        <v>91902.77</v>
      </c>
      <c r="AC19" s="149" t="n">
        <v>1549970.62</v>
      </c>
    </row>
    <row customHeight="1" ht="16.5" r="20" s="40">
      <c r="A20" s="78" t="n">
        <v>45121</v>
      </c>
      <c r="B20" s="148" t="n">
        <v>2913227.08</v>
      </c>
      <c r="C20" s="148" t="n">
        <v>2408614.56</v>
      </c>
      <c r="D20" s="148" t="n">
        <v>504612.52</v>
      </c>
      <c r="E20" s="148" t="n">
        <v>942005.51</v>
      </c>
      <c r="F20" s="148" t="n">
        <v>1971221.57</v>
      </c>
      <c r="H20" s="80">
        <f>A20</f>
        <v/>
      </c>
      <c r="I20" s="150" t="n">
        <v>1204781.24</v>
      </c>
      <c r="J20" s="150" t="n">
        <v>1467</v>
      </c>
      <c r="K20" s="150" t="n">
        <v>1091179.2</v>
      </c>
      <c r="L20" s="150" t="n">
        <v>1440</v>
      </c>
      <c r="M20" s="150" t="n">
        <v>113602.04</v>
      </c>
      <c r="N20" s="150" t="n">
        <v>97</v>
      </c>
      <c r="O20" s="150" t="n">
        <v>815419.87</v>
      </c>
      <c r="P20" s="150" t="n">
        <v>123</v>
      </c>
      <c r="Q20" s="150" t="n">
        <v>389361.37</v>
      </c>
      <c r="R20" s="150" t="n">
        <v>1344</v>
      </c>
      <c r="S20" s="150" t="n">
        <v>22020.01</v>
      </c>
      <c r="T20" s="150" t="n">
        <v>77</v>
      </c>
      <c r="U20" s="150" t="n"/>
      <c r="V20" s="150" t="n"/>
      <c r="W20" s="141" t="n"/>
      <c r="X20" s="78">
        <f>H20</f>
        <v/>
      </c>
      <c r="Y20" s="149" t="n">
        <v>1708445.84</v>
      </c>
      <c r="Z20" s="149" t="n">
        <v>1317435.36</v>
      </c>
      <c r="AA20" s="149" t="n">
        <v>391010.48</v>
      </c>
      <c r="AB20" s="149" t="n">
        <v>126585.64</v>
      </c>
      <c r="AC20" s="149" t="n">
        <v>1581860.2</v>
      </c>
    </row>
    <row customHeight="1" ht="16.5" r="21" s="40">
      <c r="A21" s="81" t="n">
        <v>45122</v>
      </c>
      <c r="B21" s="148" t="n">
        <v>2624101.23000001</v>
      </c>
      <c r="C21" s="148" t="n">
        <v>2126426.13</v>
      </c>
      <c r="D21" s="148" t="n">
        <v>497675.099999999</v>
      </c>
      <c r="E21" s="148" t="n">
        <v>966252.879999999</v>
      </c>
      <c r="F21" s="148" t="n">
        <v>1657848.35</v>
      </c>
      <c r="H21" s="80">
        <f>A21</f>
        <v/>
      </c>
      <c r="I21" s="150" t="n">
        <v>1143859.95</v>
      </c>
      <c r="J21" s="150" t="n">
        <v>1331</v>
      </c>
      <c r="K21" s="150" t="n">
        <v>1005342.2</v>
      </c>
      <c r="L21" s="150" t="n">
        <v>1305</v>
      </c>
      <c r="M21" s="150" t="n">
        <v>138517.75</v>
      </c>
      <c r="N21" s="150" t="n">
        <v>90</v>
      </c>
      <c r="O21" s="150" t="n">
        <v>833663.97</v>
      </c>
      <c r="P21" s="150" t="n">
        <v>121</v>
      </c>
      <c r="Q21" s="150" t="n">
        <v>310195.98</v>
      </c>
      <c r="R21" s="150" t="n">
        <v>1209</v>
      </c>
      <c r="S21" s="150" t="n">
        <v>21541.63</v>
      </c>
      <c r="T21" s="150" t="n">
        <v>71</v>
      </c>
      <c r="U21" s="150" t="n"/>
      <c r="V21" s="150" t="n"/>
      <c r="W21" s="141" t="n"/>
      <c r="X21" s="78">
        <f>H21</f>
        <v/>
      </c>
      <c r="Y21" s="149" t="n">
        <v>1480241.28</v>
      </c>
      <c r="Z21" s="149" t="n">
        <v>1121083.93</v>
      </c>
      <c r="AA21" s="149" t="n">
        <v>359157.35</v>
      </c>
      <c r="AB21" s="149" t="n">
        <v>132588.91</v>
      </c>
      <c r="AC21" s="149" t="n">
        <v>1347652.37</v>
      </c>
    </row>
    <row customHeight="1" ht="16.5" r="22" s="40">
      <c r="A22" s="78" t="n">
        <v>45123</v>
      </c>
      <c r="B22" s="148" t="n">
        <v>2425120.37</v>
      </c>
      <c r="C22" s="148" t="n">
        <v>1914093.73</v>
      </c>
      <c r="D22" s="148" t="n">
        <v>511026.64</v>
      </c>
      <c r="E22" s="148" t="n">
        <v>1015421.74</v>
      </c>
      <c r="F22" s="148" t="n">
        <v>1409698.63</v>
      </c>
      <c r="H22" s="80">
        <f>A22</f>
        <v/>
      </c>
      <c r="I22" s="150" t="n">
        <v>1152267.58</v>
      </c>
      <c r="J22" s="150" t="n">
        <v>1239</v>
      </c>
      <c r="K22" s="150" t="n">
        <v>1026627.94</v>
      </c>
      <c r="L22" s="150" t="n">
        <v>1212</v>
      </c>
      <c r="M22" s="150" t="n">
        <v>125639.64</v>
      </c>
      <c r="N22" s="150" t="n">
        <v>88</v>
      </c>
      <c r="O22" s="150" t="n">
        <v>854295.42</v>
      </c>
      <c r="P22" s="150" t="n">
        <v>119</v>
      </c>
      <c r="Q22" s="150" t="n">
        <v>297972.16</v>
      </c>
      <c r="R22" s="150" t="n">
        <v>1120</v>
      </c>
      <c r="S22" s="150" t="n">
        <v>21561.31</v>
      </c>
      <c r="T22" s="150" t="n">
        <v>67</v>
      </c>
      <c r="U22" s="150" t="n"/>
      <c r="V22" s="150" t="n"/>
      <c r="W22" s="141" t="n"/>
      <c r="X22" s="78">
        <f>H22</f>
        <v/>
      </c>
      <c r="Y22" s="149" t="n">
        <v>1272852.79</v>
      </c>
      <c r="Z22" s="149" t="n">
        <v>887465.79</v>
      </c>
      <c r="AA22" s="149" t="n">
        <v>385387</v>
      </c>
      <c r="AB22" s="149" t="n">
        <v>161126.32</v>
      </c>
      <c r="AC22" s="149" t="n">
        <v>1111726.47</v>
      </c>
    </row>
    <row customHeight="1" ht="16.5" r="23" s="40">
      <c r="A23" s="81" t="n">
        <v>45124</v>
      </c>
      <c r="B23" s="148" t="n">
        <v>2607478.35000001</v>
      </c>
      <c r="C23" s="148" t="n">
        <v>2178600.21</v>
      </c>
      <c r="D23" s="148" t="n">
        <v>428878.14</v>
      </c>
      <c r="E23" s="148" t="n">
        <v>952219.64</v>
      </c>
      <c r="F23" s="148" t="n">
        <v>1655258.71</v>
      </c>
      <c r="H23" s="80">
        <f>A23</f>
        <v/>
      </c>
      <c r="I23" s="150" t="n">
        <v>1231463.7</v>
      </c>
      <c r="J23" s="150" t="n">
        <v>1477</v>
      </c>
      <c r="K23" s="150" t="n">
        <v>1120067.12</v>
      </c>
      <c r="L23" s="150" t="n">
        <v>1447</v>
      </c>
      <c r="M23" s="150" t="n">
        <v>111396.58</v>
      </c>
      <c r="N23" s="150" t="n">
        <v>99</v>
      </c>
      <c r="O23" s="150" t="n">
        <v>839210.55</v>
      </c>
      <c r="P23" s="150" t="n">
        <v>121</v>
      </c>
      <c r="Q23" s="150" t="n">
        <v>392253.149999999</v>
      </c>
      <c r="R23" s="150" t="n">
        <v>1355</v>
      </c>
      <c r="S23" s="150" t="n">
        <v>21140.46</v>
      </c>
      <c r="T23" s="150" t="n">
        <v>72</v>
      </c>
      <c r="U23" s="150" t="n"/>
      <c r="V23" s="150" t="n"/>
      <c r="W23" s="141" t="n"/>
      <c r="X23" s="78">
        <f>H23</f>
        <v/>
      </c>
      <c r="Y23" s="149" t="n">
        <v>1376014.65</v>
      </c>
      <c r="Z23" s="149" t="n">
        <v>1058533.09</v>
      </c>
      <c r="AA23" s="149" t="n">
        <v>317481.56</v>
      </c>
      <c r="AB23" s="149" t="n">
        <v>113009.09</v>
      </c>
      <c r="AC23" s="149" t="n">
        <v>1263005.56</v>
      </c>
    </row>
    <row customHeight="1" ht="16.5" r="24" s="40">
      <c r="A24" s="78" t="n">
        <v>45125</v>
      </c>
      <c r="B24" s="148" t="n">
        <v>2565423.14</v>
      </c>
      <c r="C24" s="148" t="n">
        <v>2103471.15</v>
      </c>
      <c r="D24" s="148" t="n">
        <v>461951.99</v>
      </c>
      <c r="E24" s="148" t="n">
        <v>937161.86</v>
      </c>
      <c r="F24" s="148" t="n">
        <v>1628261.28</v>
      </c>
      <c r="H24" s="80">
        <f>A24</f>
        <v/>
      </c>
      <c r="I24" s="150" t="n">
        <v>1229915.9</v>
      </c>
      <c r="J24" s="150" t="n">
        <v>1479</v>
      </c>
      <c r="K24" s="150" t="n">
        <v>1113686.78</v>
      </c>
      <c r="L24" s="150" t="n">
        <v>1449</v>
      </c>
      <c r="M24" s="150" t="n">
        <v>116229.12</v>
      </c>
      <c r="N24" s="150" t="n">
        <v>101</v>
      </c>
      <c r="O24" s="150" t="n">
        <v>831938.77</v>
      </c>
      <c r="P24" s="150" t="n">
        <v>126</v>
      </c>
      <c r="Q24" s="150" t="n">
        <v>397977.13</v>
      </c>
      <c r="R24" s="150" t="n">
        <v>1353</v>
      </c>
      <c r="S24" s="150" t="n">
        <v>21235.35</v>
      </c>
      <c r="T24" s="150" t="n">
        <v>79</v>
      </c>
      <c r="U24" s="150" t="n"/>
      <c r="V24" s="150" t="n"/>
      <c r="W24" s="141" t="n"/>
      <c r="X24" s="78">
        <f>H24</f>
        <v/>
      </c>
      <c r="Y24" s="149" t="n">
        <v>1335507.24</v>
      </c>
      <c r="Z24" s="149" t="n">
        <v>989784.37</v>
      </c>
      <c r="AA24" s="149" t="n">
        <v>345722.87</v>
      </c>
      <c r="AB24" s="149" t="n">
        <v>105223.09</v>
      </c>
      <c r="AC24" s="149" t="n">
        <v>1230284.15</v>
      </c>
    </row>
    <row customHeight="1" ht="16.5" r="25" s="40">
      <c r="A25" s="78" t="n">
        <v>45126</v>
      </c>
      <c r="B25" s="148" t="n">
        <v>2500174.1</v>
      </c>
      <c r="C25" s="148" t="n">
        <v>2040464.19</v>
      </c>
      <c r="D25" s="148" t="n">
        <v>459709.91</v>
      </c>
      <c r="E25" s="148" t="n">
        <v>928533.05</v>
      </c>
      <c r="F25" s="148" t="n">
        <v>1571641.05</v>
      </c>
      <c r="H25" s="80">
        <f>A25</f>
        <v/>
      </c>
      <c r="I25" s="150" t="n">
        <v>1210110.66</v>
      </c>
      <c r="J25" s="150" t="n">
        <v>1476</v>
      </c>
      <c r="K25" s="150" t="n">
        <v>1093740.33</v>
      </c>
      <c r="L25" s="150" t="n">
        <v>1446</v>
      </c>
      <c r="M25" s="150" t="n">
        <v>116370.33</v>
      </c>
      <c r="N25" s="150" t="n">
        <v>103</v>
      </c>
      <c r="O25" s="150" t="n">
        <v>816332.09</v>
      </c>
      <c r="P25" s="150" t="n">
        <v>125</v>
      </c>
      <c r="Q25" s="150" t="n">
        <v>393778.57</v>
      </c>
      <c r="R25" s="150" t="n">
        <v>1351</v>
      </c>
      <c r="S25" s="150" t="n">
        <v>21144.87</v>
      </c>
      <c r="T25" s="150" t="n">
        <v>72</v>
      </c>
      <c r="U25" s="150" t="n"/>
      <c r="V25" s="150" t="n"/>
      <c r="W25" s="141" t="n"/>
      <c r="X25" s="78">
        <f>H25</f>
        <v/>
      </c>
      <c r="Y25" s="149" t="n">
        <v>1290063.44</v>
      </c>
      <c r="Z25" s="149" t="n">
        <v>946723.86</v>
      </c>
      <c r="AA25" s="149" t="n">
        <v>343339.58</v>
      </c>
      <c r="AB25" s="149" t="n">
        <v>112200.96</v>
      </c>
      <c r="AC25" s="149" t="n">
        <v>1177862.48</v>
      </c>
    </row>
    <row customHeight="1" ht="16.5" r="26" s="40">
      <c r="A26" s="78" t="n">
        <v>45127</v>
      </c>
      <c r="B26" s="148" t="n">
        <v>2618777.66</v>
      </c>
      <c r="C26" s="148" t="n">
        <v>2182799.26</v>
      </c>
      <c r="D26" s="148" t="n">
        <v>435978.4</v>
      </c>
      <c r="E26" s="148" t="n">
        <v>899527.96</v>
      </c>
      <c r="F26" s="148" t="n">
        <v>1719249.7</v>
      </c>
      <c r="H26" s="80">
        <f>A26</f>
        <v/>
      </c>
      <c r="I26" s="150" t="n">
        <v>1214930.4</v>
      </c>
      <c r="J26" s="150" t="n">
        <v>1489</v>
      </c>
      <c r="K26" s="150" t="n">
        <v>1100369.01</v>
      </c>
      <c r="L26" s="150" t="n">
        <v>1462</v>
      </c>
      <c r="M26" s="150" t="n">
        <v>114561.39</v>
      </c>
      <c r="N26" s="150" t="n">
        <v>102</v>
      </c>
      <c r="O26" s="150" t="n">
        <v>805748.79</v>
      </c>
      <c r="P26" s="150" t="n">
        <v>122</v>
      </c>
      <c r="Q26" s="150" t="n">
        <v>409181.61</v>
      </c>
      <c r="R26" s="150" t="n">
        <v>1367</v>
      </c>
      <c r="S26" s="150" t="n">
        <v>21114.55</v>
      </c>
      <c r="T26" s="150" t="n">
        <v>72</v>
      </c>
      <c r="U26" s="150" t="n"/>
      <c r="V26" s="150" t="n"/>
      <c r="W26" s="141" t="n"/>
      <c r="X26" s="78">
        <f>H26</f>
        <v/>
      </c>
      <c r="Y26" s="149" t="n">
        <v>1403847.26</v>
      </c>
      <c r="Z26" s="149" t="n">
        <v>1082430.25</v>
      </c>
      <c r="AA26" s="149" t="n">
        <v>321417.01</v>
      </c>
      <c r="AB26" s="149" t="n">
        <v>93779.17</v>
      </c>
      <c r="AC26" s="149" t="n">
        <v>1310068.09</v>
      </c>
    </row>
    <row customHeight="1" ht="16.5" r="27" s="40">
      <c r="A27" s="78" t="n">
        <v>45128</v>
      </c>
      <c r="B27" s="148" t="n">
        <v>2625753.49</v>
      </c>
      <c r="C27" s="148" t="n">
        <v>2209462.38</v>
      </c>
      <c r="D27" s="148" t="n">
        <v>416291.11</v>
      </c>
      <c r="E27" s="148" t="n">
        <v>898360.3</v>
      </c>
      <c r="F27" s="148" t="n">
        <v>1727393.19</v>
      </c>
      <c r="H27" s="80">
        <f>A27</f>
        <v/>
      </c>
      <c r="I27" s="150" t="n">
        <v>1221116.51</v>
      </c>
      <c r="J27" s="150" t="n">
        <v>1488</v>
      </c>
      <c r="K27" s="150" t="n">
        <v>1106978.93</v>
      </c>
      <c r="L27" s="150" t="n">
        <v>1462</v>
      </c>
      <c r="M27" s="150" t="n">
        <v>114137.58</v>
      </c>
      <c r="N27" s="150" t="n">
        <v>101</v>
      </c>
      <c r="O27" s="150" t="n">
        <v>807664.09</v>
      </c>
      <c r="P27" s="150" t="n">
        <v>123</v>
      </c>
      <c r="Q27" s="150" t="n">
        <v>413452.42</v>
      </c>
      <c r="R27" s="150" t="n">
        <v>1365</v>
      </c>
      <c r="S27" s="150" t="n">
        <v>21009.26</v>
      </c>
      <c r="T27" s="150" t="n">
        <v>71</v>
      </c>
      <c r="U27" s="150" t="n"/>
      <c r="V27" s="150" t="n"/>
      <c r="W27" s="141" t="n"/>
      <c r="X27" s="78">
        <f>H27</f>
        <v/>
      </c>
      <c r="Y27" s="149" t="n">
        <v>1404636.98</v>
      </c>
      <c r="Z27" s="149" t="n">
        <v>1102483.45</v>
      </c>
      <c r="AA27" s="149" t="n">
        <v>302153.53</v>
      </c>
      <c r="AB27" s="149" t="n">
        <v>90696.21000000001</v>
      </c>
      <c r="AC27" s="149" t="n">
        <v>1313940.77</v>
      </c>
    </row>
    <row customHeight="1" ht="16.5" r="28" s="40">
      <c r="A28" s="78" t="n">
        <v>45129</v>
      </c>
      <c r="B28" s="148" t="n">
        <v>2554415.06</v>
      </c>
      <c r="C28" s="148" t="n">
        <v>2092832.43</v>
      </c>
      <c r="D28" s="148" t="n">
        <v>461582.63</v>
      </c>
      <c r="E28" s="148" t="n">
        <v>923552.41</v>
      </c>
      <c r="F28" s="148" t="n">
        <v>1630862.65</v>
      </c>
      <c r="H28" s="80">
        <f>A28</f>
        <v/>
      </c>
      <c r="I28" s="150" t="n">
        <v>1172228.37</v>
      </c>
      <c r="J28" s="150" t="n">
        <v>1339</v>
      </c>
      <c r="K28" s="150" t="n">
        <v>1007805.45</v>
      </c>
      <c r="L28" s="150" t="n">
        <v>1312</v>
      </c>
      <c r="M28" s="150" t="n">
        <v>164422.92</v>
      </c>
      <c r="N28" s="150" t="n">
        <v>94</v>
      </c>
      <c r="O28" s="150" t="n">
        <v>834611.91</v>
      </c>
      <c r="P28" s="150" t="n">
        <v>121</v>
      </c>
      <c r="Q28" s="150" t="n">
        <v>337616.46</v>
      </c>
      <c r="R28" s="150" t="n">
        <v>1218</v>
      </c>
      <c r="S28" s="150" t="n">
        <v>20864.85</v>
      </c>
      <c r="T28" s="150" t="n">
        <v>69</v>
      </c>
      <c r="U28" s="150" t="n"/>
      <c r="V28" s="150" t="n"/>
      <c r="W28" s="141" t="n"/>
      <c r="X28" s="78">
        <f>H28</f>
        <v/>
      </c>
      <c r="Y28" s="149" t="n">
        <v>1382186.69</v>
      </c>
      <c r="Z28" s="149" t="n">
        <v>1085026.98</v>
      </c>
      <c r="AA28" s="149" t="n">
        <v>297159.71</v>
      </c>
      <c r="AB28" s="149" t="n">
        <v>88940.5</v>
      </c>
      <c r="AC28" s="149" t="n">
        <v>1293246.19</v>
      </c>
    </row>
    <row customHeight="1" ht="16.5" r="29" s="40">
      <c r="A29" s="78" t="n">
        <v>45130</v>
      </c>
      <c r="B29" s="148" t="n">
        <v>2460272.91</v>
      </c>
      <c r="C29" s="148" t="n">
        <v>1976081.69</v>
      </c>
      <c r="D29" s="148" t="n">
        <v>484191.22</v>
      </c>
      <c r="E29" s="148" t="n">
        <v>953882.4</v>
      </c>
      <c r="F29" s="148" t="n">
        <v>1506390.51</v>
      </c>
      <c r="H29" s="80">
        <f>A29</f>
        <v/>
      </c>
      <c r="I29" s="150" t="n">
        <v>1166044.44</v>
      </c>
      <c r="J29" s="150" t="n">
        <v>1243</v>
      </c>
      <c r="K29" s="150" t="n">
        <v>994740.6899999999</v>
      </c>
      <c r="L29" s="150" t="n">
        <v>1218</v>
      </c>
      <c r="M29" s="150" t="n">
        <v>171303.75</v>
      </c>
      <c r="N29" s="150" t="n">
        <v>91</v>
      </c>
      <c r="O29" s="150" t="n">
        <v>854312.95</v>
      </c>
      <c r="P29" s="150" t="n">
        <v>116</v>
      </c>
      <c r="Q29" s="150" t="n">
        <v>311731.49</v>
      </c>
      <c r="R29" s="150" t="n">
        <v>1127</v>
      </c>
      <c r="S29" s="150" t="n">
        <v>20652.73</v>
      </c>
      <c r="T29" s="150" t="n">
        <v>67</v>
      </c>
      <c r="U29" s="150" t="n"/>
      <c r="V29" s="150" t="n"/>
      <c r="W29" s="141" t="n"/>
      <c r="X29" s="78">
        <f>H29</f>
        <v/>
      </c>
      <c r="Y29" s="149" t="n">
        <v>1294228.47</v>
      </c>
      <c r="Z29" s="149" t="n">
        <v>981341</v>
      </c>
      <c r="AA29" s="149" t="n">
        <v>312887.47</v>
      </c>
      <c r="AB29" s="149" t="n">
        <v>99569.45</v>
      </c>
      <c r="AC29" s="149" t="n">
        <v>1194659.02</v>
      </c>
    </row>
    <row customHeight="1" ht="16.5" r="30" s="40">
      <c r="A30" s="78" t="n">
        <v>45131</v>
      </c>
      <c r="B30" s="148" t="n">
        <v>2673959.61</v>
      </c>
      <c r="C30" s="148" t="n">
        <v>2196762.78</v>
      </c>
      <c r="D30" s="148" t="n">
        <v>477196.83</v>
      </c>
      <c r="E30" s="148" t="n">
        <v>952393.9399999999</v>
      </c>
      <c r="F30" s="148" t="n">
        <v>1721565.67</v>
      </c>
      <c r="H30" s="80">
        <f>A30</f>
        <v/>
      </c>
      <c r="I30" s="150" t="n">
        <v>1260136.58</v>
      </c>
      <c r="J30" s="150" t="n">
        <v>1462</v>
      </c>
      <c r="K30" s="150" t="n">
        <v>1088729.46</v>
      </c>
      <c r="L30" s="150" t="n">
        <v>1434</v>
      </c>
      <c r="M30" s="150" t="n">
        <v>171407.12</v>
      </c>
      <c r="N30" s="150" t="n">
        <v>100</v>
      </c>
      <c r="O30" s="150" t="n">
        <v>858575.39</v>
      </c>
      <c r="P30" s="150" t="n">
        <v>122</v>
      </c>
      <c r="Q30" s="150" t="n">
        <v>401561.19</v>
      </c>
      <c r="R30" s="150" t="n">
        <v>1340</v>
      </c>
      <c r="S30" s="150" t="n">
        <v>18401.26</v>
      </c>
      <c r="T30" s="150" t="n">
        <v>73</v>
      </c>
      <c r="U30" s="150" t="n"/>
      <c r="V30" s="150" t="n"/>
      <c r="W30" s="141" t="n"/>
      <c r="X30" s="78">
        <f>H30</f>
        <v/>
      </c>
      <c r="Y30" s="149" t="n">
        <v>1413823.03</v>
      </c>
      <c r="Z30" s="149" t="n">
        <v>1108033.32</v>
      </c>
      <c r="AA30" s="149" t="n">
        <v>305789.71</v>
      </c>
      <c r="AB30" s="149" t="n">
        <v>93818.55</v>
      </c>
      <c r="AC30" s="149" t="n">
        <v>1320004.48</v>
      </c>
    </row>
    <row customHeight="1" ht="16.5" r="31" s="40">
      <c r="A31" s="78" t="n">
        <v>45132</v>
      </c>
      <c r="B31" s="148" t="n">
        <v>2622774.2</v>
      </c>
      <c r="C31" s="148" t="n">
        <v>2154690.82</v>
      </c>
      <c r="D31" s="148" t="n">
        <v>468083.38</v>
      </c>
      <c r="E31" s="148" t="n">
        <v>914951.03</v>
      </c>
      <c r="F31" s="148" t="n">
        <v>1707823.17</v>
      </c>
      <c r="H31" s="80">
        <f>A31</f>
        <v/>
      </c>
      <c r="I31" s="150" t="n">
        <v>1219295.58</v>
      </c>
      <c r="J31" s="150" t="n">
        <v>1457</v>
      </c>
      <c r="K31" s="150" t="n">
        <v>1058730.62</v>
      </c>
      <c r="L31" s="150" t="n">
        <v>1429</v>
      </c>
      <c r="M31" s="150" t="n">
        <v>160564.96</v>
      </c>
      <c r="N31" s="150" t="n">
        <v>101</v>
      </c>
      <c r="O31" s="150" t="n">
        <v>824392.5600000001</v>
      </c>
      <c r="P31" s="150" t="n">
        <v>121</v>
      </c>
      <c r="Q31" s="150" t="n">
        <v>394903.02</v>
      </c>
      <c r="R31" s="150" t="n">
        <v>1335</v>
      </c>
      <c r="S31" s="150" t="n">
        <v>18174.01</v>
      </c>
      <c r="T31" s="150" t="n">
        <v>69</v>
      </c>
      <c r="U31" s="150" t="n"/>
      <c r="V31" s="150" t="n"/>
      <c r="W31" s="141" t="n"/>
      <c r="X31" s="78">
        <f>H31</f>
        <v/>
      </c>
      <c r="Y31" s="149" t="n">
        <v>1403478.62</v>
      </c>
      <c r="Z31" s="149" t="n">
        <v>1095960.2</v>
      </c>
      <c r="AA31" s="149" t="n">
        <v>307518.42</v>
      </c>
      <c r="AB31" s="149" t="n">
        <v>90558.47</v>
      </c>
      <c r="AC31" s="149" t="n">
        <v>1312920.15</v>
      </c>
    </row>
    <row customHeight="1" ht="16.5" r="32" s="40">
      <c r="A32" s="78" t="n">
        <v>45133</v>
      </c>
      <c r="B32" s="148" t="n">
        <v>2783576.77</v>
      </c>
      <c r="C32" s="148" t="n">
        <v>2315874.32</v>
      </c>
      <c r="D32" s="148" t="n">
        <v>467702.45</v>
      </c>
      <c r="E32" s="148" t="n">
        <v>882015.66</v>
      </c>
      <c r="F32" s="148" t="n">
        <v>1901561.11</v>
      </c>
      <c r="H32" s="80">
        <f>A32</f>
        <v/>
      </c>
      <c r="I32" s="150" t="n">
        <v>1195718.65</v>
      </c>
      <c r="J32" s="150" t="n">
        <v>1466</v>
      </c>
      <c r="K32" s="150" t="n">
        <v>1030534.18</v>
      </c>
      <c r="L32" s="150" t="n">
        <v>1439</v>
      </c>
      <c r="M32" s="150" t="n">
        <v>165184.47</v>
      </c>
      <c r="N32" s="150" t="n">
        <v>99</v>
      </c>
      <c r="O32" s="150" t="n">
        <v>778356.349999999</v>
      </c>
      <c r="P32" s="150" t="n">
        <v>118</v>
      </c>
      <c r="Q32" s="150" t="n">
        <v>417362.3</v>
      </c>
      <c r="R32" s="150" t="n">
        <v>1347</v>
      </c>
      <c r="S32" s="150" t="n">
        <v>18133.97</v>
      </c>
      <c r="T32" s="150" t="n">
        <v>67</v>
      </c>
      <c r="U32" s="150" t="n"/>
      <c r="V32" s="150" t="n"/>
      <c r="W32" s="141" t="n"/>
      <c r="X32" s="78">
        <f>H32</f>
        <v/>
      </c>
      <c r="Y32" s="149" t="n">
        <v>1587858.12</v>
      </c>
      <c r="Z32" s="149" t="n">
        <v>1285340.14</v>
      </c>
      <c r="AA32" s="149" t="n">
        <v>302517.98</v>
      </c>
      <c r="AB32" s="149" t="n">
        <v>103659.31</v>
      </c>
      <c r="AC32" s="149" t="n">
        <v>1484198.81</v>
      </c>
    </row>
    <row customHeight="1" ht="16.5" r="33" s="40">
      <c r="A33" s="78" t="n">
        <v>45134</v>
      </c>
      <c r="B33" s="148" t="n">
        <v>2618637.81</v>
      </c>
      <c r="C33" s="148" t="n">
        <v>2178564.13</v>
      </c>
      <c r="D33" s="148" t="n">
        <v>440073.68</v>
      </c>
      <c r="E33" s="148" t="n">
        <v>776697.4</v>
      </c>
      <c r="F33" s="148" t="n">
        <v>1841940.41</v>
      </c>
      <c r="H33" s="80">
        <f>A33</f>
        <v/>
      </c>
      <c r="I33" s="150" t="n">
        <v>1054113.37</v>
      </c>
      <c r="J33" s="150" t="n">
        <v>1458</v>
      </c>
      <c r="K33" s="150" t="n">
        <v>916457.76</v>
      </c>
      <c r="L33" s="150" t="n">
        <v>1429</v>
      </c>
      <c r="M33" s="150" t="n">
        <v>137655.61</v>
      </c>
      <c r="N33" s="150" t="n">
        <v>98</v>
      </c>
      <c r="O33" s="150" t="n">
        <v>668757.36</v>
      </c>
      <c r="P33" s="150" t="n">
        <v>119</v>
      </c>
      <c r="Q33" s="150" t="n">
        <v>385356.01</v>
      </c>
      <c r="R33" s="150" t="n">
        <v>1339</v>
      </c>
      <c r="S33" s="150" t="n">
        <v>18120.19</v>
      </c>
      <c r="T33" s="150" t="n">
        <v>69</v>
      </c>
      <c r="U33" s="150" t="n"/>
      <c r="V33" s="150" t="n"/>
      <c r="W33" s="141" t="n"/>
      <c r="X33" s="78">
        <f>H33</f>
        <v/>
      </c>
      <c r="Y33" s="149" t="n">
        <v>1564524.44</v>
      </c>
      <c r="Z33" s="149" t="n">
        <v>1262106.37</v>
      </c>
      <c r="AA33" s="149" t="n">
        <v>302418.07</v>
      </c>
      <c r="AB33" s="149" t="n">
        <v>107940.04</v>
      </c>
      <c r="AC33" s="149" t="n">
        <v>1456584.4</v>
      </c>
    </row>
    <row customHeight="1" ht="16.5" r="34" s="40">
      <c r="A34" s="78" t="n">
        <v>45135</v>
      </c>
      <c r="B34" s="148" t="n">
        <v>2513764.48</v>
      </c>
      <c r="C34" s="148" t="n">
        <v>2020145.74</v>
      </c>
      <c r="D34" s="148" t="n">
        <v>493618.74</v>
      </c>
      <c r="E34" s="148" t="n">
        <v>704818.5600000001</v>
      </c>
      <c r="F34" s="148" t="n">
        <v>1808945.92</v>
      </c>
      <c r="H34" s="80">
        <f>A34</f>
        <v/>
      </c>
      <c r="I34" s="150" t="n">
        <v>926694.1800000001</v>
      </c>
      <c r="J34" s="150" t="n">
        <v>1414</v>
      </c>
      <c r="K34" s="150" t="n">
        <v>765894.9399999999</v>
      </c>
      <c r="L34" s="150" t="n">
        <v>1384</v>
      </c>
      <c r="M34" s="150" t="n">
        <v>160799.24</v>
      </c>
      <c r="N34" s="150" t="n">
        <v>95</v>
      </c>
      <c r="O34" s="150" t="n">
        <v>583338.83</v>
      </c>
      <c r="P34" s="150" t="n">
        <v>116</v>
      </c>
      <c r="Q34" s="150" t="n">
        <v>343355.35</v>
      </c>
      <c r="R34" s="150" t="n">
        <v>1298</v>
      </c>
      <c r="S34" s="150" t="n">
        <v>17921.83</v>
      </c>
      <c r="T34" s="150" t="n">
        <v>63</v>
      </c>
      <c r="U34" s="150" t="n"/>
      <c r="V34" s="150" t="n"/>
      <c r="W34" s="141" t="n"/>
      <c r="X34" s="78">
        <f>H34</f>
        <v/>
      </c>
      <c r="Y34" s="149" t="n">
        <v>1587070.3</v>
      </c>
      <c r="Z34" s="149" t="n">
        <v>1254250.8</v>
      </c>
      <c r="AA34" s="149" t="n">
        <v>332819.5</v>
      </c>
      <c r="AB34" s="149" t="n">
        <v>121479.73</v>
      </c>
      <c r="AC34" s="149" t="n">
        <v>1465590.57</v>
      </c>
    </row>
    <row customHeight="1" ht="16.5" r="35" s="40">
      <c r="A35" s="78" t="n">
        <v>45136</v>
      </c>
      <c r="B35" s="148" t="n">
        <v>2581741.19</v>
      </c>
      <c r="C35" s="148" t="n">
        <v>2138504.83</v>
      </c>
      <c r="D35" s="148" t="n">
        <v>443236.36</v>
      </c>
      <c r="E35" s="148" t="n">
        <v>842785.84</v>
      </c>
      <c r="F35" s="148" t="n">
        <v>1738955.35</v>
      </c>
      <c r="H35" s="80">
        <f>A35</f>
        <v/>
      </c>
      <c r="I35" s="150" t="n">
        <v>1060411.76</v>
      </c>
      <c r="J35" s="150" t="n">
        <v>1294</v>
      </c>
      <c r="K35" s="150" t="n">
        <v>916248.58</v>
      </c>
      <c r="L35" s="150" t="n">
        <v>1268</v>
      </c>
      <c r="M35" s="150" t="n">
        <v>144163.18</v>
      </c>
      <c r="N35" s="150" t="n">
        <v>88</v>
      </c>
      <c r="O35" s="150" t="n">
        <v>746113.76</v>
      </c>
      <c r="P35" s="150" t="n">
        <v>118</v>
      </c>
      <c r="Q35" s="150" t="n">
        <v>314298</v>
      </c>
      <c r="R35" s="150" t="n">
        <v>1176</v>
      </c>
      <c r="S35" s="150" t="n">
        <v>18038.83</v>
      </c>
      <c r="T35" s="150" t="n">
        <v>67</v>
      </c>
      <c r="U35" s="150" t="n"/>
      <c r="V35" s="150" t="n"/>
      <c r="W35" s="141" t="n"/>
      <c r="X35" s="78">
        <f>H35</f>
        <v/>
      </c>
      <c r="Y35" s="149" t="n">
        <v>1521329.43</v>
      </c>
      <c r="Z35" s="149" t="n">
        <v>1222256.25</v>
      </c>
      <c r="AA35" s="149" t="n">
        <v>299073.18</v>
      </c>
      <c r="AB35" s="149" t="n">
        <v>96672.08</v>
      </c>
      <c r="AC35" s="149" t="n">
        <v>1424657.35</v>
      </c>
    </row>
    <row customHeight="1" ht="16.5" r="36" s="40">
      <c r="A36" s="78" t="n">
        <v>45137</v>
      </c>
      <c r="B36" s="148" t="n">
        <v>2591091.99</v>
      </c>
      <c r="C36" s="148" t="n">
        <v>2115231.56</v>
      </c>
      <c r="D36" s="148" t="n">
        <v>475860.43</v>
      </c>
      <c r="E36" s="148" t="n">
        <v>949191.97</v>
      </c>
      <c r="F36" s="148" t="n">
        <v>1641900.02</v>
      </c>
      <c r="H36" s="80">
        <f>A36</f>
        <v/>
      </c>
      <c r="I36" s="150" t="n">
        <v>1124175.73</v>
      </c>
      <c r="J36" s="150" t="n">
        <v>1209</v>
      </c>
      <c r="K36" s="150" t="n">
        <v>948524.9399999999</v>
      </c>
      <c r="L36" s="150" t="n">
        <v>1183</v>
      </c>
      <c r="M36" s="150" t="n">
        <v>175650.79</v>
      </c>
      <c r="N36" s="150" t="n">
        <v>87</v>
      </c>
      <c r="O36" s="150" t="n">
        <v>829404.33</v>
      </c>
      <c r="P36" s="150" t="n">
        <v>114</v>
      </c>
      <c r="Q36" s="150" t="n">
        <v>294771.4</v>
      </c>
      <c r="R36" s="150" t="n">
        <v>1095</v>
      </c>
      <c r="S36" s="150" t="n">
        <v>17948.73</v>
      </c>
      <c r="T36" s="150" t="n">
        <v>62</v>
      </c>
      <c r="U36" s="150" t="n"/>
      <c r="V36" s="150" t="n"/>
      <c r="W36" s="141" t="n"/>
      <c r="X36" s="78">
        <f>H36</f>
        <v/>
      </c>
      <c r="Y36" s="149" t="n">
        <v>1466916.26</v>
      </c>
      <c r="Z36" s="149" t="n">
        <v>1166706.62</v>
      </c>
      <c r="AA36" s="149" t="n">
        <v>300209.64</v>
      </c>
      <c r="AB36" s="149" t="n">
        <v>119787.64</v>
      </c>
      <c r="AC36" s="149" t="n">
        <v>1347128.62</v>
      </c>
    </row>
    <row customHeight="1" ht="16.5" r="37" s="40">
      <c r="A37" s="78" t="n">
        <v>45138</v>
      </c>
      <c r="B37" s="148" t="n">
        <v>2815187.46</v>
      </c>
      <c r="C37" s="148" t="n">
        <v>2345733.54</v>
      </c>
      <c r="D37" s="148" t="n">
        <v>469453.92</v>
      </c>
      <c r="E37" s="148" t="n">
        <v>961745.48</v>
      </c>
      <c r="F37" s="148" t="n">
        <v>1853441.98</v>
      </c>
      <c r="H37" s="80">
        <f>A37</f>
        <v/>
      </c>
      <c r="I37" s="150" t="n">
        <v>1241988.89</v>
      </c>
      <c r="J37" s="150" t="n">
        <v>1437</v>
      </c>
      <c r="K37" s="150" t="n">
        <v>1071131.14</v>
      </c>
      <c r="L37" s="150" t="n">
        <v>1409</v>
      </c>
      <c r="M37" s="150" t="n">
        <v>170857.75</v>
      </c>
      <c r="N37" s="150" t="n">
        <v>93</v>
      </c>
      <c r="O37" s="150" t="n">
        <v>849537.38</v>
      </c>
      <c r="P37" s="150" t="n">
        <v>118</v>
      </c>
      <c r="Q37" s="150" t="n">
        <v>392451.51</v>
      </c>
      <c r="R37" s="150" t="n">
        <v>1319</v>
      </c>
      <c r="S37" s="150" t="n">
        <v>17387.13</v>
      </c>
      <c r="T37" s="150" t="n">
        <v>71</v>
      </c>
      <c r="U37" s="150" t="n"/>
      <c r="V37" s="150" t="n"/>
      <c r="W37" s="141" t="n"/>
      <c r="X37" s="78">
        <f>H37</f>
        <v/>
      </c>
      <c r="Y37" s="149" t="n">
        <v>1573198.57</v>
      </c>
      <c r="Z37" s="149" t="n">
        <v>1274602.4</v>
      </c>
      <c r="AA37" s="149" t="n">
        <v>298596.17</v>
      </c>
      <c r="AB37" s="149" t="n">
        <v>112208.1</v>
      </c>
      <c r="AC37" s="149" t="n">
        <v>1460990.47</v>
      </c>
    </row>
    <row customHeight="1" ht="16.5" r="38" s="40">
      <c r="A38" s="78" t="n">
        <v>45139</v>
      </c>
      <c r="B38" s="148" t="n">
        <v>2745468.24</v>
      </c>
      <c r="C38" s="148" t="n">
        <v>2302860.22</v>
      </c>
      <c r="D38" s="148" t="n">
        <v>442608.02</v>
      </c>
      <c r="E38" s="148" t="n">
        <v>927320.75</v>
      </c>
      <c r="F38" s="148" t="n">
        <v>1818147.49</v>
      </c>
      <c r="H38" s="80">
        <f>A38</f>
        <v/>
      </c>
      <c r="I38" s="150" t="n">
        <v>1177103.41</v>
      </c>
      <c r="J38" s="150" t="n">
        <v>1440</v>
      </c>
      <c r="K38" s="150" t="n">
        <v>1036352.17</v>
      </c>
      <c r="L38" s="150" t="n">
        <v>1409</v>
      </c>
      <c r="M38" s="150" t="n">
        <v>140751.24</v>
      </c>
      <c r="N38" s="150" t="n">
        <v>94</v>
      </c>
      <c r="O38" s="150" t="n">
        <v>804207.1899999999</v>
      </c>
      <c r="P38" s="150" t="n">
        <v>121</v>
      </c>
      <c r="Q38" s="150" t="n">
        <v>372896.22</v>
      </c>
      <c r="R38" s="150" t="n">
        <v>1319</v>
      </c>
      <c r="S38" s="150" t="n">
        <v>17388.66</v>
      </c>
      <c r="T38" s="150" t="n">
        <v>72</v>
      </c>
      <c r="U38" s="150" t="n"/>
      <c r="V38" s="150" t="n"/>
      <c r="W38" s="141" t="n"/>
      <c r="X38" s="78">
        <f>H38</f>
        <v/>
      </c>
      <c r="Y38" s="149" t="n">
        <v>1568364.83</v>
      </c>
      <c r="Z38" s="149" t="n">
        <v>1266508.05</v>
      </c>
      <c r="AA38" s="149" t="n">
        <v>301856.78</v>
      </c>
      <c r="AB38" s="149" t="n">
        <v>123113.56</v>
      </c>
      <c r="AC38" s="149" t="n">
        <v>1445251.27</v>
      </c>
    </row>
    <row customHeight="1" ht="16.5" r="39" s="40">
      <c r="A39" s="78" t="n">
        <v>45140</v>
      </c>
      <c r="B39" s="148" t="n">
        <v>2807547.28</v>
      </c>
      <c r="C39" s="148" t="n">
        <v>2381161.19</v>
      </c>
      <c r="D39" s="148" t="n">
        <v>426386.09</v>
      </c>
      <c r="E39" s="148" t="n">
        <v>948105.1</v>
      </c>
      <c r="F39" s="148" t="n">
        <v>1859442.18</v>
      </c>
      <c r="H39" s="80">
        <f>A39</f>
        <v/>
      </c>
      <c r="I39" s="150" t="n">
        <v>1201153.25</v>
      </c>
      <c r="J39" s="150" t="n">
        <v>1452</v>
      </c>
      <c r="K39" s="150" t="n">
        <v>1059419.25</v>
      </c>
      <c r="L39" s="150" t="n">
        <v>1421</v>
      </c>
      <c r="M39" s="150" t="n">
        <v>141734</v>
      </c>
      <c r="N39" s="150" t="n">
        <v>91</v>
      </c>
      <c r="O39" s="150" t="n">
        <v>823436.2</v>
      </c>
      <c r="P39" s="150" t="n">
        <v>119</v>
      </c>
      <c r="Q39" s="150" t="n">
        <v>377717.05</v>
      </c>
      <c r="R39" s="150" t="n">
        <v>1333</v>
      </c>
      <c r="S39" s="150" t="n">
        <v>17361.47</v>
      </c>
      <c r="T39" s="150" t="n">
        <v>69</v>
      </c>
      <c r="U39" s="150" t="n"/>
      <c r="V39" s="150" t="n"/>
      <c r="W39" s="141" t="n"/>
      <c r="X39" s="78">
        <f>H39</f>
        <v/>
      </c>
      <c r="Y39" s="149" t="n">
        <v>1606394.03</v>
      </c>
      <c r="Z39" s="149" t="n">
        <v>1321741.94</v>
      </c>
      <c r="AA39" s="149" t="n">
        <v>284652.09</v>
      </c>
      <c r="AB39" s="149" t="n">
        <v>124668.9</v>
      </c>
      <c r="AC39" s="149" t="n">
        <v>1481725.13</v>
      </c>
    </row>
    <row customHeight="1" ht="16.5" r="40" s="40">
      <c r="A40" s="78" t="n">
        <v>45141</v>
      </c>
      <c r="B40" s="148" t="n">
        <v>2797201.97</v>
      </c>
      <c r="C40" s="148" t="n">
        <v>2374942.17</v>
      </c>
      <c r="D40" s="148" t="n">
        <v>422259.8</v>
      </c>
      <c r="E40" s="148" t="n">
        <v>956960.33</v>
      </c>
      <c r="F40" s="148" t="n">
        <v>1840241.64</v>
      </c>
      <c r="H40" s="80">
        <f>A40</f>
        <v/>
      </c>
      <c r="I40" s="150" t="n">
        <v>1216543.68</v>
      </c>
      <c r="J40" s="150" t="n">
        <v>1454</v>
      </c>
      <c r="K40" s="150" t="n">
        <v>1064550.81</v>
      </c>
      <c r="L40" s="150" t="n">
        <v>1422</v>
      </c>
      <c r="M40" s="150" t="n">
        <v>151992.87</v>
      </c>
      <c r="N40" s="150" t="n">
        <v>91</v>
      </c>
      <c r="O40" s="150" t="n">
        <v>845688.1899999999</v>
      </c>
      <c r="P40" s="150" t="n">
        <v>121</v>
      </c>
      <c r="Q40" s="150" t="n">
        <v>370855.49</v>
      </c>
      <c r="R40" s="150" t="n">
        <v>1333</v>
      </c>
      <c r="S40" s="150" t="n">
        <v>17622.18</v>
      </c>
      <c r="T40" s="150" t="n">
        <v>71</v>
      </c>
      <c r="U40" s="150" t="n"/>
      <c r="V40" s="150" t="n"/>
      <c r="W40" s="141" t="n"/>
      <c r="X40" s="78">
        <f>H40</f>
        <v/>
      </c>
      <c r="Y40" s="149" t="n">
        <v>1580658.29</v>
      </c>
      <c r="Z40" s="149" t="n">
        <v>1310391.36</v>
      </c>
      <c r="AA40" s="149" t="n">
        <v>270266.93</v>
      </c>
      <c r="AB40" s="149" t="n">
        <v>111272.14</v>
      </c>
      <c r="AC40" s="149" t="n">
        <v>1469386.15</v>
      </c>
    </row>
    <row customHeight="1" ht="16.5" r="41" s="40">
      <c r="A41" s="78" t="n">
        <v>45142</v>
      </c>
      <c r="B41" s="148" t="n">
        <v>2874847.05</v>
      </c>
      <c r="C41" s="148" t="n">
        <v>2436488.84</v>
      </c>
      <c r="D41" s="148" t="n">
        <v>438358.21</v>
      </c>
      <c r="E41" s="148" t="n">
        <v>978217.2</v>
      </c>
      <c r="F41" s="148" t="n">
        <v>1896629.85</v>
      </c>
      <c r="H41" s="80">
        <f>A41</f>
        <v/>
      </c>
      <c r="I41" s="150" t="n">
        <v>1230201.4</v>
      </c>
      <c r="J41" s="150" t="n">
        <v>1456</v>
      </c>
      <c r="K41" s="150" t="n">
        <v>1081385.33</v>
      </c>
      <c r="L41" s="150" t="n">
        <v>1426</v>
      </c>
      <c r="M41" s="150" t="n">
        <v>148816.07</v>
      </c>
      <c r="N41" s="150" t="n">
        <v>88</v>
      </c>
      <c r="O41" s="150" t="n">
        <v>855443.39</v>
      </c>
      <c r="P41" s="150" t="n">
        <v>120</v>
      </c>
      <c r="Q41" s="150" t="n">
        <v>374758.01</v>
      </c>
      <c r="R41" s="150" t="n">
        <v>1336</v>
      </c>
      <c r="S41" s="150" t="n">
        <v>17413.13</v>
      </c>
      <c r="T41" s="150" t="n">
        <v>69</v>
      </c>
      <c r="U41" s="150" t="n"/>
      <c r="V41" s="150" t="n"/>
      <c r="W41" s="141" t="n"/>
      <c r="X41" s="78">
        <f>H41</f>
        <v/>
      </c>
      <c r="Y41" s="149" t="n">
        <v>1644645.65</v>
      </c>
      <c r="Z41" s="149" t="n">
        <v>1355103.51</v>
      </c>
      <c r="AA41" s="149" t="n">
        <v>289542.14</v>
      </c>
      <c r="AB41" s="149" t="n">
        <v>122773.81</v>
      </c>
      <c r="AC41" s="149" t="n">
        <v>1521871.84</v>
      </c>
    </row>
    <row customHeight="1" ht="16.5" r="42" s="40">
      <c r="A42" s="78" t="n">
        <v>45143</v>
      </c>
      <c r="B42" s="148" t="n">
        <v>2922891.63999999</v>
      </c>
      <c r="C42" s="148" t="n">
        <v>2407043.64</v>
      </c>
      <c r="D42" s="148" t="n">
        <v>515848</v>
      </c>
      <c r="E42" s="148" t="n">
        <v>1004710.83</v>
      </c>
      <c r="F42" s="148" t="n">
        <v>1918180.81</v>
      </c>
      <c r="H42" s="80">
        <f>A42</f>
        <v/>
      </c>
      <c r="I42" s="150" t="n">
        <v>1142160.52</v>
      </c>
      <c r="J42" s="150" t="n">
        <v>1301</v>
      </c>
      <c r="K42" s="150" t="n">
        <v>981600.3599999991</v>
      </c>
      <c r="L42" s="150" t="n">
        <v>1272</v>
      </c>
      <c r="M42" s="150" t="n">
        <v>160560.16</v>
      </c>
      <c r="N42" s="150" t="n">
        <v>84</v>
      </c>
      <c r="O42" s="150" t="n">
        <v>845230.51</v>
      </c>
      <c r="P42" s="150" t="n">
        <v>118</v>
      </c>
      <c r="Q42" s="150" t="n">
        <v>296930.01</v>
      </c>
      <c r="R42" s="150" t="n">
        <v>1182</v>
      </c>
      <c r="S42" s="150" t="n">
        <v>17175.13</v>
      </c>
      <c r="T42" s="150" t="n">
        <v>70</v>
      </c>
      <c r="U42" s="150" t="n"/>
      <c r="V42" s="150" t="n"/>
      <c r="W42" s="141" t="n"/>
      <c r="X42" s="78">
        <f>H42</f>
        <v/>
      </c>
      <c r="Y42" s="149" t="n">
        <v>1780731.12</v>
      </c>
      <c r="Z42" s="149" t="n">
        <v>1425443.28</v>
      </c>
      <c r="AA42" s="149" t="n">
        <v>355287.84</v>
      </c>
      <c r="AB42" s="149" t="n">
        <v>159480.32</v>
      </c>
      <c r="AC42" s="149" t="n">
        <v>1621250.8</v>
      </c>
    </row>
    <row customHeight="1" ht="16.5" r="43" s="40">
      <c r="A43" s="78" t="n">
        <v>45144</v>
      </c>
      <c r="B43" s="148" t="n">
        <v>2808771.03</v>
      </c>
      <c r="C43" s="148" t="n">
        <v>2275427.92</v>
      </c>
      <c r="D43" s="148" t="n">
        <v>533343.11</v>
      </c>
      <c r="E43" s="148" t="n">
        <v>1021830.16</v>
      </c>
      <c r="F43" s="148" t="n">
        <v>1786940.87</v>
      </c>
      <c r="H43" s="80">
        <f>A43</f>
        <v/>
      </c>
      <c r="I43" s="150" t="n">
        <v>1147307.73</v>
      </c>
      <c r="J43" s="150" t="n">
        <v>1217</v>
      </c>
      <c r="K43" s="150" t="n">
        <v>973031.52</v>
      </c>
      <c r="L43" s="150" t="n">
        <v>1187</v>
      </c>
      <c r="M43" s="150" t="n">
        <v>174276.21</v>
      </c>
      <c r="N43" s="150" t="n">
        <v>79</v>
      </c>
      <c r="O43" s="150" t="n">
        <v>884145.23</v>
      </c>
      <c r="P43" s="150" t="n">
        <v>115</v>
      </c>
      <c r="Q43" s="150" t="n">
        <v>263162.5</v>
      </c>
      <c r="R43" s="150" t="n">
        <v>1101</v>
      </c>
      <c r="S43" s="150" t="n">
        <v>16862.49</v>
      </c>
      <c r="T43" s="150" t="n">
        <v>65</v>
      </c>
      <c r="U43" s="150" t="n"/>
      <c r="V43" s="150" t="n"/>
      <c r="W43" s="141" t="n"/>
      <c r="X43" s="78">
        <f>H43</f>
        <v/>
      </c>
      <c r="Y43" s="149" t="n">
        <v>1661463.3</v>
      </c>
      <c r="Z43" s="149" t="n">
        <v>1302396.4</v>
      </c>
      <c r="AA43" s="149" t="n">
        <v>359066.9</v>
      </c>
      <c r="AB43" s="149" t="n">
        <v>137684.93</v>
      </c>
      <c r="AC43" s="149" t="n">
        <v>1523778.37</v>
      </c>
    </row>
    <row customHeight="1" ht="16.5" r="44" s="40">
      <c r="A44" s="78" t="n">
        <v>45145</v>
      </c>
      <c r="B44" s="148" t="n">
        <v>3010336.91</v>
      </c>
      <c r="C44" s="148" t="n">
        <v>2516703.19</v>
      </c>
      <c r="D44" s="148" t="n">
        <v>493633.72</v>
      </c>
      <c r="E44" s="148" t="n">
        <v>991388.42</v>
      </c>
      <c r="F44" s="148" t="n">
        <v>2018948.49000001</v>
      </c>
      <c r="H44" s="80">
        <f>A44</f>
        <v/>
      </c>
      <c r="I44" s="150" t="n">
        <v>1216570.34</v>
      </c>
      <c r="J44" s="150" t="n">
        <v>1443</v>
      </c>
      <c r="K44" s="150" t="n">
        <v>1067482.09</v>
      </c>
      <c r="L44" s="150" t="n">
        <v>1410</v>
      </c>
      <c r="M44" s="150" t="n">
        <v>149088.25</v>
      </c>
      <c r="N44" s="150" t="n">
        <v>89</v>
      </c>
      <c r="O44" s="150" t="n">
        <v>855882.219999999</v>
      </c>
      <c r="P44" s="150" t="n">
        <v>120</v>
      </c>
      <c r="Q44" s="150" t="n">
        <v>360688.12</v>
      </c>
      <c r="R44" s="150" t="n">
        <v>1322</v>
      </c>
      <c r="S44" s="150" t="n">
        <v>18947.47</v>
      </c>
      <c r="T44" s="150" t="n">
        <v>72</v>
      </c>
      <c r="U44" s="150" t="n"/>
      <c r="V44" s="150" t="n"/>
      <c r="W44" s="141" t="n"/>
      <c r="X44" s="78">
        <f>H44</f>
        <v/>
      </c>
      <c r="Y44" s="149" t="n">
        <v>1793766.57</v>
      </c>
      <c r="Z44" s="149" t="n">
        <v>1449221.1</v>
      </c>
      <c r="AA44" s="149" t="n">
        <v>344545.47</v>
      </c>
      <c r="AB44" s="149" t="n">
        <v>135506.2</v>
      </c>
      <c r="AC44" s="149" t="n">
        <v>1658260.37</v>
      </c>
    </row>
    <row customHeight="1" ht="16.5" r="45" s="40">
      <c r="A45" s="78" t="n">
        <v>45146</v>
      </c>
      <c r="B45" s="148" t="n">
        <v>2836244.6</v>
      </c>
      <c r="C45" s="148" t="n">
        <v>2373021.04999999</v>
      </c>
      <c r="D45" s="148" t="n">
        <v>463223.55</v>
      </c>
      <c r="E45" s="148" t="n">
        <v>951588.45</v>
      </c>
      <c r="F45" s="148" t="n">
        <v>1884656.14999999</v>
      </c>
      <c r="H45" s="80">
        <f>A45</f>
        <v/>
      </c>
      <c r="I45" s="150" t="n">
        <v>1201126.78</v>
      </c>
      <c r="J45" s="150" t="n">
        <v>1449</v>
      </c>
      <c r="K45" s="150" t="n">
        <v>1055053.57</v>
      </c>
      <c r="L45" s="150" t="n">
        <v>1419</v>
      </c>
      <c r="M45" s="150" t="n">
        <v>146073.21</v>
      </c>
      <c r="N45" s="150" t="n">
        <v>85</v>
      </c>
      <c r="O45" s="150" t="n">
        <v>836448.1899999999</v>
      </c>
      <c r="P45" s="150" t="n">
        <v>119</v>
      </c>
      <c r="Q45" s="150" t="n">
        <v>364678.590000001</v>
      </c>
      <c r="R45" s="150" t="n">
        <v>1329</v>
      </c>
      <c r="S45" s="150" t="n">
        <v>18762.66</v>
      </c>
      <c r="T45" s="150" t="n">
        <v>73</v>
      </c>
      <c r="U45" s="150" t="n"/>
      <c r="V45" s="150" t="n"/>
      <c r="W45" s="141" t="n"/>
      <c r="X45" s="78">
        <f>H45</f>
        <v/>
      </c>
      <c r="Y45" s="149" t="n">
        <v>1635117.82</v>
      </c>
      <c r="Z45" s="149" t="n">
        <v>1317967.48</v>
      </c>
      <c r="AA45" s="149" t="n">
        <v>317150.34</v>
      </c>
      <c r="AB45" s="149" t="n">
        <v>115140.26</v>
      </c>
      <c r="AC45" s="149" t="n">
        <v>1519977.56</v>
      </c>
    </row>
    <row customHeight="1" ht="16.5" r="46" s="40">
      <c r="A46" s="78" t="n">
        <v>45147</v>
      </c>
      <c r="B46" s="148" t="n">
        <v>3739485.06</v>
      </c>
      <c r="C46" s="148" t="n">
        <v>3256969.21</v>
      </c>
      <c r="D46" s="148" t="n">
        <v>482515.85</v>
      </c>
      <c r="E46" s="148" t="n">
        <v>950868.75</v>
      </c>
      <c r="F46" s="148" t="n">
        <v>2788616.31</v>
      </c>
      <c r="H46" s="80">
        <f>A46</f>
        <v/>
      </c>
      <c r="I46" s="150" t="n">
        <v>1222898.41</v>
      </c>
      <c r="J46" s="150" t="n">
        <v>1448</v>
      </c>
      <c r="K46" s="150" t="n">
        <v>1065442.27</v>
      </c>
      <c r="L46" s="150" t="n">
        <v>1418</v>
      </c>
      <c r="M46" s="150" t="n">
        <v>157456.14</v>
      </c>
      <c r="N46" s="150" t="n">
        <v>87</v>
      </c>
      <c r="O46" s="150" t="n">
        <v>834539.7</v>
      </c>
      <c r="P46" s="150" t="n">
        <v>120</v>
      </c>
      <c r="Q46" s="150" t="n">
        <v>388358.71</v>
      </c>
      <c r="R46" s="150" t="n">
        <v>1327</v>
      </c>
      <c r="S46" s="150" t="n">
        <v>18733.36</v>
      </c>
      <c r="T46" s="150" t="n">
        <v>75</v>
      </c>
      <c r="U46" s="150" t="n"/>
      <c r="V46" s="150" t="n"/>
      <c r="W46" s="141" t="n"/>
      <c r="X46" s="78">
        <f>H46</f>
        <v/>
      </c>
      <c r="Y46" s="149" t="n">
        <v>1645586.65</v>
      </c>
      <c r="Z46" s="149" t="n">
        <v>1320526.94</v>
      </c>
      <c r="AA46" s="149" t="n">
        <v>325059.71</v>
      </c>
      <c r="AB46" s="149" t="n">
        <v>116329.05</v>
      </c>
      <c r="AC46" s="149" t="n">
        <v>1529257.6</v>
      </c>
    </row>
    <row customHeight="1" ht="16.5" r="47" s="40">
      <c r="A47" s="78" t="n">
        <v>45148</v>
      </c>
      <c r="B47" s="148" t="n">
        <v>2943806.93999999</v>
      </c>
      <c r="C47" s="148" t="n">
        <v>2438696.42</v>
      </c>
      <c r="D47" s="148" t="n">
        <v>505110.52</v>
      </c>
      <c r="E47" s="148" t="n">
        <v>966468.84</v>
      </c>
      <c r="F47" s="148" t="n">
        <v>1977338.1</v>
      </c>
      <c r="H47" s="80">
        <f>A47</f>
        <v/>
      </c>
      <c r="I47" s="150" t="n">
        <v>1240191.3</v>
      </c>
      <c r="J47" s="150" t="n">
        <v>1431</v>
      </c>
      <c r="K47" s="150" t="n">
        <v>1059976.35</v>
      </c>
      <c r="L47" s="150" t="n">
        <v>1401</v>
      </c>
      <c r="M47" s="150" t="n">
        <v>180214.95</v>
      </c>
      <c r="N47" s="150" t="n">
        <v>89</v>
      </c>
      <c r="O47" s="150" t="n">
        <v>854032.8199999999</v>
      </c>
      <c r="P47" s="150" t="n">
        <v>120</v>
      </c>
      <c r="Q47" s="150" t="n">
        <v>386158.48</v>
      </c>
      <c r="R47" s="150" t="n">
        <v>1310</v>
      </c>
      <c r="S47" s="150" t="n">
        <v>18775.58</v>
      </c>
      <c r="T47" s="150" t="n">
        <v>68</v>
      </c>
      <c r="U47" s="150" t="n"/>
      <c r="V47" s="150" t="n"/>
      <c r="W47" s="141" t="n"/>
      <c r="X47" s="78">
        <f>H47</f>
        <v/>
      </c>
      <c r="Y47" s="149" t="n">
        <v>1703615.64</v>
      </c>
      <c r="Z47" s="149" t="n">
        <v>1378720.07</v>
      </c>
      <c r="AA47" s="149" t="n">
        <v>324895.57</v>
      </c>
      <c r="AB47" s="149" t="n">
        <v>112436.02</v>
      </c>
      <c r="AC47" s="149" t="n">
        <v>1591179.62</v>
      </c>
    </row>
    <row customHeight="1" ht="16.5" r="48" s="40">
      <c r="A48" s="78" t="n">
        <v>45149</v>
      </c>
      <c r="B48" s="148" t="n">
        <v>2958755.64999999</v>
      </c>
      <c r="C48" s="148" t="n">
        <v>2388765.22</v>
      </c>
      <c r="D48" s="148" t="n">
        <v>569990.4300000001</v>
      </c>
      <c r="E48" s="148" t="n">
        <v>978632.02</v>
      </c>
      <c r="F48" s="148" t="n">
        <v>1980123.63000001</v>
      </c>
      <c r="H48" s="80">
        <f>A48</f>
        <v/>
      </c>
      <c r="I48" s="150" t="n">
        <v>1234683.38</v>
      </c>
      <c r="J48" s="150" t="n">
        <v>1444</v>
      </c>
      <c r="K48" s="150" t="n">
        <v>1025987.57</v>
      </c>
      <c r="L48" s="150" t="n">
        <v>1414</v>
      </c>
      <c r="M48" s="150" t="n">
        <v>208695.81</v>
      </c>
      <c r="N48" s="150" t="n">
        <v>90</v>
      </c>
      <c r="O48" s="150" t="n">
        <v>847067.5600000001</v>
      </c>
      <c r="P48" s="150" t="n">
        <v>118</v>
      </c>
      <c r="Q48" s="150" t="n">
        <v>387615.82</v>
      </c>
      <c r="R48" s="150" t="n">
        <v>1325</v>
      </c>
      <c r="S48" s="150" t="n">
        <v>18830.08</v>
      </c>
      <c r="T48" s="150" t="n">
        <v>74</v>
      </c>
      <c r="U48" s="150" t="n"/>
      <c r="V48" s="150" t="n"/>
      <c r="W48" s="141" t="n"/>
      <c r="X48" s="78">
        <f>H48</f>
        <v/>
      </c>
      <c r="Y48" s="149" t="n">
        <v>1724072.27</v>
      </c>
      <c r="Z48" s="149" t="n">
        <v>1362777.65</v>
      </c>
      <c r="AA48" s="149" t="n">
        <v>361294.62</v>
      </c>
      <c r="AB48" s="149" t="n">
        <v>131564.46</v>
      </c>
      <c r="AC48" s="149" t="n">
        <v>1592507.81</v>
      </c>
    </row>
    <row customHeight="1" ht="16.5" r="49" s="40">
      <c r="A49" s="78" t="n">
        <v>45150</v>
      </c>
      <c r="B49" s="148" t="n">
        <v>2919122.26</v>
      </c>
      <c r="C49" s="148" t="n">
        <v>2334468.09</v>
      </c>
      <c r="D49" s="148" t="n">
        <v>584654.169999999</v>
      </c>
      <c r="E49" s="148" t="n">
        <v>1000657.57</v>
      </c>
      <c r="F49" s="148" t="n">
        <v>1918464.69</v>
      </c>
      <c r="H49" s="80">
        <f>A49</f>
        <v/>
      </c>
      <c r="I49" s="150" t="n">
        <v>1185116.01</v>
      </c>
      <c r="J49" s="150" t="n">
        <v>1298</v>
      </c>
      <c r="K49" s="150" t="n">
        <v>972923.489999998</v>
      </c>
      <c r="L49" s="150" t="n">
        <v>1271</v>
      </c>
      <c r="M49" s="150" t="n">
        <v>212192.52</v>
      </c>
      <c r="N49" s="150" t="n">
        <v>84</v>
      </c>
      <c r="O49" s="150" t="n">
        <v>857460.22</v>
      </c>
      <c r="P49" s="150" t="n">
        <v>121</v>
      </c>
      <c r="Q49" s="150" t="n">
        <v>327655.79</v>
      </c>
      <c r="R49" s="150" t="n">
        <v>1176</v>
      </c>
      <c r="S49" s="150" t="n">
        <v>18413.58</v>
      </c>
      <c r="T49" s="150" t="n">
        <v>66</v>
      </c>
      <c r="U49" s="150" t="n"/>
      <c r="V49" s="150" t="n"/>
      <c r="W49" s="141" t="n"/>
      <c r="X49" s="78">
        <f>H49</f>
        <v/>
      </c>
      <c r="Y49" s="149" t="n">
        <v>1734006.25</v>
      </c>
      <c r="Z49" s="149" t="n">
        <v>1361544.6</v>
      </c>
      <c r="AA49" s="149" t="n">
        <v>372461.65</v>
      </c>
      <c r="AB49" s="149" t="n">
        <v>143197.35</v>
      </c>
      <c r="AC49" s="149" t="n">
        <v>1590808.9</v>
      </c>
    </row>
    <row customHeight="1" ht="16.5" r="50" s="40">
      <c r="A50" s="78" t="n">
        <v>45151</v>
      </c>
      <c r="B50" s="148" t="n">
        <v>2935288.85</v>
      </c>
      <c r="C50" s="148" t="n">
        <v>2418080.75</v>
      </c>
      <c r="D50" s="148" t="n">
        <v>517208.1</v>
      </c>
      <c r="E50" s="148" t="n">
        <v>990353.17</v>
      </c>
      <c r="F50" s="148" t="n">
        <v>1944935.68</v>
      </c>
      <c r="H50" s="80">
        <f>A50</f>
        <v/>
      </c>
      <c r="I50" s="150" t="n">
        <v>1156915.85</v>
      </c>
      <c r="J50" s="150" t="n">
        <v>1209</v>
      </c>
      <c r="K50" s="150" t="n">
        <v>972335.79</v>
      </c>
      <c r="L50" s="150" t="n">
        <v>1176</v>
      </c>
      <c r="M50" s="150" t="n">
        <v>184580.06</v>
      </c>
      <c r="N50" s="150" t="n">
        <v>85</v>
      </c>
      <c r="O50" s="150" t="n">
        <v>872389.45</v>
      </c>
      <c r="P50" s="150" t="n">
        <v>118</v>
      </c>
      <c r="Q50" s="150" t="n">
        <v>284526.400000001</v>
      </c>
      <c r="R50" s="150" t="n">
        <v>1090</v>
      </c>
      <c r="S50" s="150" t="n">
        <v>18361.19</v>
      </c>
      <c r="T50" s="150" t="n">
        <v>66</v>
      </c>
      <c r="U50" s="150" t="n"/>
      <c r="V50" s="150" t="n"/>
      <c r="W50" s="141" t="n"/>
      <c r="X50" s="78">
        <f>H50</f>
        <v/>
      </c>
      <c r="Y50" s="149" t="n">
        <v>1778373</v>
      </c>
      <c r="Z50" s="149" t="n">
        <v>1445744.96</v>
      </c>
      <c r="AA50" s="149" t="n">
        <v>332628.04</v>
      </c>
      <c r="AB50" s="149" t="n">
        <v>117963.72</v>
      </c>
      <c r="AC50" s="149" t="n">
        <v>1660409.28</v>
      </c>
    </row>
    <row customHeight="1" ht="16.5" r="51" s="40">
      <c r="A51" s="78" t="n">
        <v>45152</v>
      </c>
      <c r="B51" s="148" t="n">
        <v>3082568.52000001</v>
      </c>
      <c r="C51" s="148" t="n">
        <v>2599369.19</v>
      </c>
      <c r="D51" s="148" t="n">
        <v>483199.33</v>
      </c>
      <c r="E51" s="148" t="n">
        <v>957337.04</v>
      </c>
      <c r="F51" s="148" t="n">
        <v>2125231.48</v>
      </c>
      <c r="H51" s="80">
        <f>A51</f>
        <v/>
      </c>
      <c r="I51" s="150" t="n">
        <v>1226590.02</v>
      </c>
      <c r="J51" s="150" t="n">
        <v>1435</v>
      </c>
      <c r="K51" s="150" t="n">
        <v>1054734.9</v>
      </c>
      <c r="L51" s="150" t="n">
        <v>1404</v>
      </c>
      <c r="M51" s="150" t="n">
        <v>171855.12</v>
      </c>
      <c r="N51" s="150" t="n">
        <v>89</v>
      </c>
      <c r="O51" s="150" t="n">
        <v>845689.22</v>
      </c>
      <c r="P51" s="150" t="n">
        <v>123</v>
      </c>
      <c r="Q51" s="150" t="n">
        <v>380900.8</v>
      </c>
      <c r="R51" s="150" t="n">
        <v>1311</v>
      </c>
      <c r="S51" s="150" t="n">
        <v>20034.45</v>
      </c>
      <c r="T51" s="150" t="n">
        <v>73</v>
      </c>
      <c r="U51" s="150" t="n"/>
      <c r="V51" s="150" t="n"/>
      <c r="W51" s="141" t="n"/>
      <c r="X51" s="78">
        <f>H51</f>
        <v/>
      </c>
      <c r="Y51" s="149" t="n">
        <v>1855978.5</v>
      </c>
      <c r="Z51" s="149" t="n">
        <v>1544634.29</v>
      </c>
      <c r="AA51" s="149" t="n">
        <v>311344.21</v>
      </c>
      <c r="AB51" s="149" t="n">
        <v>111647.82</v>
      </c>
      <c r="AC51" s="149" t="n">
        <v>1744330.68</v>
      </c>
    </row>
    <row customHeight="1" ht="16.5" r="52" s="40">
      <c r="A52" s="78" t="n">
        <v>45153</v>
      </c>
      <c r="B52" s="148" t="n">
        <v>2996307.269999995</v>
      </c>
      <c r="C52" s="148" t="n">
        <v>2485871.639999997</v>
      </c>
      <c r="D52" s="148" t="n">
        <v>510435.6299999997</v>
      </c>
      <c r="E52" s="148" t="n">
        <v>954895.9300000004</v>
      </c>
      <c r="F52" s="148" t="n">
        <v>2041411.340000002</v>
      </c>
      <c r="H52" s="80">
        <f>A52</f>
        <v/>
      </c>
      <c r="I52" s="150" t="n">
        <v>1199019.850000003</v>
      </c>
      <c r="J52" s="150" t="n">
        <v>1433</v>
      </c>
      <c r="K52" s="150" t="n">
        <v>1024025.000000001</v>
      </c>
      <c r="L52" s="150" t="n">
        <v>1403</v>
      </c>
      <c r="M52" s="150" t="n">
        <v>174994.8499999999</v>
      </c>
      <c r="N52" s="150" t="n">
        <v>87</v>
      </c>
      <c r="O52" s="150" t="n">
        <v>816042.5</v>
      </c>
      <c r="P52" s="150" t="n">
        <v>120</v>
      </c>
      <c r="Q52" s="150" t="n">
        <v>382977.3500000005</v>
      </c>
      <c r="R52" s="150" t="n">
        <v>1313</v>
      </c>
      <c r="S52" s="150" t="n">
        <v>19911.35</v>
      </c>
      <c r="T52" s="150" t="n">
        <v>66</v>
      </c>
      <c r="U52" s="150" t="n"/>
      <c r="V52" s="150" t="n"/>
      <c r="W52" s="141" t="n"/>
      <c r="X52" s="78">
        <f>H52</f>
        <v/>
      </c>
      <c r="Y52" s="149" t="n">
        <v>1797287.420000004</v>
      </c>
      <c r="Z52" s="149" t="n">
        <v>1461846.640000002</v>
      </c>
      <c r="AA52" s="149" t="n">
        <v>335440.78</v>
      </c>
      <c r="AB52" s="149" t="n">
        <v>138853.43</v>
      </c>
      <c r="AC52" s="149" t="n">
        <v>1658433.990000003</v>
      </c>
    </row>
    <row customHeight="1" ht="16.5" r="53" s="40">
      <c r="A53" s="78" t="n">
        <v>45154</v>
      </c>
      <c r="B53" s="148" t="n"/>
      <c r="C53" s="148" t="n"/>
      <c r="D53" s="148" t="n"/>
      <c r="E53" s="148" t="n"/>
      <c r="F53" s="148" t="n"/>
      <c r="H53" s="80">
        <f>A53</f>
        <v/>
      </c>
      <c r="I53" s="150" t="n"/>
      <c r="J53" s="150" t="n"/>
      <c r="K53" s="150" t="n"/>
      <c r="L53" s="150" t="n"/>
      <c r="M53" s="150" t="n"/>
      <c r="N53" s="150" t="n"/>
      <c r="O53" s="150" t="n"/>
      <c r="P53" s="150" t="n"/>
      <c r="Q53" s="150" t="n"/>
      <c r="R53" s="150" t="n"/>
      <c r="S53" s="150" t="n"/>
      <c r="T53" s="150" t="n"/>
      <c r="U53" s="150" t="n"/>
      <c r="V53" s="150" t="n"/>
      <c r="W53" s="141" t="n"/>
      <c r="X53" s="78">
        <f>H53</f>
        <v/>
      </c>
      <c r="Y53" s="149" t="n"/>
      <c r="Z53" s="149" t="n"/>
      <c r="AA53" s="149" t="n"/>
      <c r="AB53" s="149" t="n"/>
      <c r="AC53" s="149" t="n"/>
    </row>
    <row customHeight="1" ht="16.5" r="54" s="40">
      <c r="A54" s="78" t="n">
        <v>45155</v>
      </c>
      <c r="B54" s="148" t="n"/>
      <c r="C54" s="148" t="n"/>
      <c r="D54" s="148" t="n"/>
      <c r="E54" s="148" t="n"/>
      <c r="F54" s="148" t="n"/>
      <c r="H54" s="80">
        <f>A54</f>
        <v/>
      </c>
      <c r="I54" s="150" t="n"/>
      <c r="J54" s="150" t="n"/>
      <c r="K54" s="150" t="n"/>
      <c r="L54" s="150" t="n"/>
      <c r="M54" s="150" t="n"/>
      <c r="N54" s="150" t="n"/>
      <c r="O54" s="150" t="n"/>
      <c r="P54" s="150" t="n"/>
      <c r="Q54" s="150" t="n"/>
      <c r="R54" s="150" t="n"/>
      <c r="S54" s="150" t="n"/>
      <c r="T54" s="150" t="n"/>
      <c r="U54" s="150" t="n"/>
      <c r="V54" s="150" t="n"/>
      <c r="W54" s="141" t="n"/>
      <c r="X54" s="78">
        <f>H54</f>
        <v/>
      </c>
      <c r="Y54" s="149" t="n"/>
      <c r="Z54" s="149" t="n"/>
      <c r="AA54" s="149" t="n"/>
      <c r="AB54" s="149" t="n"/>
      <c r="AC54" s="149" t="n"/>
    </row>
    <row customHeight="1" ht="16.5" r="55" s="40">
      <c r="A55" s="78" t="n">
        <v>45156</v>
      </c>
      <c r="B55" s="148" t="n"/>
      <c r="C55" s="148" t="n"/>
      <c r="D55" s="148" t="n"/>
      <c r="E55" s="148" t="n"/>
      <c r="F55" s="148" t="n"/>
      <c r="H55" s="80">
        <f>A55</f>
        <v/>
      </c>
      <c r="I55" s="150" t="n"/>
      <c r="J55" s="150" t="n"/>
      <c r="K55" s="150" t="n"/>
      <c r="L55" s="150" t="n"/>
      <c r="M55" s="150" t="n"/>
      <c r="N55" s="150" t="n"/>
      <c r="O55" s="150" t="n"/>
      <c r="P55" s="150" t="n"/>
      <c r="Q55" s="150" t="n"/>
      <c r="R55" s="150" t="n"/>
      <c r="S55" s="150" t="n"/>
      <c r="T55" s="150" t="n"/>
      <c r="U55" s="150" t="n"/>
      <c r="V55" s="150" t="n"/>
      <c r="W55" s="141" t="n"/>
      <c r="X55" s="78">
        <f>H55</f>
        <v/>
      </c>
      <c r="Y55" s="149" t="n"/>
      <c r="Z55" s="149" t="n"/>
      <c r="AA55" s="149" t="n"/>
      <c r="AB55" s="149" t="n"/>
      <c r="AC55" s="149" t="n"/>
    </row>
    <row customHeight="1" ht="16.5" r="56" s="40">
      <c r="A56" s="78" t="n">
        <v>45157</v>
      </c>
      <c r="B56" s="148" t="n"/>
      <c r="C56" s="148" t="n"/>
      <c r="D56" s="148" t="n"/>
      <c r="E56" s="148" t="n"/>
      <c r="F56" s="148" t="n"/>
      <c r="H56" s="80">
        <f>A56</f>
        <v/>
      </c>
      <c r="I56" s="150" t="n"/>
      <c r="J56" s="150" t="n"/>
      <c r="K56" s="150" t="n"/>
      <c r="L56" s="150" t="n"/>
      <c r="M56" s="150" t="n"/>
      <c r="N56" s="150" t="n"/>
      <c r="O56" s="150" t="n"/>
      <c r="P56" s="150" t="n"/>
      <c r="Q56" s="150" t="n"/>
      <c r="R56" s="150" t="n"/>
      <c r="S56" s="150" t="n"/>
      <c r="T56" s="150" t="n"/>
      <c r="U56" s="150" t="n"/>
      <c r="V56" s="150" t="n"/>
      <c r="W56" s="141" t="n"/>
      <c r="X56" s="78">
        <f>H56</f>
        <v/>
      </c>
      <c r="Y56" s="149" t="n"/>
      <c r="Z56" s="149" t="n"/>
      <c r="AA56" s="149" t="n"/>
      <c r="AB56" s="149" t="n"/>
      <c r="AC56" s="149" t="n"/>
    </row>
    <row customHeight="1" ht="16.5" r="57" s="40">
      <c r="A57" s="78" t="n">
        <v>45158</v>
      </c>
      <c r="B57" s="148" t="n"/>
      <c r="C57" s="148" t="n"/>
      <c r="D57" s="148" t="n"/>
      <c r="E57" s="148" t="n"/>
      <c r="F57" s="148" t="n"/>
      <c r="H57" s="80">
        <f>A57</f>
        <v/>
      </c>
      <c r="I57" s="150" t="n"/>
      <c r="J57" s="150" t="n"/>
      <c r="K57" s="150" t="n"/>
      <c r="L57" s="150" t="n"/>
      <c r="M57" s="150" t="n"/>
      <c r="N57" s="150" t="n"/>
      <c r="O57" s="150" t="n"/>
      <c r="P57" s="150" t="n"/>
      <c r="Q57" s="150" t="n"/>
      <c r="R57" s="150" t="n"/>
      <c r="S57" s="150" t="n"/>
      <c r="T57" s="150" t="n"/>
      <c r="U57" s="150" t="n"/>
      <c r="V57" s="150" t="n"/>
      <c r="W57" s="141" t="n"/>
      <c r="X57" s="78">
        <f>H57</f>
        <v/>
      </c>
      <c r="Y57" s="149" t="n"/>
      <c r="Z57" s="149" t="n"/>
      <c r="AA57" s="149" t="n"/>
      <c r="AB57" s="149" t="n"/>
      <c r="AC57" s="149" t="n"/>
    </row>
    <row customHeight="1" ht="16.5" r="58" s="40">
      <c r="A58" s="78" t="n">
        <v>45159</v>
      </c>
      <c r="B58" s="148" t="n"/>
      <c r="C58" s="148" t="n"/>
      <c r="D58" s="148" t="n"/>
      <c r="E58" s="148" t="n"/>
      <c r="F58" s="148" t="n"/>
      <c r="H58" s="80">
        <f>A58</f>
        <v/>
      </c>
      <c r="I58" s="150" t="n"/>
      <c r="J58" s="150" t="n"/>
      <c r="K58" s="150" t="n"/>
      <c r="L58" s="150" t="n"/>
      <c r="M58" s="150" t="n"/>
      <c r="N58" s="150" t="n"/>
      <c r="O58" s="150" t="n"/>
      <c r="P58" s="150" t="n"/>
      <c r="Q58" s="150" t="n"/>
      <c r="R58" s="150" t="n"/>
      <c r="S58" s="150" t="n"/>
      <c r="T58" s="150" t="n"/>
      <c r="U58" s="150" t="n"/>
      <c r="V58" s="150" t="n"/>
      <c r="W58" s="141" t="n"/>
      <c r="X58" s="78">
        <f>H58</f>
        <v/>
      </c>
      <c r="Y58" s="149" t="n"/>
      <c r="Z58" s="149" t="n"/>
      <c r="AA58" s="149" t="n"/>
      <c r="AB58" s="149" t="n"/>
      <c r="AC58" s="149" t="n"/>
    </row>
    <row customHeight="1" ht="16.5" r="59" s="40">
      <c r="A59" s="78" t="n">
        <v>45160</v>
      </c>
      <c r="B59" s="148" t="n"/>
      <c r="C59" s="148" t="n"/>
      <c r="D59" s="148" t="n"/>
      <c r="E59" s="148" t="n"/>
      <c r="F59" s="148" t="n"/>
      <c r="H59" s="80">
        <f>A59</f>
        <v/>
      </c>
      <c r="I59" s="150" t="n"/>
      <c r="J59" s="150" t="n"/>
      <c r="K59" s="150" t="n"/>
      <c r="L59" s="150" t="n"/>
      <c r="M59" s="150" t="n"/>
      <c r="N59" s="150" t="n"/>
      <c r="O59" s="150" t="n"/>
      <c r="P59" s="150" t="n"/>
      <c r="Q59" s="150" t="n"/>
      <c r="R59" s="150" t="n"/>
      <c r="S59" s="150" t="n"/>
      <c r="T59" s="150" t="n"/>
      <c r="U59" s="150" t="n"/>
      <c r="V59" s="150" t="n"/>
      <c r="W59" s="141" t="n"/>
      <c r="X59" s="78">
        <f>H59</f>
        <v/>
      </c>
      <c r="Y59" s="149" t="n"/>
      <c r="Z59" s="149" t="n"/>
      <c r="AA59" s="149" t="n"/>
      <c r="AB59" s="149" t="n"/>
      <c r="AC59" s="149" t="n"/>
    </row>
    <row customHeight="1" ht="16.5" r="60" s="40">
      <c r="A60" s="78" t="n">
        <v>45161</v>
      </c>
      <c r="B60" s="148" t="n"/>
      <c r="C60" s="148" t="n"/>
      <c r="D60" s="148" t="n"/>
      <c r="E60" s="148" t="n"/>
      <c r="F60" s="148" t="n"/>
      <c r="H60" s="80">
        <f>A60</f>
        <v/>
      </c>
      <c r="I60" s="150" t="n"/>
      <c r="J60" s="150" t="n"/>
      <c r="K60" s="150" t="n"/>
      <c r="L60" s="150" t="n"/>
      <c r="M60" s="150" t="n"/>
      <c r="N60" s="150" t="n"/>
      <c r="O60" s="150" t="n"/>
      <c r="P60" s="150" t="n"/>
      <c r="Q60" s="150" t="n"/>
      <c r="R60" s="150" t="n"/>
      <c r="S60" s="150" t="n"/>
      <c r="T60" s="150" t="n"/>
      <c r="U60" s="150" t="n"/>
      <c r="V60" s="150" t="n"/>
      <c r="W60" s="141" t="n"/>
      <c r="X60" s="78">
        <f>H60</f>
        <v/>
      </c>
      <c r="Y60" s="149" t="n"/>
      <c r="Z60" s="149" t="n"/>
      <c r="AA60" s="149" t="n"/>
      <c r="AB60" s="149" t="n"/>
      <c r="AC60" s="149" t="n"/>
    </row>
    <row customHeight="1" ht="16.5" r="61" s="40">
      <c r="A61" s="78" t="n">
        <v>45162</v>
      </c>
      <c r="B61" s="148" t="n"/>
      <c r="C61" s="148" t="n"/>
      <c r="D61" s="148" t="n"/>
      <c r="E61" s="148" t="n"/>
      <c r="F61" s="148" t="n"/>
      <c r="H61" s="80">
        <f>A61</f>
        <v/>
      </c>
      <c r="I61" s="150" t="n"/>
      <c r="J61" s="150" t="n"/>
      <c r="K61" s="150" t="n"/>
      <c r="L61" s="150" t="n"/>
      <c r="M61" s="150" t="n"/>
      <c r="N61" s="150" t="n"/>
      <c r="O61" s="150" t="n"/>
      <c r="P61" s="150" t="n"/>
      <c r="Q61" s="150" t="n"/>
      <c r="R61" s="150" t="n"/>
      <c r="S61" s="150" t="n"/>
      <c r="T61" s="150" t="n"/>
      <c r="U61" s="150" t="n"/>
      <c r="V61" s="150" t="n"/>
      <c r="W61" s="141" t="n"/>
      <c r="X61" s="78">
        <f>H61</f>
        <v/>
      </c>
      <c r="Y61" s="149" t="n"/>
      <c r="Z61" s="149" t="n"/>
      <c r="AA61" s="149" t="n"/>
      <c r="AB61" s="149" t="n"/>
      <c r="AC61" s="149" t="n"/>
    </row>
    <row customHeight="1" ht="16.5" r="62" s="40">
      <c r="A62" s="78" t="n">
        <v>45163</v>
      </c>
      <c r="B62" s="148" t="n"/>
      <c r="C62" s="148" t="n"/>
      <c r="D62" s="148" t="n"/>
      <c r="E62" s="148" t="n"/>
      <c r="F62" s="148" t="n"/>
      <c r="H62" s="80">
        <f>A62</f>
        <v/>
      </c>
      <c r="I62" s="150" t="n"/>
      <c r="J62" s="150" t="n"/>
      <c r="K62" s="150" t="n"/>
      <c r="L62" s="150" t="n"/>
      <c r="M62" s="150" t="n"/>
      <c r="N62" s="150" t="n"/>
      <c r="O62" s="150" t="n"/>
      <c r="P62" s="150" t="n"/>
      <c r="Q62" s="150" t="n"/>
      <c r="R62" s="150" t="n"/>
      <c r="S62" s="150" t="n"/>
      <c r="T62" s="150" t="n"/>
      <c r="U62" s="150" t="n"/>
      <c r="V62" s="150" t="n"/>
      <c r="W62" s="141" t="n"/>
      <c r="X62" s="78">
        <f>H62</f>
        <v/>
      </c>
      <c r="Y62" s="149" t="n"/>
      <c r="Z62" s="149" t="n"/>
      <c r="AA62" s="149" t="n"/>
      <c r="AB62" s="149" t="n"/>
      <c r="AC62" s="149" t="n"/>
    </row>
    <row customHeight="1" ht="16.5" r="63" s="40">
      <c r="A63" s="78" t="n">
        <v>45164</v>
      </c>
      <c r="B63" s="148" t="n"/>
      <c r="C63" s="148" t="n"/>
      <c r="D63" s="148" t="n"/>
      <c r="E63" s="148" t="n"/>
      <c r="F63" s="148" t="n"/>
      <c r="H63" s="80">
        <f>A63</f>
        <v/>
      </c>
      <c r="I63" s="150" t="n"/>
      <c r="J63" s="150" t="n"/>
      <c r="K63" s="150" t="n"/>
      <c r="L63" s="150" t="n"/>
      <c r="M63" s="150" t="n"/>
      <c r="N63" s="150" t="n"/>
      <c r="O63" s="150" t="n"/>
      <c r="P63" s="150" t="n"/>
      <c r="Q63" s="150" t="n"/>
      <c r="R63" s="150" t="n"/>
      <c r="S63" s="150" t="n"/>
      <c r="T63" s="150" t="n"/>
      <c r="U63" s="150" t="n"/>
      <c r="V63" s="150" t="n"/>
      <c r="W63" s="141" t="n"/>
      <c r="X63" s="78">
        <f>H63</f>
        <v/>
      </c>
      <c r="Y63" s="149" t="n"/>
      <c r="Z63" s="149" t="n"/>
      <c r="AA63" s="149" t="n"/>
      <c r="AB63" s="149" t="n"/>
      <c r="AC63" s="149" t="n"/>
    </row>
    <row customHeight="1" ht="16.5" r="64" s="40">
      <c r="A64" s="78" t="n">
        <v>45165</v>
      </c>
      <c r="B64" s="148" t="n"/>
      <c r="C64" s="148" t="n"/>
      <c r="D64" s="148" t="n"/>
      <c r="E64" s="148" t="n"/>
      <c r="F64" s="148" t="n"/>
      <c r="H64" s="80">
        <f>A64</f>
        <v/>
      </c>
      <c r="I64" s="150" t="n"/>
      <c r="J64" s="150" t="n"/>
      <c r="K64" s="150" t="n"/>
      <c r="L64" s="150" t="n"/>
      <c r="M64" s="150" t="n"/>
      <c r="N64" s="150" t="n"/>
      <c r="O64" s="150" t="n"/>
      <c r="P64" s="150" t="n"/>
      <c r="Q64" s="150" t="n"/>
      <c r="R64" s="150" t="n"/>
      <c r="S64" s="150" t="n"/>
      <c r="T64" s="150" t="n"/>
      <c r="U64" s="150" t="n"/>
      <c r="V64" s="150" t="n"/>
      <c r="W64" s="141" t="n"/>
      <c r="X64" s="78">
        <f>H64</f>
        <v/>
      </c>
      <c r="Y64" s="149" t="n"/>
      <c r="Z64" s="149" t="n"/>
      <c r="AA64" s="149" t="n"/>
      <c r="AB64" s="149" t="n"/>
      <c r="AC64" s="149" t="n"/>
    </row>
    <row customHeight="1" ht="16.5" r="65" s="40">
      <c r="A65" s="78" t="n">
        <v>45166</v>
      </c>
      <c r="B65" s="148" t="n"/>
      <c r="C65" s="148" t="n"/>
      <c r="D65" s="148" t="n"/>
      <c r="E65" s="148" t="n"/>
      <c r="F65" s="148" t="n"/>
      <c r="H65" s="80">
        <f>A65</f>
        <v/>
      </c>
      <c r="I65" s="150" t="n"/>
      <c r="J65" s="150" t="n"/>
      <c r="K65" s="150" t="n"/>
      <c r="L65" s="150" t="n"/>
      <c r="M65" s="150" t="n"/>
      <c r="N65" s="150" t="n"/>
      <c r="O65" s="150" t="n"/>
      <c r="P65" s="150" t="n"/>
      <c r="Q65" s="150" t="n"/>
      <c r="R65" s="150" t="n"/>
      <c r="S65" s="150" t="n"/>
      <c r="T65" s="150" t="n"/>
      <c r="U65" s="150" t="n"/>
      <c r="V65" s="150" t="n"/>
      <c r="W65" s="141" t="n"/>
      <c r="X65" s="78">
        <f>H65</f>
        <v/>
      </c>
      <c r="Y65" s="149" t="n"/>
      <c r="Z65" s="149" t="n"/>
      <c r="AA65" s="149" t="n"/>
      <c r="AB65" s="149" t="n"/>
      <c r="AC65" s="149" t="n"/>
    </row>
    <row customHeight="1" ht="16.5" r="66" s="40">
      <c r="A66" s="78" t="n">
        <v>45167</v>
      </c>
      <c r="B66" s="148" t="n"/>
      <c r="C66" s="148" t="n"/>
      <c r="D66" s="148" t="n"/>
      <c r="E66" s="148" t="n"/>
      <c r="F66" s="148" t="n"/>
      <c r="H66" s="80">
        <f>A66</f>
        <v/>
      </c>
      <c r="I66" s="150" t="n"/>
      <c r="J66" s="150" t="n"/>
      <c r="K66" s="150" t="n"/>
      <c r="L66" s="150" t="n"/>
      <c r="M66" s="150" t="n"/>
      <c r="N66" s="150" t="n"/>
      <c r="O66" s="150" t="n"/>
      <c r="P66" s="150" t="n"/>
      <c r="Q66" s="150" t="n"/>
      <c r="R66" s="150" t="n"/>
      <c r="S66" s="150" t="n"/>
      <c r="T66" s="150" t="n"/>
      <c r="U66" s="150" t="n"/>
      <c r="V66" s="150" t="n"/>
      <c r="W66" s="141" t="n"/>
      <c r="X66" s="78">
        <f>H66</f>
        <v/>
      </c>
      <c r="Y66" s="149" t="n"/>
      <c r="Z66" s="149" t="n"/>
      <c r="AA66" s="149" t="n"/>
      <c r="AB66" s="149" t="n"/>
      <c r="AC66" s="149" t="n"/>
    </row>
    <row customHeight="1" ht="16.5" r="67" s="40">
      <c r="A67" s="78" t="n">
        <v>45168</v>
      </c>
      <c r="B67" s="148" t="n"/>
      <c r="C67" s="148" t="n"/>
      <c r="D67" s="148" t="n"/>
      <c r="E67" s="148" t="n"/>
      <c r="F67" s="148" t="n"/>
      <c r="H67" s="80">
        <f>A67</f>
        <v/>
      </c>
      <c r="I67" s="150" t="n"/>
      <c r="J67" s="150" t="n"/>
      <c r="K67" s="150" t="n"/>
      <c r="L67" s="150" t="n"/>
      <c r="M67" s="150" t="n"/>
      <c r="N67" s="150" t="n"/>
      <c r="O67" s="150" t="n"/>
      <c r="P67" s="150" t="n"/>
      <c r="Q67" s="150" t="n"/>
      <c r="R67" s="150" t="n"/>
      <c r="S67" s="150" t="n"/>
      <c r="T67" s="150" t="n"/>
      <c r="U67" s="150" t="n"/>
      <c r="V67" s="150" t="n"/>
      <c r="W67" s="141" t="n"/>
      <c r="X67" s="78">
        <f>H67</f>
        <v/>
      </c>
      <c r="Y67" s="149" t="n"/>
      <c r="Z67" s="149" t="n"/>
      <c r="AA67" s="149" t="n"/>
      <c r="AB67" s="149" t="n"/>
      <c r="AC67" s="149" t="n"/>
    </row>
    <row customHeight="1" ht="16.5" r="68" s="40">
      <c r="A68" s="78" t="n">
        <v>45169</v>
      </c>
      <c r="B68" s="148" t="n"/>
      <c r="C68" s="148" t="n"/>
      <c r="D68" s="148" t="n"/>
      <c r="E68" s="148" t="n"/>
      <c r="F68" s="148" t="n"/>
      <c r="H68" s="80">
        <f>A68</f>
        <v/>
      </c>
      <c r="I68" s="150" t="n"/>
      <c r="J68" s="150" t="n"/>
      <c r="K68" s="150" t="n"/>
      <c r="L68" s="150" t="n"/>
      <c r="M68" s="150" t="n"/>
      <c r="N68" s="150" t="n"/>
      <c r="O68" s="150" t="n"/>
      <c r="P68" s="150" t="n"/>
      <c r="Q68" s="150" t="n"/>
      <c r="R68" s="150" t="n"/>
      <c r="S68" s="150" t="n"/>
      <c r="T68" s="150" t="n"/>
      <c r="U68" s="150" t="n"/>
      <c r="V68" s="150" t="n"/>
      <c r="W68" s="141" t="n"/>
      <c r="X68" s="78">
        <f>H68</f>
        <v/>
      </c>
      <c r="Y68" s="149" t="n"/>
      <c r="Z68" s="149" t="n"/>
      <c r="AA68" s="149" t="n"/>
      <c r="AB68" s="149" t="n"/>
      <c r="AC68" s="149" t="n"/>
    </row>
    <row customHeight="1" ht="16.5" r="69" s="40">
      <c r="A69" s="78" t="n">
        <v>45170</v>
      </c>
      <c r="B69" s="148" t="n"/>
      <c r="C69" s="148" t="n"/>
      <c r="D69" s="148" t="n"/>
      <c r="E69" s="148" t="n"/>
      <c r="F69" s="148" t="n"/>
      <c r="H69" s="80">
        <f>A69</f>
        <v/>
      </c>
      <c r="I69" s="150" t="n"/>
      <c r="J69" s="150" t="n"/>
      <c r="K69" s="150" t="n"/>
      <c r="L69" s="150" t="n"/>
      <c r="M69" s="150" t="n"/>
      <c r="N69" s="150" t="n"/>
      <c r="O69" s="150" t="n"/>
      <c r="P69" s="150" t="n"/>
      <c r="Q69" s="150" t="n"/>
      <c r="R69" s="150" t="n"/>
      <c r="S69" s="150" t="n"/>
      <c r="T69" s="150" t="n"/>
      <c r="U69" s="150" t="n"/>
      <c r="V69" s="150" t="n"/>
      <c r="W69" s="141" t="n"/>
      <c r="X69" s="78">
        <f>H69</f>
        <v/>
      </c>
      <c r="Y69" s="149" t="n"/>
      <c r="Z69" s="149" t="n"/>
      <c r="AA69" s="149" t="n"/>
      <c r="AB69" s="149" t="n"/>
      <c r="AC69" s="149" t="n"/>
    </row>
    <row customHeight="1" ht="16.5" r="70" s="40">
      <c r="A70" s="78" t="n">
        <v>45171</v>
      </c>
      <c r="B70" s="148" t="n"/>
      <c r="C70" s="148" t="n"/>
      <c r="D70" s="148" t="n"/>
      <c r="E70" s="148" t="n"/>
      <c r="F70" s="148" t="n"/>
      <c r="H70" s="80">
        <f>A70</f>
        <v/>
      </c>
      <c r="I70" s="150" t="n"/>
      <c r="J70" s="150" t="n"/>
      <c r="K70" s="150" t="n"/>
      <c r="L70" s="150" t="n"/>
      <c r="M70" s="150" t="n"/>
      <c r="N70" s="150" t="n"/>
      <c r="O70" s="150" t="n"/>
      <c r="P70" s="150" t="n"/>
      <c r="Q70" s="150" t="n"/>
      <c r="R70" s="150" t="n"/>
      <c r="S70" s="150" t="n"/>
      <c r="T70" s="150" t="n"/>
      <c r="U70" s="150" t="n"/>
      <c r="V70" s="150" t="n"/>
      <c r="W70" s="141" t="n"/>
      <c r="X70" s="78">
        <f>H70</f>
        <v/>
      </c>
      <c r="Y70" s="149" t="n"/>
      <c r="Z70" s="149" t="n"/>
      <c r="AA70" s="149" t="n"/>
      <c r="AB70" s="149" t="n"/>
      <c r="AC70" s="149" t="n"/>
    </row>
    <row customHeight="1" ht="16.5" r="71" s="40">
      <c r="A71" s="78" t="n">
        <v>45172</v>
      </c>
      <c r="B71" s="148" t="n"/>
      <c r="C71" s="148" t="n"/>
      <c r="D71" s="148" t="n"/>
      <c r="E71" s="148" t="n"/>
      <c r="F71" s="148" t="n"/>
      <c r="H71" s="80">
        <f>A71</f>
        <v/>
      </c>
      <c r="I71" s="150" t="n"/>
      <c r="J71" s="150" t="n"/>
      <c r="K71" s="150" t="n"/>
      <c r="L71" s="150" t="n"/>
      <c r="M71" s="150" t="n"/>
      <c r="N71" s="150" t="n"/>
      <c r="O71" s="150" t="n"/>
      <c r="P71" s="150" t="n"/>
      <c r="Q71" s="150" t="n"/>
      <c r="R71" s="150" t="n"/>
      <c r="S71" s="150" t="n"/>
      <c r="T71" s="150" t="n"/>
      <c r="U71" s="150" t="n"/>
      <c r="V71" s="150" t="n"/>
      <c r="W71" s="141" t="n"/>
      <c r="X71" s="78">
        <f>H71</f>
        <v/>
      </c>
      <c r="Y71" s="149" t="n"/>
      <c r="Z71" s="149" t="n"/>
      <c r="AA71" s="149" t="n"/>
      <c r="AB71" s="149" t="n"/>
      <c r="AC71" s="149" t="n"/>
    </row>
    <row customHeight="1" ht="16.5" r="72" s="40">
      <c r="A72" s="78" t="n">
        <v>45173</v>
      </c>
      <c r="B72" s="148" t="n"/>
      <c r="C72" s="148" t="n"/>
      <c r="D72" s="148" t="n"/>
      <c r="E72" s="148" t="n"/>
      <c r="F72" s="148" t="n"/>
      <c r="H72" s="80">
        <f>A72</f>
        <v/>
      </c>
      <c r="I72" s="150" t="n"/>
      <c r="J72" s="150" t="n"/>
      <c r="K72" s="150" t="n"/>
      <c r="L72" s="150" t="n"/>
      <c r="M72" s="150" t="n"/>
      <c r="N72" s="150" t="n"/>
      <c r="O72" s="150" t="n"/>
      <c r="P72" s="150" t="n"/>
      <c r="Q72" s="150" t="n"/>
      <c r="R72" s="150" t="n"/>
      <c r="S72" s="150" t="n"/>
      <c r="T72" s="150" t="n"/>
      <c r="U72" s="150" t="n"/>
      <c r="V72" s="150" t="n"/>
      <c r="W72" s="141" t="n"/>
      <c r="X72" s="78">
        <f>H72</f>
        <v/>
      </c>
      <c r="Y72" s="149" t="n"/>
      <c r="Z72" s="149" t="n"/>
      <c r="AA72" s="149" t="n"/>
      <c r="AB72" s="149" t="n"/>
      <c r="AC72" s="149" t="n"/>
    </row>
    <row customHeight="1" ht="16.5" r="73" s="40">
      <c r="A73" s="78" t="n">
        <v>45174</v>
      </c>
      <c r="B73" s="148" t="n"/>
      <c r="C73" s="148" t="n"/>
      <c r="D73" s="148" t="n"/>
      <c r="E73" s="148" t="n"/>
      <c r="F73" s="148" t="n"/>
      <c r="H73" s="80">
        <f>A73</f>
        <v/>
      </c>
      <c r="I73" s="150" t="n"/>
      <c r="J73" s="150" t="n"/>
      <c r="K73" s="150" t="n"/>
      <c r="L73" s="150" t="n"/>
      <c r="M73" s="150" t="n"/>
      <c r="N73" s="150" t="n"/>
      <c r="O73" s="150" t="n"/>
      <c r="P73" s="150" t="n"/>
      <c r="Q73" s="150" t="n"/>
      <c r="R73" s="150" t="n"/>
      <c r="S73" s="150" t="n"/>
      <c r="T73" s="150" t="n"/>
      <c r="U73" s="150" t="n"/>
      <c r="V73" s="150" t="n"/>
      <c r="W73" s="141" t="n"/>
      <c r="X73" s="78">
        <f>H73</f>
        <v/>
      </c>
      <c r="Y73" s="149" t="n"/>
      <c r="Z73" s="149" t="n"/>
      <c r="AA73" s="149" t="n"/>
      <c r="AB73" s="149" t="n"/>
      <c r="AC73" s="149" t="n"/>
    </row>
    <row customHeight="1" ht="16.5" r="74" s="40">
      <c r="A74" s="78" t="n">
        <v>45175</v>
      </c>
      <c r="B74" s="148" t="n"/>
      <c r="C74" s="148" t="n"/>
      <c r="D74" s="148" t="n"/>
      <c r="E74" s="148" t="n"/>
      <c r="F74" s="148" t="n"/>
      <c r="H74" s="80">
        <f>A74</f>
        <v/>
      </c>
      <c r="I74" s="150" t="n"/>
      <c r="J74" s="150" t="n"/>
      <c r="K74" s="150" t="n"/>
      <c r="L74" s="150" t="n"/>
      <c r="M74" s="150" t="n"/>
      <c r="N74" s="150" t="n"/>
      <c r="O74" s="150" t="n"/>
      <c r="P74" s="150" t="n"/>
      <c r="Q74" s="150" t="n"/>
      <c r="R74" s="150" t="n"/>
      <c r="S74" s="150" t="n"/>
      <c r="T74" s="150" t="n"/>
      <c r="U74" s="150" t="n"/>
      <c r="V74" s="150" t="n"/>
      <c r="W74" s="141" t="n"/>
      <c r="X74" s="78">
        <f>H74</f>
        <v/>
      </c>
      <c r="Y74" s="149" t="n"/>
      <c r="Z74" s="149" t="n"/>
      <c r="AA74" s="149" t="n"/>
      <c r="AB74" s="149" t="n"/>
      <c r="AC74" s="149" t="n"/>
    </row>
    <row customHeight="1" ht="16.5" r="75" s="40">
      <c r="A75" s="78" t="n">
        <v>45176</v>
      </c>
      <c r="B75" s="148" t="n"/>
      <c r="C75" s="148" t="n"/>
      <c r="D75" s="148" t="n"/>
      <c r="E75" s="148" t="n"/>
      <c r="F75" s="148" t="n"/>
      <c r="H75" s="80">
        <f>A75</f>
        <v/>
      </c>
      <c r="I75" s="150" t="n"/>
      <c r="J75" s="150" t="n"/>
      <c r="K75" s="150" t="n"/>
      <c r="L75" s="150" t="n"/>
      <c r="M75" s="150" t="n"/>
      <c r="N75" s="150" t="n"/>
      <c r="O75" s="150" t="n"/>
      <c r="P75" s="150" t="n"/>
      <c r="Q75" s="150" t="n"/>
      <c r="R75" s="150" t="n"/>
      <c r="S75" s="150" t="n"/>
      <c r="T75" s="150" t="n"/>
      <c r="U75" s="150" t="n"/>
      <c r="V75" s="150" t="n"/>
      <c r="W75" s="141" t="n"/>
      <c r="X75" s="78">
        <f>H75</f>
        <v/>
      </c>
      <c r="Y75" s="149" t="n"/>
      <c r="Z75" s="149" t="n"/>
      <c r="AA75" s="149" t="n"/>
      <c r="AB75" s="149" t="n"/>
      <c r="AC75" s="149" t="n"/>
    </row>
    <row customHeight="1" ht="16.5" r="76" s="40">
      <c r="A76" s="78" t="n">
        <v>45177</v>
      </c>
      <c r="B76" s="148" t="n"/>
      <c r="C76" s="148" t="n"/>
      <c r="D76" s="148" t="n"/>
      <c r="E76" s="148" t="n"/>
      <c r="F76" s="148" t="n"/>
      <c r="H76" s="80">
        <f>A76</f>
        <v/>
      </c>
      <c r="I76" s="150" t="n"/>
      <c r="J76" s="150" t="n"/>
      <c r="K76" s="150" t="n"/>
      <c r="L76" s="150" t="n"/>
      <c r="M76" s="150" t="n"/>
      <c r="N76" s="150" t="n"/>
      <c r="O76" s="150" t="n"/>
      <c r="P76" s="150" t="n"/>
      <c r="Q76" s="150" t="n"/>
      <c r="R76" s="150" t="n"/>
      <c r="S76" s="150" t="n"/>
      <c r="T76" s="150" t="n"/>
      <c r="U76" s="150" t="n"/>
      <c r="V76" s="150" t="n"/>
      <c r="W76" s="141" t="n"/>
      <c r="X76" s="78">
        <f>H76</f>
        <v/>
      </c>
      <c r="Y76" s="149" t="n"/>
      <c r="Z76" s="149" t="n"/>
      <c r="AA76" s="149" t="n"/>
      <c r="AB76" s="149" t="n"/>
      <c r="AC76" s="149" t="n"/>
    </row>
    <row customHeight="1" ht="16.5" r="77" s="40">
      <c r="A77" s="78" t="n">
        <v>45178</v>
      </c>
      <c r="B77" s="148" t="n"/>
      <c r="C77" s="148" t="n"/>
      <c r="D77" s="148" t="n"/>
      <c r="E77" s="148" t="n"/>
      <c r="F77" s="148" t="n"/>
      <c r="H77" s="80">
        <f>A77</f>
        <v/>
      </c>
      <c r="I77" s="150" t="n"/>
      <c r="J77" s="150" t="n"/>
      <c r="K77" s="150" t="n"/>
      <c r="L77" s="150" t="n"/>
      <c r="M77" s="150" t="n"/>
      <c r="N77" s="150" t="n"/>
      <c r="O77" s="150" t="n"/>
      <c r="P77" s="150" t="n"/>
      <c r="Q77" s="150" t="n"/>
      <c r="R77" s="150" t="n"/>
      <c r="S77" s="150" t="n"/>
      <c r="T77" s="150" t="n"/>
      <c r="U77" s="150" t="n"/>
      <c r="V77" s="150" t="n"/>
      <c r="W77" s="141" t="n"/>
      <c r="X77" s="78">
        <f>H77</f>
        <v/>
      </c>
      <c r="Y77" s="149" t="n"/>
      <c r="Z77" s="149" t="n"/>
      <c r="AA77" s="149" t="n"/>
      <c r="AB77" s="149" t="n"/>
      <c r="AC77" s="149" t="n"/>
    </row>
    <row customHeight="1" ht="16.5" r="78" s="40">
      <c r="A78" s="78" t="n">
        <v>45179</v>
      </c>
      <c r="B78" s="148" t="n"/>
      <c r="C78" s="148" t="n"/>
      <c r="D78" s="148" t="n"/>
      <c r="E78" s="148" t="n"/>
      <c r="F78" s="148" t="n"/>
      <c r="H78" s="80">
        <f>A78</f>
        <v/>
      </c>
      <c r="I78" s="150" t="n"/>
      <c r="J78" s="150" t="n"/>
      <c r="K78" s="150" t="n"/>
      <c r="L78" s="150" t="n"/>
      <c r="M78" s="150" t="n"/>
      <c r="N78" s="150" t="n"/>
      <c r="O78" s="150" t="n"/>
      <c r="P78" s="150" t="n"/>
      <c r="Q78" s="150" t="n"/>
      <c r="R78" s="150" t="n"/>
      <c r="S78" s="150" t="n"/>
      <c r="T78" s="150" t="n"/>
      <c r="U78" s="150" t="n"/>
      <c r="V78" s="150" t="n"/>
      <c r="W78" s="141" t="n"/>
      <c r="X78" s="78">
        <f>H78</f>
        <v/>
      </c>
      <c r="Y78" s="149" t="n"/>
      <c r="Z78" s="149" t="n"/>
      <c r="AA78" s="149" t="n"/>
      <c r="AB78" s="149" t="n"/>
      <c r="AC78" s="149" t="n"/>
    </row>
    <row customHeight="1" ht="16.5" r="79" s="40">
      <c r="A79" s="78" t="n">
        <v>45180</v>
      </c>
      <c r="B79" s="148" t="n"/>
      <c r="C79" s="148" t="n"/>
      <c r="D79" s="148" t="n"/>
      <c r="E79" s="148" t="n"/>
      <c r="F79" s="148" t="n"/>
      <c r="H79" s="80">
        <f>A79</f>
        <v/>
      </c>
      <c r="I79" s="150" t="n"/>
      <c r="J79" s="150" t="n"/>
      <c r="K79" s="150" t="n"/>
      <c r="L79" s="150" t="n"/>
      <c r="M79" s="150" t="n"/>
      <c r="N79" s="150" t="n"/>
      <c r="O79" s="150" t="n"/>
      <c r="P79" s="150" t="n"/>
      <c r="Q79" s="150" t="n"/>
      <c r="R79" s="150" t="n"/>
      <c r="S79" s="150" t="n"/>
      <c r="T79" s="150" t="n"/>
      <c r="U79" s="150" t="n"/>
      <c r="V79" s="150" t="n"/>
      <c r="W79" s="141" t="n"/>
      <c r="X79" s="78">
        <f>H79</f>
        <v/>
      </c>
      <c r="Y79" s="149" t="n"/>
      <c r="Z79" s="149" t="n"/>
      <c r="AA79" s="149" t="n"/>
      <c r="AB79" s="149" t="n"/>
      <c r="AC79" s="149" t="n"/>
    </row>
    <row customHeight="1" ht="16.5" r="80" s="40">
      <c r="A80" s="78" t="n">
        <v>45181</v>
      </c>
      <c r="B80" s="148" t="n"/>
      <c r="C80" s="148" t="n"/>
      <c r="D80" s="148" t="n"/>
      <c r="E80" s="148" t="n"/>
      <c r="F80" s="148" t="n"/>
      <c r="H80" s="80">
        <f>A80</f>
        <v/>
      </c>
      <c r="I80" s="150" t="n"/>
      <c r="J80" s="150" t="n"/>
      <c r="K80" s="150" t="n"/>
      <c r="L80" s="150" t="n"/>
      <c r="M80" s="150" t="n"/>
      <c r="N80" s="150" t="n"/>
      <c r="O80" s="150" t="n"/>
      <c r="P80" s="150" t="n"/>
      <c r="Q80" s="150" t="n"/>
      <c r="R80" s="150" t="n"/>
      <c r="S80" s="150" t="n"/>
      <c r="T80" s="150" t="n"/>
      <c r="U80" s="150" t="n"/>
      <c r="V80" s="150" t="n"/>
      <c r="W80" s="141" t="n"/>
      <c r="X80" s="78">
        <f>H80</f>
        <v/>
      </c>
      <c r="Y80" s="149" t="n"/>
      <c r="Z80" s="149" t="n"/>
      <c r="AA80" s="149" t="n"/>
      <c r="AB80" s="149" t="n"/>
      <c r="AC80" s="149" t="n"/>
    </row>
    <row customHeight="1" ht="16.5" r="81" s="40">
      <c r="A81" s="78" t="n">
        <v>45182</v>
      </c>
      <c r="B81" s="148" t="n"/>
      <c r="C81" s="148" t="n"/>
      <c r="D81" s="148" t="n"/>
      <c r="E81" s="148" t="n"/>
      <c r="F81" s="148" t="n"/>
      <c r="H81" s="80">
        <f>A81</f>
        <v/>
      </c>
      <c r="I81" s="150" t="n"/>
      <c r="J81" s="150" t="n"/>
      <c r="K81" s="150" t="n"/>
      <c r="L81" s="150" t="n"/>
      <c r="M81" s="150" t="n"/>
      <c r="N81" s="150" t="n"/>
      <c r="O81" s="150" t="n"/>
      <c r="P81" s="150" t="n"/>
      <c r="Q81" s="150" t="n"/>
      <c r="R81" s="150" t="n"/>
      <c r="S81" s="150" t="n"/>
      <c r="T81" s="150" t="n"/>
      <c r="U81" s="150" t="n"/>
      <c r="V81" s="150" t="n"/>
      <c r="W81" s="141" t="n"/>
      <c r="X81" s="78">
        <f>H81</f>
        <v/>
      </c>
      <c r="Y81" s="149" t="n"/>
      <c r="Z81" s="149" t="n"/>
      <c r="AA81" s="149" t="n"/>
      <c r="AB81" s="149" t="n"/>
      <c r="AC81" s="149" t="n"/>
    </row>
    <row customHeight="1" ht="16.5" r="82" s="40">
      <c r="A82" s="78" t="n">
        <v>45183</v>
      </c>
      <c r="B82" s="148" t="n"/>
      <c r="C82" s="148" t="n"/>
      <c r="D82" s="148" t="n"/>
      <c r="E82" s="148" t="n"/>
      <c r="F82" s="148" t="n"/>
      <c r="H82" s="80">
        <f>A82</f>
        <v/>
      </c>
      <c r="I82" s="150" t="n"/>
      <c r="J82" s="150" t="n"/>
      <c r="K82" s="150" t="n"/>
      <c r="L82" s="150" t="n"/>
      <c r="M82" s="150" t="n"/>
      <c r="N82" s="150" t="n"/>
      <c r="O82" s="150" t="n"/>
      <c r="P82" s="150" t="n"/>
      <c r="Q82" s="150" t="n"/>
      <c r="R82" s="150" t="n"/>
      <c r="S82" s="150" t="n"/>
      <c r="T82" s="150" t="n"/>
      <c r="U82" s="150" t="n"/>
      <c r="V82" s="150" t="n"/>
      <c r="W82" s="141" t="n"/>
      <c r="X82" s="78">
        <f>H82</f>
        <v/>
      </c>
      <c r="Y82" s="149" t="n"/>
      <c r="Z82" s="149" t="n"/>
      <c r="AA82" s="149" t="n"/>
      <c r="AB82" s="149" t="n"/>
      <c r="AC82" s="149" t="n"/>
    </row>
    <row customHeight="1" ht="16.5" r="83" s="40">
      <c r="A83" s="78" t="n">
        <v>45184</v>
      </c>
      <c r="B83" s="148" t="n"/>
      <c r="C83" s="148" t="n"/>
      <c r="D83" s="148" t="n"/>
      <c r="E83" s="148" t="n"/>
      <c r="F83" s="148" t="n"/>
      <c r="H83" s="80">
        <f>A83</f>
        <v/>
      </c>
      <c r="I83" s="150" t="n"/>
      <c r="J83" s="150" t="n"/>
      <c r="K83" s="150" t="n"/>
      <c r="L83" s="150" t="n"/>
      <c r="M83" s="150" t="n"/>
      <c r="N83" s="150" t="n"/>
      <c r="O83" s="150" t="n"/>
      <c r="P83" s="150" t="n"/>
      <c r="Q83" s="150" t="n"/>
      <c r="R83" s="150" t="n"/>
      <c r="S83" s="150" t="n"/>
      <c r="T83" s="150" t="n"/>
      <c r="U83" s="150" t="n"/>
      <c r="V83" s="150" t="n"/>
      <c r="W83" s="141" t="n"/>
      <c r="X83" s="78">
        <f>H83</f>
        <v/>
      </c>
      <c r="Y83" s="149" t="n"/>
      <c r="Z83" s="149" t="n"/>
      <c r="AA83" s="149" t="n"/>
      <c r="AB83" s="149" t="n"/>
      <c r="AC83" s="149" t="n"/>
    </row>
    <row customHeight="1" ht="16.5" r="84" s="40">
      <c r="A84" s="78" t="n">
        <v>45185</v>
      </c>
      <c r="B84" s="148" t="n"/>
      <c r="C84" s="148" t="n"/>
      <c r="D84" s="148" t="n"/>
      <c r="E84" s="148" t="n"/>
      <c r="F84" s="148" t="n"/>
      <c r="H84" s="80">
        <f>A84</f>
        <v/>
      </c>
      <c r="I84" s="150" t="n"/>
      <c r="J84" s="150" t="n"/>
      <c r="K84" s="150" t="n"/>
      <c r="L84" s="150" t="n"/>
      <c r="M84" s="150" t="n"/>
      <c r="N84" s="150" t="n"/>
      <c r="O84" s="150" t="n"/>
      <c r="P84" s="150" t="n"/>
      <c r="Q84" s="150" t="n"/>
      <c r="R84" s="150" t="n"/>
      <c r="S84" s="150" t="n"/>
      <c r="T84" s="150" t="n"/>
      <c r="U84" s="150" t="n"/>
      <c r="V84" s="150" t="n"/>
      <c r="W84" s="141" t="n"/>
      <c r="X84" s="78">
        <f>H84</f>
        <v/>
      </c>
      <c r="Y84" s="149" t="n"/>
      <c r="Z84" s="149" t="n"/>
      <c r="AA84" s="149" t="n"/>
      <c r="AB84" s="149" t="n"/>
      <c r="AC84" s="149" t="n"/>
    </row>
    <row customHeight="1" ht="16.5" r="85" s="40">
      <c r="A85" s="78" t="n">
        <v>45186</v>
      </c>
      <c r="B85" s="148" t="n"/>
      <c r="C85" s="148" t="n"/>
      <c r="D85" s="148" t="n"/>
      <c r="E85" s="148" t="n"/>
      <c r="F85" s="148" t="n"/>
      <c r="H85" s="80">
        <f>A85</f>
        <v/>
      </c>
      <c r="I85" s="150" t="n"/>
      <c r="J85" s="150" t="n"/>
      <c r="K85" s="150" t="n"/>
      <c r="L85" s="150" t="n"/>
      <c r="M85" s="150" t="n"/>
      <c r="N85" s="150" t="n"/>
      <c r="O85" s="150" t="n"/>
      <c r="P85" s="150" t="n"/>
      <c r="Q85" s="150" t="n"/>
      <c r="R85" s="150" t="n"/>
      <c r="S85" s="150" t="n"/>
      <c r="T85" s="150" t="n"/>
      <c r="U85" s="150" t="n"/>
      <c r="V85" s="150" t="n"/>
      <c r="W85" s="141" t="n"/>
      <c r="X85" s="78">
        <f>H85</f>
        <v/>
      </c>
      <c r="Y85" s="149" t="n"/>
      <c r="Z85" s="149" t="n"/>
      <c r="AA85" s="149" t="n"/>
      <c r="AB85" s="149" t="n"/>
      <c r="AC85" s="149" t="n"/>
    </row>
    <row customHeight="1" ht="16.5" r="86" s="40">
      <c r="A86" s="78" t="n">
        <v>45187</v>
      </c>
      <c r="B86" s="148" t="n"/>
      <c r="C86" s="148" t="n"/>
      <c r="D86" s="148" t="n"/>
      <c r="E86" s="148" t="n"/>
      <c r="F86" s="148" t="n"/>
      <c r="H86" s="80">
        <f>A86</f>
        <v/>
      </c>
      <c r="I86" s="150" t="n"/>
      <c r="J86" s="150" t="n"/>
      <c r="K86" s="150" t="n"/>
      <c r="L86" s="150" t="n"/>
      <c r="M86" s="150" t="n"/>
      <c r="N86" s="150" t="n"/>
      <c r="O86" s="150" t="n"/>
      <c r="P86" s="150" t="n"/>
      <c r="Q86" s="150" t="n"/>
      <c r="R86" s="150" t="n"/>
      <c r="S86" s="150" t="n"/>
      <c r="T86" s="150" t="n"/>
      <c r="U86" s="150" t="n"/>
      <c r="V86" s="150" t="n"/>
      <c r="W86" s="141" t="n"/>
      <c r="X86" s="78">
        <f>H86</f>
        <v/>
      </c>
      <c r="Y86" s="149" t="n"/>
      <c r="Z86" s="149" t="n"/>
      <c r="AA86" s="149" t="n"/>
      <c r="AB86" s="149" t="n"/>
      <c r="AC86" s="149" t="n"/>
    </row>
    <row customHeight="1" ht="16.5" r="87" s="40">
      <c r="A87" s="78" t="n">
        <v>45188</v>
      </c>
      <c r="B87" s="148" t="n"/>
      <c r="C87" s="148" t="n"/>
      <c r="D87" s="148" t="n"/>
      <c r="E87" s="148" t="n"/>
      <c r="F87" s="148" t="n"/>
      <c r="H87" s="80">
        <f>A87</f>
        <v/>
      </c>
      <c r="I87" s="150" t="n"/>
      <c r="J87" s="150" t="n"/>
      <c r="K87" s="150" t="n"/>
      <c r="L87" s="150" t="n"/>
      <c r="M87" s="150" t="n"/>
      <c r="N87" s="150" t="n"/>
      <c r="O87" s="150" t="n"/>
      <c r="P87" s="150" t="n"/>
      <c r="Q87" s="150" t="n"/>
      <c r="R87" s="150" t="n"/>
      <c r="S87" s="150" t="n"/>
      <c r="T87" s="150" t="n"/>
      <c r="U87" s="150" t="n"/>
      <c r="V87" s="150" t="n"/>
      <c r="W87" s="141" t="n"/>
      <c r="X87" s="78">
        <f>H87</f>
        <v/>
      </c>
      <c r="Y87" s="149" t="n"/>
      <c r="Z87" s="149" t="n"/>
      <c r="AA87" s="149" t="n"/>
      <c r="AB87" s="149" t="n"/>
      <c r="AC87" s="149" t="n"/>
    </row>
    <row customHeight="1" ht="16.5" r="88" s="40">
      <c r="A88" s="78" t="n">
        <v>45189</v>
      </c>
      <c r="B88" s="148" t="n"/>
      <c r="C88" s="148" t="n"/>
      <c r="D88" s="148" t="n"/>
      <c r="E88" s="148" t="n"/>
      <c r="F88" s="148" t="n"/>
      <c r="H88" s="80">
        <f>A88</f>
        <v/>
      </c>
      <c r="I88" s="150" t="n"/>
      <c r="J88" s="150" t="n"/>
      <c r="K88" s="150" t="n"/>
      <c r="L88" s="150" t="n"/>
      <c r="M88" s="150" t="n"/>
      <c r="N88" s="150" t="n"/>
      <c r="O88" s="150" t="n"/>
      <c r="P88" s="150" t="n"/>
      <c r="Q88" s="150" t="n"/>
      <c r="R88" s="150" t="n"/>
      <c r="S88" s="150" t="n"/>
      <c r="T88" s="150" t="n"/>
      <c r="U88" s="150" t="n"/>
      <c r="V88" s="150" t="n"/>
      <c r="W88" s="141" t="n"/>
      <c r="X88" s="78">
        <f>H88</f>
        <v/>
      </c>
      <c r="Y88" s="149" t="n"/>
      <c r="Z88" s="149" t="n"/>
      <c r="AA88" s="149" t="n"/>
      <c r="AB88" s="149" t="n"/>
      <c r="AC88" s="149" t="n"/>
    </row>
    <row customHeight="1" ht="16.5" r="89" s="40">
      <c r="A89" s="78" t="n">
        <v>45190</v>
      </c>
      <c r="B89" s="148" t="n"/>
      <c r="C89" s="148" t="n"/>
      <c r="D89" s="148" t="n"/>
      <c r="E89" s="148" t="n"/>
      <c r="F89" s="148" t="n"/>
      <c r="H89" s="80">
        <f>A89</f>
        <v/>
      </c>
      <c r="I89" s="150" t="n"/>
      <c r="J89" s="150" t="n"/>
      <c r="K89" s="150" t="n"/>
      <c r="L89" s="150" t="n"/>
      <c r="M89" s="150" t="n"/>
      <c r="N89" s="150" t="n"/>
      <c r="O89" s="150" t="n"/>
      <c r="P89" s="150" t="n"/>
      <c r="Q89" s="150" t="n"/>
      <c r="R89" s="150" t="n"/>
      <c r="S89" s="150" t="n"/>
      <c r="T89" s="150" t="n"/>
      <c r="U89" s="150" t="n"/>
      <c r="V89" s="150" t="n"/>
      <c r="W89" s="141" t="n"/>
      <c r="X89" s="78">
        <f>H89</f>
        <v/>
      </c>
      <c r="Y89" s="149" t="n"/>
      <c r="Z89" s="149" t="n"/>
      <c r="AA89" s="149" t="n"/>
      <c r="AB89" s="149" t="n"/>
      <c r="AC89" s="149" t="n"/>
    </row>
    <row customHeight="1" ht="16.5" r="90" s="40">
      <c r="A90" s="78" t="n">
        <v>45191</v>
      </c>
      <c r="B90" s="148" t="n"/>
      <c r="C90" s="148" t="n"/>
      <c r="D90" s="148" t="n"/>
      <c r="E90" s="148" t="n"/>
      <c r="F90" s="148" t="n"/>
      <c r="H90" s="80">
        <f>A90</f>
        <v/>
      </c>
      <c r="I90" s="150" t="n"/>
      <c r="J90" s="150" t="n"/>
      <c r="K90" s="150" t="n"/>
      <c r="L90" s="150" t="n"/>
      <c r="M90" s="150" t="n"/>
      <c r="N90" s="150" t="n"/>
      <c r="O90" s="150" t="n"/>
      <c r="P90" s="150" t="n"/>
      <c r="Q90" s="150" t="n"/>
      <c r="R90" s="150" t="n"/>
      <c r="S90" s="150" t="n"/>
      <c r="T90" s="150" t="n"/>
      <c r="U90" s="150" t="n"/>
      <c r="V90" s="150" t="n"/>
      <c r="W90" s="141" t="n"/>
      <c r="X90" s="78">
        <f>H90</f>
        <v/>
      </c>
      <c r="Y90" s="149" t="n"/>
      <c r="Z90" s="149" t="n"/>
      <c r="AA90" s="149" t="n"/>
      <c r="AB90" s="149" t="n"/>
      <c r="AC90" s="149" t="n"/>
    </row>
    <row customHeight="1" ht="16.5" r="91" s="40">
      <c r="A91" s="78" t="n">
        <v>45192</v>
      </c>
      <c r="B91" s="148" t="n"/>
      <c r="C91" s="148" t="n"/>
      <c r="D91" s="148" t="n"/>
      <c r="E91" s="148" t="n"/>
      <c r="F91" s="148" t="n"/>
      <c r="H91" s="80">
        <f>A91</f>
        <v/>
      </c>
      <c r="I91" s="150" t="n"/>
      <c r="J91" s="150" t="n"/>
      <c r="K91" s="150" t="n"/>
      <c r="L91" s="150" t="n"/>
      <c r="M91" s="150" t="n"/>
      <c r="N91" s="150" t="n"/>
      <c r="O91" s="150" t="n"/>
      <c r="P91" s="150" t="n"/>
      <c r="Q91" s="150" t="n"/>
      <c r="R91" s="150" t="n"/>
      <c r="S91" s="150" t="n"/>
      <c r="T91" s="150" t="n"/>
      <c r="U91" s="150" t="n"/>
      <c r="V91" s="150" t="n"/>
      <c r="W91" s="141" t="n"/>
      <c r="X91" s="78">
        <f>H91</f>
        <v/>
      </c>
      <c r="Y91" s="149" t="n"/>
      <c r="Z91" s="149" t="n"/>
      <c r="AA91" s="149" t="n"/>
      <c r="AB91" s="149" t="n"/>
      <c r="AC91" s="149" t="n"/>
    </row>
    <row customHeight="1" ht="16.5" r="92" s="40">
      <c r="A92" s="78" t="n">
        <v>45193</v>
      </c>
      <c r="B92" s="148" t="n"/>
      <c r="C92" s="148" t="n"/>
      <c r="D92" s="148" t="n"/>
      <c r="E92" s="148" t="n"/>
      <c r="F92" s="148" t="n"/>
      <c r="H92" s="80">
        <f>A92</f>
        <v/>
      </c>
      <c r="I92" s="150" t="n"/>
      <c r="J92" s="150" t="n"/>
      <c r="K92" s="150" t="n"/>
      <c r="L92" s="150" t="n"/>
      <c r="M92" s="150" t="n"/>
      <c r="N92" s="150" t="n"/>
      <c r="O92" s="150" t="n"/>
      <c r="P92" s="150" t="n"/>
      <c r="Q92" s="150" t="n"/>
      <c r="R92" s="150" t="n"/>
      <c r="S92" s="150" t="n"/>
      <c r="T92" s="150" t="n"/>
      <c r="U92" s="150" t="n"/>
      <c r="V92" s="150" t="n"/>
      <c r="W92" s="141" t="n"/>
      <c r="X92" s="78">
        <f>H92</f>
        <v/>
      </c>
      <c r="Y92" s="149" t="n"/>
      <c r="Z92" s="149" t="n"/>
      <c r="AA92" s="149" t="n"/>
      <c r="AB92" s="149" t="n"/>
      <c r="AC92" s="149" t="n"/>
    </row>
    <row customHeight="1" ht="16.5" r="93" s="40">
      <c r="A93" s="78" t="n">
        <v>45194</v>
      </c>
      <c r="B93" s="148" t="n"/>
      <c r="C93" s="148" t="n"/>
      <c r="D93" s="148" t="n"/>
      <c r="E93" s="148" t="n"/>
      <c r="F93" s="148" t="n"/>
      <c r="H93" s="80">
        <f>A93</f>
        <v/>
      </c>
      <c r="I93" s="150" t="n"/>
      <c r="J93" s="150" t="n"/>
      <c r="K93" s="150" t="n"/>
      <c r="L93" s="150" t="n"/>
      <c r="M93" s="150" t="n"/>
      <c r="N93" s="150" t="n"/>
      <c r="O93" s="150" t="n"/>
      <c r="P93" s="150" t="n"/>
      <c r="Q93" s="150" t="n"/>
      <c r="R93" s="150" t="n"/>
      <c r="S93" s="150" t="n"/>
      <c r="T93" s="150" t="n"/>
      <c r="U93" s="150" t="n"/>
      <c r="V93" s="150" t="n"/>
      <c r="W93" s="141" t="n"/>
      <c r="X93" s="78">
        <f>H93</f>
        <v/>
      </c>
      <c r="Y93" s="149" t="n"/>
      <c r="Z93" s="149" t="n"/>
      <c r="AA93" s="149" t="n"/>
      <c r="AB93" s="149" t="n"/>
      <c r="AC93" s="149" t="n"/>
    </row>
    <row customHeight="1" ht="16.5" r="94" s="40">
      <c r="A94" s="78" t="n">
        <v>45195</v>
      </c>
      <c r="B94" s="148" t="n"/>
      <c r="C94" s="148" t="n"/>
      <c r="D94" s="148" t="n"/>
      <c r="E94" s="148" t="n"/>
      <c r="F94" s="148" t="n"/>
      <c r="H94" s="80">
        <f>A94</f>
        <v/>
      </c>
      <c r="I94" s="150" t="n"/>
      <c r="J94" s="150" t="n"/>
      <c r="K94" s="150" t="n"/>
      <c r="L94" s="150" t="n"/>
      <c r="M94" s="150" t="n"/>
      <c r="N94" s="150" t="n"/>
      <c r="O94" s="150" t="n"/>
      <c r="P94" s="150" t="n"/>
      <c r="Q94" s="150" t="n"/>
      <c r="R94" s="150" t="n"/>
      <c r="S94" s="150" t="n"/>
      <c r="T94" s="150" t="n"/>
      <c r="U94" s="150" t="n"/>
      <c r="V94" s="150" t="n"/>
      <c r="W94" s="141" t="n"/>
      <c r="X94" s="78">
        <f>H94</f>
        <v/>
      </c>
      <c r="Y94" s="149" t="n"/>
      <c r="Z94" s="149" t="n"/>
      <c r="AA94" s="149" t="n"/>
      <c r="AB94" s="149" t="n"/>
      <c r="AC94" s="149" t="n"/>
    </row>
    <row customHeight="1" ht="16.5" r="95" s="40">
      <c r="A95" s="78" t="n">
        <v>45196</v>
      </c>
      <c r="B95" s="148" t="n"/>
      <c r="C95" s="148" t="n"/>
      <c r="D95" s="148" t="n"/>
      <c r="E95" s="148" t="n"/>
      <c r="F95" s="148" t="n"/>
      <c r="H95" s="80">
        <f>A95</f>
        <v/>
      </c>
      <c r="I95" s="150" t="n"/>
      <c r="J95" s="150" t="n"/>
      <c r="K95" s="150" t="n"/>
      <c r="L95" s="150" t="n"/>
      <c r="M95" s="150" t="n"/>
      <c r="N95" s="150" t="n"/>
      <c r="O95" s="150" t="n"/>
      <c r="P95" s="150" t="n"/>
      <c r="Q95" s="150" t="n"/>
      <c r="R95" s="150" t="n"/>
      <c r="S95" s="150" t="n"/>
      <c r="T95" s="150" t="n"/>
      <c r="U95" s="150" t="n"/>
      <c r="V95" s="150" t="n"/>
      <c r="W95" s="141" t="n"/>
      <c r="X95" s="78">
        <f>H95</f>
        <v/>
      </c>
      <c r="Y95" s="149" t="n"/>
      <c r="Z95" s="149" t="n"/>
      <c r="AA95" s="149" t="n"/>
      <c r="AB95" s="149" t="n"/>
      <c r="AC95" s="149" t="n"/>
    </row>
    <row customHeight="1" ht="16.5" r="96" s="40">
      <c r="A96" s="78" t="n">
        <v>45197</v>
      </c>
      <c r="B96" s="148" t="n"/>
      <c r="C96" s="148" t="n"/>
      <c r="D96" s="148" t="n"/>
      <c r="E96" s="148" t="n"/>
      <c r="F96" s="148" t="n"/>
      <c r="H96" s="80">
        <f>A96</f>
        <v/>
      </c>
      <c r="I96" s="150" t="n"/>
      <c r="J96" s="150" t="n"/>
      <c r="K96" s="150" t="n"/>
      <c r="L96" s="150" t="n"/>
      <c r="M96" s="150" t="n"/>
      <c r="N96" s="150" t="n"/>
      <c r="O96" s="150" t="n"/>
      <c r="P96" s="150" t="n"/>
      <c r="Q96" s="150" t="n"/>
      <c r="R96" s="150" t="n"/>
      <c r="S96" s="150" t="n"/>
      <c r="T96" s="150" t="n"/>
      <c r="U96" s="150" t="n"/>
      <c r="V96" s="150" t="n"/>
      <c r="W96" s="141" t="n"/>
      <c r="X96" s="78">
        <f>H96</f>
        <v/>
      </c>
      <c r="Y96" s="149" t="n"/>
      <c r="Z96" s="149" t="n"/>
      <c r="AA96" s="149" t="n"/>
      <c r="AB96" s="149" t="n"/>
      <c r="AC96" s="149" t="n"/>
    </row>
    <row customHeight="1" ht="16.5" r="97" s="40">
      <c r="A97" s="78" t="n">
        <v>45198</v>
      </c>
      <c r="B97" s="148" t="n"/>
      <c r="C97" s="148" t="n"/>
      <c r="D97" s="148" t="n"/>
      <c r="E97" s="148" t="n"/>
      <c r="F97" s="148" t="n"/>
      <c r="H97" s="80">
        <f>A97</f>
        <v/>
      </c>
      <c r="I97" s="150" t="n"/>
      <c r="J97" s="150" t="n"/>
      <c r="K97" s="150" t="n"/>
      <c r="L97" s="150" t="n"/>
      <c r="M97" s="150" t="n"/>
      <c r="N97" s="150" t="n"/>
      <c r="O97" s="150" t="n"/>
      <c r="P97" s="150" t="n"/>
      <c r="Q97" s="150" t="n"/>
      <c r="R97" s="150" t="n"/>
      <c r="S97" s="150" t="n"/>
      <c r="T97" s="150" t="n"/>
      <c r="U97" s="150" t="n"/>
      <c r="V97" s="150" t="n"/>
      <c r="W97" s="141" t="n"/>
      <c r="X97" s="78">
        <f>H97</f>
        <v/>
      </c>
      <c r="Y97" s="149" t="n"/>
      <c r="Z97" s="149" t="n"/>
      <c r="AA97" s="149" t="n"/>
      <c r="AB97" s="149" t="n"/>
      <c r="AC97" s="149" t="n"/>
    </row>
    <row customHeight="1" ht="16.5" r="98" s="40">
      <c r="A98" s="78" t="n">
        <v>45199</v>
      </c>
      <c r="B98" s="148" t="n"/>
      <c r="C98" s="148" t="n"/>
      <c r="D98" s="148" t="n"/>
      <c r="E98" s="148" t="n"/>
      <c r="F98" s="148" t="n"/>
      <c r="H98" s="80">
        <f>A98</f>
        <v/>
      </c>
      <c r="I98" s="150" t="n"/>
      <c r="J98" s="150" t="n"/>
      <c r="K98" s="150" t="n"/>
      <c r="L98" s="150" t="n"/>
      <c r="M98" s="150" t="n"/>
      <c r="N98" s="150" t="n"/>
      <c r="O98" s="150" t="n"/>
      <c r="P98" s="150" t="n"/>
      <c r="Q98" s="150" t="n"/>
      <c r="R98" s="150" t="n"/>
      <c r="S98" s="150" t="n"/>
      <c r="T98" s="150" t="n"/>
      <c r="X98" s="78">
        <f>H98</f>
        <v/>
      </c>
      <c r="Y98" s="149" t="n"/>
      <c r="Z98" s="149" t="n"/>
      <c r="AA98" s="149" t="n"/>
      <c r="AB98" s="149" t="n"/>
      <c r="AC98" s="149" t="n"/>
    </row>
  </sheetData>
  <mergeCells count="21">
    <mergeCell ref="S1:T1"/>
    <mergeCell ref="AB1:AB2"/>
    <mergeCell ref="I1:J1"/>
    <mergeCell ref="D1:D2"/>
    <mergeCell ref="F1:F2"/>
    <mergeCell ref="V1:V2"/>
    <mergeCell ref="H1:H2"/>
    <mergeCell ref="K1:L1"/>
    <mergeCell ref="A1:A2"/>
    <mergeCell ref="O1:P1"/>
    <mergeCell ref="C1:C2"/>
    <mergeCell ref="Q1:R1"/>
    <mergeCell ref="B1:B2"/>
    <mergeCell ref="Z1:Z2"/>
    <mergeCell ref="E1:E2"/>
    <mergeCell ref="AC1:AC2"/>
    <mergeCell ref="X1:X2"/>
    <mergeCell ref="AA1:AA2"/>
    <mergeCell ref="Y1:Y2"/>
    <mergeCell ref="M1:N1"/>
    <mergeCell ref="U1:U2"/>
  </mergeCells>
  <conditionalFormatting sqref="A7:A98 H7:H98 X7:X98">
    <cfRule dxfId="10" priority="8" type="expression">
      <formula>OR(WEEKDAY($A7,2)=7,WEEKDAY($A7,2)=6)</formula>
    </cfRule>
  </conditionalFormatting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tabColor theme="5" tint="-0.499984740745262"/>
    <outlinePr summaryBelow="1" summaryRight="1"/>
    <pageSetUpPr/>
  </sheetPr>
  <dimension ref="A1:AM99"/>
  <sheetViews>
    <sheetView showGridLines="0" workbookViewId="0">
      <pane activePane="bottomLeft" state="frozen" topLeftCell="A43" ySplit="7"/>
      <selection activeCell="A1" sqref="A1"/>
      <selection activeCell="AF52" pane="bottomLeft" sqref="AF52:AM52"/>
    </sheetView>
  </sheetViews>
  <sheetFormatPr baseColWidth="8" defaultColWidth="9" defaultRowHeight="13.5"/>
  <cols>
    <col customWidth="1" max="1" min="1" style="40" width="8.758333333333329"/>
    <col customWidth="1" max="5" min="2" style="151" width="11.625"/>
    <col customWidth="1" max="8" min="6" style="152" width="10.375"/>
    <col customWidth="1" max="9" min="9" style="152" width="11.875"/>
    <col customWidth="1" max="10" min="10" style="152" width="1.25833333333333"/>
    <col customWidth="1" max="11" min="11" style="152" width="8.758333333333329"/>
    <col customWidth="1" max="15" min="12" style="151" width="11.625"/>
    <col customWidth="1" max="18" min="16" style="152" width="10.375"/>
    <col customWidth="1" max="19" min="19" style="152" width="11.875"/>
    <col customWidth="1" max="20" min="20" style="152" width="1.25833333333333"/>
    <col customWidth="1" max="21" min="21" style="152" width="8.758333333333329"/>
    <col customWidth="1" max="25" min="22" style="151" width="11.625"/>
    <col customWidth="1" max="28" min="26" style="152" width="10.375"/>
    <col customWidth="1" max="29" min="29" style="152" width="11.875"/>
    <col customWidth="1" max="30" min="30" style="152" width="1.25833333333333"/>
    <col customWidth="1" max="31" min="31" style="152" width="8.758333333333329"/>
    <col customWidth="1" max="35" min="32" style="151" width="11.625"/>
    <col customWidth="1" max="38" min="36" style="152" width="10.375"/>
    <col customWidth="1" max="39" min="39" style="152" width="11.875"/>
  </cols>
  <sheetData>
    <row customHeight="1" ht="16.5" r="1" s="40">
      <c r="A1" s="42" t="inlineStr">
        <is>
          <t>日期</t>
        </is>
      </c>
      <c r="B1" s="153" t="inlineStr">
        <is>
          <t>厦门市</t>
        </is>
      </c>
      <c r="C1" s="44" t="n"/>
      <c r="D1" s="44" t="n"/>
      <c r="E1" s="44" t="n"/>
      <c r="F1" s="44" t="n"/>
      <c r="G1" s="44" t="n"/>
      <c r="H1" s="44" t="n"/>
      <c r="I1" s="58" t="n"/>
      <c r="K1" s="154" t="inlineStr">
        <is>
          <t>日期</t>
        </is>
      </c>
      <c r="L1" s="153" t="inlineStr">
        <is>
          <t>泉州市</t>
        </is>
      </c>
      <c r="M1" s="44" t="n"/>
      <c r="N1" s="44" t="n"/>
      <c r="O1" s="44" t="n"/>
      <c r="P1" s="44" t="n"/>
      <c r="Q1" s="44" t="n"/>
      <c r="R1" s="44" t="n"/>
      <c r="S1" s="58" t="n"/>
      <c r="U1" s="154" t="inlineStr">
        <is>
          <t>日期</t>
        </is>
      </c>
      <c r="V1" s="153" t="inlineStr">
        <is>
          <t>漳州市</t>
        </is>
      </c>
      <c r="W1" s="44" t="n"/>
      <c r="X1" s="44" t="n"/>
      <c r="Y1" s="44" t="n"/>
      <c r="Z1" s="44" t="n"/>
      <c r="AA1" s="44" t="n"/>
      <c r="AB1" s="44" t="n"/>
      <c r="AC1" s="58" t="n"/>
      <c r="AE1" s="154" t="inlineStr">
        <is>
          <t>日期</t>
        </is>
      </c>
      <c r="AF1" s="153" t="inlineStr">
        <is>
          <t>龙岩市</t>
        </is>
      </c>
      <c r="AG1" s="44" t="n"/>
      <c r="AH1" s="44" t="n"/>
      <c r="AI1" s="44" t="n"/>
      <c r="AJ1" s="44" t="n"/>
      <c r="AK1" s="44" t="n"/>
      <c r="AL1" s="44" t="n"/>
      <c r="AM1" s="58" t="n"/>
    </row>
    <row customHeight="1" ht="16.5" r="2" s="40">
      <c r="A2" s="45" t="n"/>
      <c r="B2" s="155" t="inlineStr">
        <is>
          <t>总包（企业+框架）</t>
        </is>
      </c>
      <c r="C2" s="156" t="inlineStr">
        <is>
          <t>企业</t>
        </is>
      </c>
      <c r="D2" s="44" t="n"/>
      <c r="E2" s="44" t="n"/>
      <c r="F2" s="44" t="n"/>
      <c r="G2" s="44" t="n"/>
      <c r="H2" s="44" t="n"/>
      <c r="I2" s="153" t="inlineStr">
        <is>
          <t>框架</t>
        </is>
      </c>
      <c r="K2" s="45" t="n"/>
      <c r="L2" s="155" t="inlineStr">
        <is>
          <t>总包（企业+框架）</t>
        </is>
      </c>
      <c r="M2" s="156" t="inlineStr">
        <is>
          <t>企业</t>
        </is>
      </c>
      <c r="N2" s="44" t="n"/>
      <c r="O2" s="44" t="n"/>
      <c r="P2" s="44" t="n"/>
      <c r="Q2" s="44" t="n"/>
      <c r="R2" s="44" t="n"/>
      <c r="S2" s="153" t="inlineStr">
        <is>
          <t>框架</t>
        </is>
      </c>
      <c r="U2" s="45" t="n"/>
      <c r="V2" s="155" t="inlineStr">
        <is>
          <t>总包（企业+框架）</t>
        </is>
      </c>
      <c r="W2" s="156" t="inlineStr">
        <is>
          <t>企业</t>
        </is>
      </c>
      <c r="X2" s="44" t="n"/>
      <c r="Y2" s="44" t="n"/>
      <c r="Z2" s="44" t="n"/>
      <c r="AA2" s="44" t="n"/>
      <c r="AB2" s="44" t="n"/>
      <c r="AC2" s="153" t="inlineStr">
        <is>
          <t>框架</t>
        </is>
      </c>
      <c r="AE2" s="45" t="n"/>
      <c r="AF2" s="155" t="inlineStr">
        <is>
          <t>总包（企业+框架）</t>
        </is>
      </c>
      <c r="AG2" s="156" t="inlineStr">
        <is>
          <t>企业</t>
        </is>
      </c>
      <c r="AH2" s="44" t="n"/>
      <c r="AI2" s="44" t="n"/>
      <c r="AJ2" s="44" t="n"/>
      <c r="AK2" s="44" t="n"/>
      <c r="AL2" s="44" t="n"/>
      <c r="AM2" s="153" t="inlineStr">
        <is>
          <t>框架</t>
        </is>
      </c>
    </row>
    <row customHeight="1" ht="16.5" r="3" s="40">
      <c r="A3" s="48" t="n"/>
      <c r="B3" s="49" t="n"/>
      <c r="C3" s="157" t="inlineStr">
        <is>
          <t>总包</t>
        </is>
      </c>
      <c r="D3" s="155" t="inlineStr">
        <is>
          <t>大搜</t>
        </is>
      </c>
      <c r="E3" s="155" t="inlineStr">
        <is>
          <t>信息流</t>
        </is>
      </c>
      <c r="F3" s="158" t="inlineStr">
        <is>
          <t>医疗</t>
        </is>
      </c>
      <c r="G3" s="159" t="inlineStr">
        <is>
          <t>非医疗</t>
        </is>
      </c>
      <c r="H3" s="159" t="inlineStr">
        <is>
          <t>品牌展示</t>
        </is>
      </c>
      <c r="I3" s="49" t="n"/>
      <c r="K3" s="48" t="n"/>
      <c r="L3" s="49" t="n"/>
      <c r="M3" s="157" t="inlineStr">
        <is>
          <t>总包</t>
        </is>
      </c>
      <c r="N3" s="155" t="inlineStr">
        <is>
          <t>大搜</t>
        </is>
      </c>
      <c r="O3" s="155" t="inlineStr">
        <is>
          <t>信息流</t>
        </is>
      </c>
      <c r="P3" s="158" t="inlineStr">
        <is>
          <t>医疗</t>
        </is>
      </c>
      <c r="Q3" s="159" t="inlineStr">
        <is>
          <t>非医疗</t>
        </is>
      </c>
      <c r="R3" s="159" t="inlineStr">
        <is>
          <t>品牌展示</t>
        </is>
      </c>
      <c r="S3" s="49" t="n"/>
      <c r="U3" s="48" t="n"/>
      <c r="V3" s="49" t="n"/>
      <c r="W3" s="157" t="inlineStr">
        <is>
          <t>总包</t>
        </is>
      </c>
      <c r="X3" s="155" t="inlineStr">
        <is>
          <t>大搜</t>
        </is>
      </c>
      <c r="Y3" s="155" t="inlineStr">
        <is>
          <t>信息流</t>
        </is>
      </c>
      <c r="Z3" s="158" t="inlineStr">
        <is>
          <t>医疗</t>
        </is>
      </c>
      <c r="AA3" s="159" t="inlineStr">
        <is>
          <t>非医疗</t>
        </is>
      </c>
      <c r="AB3" s="159" t="inlineStr">
        <is>
          <t>品牌展示</t>
        </is>
      </c>
      <c r="AC3" s="49" t="n"/>
      <c r="AE3" s="48" t="n"/>
      <c r="AF3" s="49" t="n"/>
      <c r="AG3" s="157" t="inlineStr">
        <is>
          <t>总包</t>
        </is>
      </c>
      <c r="AH3" s="155" t="inlineStr">
        <is>
          <t>大搜</t>
        </is>
      </c>
      <c r="AI3" s="155" t="inlineStr">
        <is>
          <t>信息流</t>
        </is>
      </c>
      <c r="AJ3" s="158" t="inlineStr">
        <is>
          <t>医疗</t>
        </is>
      </c>
      <c r="AK3" s="159" t="inlineStr">
        <is>
          <t>非医疗</t>
        </is>
      </c>
      <c r="AL3" s="159" t="inlineStr">
        <is>
          <t>品牌展示</t>
        </is>
      </c>
      <c r="AM3" s="49" t="n"/>
    </row>
    <row customFormat="1" customHeight="1" ht="16.5" r="4" s="1">
      <c r="A4" s="53" t="inlineStr">
        <is>
          <t>2023Q3</t>
        </is>
      </c>
      <c r="B4" s="160">
        <f>SUM(B5:B7)</f>
        <v/>
      </c>
      <c r="C4" s="160">
        <f>SUM(C5:C7)</f>
        <v/>
      </c>
      <c r="D4" s="160">
        <f>SUM(D5:D7)</f>
        <v/>
      </c>
      <c r="E4" s="160">
        <f>SUM(E5:E7)</f>
        <v/>
      </c>
      <c r="F4" s="160">
        <f>SUM(F5:F7)</f>
        <v/>
      </c>
      <c r="G4" s="160">
        <f>SUM(G5:G7)</f>
        <v/>
      </c>
      <c r="H4" s="160">
        <f>SUM(H5:H7)</f>
        <v/>
      </c>
      <c r="I4" s="160">
        <f>SUM(I5:I7)</f>
        <v/>
      </c>
      <c r="J4" s="161" t="n"/>
      <c r="K4" s="162" t="inlineStr">
        <is>
          <t>2023Q3</t>
        </is>
      </c>
      <c r="L4" s="160">
        <f>SUM(L5:L7)</f>
        <v/>
      </c>
      <c r="M4" s="160">
        <f>SUM(M5:M7)</f>
        <v/>
      </c>
      <c r="N4" s="160">
        <f>SUM(N5:N7)</f>
        <v/>
      </c>
      <c r="O4" s="160">
        <f>SUM(O5:O7)</f>
        <v/>
      </c>
      <c r="P4" s="162">
        <f>SUM(P5:P7)</f>
        <v/>
      </c>
      <c r="Q4" s="162">
        <f>SUM(Q5:Q7)</f>
        <v/>
      </c>
      <c r="R4" s="162">
        <f>SUM(R5:R7)</f>
        <v/>
      </c>
      <c r="S4" s="162">
        <f>SUM(S5:S7)</f>
        <v/>
      </c>
      <c r="T4" s="161" t="n"/>
      <c r="U4" s="163" t="inlineStr">
        <is>
          <t>2023Q3</t>
        </is>
      </c>
      <c r="V4" s="160">
        <f>SUM(V5:V7)</f>
        <v/>
      </c>
      <c r="W4" s="160">
        <f>SUM(W5:W7)</f>
        <v/>
      </c>
      <c r="X4" s="160">
        <f>SUM(X5:X7)</f>
        <v/>
      </c>
      <c r="Y4" s="160">
        <f>SUM(Y5:Y7)</f>
        <v/>
      </c>
      <c r="Z4" s="162">
        <f>SUM(Z5:Z7)</f>
        <v/>
      </c>
      <c r="AA4" s="162">
        <f>SUM(AA5:AA7)</f>
        <v/>
      </c>
      <c r="AB4" s="162">
        <f>SUM(AB5:AB7)</f>
        <v/>
      </c>
      <c r="AC4" s="162">
        <f>SUM(AC5:AC7)</f>
        <v/>
      </c>
      <c r="AD4" s="161" t="n"/>
      <c r="AE4" s="162" t="inlineStr">
        <is>
          <t>2023Q3</t>
        </is>
      </c>
      <c r="AF4" s="160">
        <f>SUM(AF5:AF7)</f>
        <v/>
      </c>
      <c r="AG4" s="160">
        <f>SUM(AG5:AG7)</f>
        <v/>
      </c>
      <c r="AH4" s="160">
        <f>SUM(AH5:AH7)</f>
        <v/>
      </c>
      <c r="AI4" s="160">
        <f>SUM(AI5:AI7)</f>
        <v/>
      </c>
      <c r="AJ4" s="162">
        <f>SUM(AJ5:AJ7)</f>
        <v/>
      </c>
      <c r="AK4" s="162">
        <f>SUM(AK5:AK7)</f>
        <v/>
      </c>
      <c r="AL4" s="162">
        <f>SUM(AL5:AL7)</f>
        <v/>
      </c>
      <c r="AM4" s="162">
        <f>SUM(AM5:AM7)</f>
        <v/>
      </c>
    </row>
    <row customFormat="1" customHeight="1" ht="16.5" r="5" s="1">
      <c r="A5" s="9" t="inlineStr">
        <is>
          <t>7月份</t>
        </is>
      </c>
      <c r="B5" s="164">
        <f>IF(B8="","",SUM(B8:B38))</f>
        <v/>
      </c>
      <c r="C5" s="164">
        <f>IF(C8="","",SUM(C8:C38))</f>
        <v/>
      </c>
      <c r="D5" s="164">
        <f>IF(D8="","",SUM(D8:D38))</f>
        <v/>
      </c>
      <c r="E5" s="164">
        <f>IF(E8="","",SUM(E8:E38))</f>
        <v/>
      </c>
      <c r="F5" s="164">
        <f>IF(F8="","",SUM(F8:F38))</f>
        <v/>
      </c>
      <c r="G5" s="164">
        <f>IF(G8="","",SUM(G8:G38))</f>
        <v/>
      </c>
      <c r="H5" s="164">
        <f>IF(H8="","",SUM(H8:H38))</f>
        <v/>
      </c>
      <c r="I5" s="164">
        <f>IF(I8="","",SUM(I8:I38))</f>
        <v/>
      </c>
      <c r="J5" s="161" t="n"/>
      <c r="K5" s="163" t="inlineStr">
        <is>
          <t>7月份</t>
        </is>
      </c>
      <c r="L5" s="164">
        <f>IF(L8="","",SUM(L8:L38))</f>
        <v/>
      </c>
      <c r="M5" s="164">
        <f>IF(M8="","",SUM(M8:M38))</f>
        <v/>
      </c>
      <c r="N5" s="164">
        <f>IF(N8="","",SUM(N8:N38))</f>
        <v/>
      </c>
      <c r="O5" s="164">
        <f>IF(O8="","",SUM(O8:O38))</f>
        <v/>
      </c>
      <c r="P5" s="164">
        <f>IF(P8="","",SUM(P8:P38))</f>
        <v/>
      </c>
      <c r="Q5" s="164">
        <f>IF(Q8="","",SUM(Q8:Q38))</f>
        <v/>
      </c>
      <c r="R5" s="164">
        <f>IF(R8="","",SUM(R8:R38))</f>
        <v/>
      </c>
      <c r="S5" s="164">
        <f>IF(S8="","",SUM(S8:S38))</f>
        <v/>
      </c>
      <c r="T5" s="161" t="n"/>
      <c r="U5" s="163" t="inlineStr">
        <is>
          <t>7月份</t>
        </is>
      </c>
      <c r="V5" s="164">
        <f>IF(V8="","",SUM(V8:V38))</f>
        <v/>
      </c>
      <c r="W5" s="164">
        <f>IF(W8="","",SUM(W8:W38))</f>
        <v/>
      </c>
      <c r="X5" s="164">
        <f>IF(X8="","",SUM(X8:X38))</f>
        <v/>
      </c>
      <c r="Y5" s="164">
        <f>IF(Y8="","",SUM(Y8:Y38))</f>
        <v/>
      </c>
      <c r="Z5" s="164">
        <f>IF(Z8="","",SUM(Z8:Z38))</f>
        <v/>
      </c>
      <c r="AA5" s="164">
        <f>IF(AA8="","",SUM(AA8:AA38))</f>
        <v/>
      </c>
      <c r="AB5" s="164">
        <f>IF(AB8="","",SUM(AB8:AB38))</f>
        <v/>
      </c>
      <c r="AC5" s="164">
        <f>IF(AC8="","",SUM(AC8:AC38))</f>
        <v/>
      </c>
      <c r="AD5" s="161" t="n"/>
      <c r="AE5" s="163" t="inlineStr">
        <is>
          <t>7月份</t>
        </is>
      </c>
      <c r="AF5" s="164">
        <f>IF(AF8="","",SUM(AF8:AF38))</f>
        <v/>
      </c>
      <c r="AG5" s="164">
        <f>IF(AG8="","",SUM(AG8:AG38))</f>
        <v/>
      </c>
      <c r="AH5" s="164">
        <f>IF(AH8="","",SUM(AH8:AH38))</f>
        <v/>
      </c>
      <c r="AI5" s="164">
        <f>IF(AI8="","",SUM(AI8:AI38))</f>
        <v/>
      </c>
      <c r="AJ5" s="164">
        <f>IF(AJ8="","",SUM(AJ8:AJ38))</f>
        <v/>
      </c>
      <c r="AK5" s="164">
        <f>IF(AK8="","",SUM(AK8:AK38))</f>
        <v/>
      </c>
      <c r="AL5" s="164">
        <f>IF(AL8="","",SUM(AL8:AL38))</f>
        <v/>
      </c>
      <c r="AM5" s="164">
        <f>IF(AM8="","",SUM(AM8:AM38))</f>
        <v/>
      </c>
    </row>
    <row customFormat="1" customHeight="1" ht="16.5" r="6" s="1">
      <c r="A6" s="9" t="inlineStr">
        <is>
          <t>8月份</t>
        </is>
      </c>
      <c r="B6" s="164">
        <f>IF(B39="","",SUM(B39:B69))</f>
        <v/>
      </c>
      <c r="C6" s="164">
        <f>IF(C39="","",SUM(C39:C69))</f>
        <v/>
      </c>
      <c r="D6" s="164">
        <f>IF(D39="","",SUM(D39:D69))</f>
        <v/>
      </c>
      <c r="E6" s="164">
        <f>IF(E39="","",SUM(E39:E69))</f>
        <v/>
      </c>
      <c r="F6" s="164">
        <f>IF(F39="","",SUM(F39:F69))</f>
        <v/>
      </c>
      <c r="G6" s="164">
        <f>IF(G39="","",SUM(G39:G69))</f>
        <v/>
      </c>
      <c r="H6" s="164">
        <f>IF(H39="","",SUM(H39:H69))</f>
        <v/>
      </c>
      <c r="I6" s="164">
        <f>IF(I39="","",SUM(I39:I69))</f>
        <v/>
      </c>
      <c r="J6" s="161" t="n"/>
      <c r="K6" s="163" t="inlineStr">
        <is>
          <t>8月份</t>
        </is>
      </c>
      <c r="L6" s="164">
        <f>IF(L39="","",SUM(L39:L69))</f>
        <v/>
      </c>
      <c r="M6" s="164">
        <f>IF(M39="","",SUM(M39:M69))</f>
        <v/>
      </c>
      <c r="N6" s="164">
        <f>IF(N39="","",SUM(N39:N69))</f>
        <v/>
      </c>
      <c r="O6" s="164">
        <f>IF(O39="","",SUM(O39:O69))</f>
        <v/>
      </c>
      <c r="P6" s="164">
        <f>IF(P39="","",SUM(P39:P69))</f>
        <v/>
      </c>
      <c r="Q6" s="164">
        <f>IF(Q39="","",SUM(Q39:Q69))</f>
        <v/>
      </c>
      <c r="R6" s="164">
        <f>IF(R39="","",SUM(R39:R69))</f>
        <v/>
      </c>
      <c r="S6" s="164">
        <f>IF(S39="","",SUM(S39:S69))</f>
        <v/>
      </c>
      <c r="T6" s="161" t="n"/>
      <c r="U6" s="163" t="inlineStr">
        <is>
          <t>8月份</t>
        </is>
      </c>
      <c r="V6" s="164">
        <f>IF(V39="","",SUM(V39:V69))</f>
        <v/>
      </c>
      <c r="W6" s="164">
        <f>IF(W39="","",SUM(W39:W69))</f>
        <v/>
      </c>
      <c r="X6" s="164">
        <f>IF(X39="","",SUM(X39:X69))</f>
        <v/>
      </c>
      <c r="Y6" s="164">
        <f>IF(Y39="","",SUM(Y39:Y69))</f>
        <v/>
      </c>
      <c r="Z6" s="164">
        <f>IF(Z39="","",SUM(Z39:Z69))</f>
        <v/>
      </c>
      <c r="AA6" s="164">
        <f>IF(AA39="","",SUM(AA39:AA69))</f>
        <v/>
      </c>
      <c r="AB6" s="164">
        <f>IF(AB39="","",SUM(AB39:AB69))</f>
        <v/>
      </c>
      <c r="AC6" s="164">
        <f>IF(AC39="","",SUM(AC39:AC69))</f>
        <v/>
      </c>
      <c r="AD6" s="161" t="n"/>
      <c r="AE6" s="163" t="inlineStr">
        <is>
          <t>8月份</t>
        </is>
      </c>
      <c r="AF6" s="164">
        <f>IF(AF39="","",SUM(AF39:AF69))</f>
        <v/>
      </c>
      <c r="AG6" s="164">
        <f>IF(AG39="","",SUM(AG39:AG69))</f>
        <v/>
      </c>
      <c r="AH6" s="164">
        <f>IF(AH39="","",SUM(AH39:AH69))</f>
        <v/>
      </c>
      <c r="AI6" s="164">
        <f>IF(AI39="","",SUM(AI39:AI69))</f>
        <v/>
      </c>
      <c r="AJ6" s="164">
        <f>IF(AJ39="","",SUM(AJ39:AJ69))</f>
        <v/>
      </c>
      <c r="AK6" s="164">
        <f>IF(AK39="","",SUM(AK39:AK69))</f>
        <v/>
      </c>
      <c r="AL6" s="164">
        <f>IF(AL39="","",SUM(AL39:AL69))</f>
        <v/>
      </c>
      <c r="AM6" s="164">
        <f>IF(AM39="","",SUM(AM39:AM69))</f>
        <v/>
      </c>
    </row>
    <row customFormat="1" customHeight="1" ht="16.5" r="7" s="1">
      <c r="A7" s="9" t="inlineStr">
        <is>
          <t>9月份</t>
        </is>
      </c>
      <c r="B7" s="164">
        <f>IF(B70="","",SUM(B70:B99))</f>
        <v/>
      </c>
      <c r="C7" s="164">
        <f>IF(C70="","",SUM(C70:C99))</f>
        <v/>
      </c>
      <c r="D7" s="164">
        <f>IF(D70="","",SUM(D70:D99))</f>
        <v/>
      </c>
      <c r="E7" s="164">
        <f>IF(E70="","",SUM(E70:E99))</f>
        <v/>
      </c>
      <c r="F7" s="164">
        <f>IF(F70="","",SUM(F70:F99))</f>
        <v/>
      </c>
      <c r="G7" s="164">
        <f>IF(G70="","",SUM(G70:G99))</f>
        <v/>
      </c>
      <c r="H7" s="164">
        <f>IF(H70="","",SUM(H70:H99))</f>
        <v/>
      </c>
      <c r="I7" s="164">
        <f>IF(I70="","",SUM(I70:I99))</f>
        <v/>
      </c>
      <c r="J7" s="164">
        <f>IF(J67="","",SUM(J67:J97))</f>
        <v/>
      </c>
      <c r="K7" s="163" t="inlineStr">
        <is>
          <t>9月份</t>
        </is>
      </c>
      <c r="L7" s="164">
        <f>IF(L70="","",SUM(L70:L70))</f>
        <v/>
      </c>
      <c r="M7" s="164">
        <f>IF(M70="","",SUM(M70:M70))</f>
        <v/>
      </c>
      <c r="N7" s="164">
        <f>IF(N70="","",SUM(N70:N70))</f>
        <v/>
      </c>
      <c r="O7" s="164">
        <f>IF(O70="","",SUM(O70:O70))</f>
        <v/>
      </c>
      <c r="P7" s="164">
        <f>IF(P70="","",SUM(P70:P70))</f>
        <v/>
      </c>
      <c r="Q7" s="164">
        <f>IF(Q70="","",SUM(Q70:Q70))</f>
        <v/>
      </c>
      <c r="R7" s="164">
        <f>IF(R70="","",SUM(R70:R70))</f>
        <v/>
      </c>
      <c r="S7" s="164">
        <f>IF(S70="","",SUM(S70:S70))</f>
        <v/>
      </c>
      <c r="T7" s="161" t="n"/>
      <c r="U7" s="163" t="inlineStr">
        <is>
          <t>9月份</t>
        </is>
      </c>
      <c r="V7" s="164">
        <f>IF(V70="","",SUM(V70:V99))</f>
        <v/>
      </c>
      <c r="W7" s="164">
        <f>IF(W70="","",SUM(W70:W99))</f>
        <v/>
      </c>
      <c r="X7" s="164">
        <f>IF(X70="","",SUM(X70:X99))</f>
        <v/>
      </c>
      <c r="Y7" s="164">
        <f>IF(Y70="","",SUM(Y70:Y99))</f>
        <v/>
      </c>
      <c r="Z7" s="164">
        <f>IF(Z70="","",SUM(Z70:Z99))</f>
        <v/>
      </c>
      <c r="AA7" s="164">
        <f>IF(AA70="","",SUM(AA70:AA99))</f>
        <v/>
      </c>
      <c r="AB7" s="164">
        <f>IF(AB70="","",SUM(AB70:AB99))</f>
        <v/>
      </c>
      <c r="AC7" s="164">
        <f>IF(AC70="","",SUM(AC70:AC99))</f>
        <v/>
      </c>
      <c r="AD7" s="161" t="n"/>
      <c r="AE7" s="163" t="inlineStr">
        <is>
          <t>9月份</t>
        </is>
      </c>
      <c r="AF7" s="164">
        <f>IF(AF70="","",SUM(AF70:AF99))</f>
        <v/>
      </c>
      <c r="AG7" s="164">
        <f>IF(AG70="","",SUM(AG70:AG99))</f>
        <v/>
      </c>
      <c r="AH7" s="164">
        <f>IF(AH70="","",SUM(AH70:AH99))</f>
        <v/>
      </c>
      <c r="AI7" s="164">
        <f>IF(AI70="","",SUM(AI70:AI99))</f>
        <v/>
      </c>
      <c r="AJ7" s="164">
        <f>IF(AJ70="","",SUM(AJ70:AJ99))</f>
        <v/>
      </c>
      <c r="AK7" s="164">
        <f>IF(AK70="","",SUM(AK70:AK99))</f>
        <v/>
      </c>
      <c r="AL7" s="164">
        <f>IF(AL70="","",SUM(AL70:AL99))</f>
        <v/>
      </c>
      <c r="AM7" s="164">
        <f>IF(AM70="","",SUM(AM70:AM99))</f>
        <v/>
      </c>
    </row>
    <row customHeight="1" ht="16.5" r="8" s="40">
      <c r="A8" s="11" t="n">
        <v>45108</v>
      </c>
      <c r="B8" s="165" t="n">
        <v>1869844.38</v>
      </c>
      <c r="C8" s="165" t="n">
        <v>613665.59</v>
      </c>
      <c r="D8" s="165" t="n">
        <v>533655.39</v>
      </c>
      <c r="E8" s="165" t="n">
        <v>80010.2</v>
      </c>
      <c r="F8" s="165" t="n">
        <v>366083.43</v>
      </c>
      <c r="G8" s="165" t="n">
        <v>247582.16</v>
      </c>
      <c r="H8" s="165" t="n">
        <v>15497.65</v>
      </c>
      <c r="I8" s="165" t="n">
        <v>1256178.79</v>
      </c>
      <c r="K8" s="11">
        <f>A8</f>
        <v/>
      </c>
      <c r="L8" s="165" t="n">
        <v>467471.61</v>
      </c>
      <c r="M8" s="165" t="n">
        <v>387988.89</v>
      </c>
      <c r="N8" s="165" t="n">
        <v>384315.57</v>
      </c>
      <c r="O8" s="165" t="n">
        <v>3673.32</v>
      </c>
      <c r="P8" s="165" t="n">
        <v>332685.48</v>
      </c>
      <c r="Q8" s="165" t="n">
        <v>55303.41</v>
      </c>
      <c r="R8" s="165" t="n">
        <v>3323.82</v>
      </c>
      <c r="S8" s="165" t="n">
        <v>79482.72</v>
      </c>
      <c r="U8" s="11">
        <f>K8</f>
        <v/>
      </c>
      <c r="V8" s="165" t="n">
        <v>226754.75</v>
      </c>
      <c r="W8" s="165" t="n">
        <v>69969.46000000001</v>
      </c>
      <c r="X8" s="165" t="n">
        <v>69817.35000000001</v>
      </c>
      <c r="Y8" s="165" t="n">
        <v>152.11</v>
      </c>
      <c r="Z8" s="165" t="n">
        <v>57766.97</v>
      </c>
      <c r="AA8" s="165" t="n">
        <v>12202.49</v>
      </c>
      <c r="AB8" s="165" t="n">
        <v>381.81</v>
      </c>
      <c r="AC8" s="165" t="n">
        <v>156785.29</v>
      </c>
      <c r="AE8" s="11">
        <f>U8</f>
        <v/>
      </c>
      <c r="AF8" s="165" t="n">
        <v>81949.91</v>
      </c>
      <c r="AG8" s="165" t="n">
        <v>26412.56</v>
      </c>
      <c r="AH8" s="165" t="n">
        <v>26201.9</v>
      </c>
      <c r="AI8" s="165" t="n">
        <v>210.66</v>
      </c>
      <c r="AJ8" s="165" t="n">
        <v>23156.26</v>
      </c>
      <c r="AK8" s="165" t="n">
        <v>3256.3</v>
      </c>
      <c r="AL8" s="165" t="n">
        <v>0</v>
      </c>
      <c r="AM8" s="165" t="n">
        <v>55537.35</v>
      </c>
    </row>
    <row customHeight="1" ht="16.5" r="9" s="40">
      <c r="A9" s="11" t="n">
        <v>45109</v>
      </c>
      <c r="B9" s="165" t="n">
        <v>1803656.58</v>
      </c>
      <c r="C9" s="165" t="n">
        <v>625448.4399999999</v>
      </c>
      <c r="D9" s="165" t="n">
        <v>530833.87</v>
      </c>
      <c r="E9" s="165" t="n">
        <v>94614.57000000001</v>
      </c>
      <c r="F9" s="165" t="n">
        <v>397498.15</v>
      </c>
      <c r="G9" s="165" t="n">
        <v>227950.29</v>
      </c>
      <c r="H9" s="165" t="n">
        <v>15487.69</v>
      </c>
      <c r="I9" s="165" t="n">
        <v>1178208.14</v>
      </c>
      <c r="K9" s="11">
        <f>A9</f>
        <v/>
      </c>
      <c r="L9" s="165" t="n">
        <v>499456.7</v>
      </c>
      <c r="M9" s="165" t="n">
        <v>407326.54</v>
      </c>
      <c r="N9" s="165" t="n">
        <v>402531.96</v>
      </c>
      <c r="O9" s="165" t="n">
        <v>4794.58</v>
      </c>
      <c r="P9" s="165" t="n">
        <v>357943.33</v>
      </c>
      <c r="Q9" s="165" t="n">
        <v>49383.21</v>
      </c>
      <c r="R9" s="165" t="n">
        <v>3336.28</v>
      </c>
      <c r="S9" s="165" t="n">
        <v>92130.16</v>
      </c>
      <c r="U9" s="11">
        <f>K9</f>
        <v/>
      </c>
      <c r="V9" s="165" t="n">
        <v>247388.28</v>
      </c>
      <c r="W9" s="165" t="n">
        <v>72328.16</v>
      </c>
      <c r="X9" s="165" t="n">
        <v>71095.13</v>
      </c>
      <c r="Y9" s="165" t="n">
        <v>1233.03</v>
      </c>
      <c r="Z9" s="165" t="n">
        <v>58202.4</v>
      </c>
      <c r="AA9" s="165" t="n">
        <v>14125.76</v>
      </c>
      <c r="AB9" s="165" t="n">
        <v>417.61</v>
      </c>
      <c r="AC9" s="165" t="n">
        <v>175060.12</v>
      </c>
      <c r="AE9" s="11">
        <f>U9</f>
        <v/>
      </c>
      <c r="AF9" s="165" t="n">
        <v>90384.82000000001</v>
      </c>
      <c r="AG9" s="165" t="n">
        <v>28697.98</v>
      </c>
      <c r="AH9" s="165" t="n">
        <v>28521.81</v>
      </c>
      <c r="AI9" s="165" t="n">
        <v>176.17</v>
      </c>
      <c r="AJ9" s="165" t="n">
        <v>25425.01</v>
      </c>
      <c r="AK9" s="165" t="n">
        <v>3272.97</v>
      </c>
      <c r="AL9" s="165" t="n">
        <v>0</v>
      </c>
      <c r="AM9" s="165" t="n">
        <v>61686.84</v>
      </c>
    </row>
    <row customHeight="1" ht="16.5" r="10" s="40">
      <c r="A10" s="11" t="n">
        <v>45110</v>
      </c>
      <c r="B10" s="165" t="n">
        <v>1875737.19</v>
      </c>
      <c r="C10" s="165" t="n">
        <v>719309.45</v>
      </c>
      <c r="D10" s="165" t="n">
        <v>623692.6800000001</v>
      </c>
      <c r="E10" s="165" t="n">
        <v>95616.77</v>
      </c>
      <c r="F10" s="165" t="n">
        <v>410000.38</v>
      </c>
      <c r="G10" s="165" t="n">
        <v>309309.07</v>
      </c>
      <c r="H10" s="165" t="n">
        <v>16264.55</v>
      </c>
      <c r="I10" s="165" t="n">
        <v>1156427.74</v>
      </c>
      <c r="K10" s="11">
        <f>A10</f>
        <v/>
      </c>
      <c r="L10" s="165" t="n">
        <v>503644.96</v>
      </c>
      <c r="M10" s="165" t="n">
        <v>424129.33</v>
      </c>
      <c r="N10" s="165" t="n">
        <v>420857.81</v>
      </c>
      <c r="O10" s="165" t="n">
        <v>3271.52</v>
      </c>
      <c r="P10" s="165" t="n">
        <v>361681.03</v>
      </c>
      <c r="Q10" s="165" t="n">
        <v>62448.3</v>
      </c>
      <c r="R10" s="165" t="n">
        <v>3373.38</v>
      </c>
      <c r="S10" s="165" t="n">
        <v>79515.63</v>
      </c>
      <c r="U10" s="11">
        <f>K10</f>
        <v/>
      </c>
      <c r="V10" s="165" t="n">
        <v>239949.22</v>
      </c>
      <c r="W10" s="165" t="n">
        <v>77624</v>
      </c>
      <c r="X10" s="165" t="n">
        <v>73701.83</v>
      </c>
      <c r="Y10" s="165" t="n">
        <v>3922.17</v>
      </c>
      <c r="Z10" s="165" t="n">
        <v>58179.4</v>
      </c>
      <c r="AA10" s="165" t="n">
        <v>19444.6</v>
      </c>
      <c r="AB10" s="165" t="n">
        <v>151.7</v>
      </c>
      <c r="AC10" s="165" t="n">
        <v>162325.22</v>
      </c>
      <c r="AE10" s="11">
        <f>U10</f>
        <v/>
      </c>
      <c r="AF10" s="165" t="n">
        <v>79446.2</v>
      </c>
      <c r="AG10" s="165" t="n">
        <v>26928.48</v>
      </c>
      <c r="AH10" s="165" t="n">
        <v>26703.87</v>
      </c>
      <c r="AI10" s="165" t="n">
        <v>224.61</v>
      </c>
      <c r="AJ10" s="165" t="n">
        <v>22794.77</v>
      </c>
      <c r="AK10" s="165" t="n">
        <v>4133.71</v>
      </c>
      <c r="AL10" s="165" t="n">
        <v>0</v>
      </c>
      <c r="AM10" s="165" t="n">
        <v>52517.72</v>
      </c>
    </row>
    <row customHeight="1" ht="16.5" r="11" s="40">
      <c r="A11" s="11" t="n">
        <v>45111</v>
      </c>
      <c r="B11" s="165" t="n">
        <v>2059269.08</v>
      </c>
      <c r="C11" s="165" t="n">
        <v>726035.46</v>
      </c>
      <c r="D11" s="165" t="n">
        <v>616344.33</v>
      </c>
      <c r="E11" s="165" t="n">
        <v>109691.13</v>
      </c>
      <c r="F11" s="165" t="n">
        <v>408691.72</v>
      </c>
      <c r="G11" s="165" t="n">
        <v>317343.74</v>
      </c>
      <c r="H11" s="165" t="n">
        <v>16258.52</v>
      </c>
      <c r="I11" s="165" t="n">
        <v>1333233.62</v>
      </c>
      <c r="K11" s="11">
        <f>A11</f>
        <v/>
      </c>
      <c r="L11" s="165" t="n">
        <v>500392.68</v>
      </c>
      <c r="M11" s="165" t="n">
        <v>396366.08</v>
      </c>
      <c r="N11" s="165" t="n">
        <v>392917.55</v>
      </c>
      <c r="O11" s="165" t="n">
        <v>3448.53</v>
      </c>
      <c r="P11" s="165" t="n">
        <v>333988.22</v>
      </c>
      <c r="Q11" s="165" t="n">
        <v>62377.86</v>
      </c>
      <c r="R11" s="165" t="n">
        <v>3550.76</v>
      </c>
      <c r="S11" s="165" t="n">
        <v>104026.6</v>
      </c>
      <c r="U11" s="11">
        <f>K11</f>
        <v/>
      </c>
      <c r="V11" s="165" t="n">
        <v>248278.07</v>
      </c>
      <c r="W11" s="165" t="n">
        <v>74297.41</v>
      </c>
      <c r="X11" s="165" t="n">
        <v>74020.16</v>
      </c>
      <c r="Y11" s="165" t="n">
        <v>277.25</v>
      </c>
      <c r="Z11" s="165" t="n">
        <v>58773.11</v>
      </c>
      <c r="AA11" s="165" t="n">
        <v>15524.3</v>
      </c>
      <c r="AB11" s="165" t="n">
        <v>116.91</v>
      </c>
      <c r="AC11" s="165" t="n">
        <v>173980.66</v>
      </c>
      <c r="AE11" s="11">
        <f>U11</f>
        <v/>
      </c>
      <c r="AF11" s="165" t="n">
        <v>81348.22</v>
      </c>
      <c r="AG11" s="165" t="n">
        <v>29880.49</v>
      </c>
      <c r="AH11" s="165" t="n">
        <v>29612.73</v>
      </c>
      <c r="AI11" s="165" t="n">
        <v>267.76</v>
      </c>
      <c r="AJ11" s="165" t="n">
        <v>25699.51</v>
      </c>
      <c r="AK11" s="165" t="n">
        <v>4180.98</v>
      </c>
      <c r="AL11" s="165" t="n">
        <v>0</v>
      </c>
      <c r="AM11" s="165" t="n">
        <v>51467.73</v>
      </c>
    </row>
    <row customHeight="1" ht="16.5" r="12" s="40">
      <c r="A12" s="11" t="n">
        <v>45112</v>
      </c>
      <c r="B12" s="165" t="n">
        <v>1986339.35</v>
      </c>
      <c r="C12" s="165" t="n">
        <v>728297.6</v>
      </c>
      <c r="D12" s="165" t="n">
        <v>640071.89</v>
      </c>
      <c r="E12" s="165" t="n">
        <v>88225.71000000001</v>
      </c>
      <c r="F12" s="165" t="n">
        <v>398971.29</v>
      </c>
      <c r="G12" s="165" t="n">
        <v>329326.31</v>
      </c>
      <c r="H12" s="165" t="n">
        <v>16259.42</v>
      </c>
      <c r="I12" s="165" t="n">
        <v>1258041.75</v>
      </c>
      <c r="K12" s="11">
        <f>A12</f>
        <v/>
      </c>
      <c r="L12" s="165" t="n">
        <v>506253.18</v>
      </c>
      <c r="M12" s="165" t="n">
        <v>403066.17</v>
      </c>
      <c r="N12" s="165" t="n">
        <v>399431.64</v>
      </c>
      <c r="O12" s="165" t="n">
        <v>3634.53</v>
      </c>
      <c r="P12" s="165" t="n">
        <v>340967.7</v>
      </c>
      <c r="Q12" s="165" t="n">
        <v>62098.47</v>
      </c>
      <c r="R12" s="165" t="n">
        <v>3702.96</v>
      </c>
      <c r="S12" s="165" t="n">
        <v>103187.01</v>
      </c>
      <c r="U12" s="11">
        <f>K12</f>
        <v/>
      </c>
      <c r="V12" s="165" t="n">
        <v>220713.56</v>
      </c>
      <c r="W12" s="165" t="n">
        <v>75537.89</v>
      </c>
      <c r="X12" s="165" t="n">
        <v>75252.08</v>
      </c>
      <c r="Y12" s="165" t="n">
        <v>285.81</v>
      </c>
      <c r="Z12" s="165" t="n">
        <v>58625.02</v>
      </c>
      <c r="AA12" s="165" t="n">
        <v>16912.87</v>
      </c>
      <c r="AB12" s="165" t="n">
        <v>106.15</v>
      </c>
      <c r="AC12" s="165" t="n">
        <v>145175.67</v>
      </c>
      <c r="AE12" s="11">
        <f>U12</f>
        <v/>
      </c>
      <c r="AF12" s="165" t="n">
        <v>84397.63</v>
      </c>
      <c r="AG12" s="165" t="n">
        <v>28683.24</v>
      </c>
      <c r="AH12" s="165" t="n">
        <v>28467.46</v>
      </c>
      <c r="AI12" s="165" t="n">
        <v>215.78</v>
      </c>
      <c r="AJ12" s="165" t="n">
        <v>24943.9</v>
      </c>
      <c r="AK12" s="165" t="n">
        <v>3739.34</v>
      </c>
      <c r="AL12" s="165" t="n">
        <v>0</v>
      </c>
      <c r="AM12" s="165" t="n">
        <v>55714.39</v>
      </c>
    </row>
    <row customHeight="1" ht="16.5" r="13" s="40">
      <c r="A13" s="11" t="n">
        <v>45113</v>
      </c>
      <c r="B13" s="165" t="n">
        <v>1868174.78</v>
      </c>
      <c r="C13" s="165" t="n">
        <v>731688.24</v>
      </c>
      <c r="D13" s="165" t="n">
        <v>629331.04</v>
      </c>
      <c r="E13" s="165" t="n">
        <v>102357.2</v>
      </c>
      <c r="F13" s="165" t="n">
        <v>412740.89</v>
      </c>
      <c r="G13" s="165" t="n">
        <v>318947.35</v>
      </c>
      <c r="H13" s="165" t="n">
        <v>16287.48</v>
      </c>
      <c r="I13" s="165" t="n">
        <v>1136486.54</v>
      </c>
      <c r="K13" s="11">
        <f>A13</f>
        <v/>
      </c>
      <c r="L13" s="165" t="n">
        <v>506376.77</v>
      </c>
      <c r="M13" s="165" t="n">
        <v>417393.12</v>
      </c>
      <c r="N13" s="165" t="n">
        <v>414278.49</v>
      </c>
      <c r="O13" s="165" t="n">
        <v>3114.63</v>
      </c>
      <c r="P13" s="165" t="n">
        <v>354218.95</v>
      </c>
      <c r="Q13" s="165" t="n">
        <v>63174.17</v>
      </c>
      <c r="R13" s="165" t="n">
        <v>3681.56</v>
      </c>
      <c r="S13" s="165" t="n">
        <v>88983.64999999999</v>
      </c>
      <c r="U13" s="11">
        <f>K13</f>
        <v/>
      </c>
      <c r="V13" s="165" t="n">
        <v>232727.9</v>
      </c>
      <c r="W13" s="165" t="n">
        <v>74068.28999999999</v>
      </c>
      <c r="X13" s="165" t="n">
        <v>73443.96000000001</v>
      </c>
      <c r="Y13" s="165" t="n">
        <v>624.33</v>
      </c>
      <c r="Z13" s="165" t="n">
        <v>57797.54</v>
      </c>
      <c r="AA13" s="165" t="n">
        <v>16270.75</v>
      </c>
      <c r="AB13" s="165" t="n">
        <v>152.3</v>
      </c>
      <c r="AC13" s="165" t="n">
        <v>158659.61</v>
      </c>
      <c r="AE13" s="11">
        <f>U13</f>
        <v/>
      </c>
      <c r="AF13" s="165" t="n">
        <v>85719.21000000001</v>
      </c>
      <c r="AG13" s="165" t="n">
        <v>28474.35</v>
      </c>
      <c r="AH13" s="165" t="n">
        <v>28325.33</v>
      </c>
      <c r="AI13" s="165" t="n">
        <v>149.02</v>
      </c>
      <c r="AJ13" s="165" t="n">
        <v>25020.52</v>
      </c>
      <c r="AK13" s="165" t="n">
        <v>3453.83</v>
      </c>
      <c r="AL13" s="165" t="n">
        <v>0</v>
      </c>
      <c r="AM13" s="165" t="n">
        <v>57244.86</v>
      </c>
    </row>
    <row customHeight="1" ht="16.5" r="14" s="40">
      <c r="A14" s="11" t="n">
        <v>45114</v>
      </c>
      <c r="B14" s="165" t="n">
        <v>1933711.03</v>
      </c>
      <c r="C14" s="165" t="n">
        <v>709396.13</v>
      </c>
      <c r="D14" s="165" t="n">
        <v>617002.03</v>
      </c>
      <c r="E14" s="165" t="n">
        <v>92394.10000000001</v>
      </c>
      <c r="F14" s="165" t="n">
        <v>396183.52</v>
      </c>
      <c r="G14" s="165" t="n">
        <v>313212.61</v>
      </c>
      <c r="H14" s="165" t="n">
        <v>16221.52</v>
      </c>
      <c r="I14" s="165" t="n">
        <v>1224314.9</v>
      </c>
      <c r="K14" s="11">
        <f>A14</f>
        <v/>
      </c>
      <c r="L14" s="165" t="n">
        <v>502070.54</v>
      </c>
      <c r="M14" s="165" t="n">
        <v>400128.29</v>
      </c>
      <c r="N14" s="165" t="n">
        <v>395137.38</v>
      </c>
      <c r="O14" s="165" t="n">
        <v>4990.91</v>
      </c>
      <c r="P14" s="165" t="n">
        <v>337621.6</v>
      </c>
      <c r="Q14" s="165" t="n">
        <v>62506.69</v>
      </c>
      <c r="R14" s="165" t="n">
        <v>3690.26</v>
      </c>
      <c r="S14" s="165" t="n">
        <v>101942.25</v>
      </c>
      <c r="U14" s="11">
        <f>K14</f>
        <v/>
      </c>
      <c r="V14" s="165" t="n">
        <v>250703.86</v>
      </c>
      <c r="W14" s="165" t="n">
        <v>71122.96000000001</v>
      </c>
      <c r="X14" s="165" t="n">
        <v>70483.97</v>
      </c>
      <c r="Y14" s="165" t="n">
        <v>638.99</v>
      </c>
      <c r="Z14" s="165" t="n">
        <v>58255.58</v>
      </c>
      <c r="AA14" s="165" t="n">
        <v>12867.38</v>
      </c>
      <c r="AB14" s="165" t="n">
        <v>176.46</v>
      </c>
      <c r="AC14" s="165" t="n">
        <v>179580.9</v>
      </c>
      <c r="AE14" s="11">
        <f>U14</f>
        <v/>
      </c>
      <c r="AF14" s="165" t="n">
        <v>83149.81</v>
      </c>
      <c r="AG14" s="165" t="n">
        <v>30886.74</v>
      </c>
      <c r="AH14" s="165" t="n">
        <v>30837.36</v>
      </c>
      <c r="AI14" s="165" t="n">
        <v>49.38</v>
      </c>
      <c r="AJ14" s="165" t="n">
        <v>26491.24</v>
      </c>
      <c r="AK14" s="165" t="n">
        <v>4395.5</v>
      </c>
      <c r="AL14" s="165" t="n">
        <v>0</v>
      </c>
      <c r="AM14" s="165" t="n">
        <v>52263.07</v>
      </c>
    </row>
    <row customHeight="1" ht="16.5" r="15" s="40">
      <c r="A15" s="11" t="n">
        <v>45115</v>
      </c>
      <c r="B15" s="165" t="n">
        <v>1948400.91</v>
      </c>
      <c r="C15" s="165" t="n">
        <v>651526.45</v>
      </c>
      <c r="D15" s="165" t="n">
        <v>540105.97</v>
      </c>
      <c r="E15" s="165" t="n">
        <v>111420.48</v>
      </c>
      <c r="F15" s="165" t="n">
        <v>403971.27</v>
      </c>
      <c r="G15" s="165" t="n">
        <v>247555.18</v>
      </c>
      <c r="H15" s="165" t="n">
        <v>15785.12</v>
      </c>
      <c r="I15" s="165" t="n">
        <v>1296874.46</v>
      </c>
      <c r="K15" s="11">
        <f>A15</f>
        <v/>
      </c>
      <c r="L15" s="165" t="n">
        <v>487872.76</v>
      </c>
      <c r="M15" s="165" t="n">
        <v>385717.86</v>
      </c>
      <c r="N15" s="165" t="n">
        <v>382320.12</v>
      </c>
      <c r="O15" s="165" t="n">
        <v>3397.74</v>
      </c>
      <c r="P15" s="165" t="n">
        <v>335834.09</v>
      </c>
      <c r="Q15" s="165" t="n">
        <v>49883.77</v>
      </c>
      <c r="R15" s="165" t="n">
        <v>3672.01</v>
      </c>
      <c r="S15" s="165" t="n">
        <v>102154.9</v>
      </c>
      <c r="U15" s="11">
        <f>K15</f>
        <v/>
      </c>
      <c r="V15" s="165" t="n">
        <v>237074.82</v>
      </c>
      <c r="W15" s="165" t="n">
        <v>69141.03999999999</v>
      </c>
      <c r="X15" s="165" t="n">
        <v>68701.57000000001</v>
      </c>
      <c r="Y15" s="165" t="n">
        <v>439.47</v>
      </c>
      <c r="Z15" s="165" t="n">
        <v>56891.09</v>
      </c>
      <c r="AA15" s="165" t="n">
        <v>12249.95</v>
      </c>
      <c r="AB15" s="165" t="n">
        <v>170.48</v>
      </c>
      <c r="AC15" s="165" t="n">
        <v>167933.78</v>
      </c>
      <c r="AE15" s="11">
        <f>U15</f>
        <v/>
      </c>
      <c r="AF15" s="165" t="n">
        <v>88967.85000000001</v>
      </c>
      <c r="AG15" s="165" t="n">
        <v>27323.92</v>
      </c>
      <c r="AH15" s="165" t="n">
        <v>27178.72</v>
      </c>
      <c r="AI15" s="165" t="n">
        <v>145.2</v>
      </c>
      <c r="AJ15" s="165" t="n">
        <v>23404.46</v>
      </c>
      <c r="AK15" s="165" t="n">
        <v>3919.46</v>
      </c>
      <c r="AL15" s="165" t="n">
        <v>0</v>
      </c>
      <c r="AM15" s="165" t="n">
        <v>61643.93</v>
      </c>
    </row>
    <row customHeight="1" ht="16.5" r="16" s="40">
      <c r="A16" s="11" t="n">
        <v>45116</v>
      </c>
      <c r="B16" s="165" t="n">
        <v>1795833.95</v>
      </c>
      <c r="C16" s="165" t="n">
        <v>668909.85</v>
      </c>
      <c r="D16" s="165" t="n">
        <v>553665.28</v>
      </c>
      <c r="E16" s="165" t="n">
        <v>115244.57</v>
      </c>
      <c r="F16" s="165" t="n">
        <v>413301.18</v>
      </c>
      <c r="G16" s="165" t="n">
        <v>255608.67</v>
      </c>
      <c r="H16" s="165" t="n">
        <v>15842.23</v>
      </c>
      <c r="I16" s="165" t="n">
        <v>1126924.1</v>
      </c>
      <c r="K16" s="11">
        <f>A16</f>
        <v/>
      </c>
      <c r="L16" s="165" t="n">
        <v>508284.75</v>
      </c>
      <c r="M16" s="165" t="n">
        <v>400216.69</v>
      </c>
      <c r="N16" s="165" t="n">
        <v>396648.63</v>
      </c>
      <c r="O16" s="165" t="n">
        <v>3568.06</v>
      </c>
      <c r="P16" s="165" t="n">
        <v>353446.62</v>
      </c>
      <c r="Q16" s="165" t="n">
        <v>46770.07</v>
      </c>
      <c r="R16" s="165" t="n">
        <v>3634.34</v>
      </c>
      <c r="S16" s="165" t="n">
        <v>108068.06</v>
      </c>
      <c r="U16" s="11">
        <f>K16</f>
        <v/>
      </c>
      <c r="V16" s="165" t="n">
        <v>223008.63</v>
      </c>
      <c r="W16" s="165" t="n">
        <v>69201.31</v>
      </c>
      <c r="X16" s="165" t="n">
        <v>68699.31</v>
      </c>
      <c r="Y16" s="165" t="n">
        <v>502</v>
      </c>
      <c r="Z16" s="165" t="n">
        <v>59042.85</v>
      </c>
      <c r="AA16" s="165" t="n">
        <v>10158.46</v>
      </c>
      <c r="AB16" s="165" t="n">
        <v>173.95</v>
      </c>
      <c r="AC16" s="165" t="n">
        <v>153807.32</v>
      </c>
      <c r="AE16" s="11">
        <f>U16</f>
        <v/>
      </c>
      <c r="AF16" s="165" t="n">
        <v>86262.42</v>
      </c>
      <c r="AG16" s="165" t="n">
        <v>26111.15</v>
      </c>
      <c r="AH16" s="165" t="n">
        <v>25960.07</v>
      </c>
      <c r="AI16" s="165" t="n">
        <v>151.08</v>
      </c>
      <c r="AJ16" s="165" t="n">
        <v>22714.51</v>
      </c>
      <c r="AK16" s="165" t="n">
        <v>3396.64</v>
      </c>
      <c r="AL16" s="165" t="n">
        <v>0</v>
      </c>
      <c r="AM16" s="165" t="n">
        <v>60151.27</v>
      </c>
    </row>
    <row customHeight="1" ht="16.5" r="17" s="40">
      <c r="A17" s="11" t="n">
        <v>45117</v>
      </c>
      <c r="B17" s="165" t="n">
        <v>1981479.64</v>
      </c>
      <c r="C17" s="165" t="n">
        <v>745342.87</v>
      </c>
      <c r="D17" s="165" t="n">
        <v>640159.0699999999</v>
      </c>
      <c r="E17" s="165" t="n">
        <v>105183.8</v>
      </c>
      <c r="F17" s="165" t="n">
        <v>417156.11</v>
      </c>
      <c r="G17" s="165" t="n">
        <v>328186.76</v>
      </c>
      <c r="H17" s="165" t="n">
        <v>17168.84</v>
      </c>
      <c r="I17" s="165" t="n">
        <v>1236136.77</v>
      </c>
      <c r="K17" s="11">
        <f>A17</f>
        <v/>
      </c>
      <c r="L17" s="165" t="n">
        <v>529444.47</v>
      </c>
      <c r="M17" s="165" t="n">
        <v>413404.67</v>
      </c>
      <c r="N17" s="165" t="n">
        <v>409187.71</v>
      </c>
      <c r="O17" s="165" t="n">
        <v>4216.96</v>
      </c>
      <c r="P17" s="165" t="n">
        <v>354068.91</v>
      </c>
      <c r="Q17" s="165" t="n">
        <v>59335.76</v>
      </c>
      <c r="R17" s="165" t="n">
        <v>4325.58</v>
      </c>
      <c r="S17" s="165" t="n">
        <v>116039.8</v>
      </c>
      <c r="U17" s="11">
        <f>K17</f>
        <v/>
      </c>
      <c r="V17" s="165" t="n">
        <v>251181.82</v>
      </c>
      <c r="W17" s="165" t="n">
        <v>70502.92</v>
      </c>
      <c r="X17" s="165" t="n">
        <v>70266.92999999999</v>
      </c>
      <c r="Y17" s="165" t="n">
        <v>235.99</v>
      </c>
      <c r="Z17" s="165" t="n">
        <v>58619.99</v>
      </c>
      <c r="AA17" s="165" t="n">
        <v>11882.93</v>
      </c>
      <c r="AB17" s="165" t="n">
        <v>741.77</v>
      </c>
      <c r="AC17" s="165" t="n">
        <v>180678.9</v>
      </c>
      <c r="AE17" s="11">
        <f>U17</f>
        <v/>
      </c>
      <c r="AF17" s="165" t="n">
        <v>79291.24000000001</v>
      </c>
      <c r="AG17" s="165" t="n">
        <v>27087.46</v>
      </c>
      <c r="AH17" s="165" t="n">
        <v>26933.3</v>
      </c>
      <c r="AI17" s="165" t="n">
        <v>154.16</v>
      </c>
      <c r="AJ17" s="165" t="n">
        <v>22862.42</v>
      </c>
      <c r="AK17" s="165" t="n">
        <v>4225.04</v>
      </c>
      <c r="AL17" s="165" t="n">
        <v>0</v>
      </c>
      <c r="AM17" s="165" t="n">
        <v>52203.78</v>
      </c>
    </row>
    <row customHeight="1" ht="16.5" r="18" s="40">
      <c r="A18" s="11" t="n">
        <v>45118</v>
      </c>
      <c r="B18" s="165" t="n">
        <v>1926977.5</v>
      </c>
      <c r="C18" s="165" t="n">
        <v>717353.98</v>
      </c>
      <c r="D18" s="165" t="n">
        <v>628489.2</v>
      </c>
      <c r="E18" s="165" t="n">
        <v>88864.78</v>
      </c>
      <c r="F18" s="165" t="n">
        <v>405597.17</v>
      </c>
      <c r="G18" s="165" t="n">
        <v>311756.81</v>
      </c>
      <c r="H18" s="165" t="n">
        <v>17234.05</v>
      </c>
      <c r="I18" s="165" t="n">
        <v>1209623.52</v>
      </c>
      <c r="K18" s="11">
        <f>A18</f>
        <v/>
      </c>
      <c r="L18" s="165" t="n">
        <v>524964.88</v>
      </c>
      <c r="M18" s="165" t="n">
        <v>393964.17</v>
      </c>
      <c r="N18" s="165" t="n">
        <v>390473.64</v>
      </c>
      <c r="O18" s="165" t="n">
        <v>3490.53</v>
      </c>
      <c r="P18" s="165" t="n">
        <v>331479.82</v>
      </c>
      <c r="Q18" s="165" t="n">
        <v>62484.35</v>
      </c>
      <c r="R18" s="165" t="n">
        <v>4244.62</v>
      </c>
      <c r="S18" s="165" t="n">
        <v>131000.71</v>
      </c>
      <c r="U18" s="11">
        <f>K18</f>
        <v/>
      </c>
      <c r="V18" s="165" t="n">
        <v>253277.53</v>
      </c>
      <c r="W18" s="165" t="n">
        <v>69386.38</v>
      </c>
      <c r="X18" s="165" t="n">
        <v>68836.22</v>
      </c>
      <c r="Y18" s="165" t="n">
        <v>550.16</v>
      </c>
      <c r="Z18" s="165" t="n">
        <v>57412.72</v>
      </c>
      <c r="AA18" s="165" t="n">
        <v>11973.66</v>
      </c>
      <c r="AB18" s="165" t="n">
        <v>709.58</v>
      </c>
      <c r="AC18" s="165" t="n">
        <v>183891.15</v>
      </c>
      <c r="AE18" s="11">
        <f>U18</f>
        <v/>
      </c>
      <c r="AF18" s="165" t="n">
        <v>75298.02</v>
      </c>
      <c r="AG18" s="165" t="n">
        <v>26159.18</v>
      </c>
      <c r="AH18" s="165" t="n">
        <v>25967.77</v>
      </c>
      <c r="AI18" s="165" t="n">
        <v>191.41</v>
      </c>
      <c r="AJ18" s="165" t="n">
        <v>21942.67</v>
      </c>
      <c r="AK18" s="165" t="n">
        <v>4216.51</v>
      </c>
      <c r="AL18" s="165" t="n">
        <v>0</v>
      </c>
      <c r="AM18" s="165" t="n">
        <v>49138.84</v>
      </c>
    </row>
    <row customHeight="1" ht="16.5" r="19" s="40">
      <c r="A19" s="11" t="n">
        <v>45119</v>
      </c>
      <c r="B19" s="165" t="n">
        <v>2038553.93</v>
      </c>
      <c r="C19" s="165" t="n">
        <v>703687.9300000001</v>
      </c>
      <c r="D19" s="165" t="n">
        <v>609120.61</v>
      </c>
      <c r="E19" s="165" t="n">
        <v>94567.32000000001</v>
      </c>
      <c r="F19" s="165" t="n">
        <v>397441.41</v>
      </c>
      <c r="G19" s="165" t="n">
        <v>306246.52</v>
      </c>
      <c r="H19" s="165" t="n">
        <v>17182.23</v>
      </c>
      <c r="I19" s="165" t="n">
        <v>1334866</v>
      </c>
      <c r="K19" s="11">
        <f>A19</f>
        <v/>
      </c>
      <c r="L19" s="165" t="n">
        <v>527847.42</v>
      </c>
      <c r="M19" s="165" t="n">
        <v>404633.43</v>
      </c>
      <c r="N19" s="165" t="n">
        <v>401523.79</v>
      </c>
      <c r="O19" s="165" t="n">
        <v>3109.64</v>
      </c>
      <c r="P19" s="165" t="n">
        <v>343150.8</v>
      </c>
      <c r="Q19" s="165" t="n">
        <v>61482.63</v>
      </c>
      <c r="R19" s="165" t="n">
        <v>4221.85</v>
      </c>
      <c r="S19" s="165" t="n">
        <v>123213.99</v>
      </c>
      <c r="U19" s="11">
        <f>K19</f>
        <v/>
      </c>
      <c r="V19" s="165" t="n">
        <v>248578.14</v>
      </c>
      <c r="W19" s="165" t="n">
        <v>67828.83</v>
      </c>
      <c r="X19" s="165" t="n">
        <v>67419.14</v>
      </c>
      <c r="Y19" s="165" t="n">
        <v>409.69</v>
      </c>
      <c r="Z19" s="165" t="n">
        <v>55776.31</v>
      </c>
      <c r="AA19" s="165" t="n">
        <v>12052.52</v>
      </c>
      <c r="AB19" s="165" t="n">
        <v>744.24</v>
      </c>
      <c r="AC19" s="165" t="n">
        <v>180749.31</v>
      </c>
      <c r="AE19" s="11">
        <f>U19</f>
        <v/>
      </c>
      <c r="AF19" s="165" t="n">
        <v>75908.78</v>
      </c>
      <c r="AG19" s="165" t="n">
        <v>26592.91</v>
      </c>
      <c r="AH19" s="165" t="n">
        <v>26399.69</v>
      </c>
      <c r="AI19" s="165" t="n">
        <v>193.22</v>
      </c>
      <c r="AJ19" s="165" t="n">
        <v>22666.45</v>
      </c>
      <c r="AK19" s="165" t="n">
        <v>3926.46</v>
      </c>
      <c r="AL19" s="165" t="n">
        <v>0</v>
      </c>
      <c r="AM19" s="165" t="n">
        <v>49315.87</v>
      </c>
    </row>
    <row customHeight="1" ht="16.5" r="20" s="40">
      <c r="A20" s="11" t="n">
        <v>45120</v>
      </c>
      <c r="B20" s="165" t="n">
        <v>1982541.81</v>
      </c>
      <c r="C20" s="165" t="n">
        <v>697735.65</v>
      </c>
      <c r="D20" s="165" t="n">
        <v>601711.22</v>
      </c>
      <c r="E20" s="165" t="n">
        <v>96024.42999999999</v>
      </c>
      <c r="F20" s="165" t="n">
        <v>386779.51</v>
      </c>
      <c r="G20" s="165" t="n">
        <v>310956.14</v>
      </c>
      <c r="H20" s="165" t="n">
        <v>17220.93</v>
      </c>
      <c r="I20" s="165" t="n">
        <v>1284806.16</v>
      </c>
      <c r="K20" s="11">
        <f>A20</f>
        <v/>
      </c>
      <c r="L20" s="165" t="n">
        <v>527341.91</v>
      </c>
      <c r="M20" s="165" t="n">
        <v>400412.33</v>
      </c>
      <c r="N20" s="165" t="n">
        <v>396898.62</v>
      </c>
      <c r="O20" s="165" t="n">
        <v>3513.71</v>
      </c>
      <c r="P20" s="165" t="n">
        <v>337228.32</v>
      </c>
      <c r="Q20" s="165" t="n">
        <v>63184.01</v>
      </c>
      <c r="R20" s="165" t="n">
        <v>3992.46</v>
      </c>
      <c r="S20" s="165" t="n">
        <v>126929.58</v>
      </c>
      <c r="U20" s="11">
        <f>K20</f>
        <v/>
      </c>
      <c r="V20" s="165" t="n">
        <v>248711.92</v>
      </c>
      <c r="W20" s="165" t="n">
        <v>66530.78</v>
      </c>
      <c r="X20" s="165" t="n">
        <v>65852.00999999999</v>
      </c>
      <c r="Y20" s="165" t="n">
        <v>678.77</v>
      </c>
      <c r="Z20" s="165" t="n">
        <v>54085.31</v>
      </c>
      <c r="AA20" s="165" t="n">
        <v>12445.47</v>
      </c>
      <c r="AB20" s="165" t="n">
        <v>732.65</v>
      </c>
      <c r="AC20" s="165" t="n">
        <v>182181.14</v>
      </c>
      <c r="AE20" s="11">
        <f>U20</f>
        <v/>
      </c>
      <c r="AF20" s="165" t="n">
        <v>71088.96000000001</v>
      </c>
      <c r="AG20" s="165" t="n">
        <v>23132.45</v>
      </c>
      <c r="AH20" s="165" t="n">
        <v>22804.62</v>
      </c>
      <c r="AI20" s="165" t="n">
        <v>327.83</v>
      </c>
      <c r="AJ20" s="165" t="n">
        <v>18936.48</v>
      </c>
      <c r="AK20" s="165" t="n">
        <v>4195.97</v>
      </c>
      <c r="AL20" s="165" t="n">
        <v>0</v>
      </c>
      <c r="AM20" s="165" t="n">
        <v>47956.51</v>
      </c>
    </row>
    <row customHeight="1" ht="16.5" r="21" s="40">
      <c r="A21" s="11" t="n">
        <v>45121</v>
      </c>
      <c r="B21" s="165" t="n">
        <v>2004071.85</v>
      </c>
      <c r="C21" s="165" t="n">
        <v>699763.58</v>
      </c>
      <c r="D21" s="165" t="n">
        <v>592109.01</v>
      </c>
      <c r="E21" s="165" t="n">
        <v>107654.57</v>
      </c>
      <c r="F21" s="165" t="n">
        <v>390540.55</v>
      </c>
      <c r="G21" s="165" t="n">
        <v>309223.03</v>
      </c>
      <c r="H21" s="165" t="n">
        <v>17276.34</v>
      </c>
      <c r="I21" s="165" t="n">
        <v>1304308.27</v>
      </c>
      <c r="K21" s="11">
        <f>A21</f>
        <v/>
      </c>
      <c r="L21" s="165" t="n">
        <v>543538.77</v>
      </c>
      <c r="M21" s="165" t="n">
        <v>396518.79</v>
      </c>
      <c r="N21" s="165" t="n">
        <v>392915.28</v>
      </c>
      <c r="O21" s="165" t="n">
        <v>3603.51</v>
      </c>
      <c r="P21" s="165" t="n">
        <v>333809.15</v>
      </c>
      <c r="Q21" s="165" t="n">
        <v>62709.64</v>
      </c>
      <c r="R21" s="165" t="n">
        <v>4037.01</v>
      </c>
      <c r="S21" s="165" t="n">
        <v>147019.98</v>
      </c>
      <c r="U21" s="11">
        <f>K21</f>
        <v/>
      </c>
      <c r="V21" s="165" t="n">
        <v>283899.79</v>
      </c>
      <c r="W21" s="165" t="n">
        <v>71443.73</v>
      </c>
      <c r="X21" s="165" t="n">
        <v>69516.84</v>
      </c>
      <c r="Y21" s="165" t="n">
        <v>1926.89</v>
      </c>
      <c r="Z21" s="165" t="n">
        <v>57957.38</v>
      </c>
      <c r="AA21" s="165" t="n">
        <v>13486.35</v>
      </c>
      <c r="AB21" s="165" t="n">
        <v>706.66</v>
      </c>
      <c r="AC21" s="165" t="n">
        <v>212456.06</v>
      </c>
      <c r="AE21" s="11">
        <f>U21</f>
        <v/>
      </c>
      <c r="AF21" s="165" t="n">
        <v>74331.10000000001</v>
      </c>
      <c r="AG21" s="165" t="n">
        <v>29669.57</v>
      </c>
      <c r="AH21" s="165" t="n">
        <v>29252.5</v>
      </c>
      <c r="AI21" s="165" t="n">
        <v>417.07</v>
      </c>
      <c r="AJ21" s="165" t="n">
        <v>25762.66</v>
      </c>
      <c r="AK21" s="165" t="n">
        <v>3906.91</v>
      </c>
      <c r="AL21" s="165" t="n">
        <v>0</v>
      </c>
      <c r="AM21" s="165" t="n">
        <v>44661.53</v>
      </c>
    </row>
    <row customHeight="1" ht="16.5" r="22" s="40">
      <c r="A22" s="11" t="n">
        <v>45122</v>
      </c>
      <c r="B22" s="165" t="n">
        <v>1745475.57</v>
      </c>
      <c r="C22" s="165" t="n">
        <v>650583.030000001</v>
      </c>
      <c r="D22" s="165" t="n">
        <v>519399.78</v>
      </c>
      <c r="E22" s="165" t="n">
        <v>131183.25</v>
      </c>
      <c r="F22" s="165" t="n">
        <v>408855.53</v>
      </c>
      <c r="G22" s="165" t="n">
        <v>241727.5</v>
      </c>
      <c r="H22" s="165" t="n">
        <v>16923.22</v>
      </c>
      <c r="I22" s="165" t="n">
        <v>1094892.54</v>
      </c>
      <c r="K22" s="11">
        <f>A22</f>
        <v/>
      </c>
      <c r="L22" s="165" t="n">
        <v>527566.78</v>
      </c>
      <c r="M22" s="165" t="n">
        <v>389537.01</v>
      </c>
      <c r="N22" s="165" t="n">
        <v>384874.1</v>
      </c>
      <c r="O22" s="165" t="n">
        <v>4662.91</v>
      </c>
      <c r="P22" s="165" t="n">
        <v>338113.29</v>
      </c>
      <c r="Q22" s="165" t="n">
        <v>51423.72</v>
      </c>
      <c r="R22" s="165" t="n">
        <v>3870.67</v>
      </c>
      <c r="S22" s="165" t="n">
        <v>138029.77</v>
      </c>
      <c r="U22" s="11">
        <f>K22</f>
        <v/>
      </c>
      <c r="V22" s="165" t="n">
        <v>258961.98</v>
      </c>
      <c r="W22" s="165" t="n">
        <v>69386.03999999999</v>
      </c>
      <c r="X22" s="165" t="n">
        <v>66956.7</v>
      </c>
      <c r="Y22" s="165" t="n">
        <v>2429.34</v>
      </c>
      <c r="Z22" s="165" t="n">
        <v>56665.34</v>
      </c>
      <c r="AA22" s="165" t="n">
        <v>12720.7</v>
      </c>
      <c r="AB22" s="165" t="n">
        <v>747.74</v>
      </c>
      <c r="AC22" s="165" t="n">
        <v>189575.94</v>
      </c>
      <c r="AE22" s="11">
        <f>U22</f>
        <v/>
      </c>
      <c r="AF22" s="165" t="n">
        <v>86262.86</v>
      </c>
      <c r="AG22" s="165" t="n">
        <v>28519.83</v>
      </c>
      <c r="AH22" s="165" t="n">
        <v>28277.58</v>
      </c>
      <c r="AI22" s="165" t="n">
        <v>242.25</v>
      </c>
      <c r="AJ22" s="165" t="n">
        <v>24207.22</v>
      </c>
      <c r="AK22" s="165" t="n">
        <v>4312.61</v>
      </c>
      <c r="AL22" s="165" t="n">
        <v>0</v>
      </c>
      <c r="AM22" s="165" t="n">
        <v>57743.03</v>
      </c>
    </row>
    <row customHeight="1" ht="16.5" r="23" s="40">
      <c r="A23" s="11" t="n">
        <v>45123</v>
      </c>
      <c r="B23" s="165" t="n">
        <v>1536056.12</v>
      </c>
      <c r="C23" s="165" t="n">
        <v>643819.61</v>
      </c>
      <c r="D23" s="165" t="n">
        <v>527471.62</v>
      </c>
      <c r="E23" s="165" t="n">
        <v>116347.99</v>
      </c>
      <c r="F23" s="165" t="n">
        <v>413712.12</v>
      </c>
      <c r="G23" s="165" t="n">
        <v>230107.49</v>
      </c>
      <c r="H23" s="165" t="n">
        <v>16857.56</v>
      </c>
      <c r="I23" s="165" t="n">
        <v>892236.51</v>
      </c>
      <c r="K23" s="11">
        <f>A23</f>
        <v/>
      </c>
      <c r="L23" s="165" t="n">
        <v>564350.48</v>
      </c>
      <c r="M23" s="165" t="n">
        <v>403347.84</v>
      </c>
      <c r="N23" s="165" t="n">
        <v>398786.09</v>
      </c>
      <c r="O23" s="165" t="n">
        <v>4561.75</v>
      </c>
      <c r="P23" s="165" t="n">
        <v>352937.95</v>
      </c>
      <c r="Q23" s="165" t="n">
        <v>50409.89</v>
      </c>
      <c r="R23" s="165" t="n">
        <v>3961.41</v>
      </c>
      <c r="S23" s="165" t="n">
        <v>161002.64</v>
      </c>
      <c r="U23" s="11">
        <f>K23</f>
        <v/>
      </c>
      <c r="V23" s="165" t="n">
        <v>244860.39</v>
      </c>
      <c r="W23" s="165" t="n">
        <v>69272.28</v>
      </c>
      <c r="X23" s="165" t="n">
        <v>64820.92</v>
      </c>
      <c r="Y23" s="165" t="n">
        <v>4451.36</v>
      </c>
      <c r="Z23" s="165" t="n">
        <v>55787.9</v>
      </c>
      <c r="AA23" s="165" t="n">
        <v>13484.38</v>
      </c>
      <c r="AB23" s="165" t="n">
        <v>742.34</v>
      </c>
      <c r="AC23" s="165" t="n">
        <v>175588.11</v>
      </c>
      <c r="AE23" s="11">
        <f>U23</f>
        <v/>
      </c>
      <c r="AF23" s="165" t="n">
        <v>73919.72</v>
      </c>
      <c r="AG23" s="165" t="n">
        <v>29894.19</v>
      </c>
      <c r="AH23" s="165" t="n">
        <v>29615.65</v>
      </c>
      <c r="AI23" s="165" t="n">
        <v>278.54</v>
      </c>
      <c r="AJ23" s="165" t="n">
        <v>25941.62</v>
      </c>
      <c r="AK23" s="165" t="n">
        <v>3952.57</v>
      </c>
      <c r="AL23" s="165" t="n">
        <v>0</v>
      </c>
      <c r="AM23" s="165" t="n">
        <v>44025.53</v>
      </c>
    </row>
    <row customHeight="1" ht="16.5" r="24" s="40">
      <c r="A24" s="11" t="n">
        <v>45124</v>
      </c>
      <c r="B24" s="165" t="n">
        <v>1728685.95</v>
      </c>
      <c r="C24" s="165" t="n">
        <v>703807.86</v>
      </c>
      <c r="D24" s="165" t="n">
        <v>603565.12</v>
      </c>
      <c r="E24" s="165" t="n">
        <v>100242.74</v>
      </c>
      <c r="F24" s="165" t="n">
        <v>396450.01</v>
      </c>
      <c r="G24" s="165" t="n">
        <v>307357.85</v>
      </c>
      <c r="H24" s="165" t="n">
        <v>16165.32</v>
      </c>
      <c r="I24" s="165" t="n">
        <v>1024878.09</v>
      </c>
      <c r="K24" s="11">
        <f>A24</f>
        <v/>
      </c>
      <c r="L24" s="165" t="n">
        <v>533178.88</v>
      </c>
      <c r="M24" s="165" t="n">
        <v>416915.45</v>
      </c>
      <c r="N24" s="165" t="n">
        <v>412567.84</v>
      </c>
      <c r="O24" s="165" t="n">
        <v>4347.61</v>
      </c>
      <c r="P24" s="165" t="n">
        <v>354911.77</v>
      </c>
      <c r="Q24" s="165" t="n">
        <v>62003.68</v>
      </c>
      <c r="R24" s="165" t="n">
        <v>3930.46</v>
      </c>
      <c r="S24" s="165" t="n">
        <v>116263.43</v>
      </c>
      <c r="U24" s="11">
        <f>K24</f>
        <v/>
      </c>
      <c r="V24" s="165" t="n">
        <v>267554.31</v>
      </c>
      <c r="W24" s="165" t="n">
        <v>76138.8</v>
      </c>
      <c r="X24" s="165" t="n">
        <v>69563.82000000001</v>
      </c>
      <c r="Y24" s="165" t="n">
        <v>6574.98</v>
      </c>
      <c r="Z24" s="165" t="n">
        <v>57022.26</v>
      </c>
      <c r="AA24" s="165" t="n">
        <v>19116.54</v>
      </c>
      <c r="AB24" s="165" t="n">
        <v>758.97</v>
      </c>
      <c r="AC24" s="165" t="n">
        <v>191415.51</v>
      </c>
      <c r="AE24" s="11">
        <f>U24</f>
        <v/>
      </c>
      <c r="AF24" s="165" t="n">
        <v>72132.06</v>
      </c>
      <c r="AG24" s="165" t="n">
        <v>28674.44</v>
      </c>
      <c r="AH24" s="165" t="n">
        <v>28443.19</v>
      </c>
      <c r="AI24" s="165" t="n">
        <v>231.25</v>
      </c>
      <c r="AJ24" s="165" t="n">
        <v>24926.34</v>
      </c>
      <c r="AK24" s="165" t="n">
        <v>3748.1</v>
      </c>
      <c r="AL24" s="165" t="n">
        <v>285.71</v>
      </c>
      <c r="AM24" s="165" t="n">
        <v>43457.62</v>
      </c>
    </row>
    <row customHeight="1" ht="16.5" r="25" s="40">
      <c r="A25" s="11" t="n">
        <v>45125</v>
      </c>
      <c r="B25" s="165" t="n">
        <v>1716945.17</v>
      </c>
      <c r="C25" s="165" t="n">
        <v>710398.8199999999</v>
      </c>
      <c r="D25" s="165" t="n">
        <v>603749.52</v>
      </c>
      <c r="E25" s="165" t="n">
        <v>106649.3</v>
      </c>
      <c r="F25" s="165" t="n">
        <v>399092.57</v>
      </c>
      <c r="G25" s="165" t="n">
        <v>311306.25</v>
      </c>
      <c r="H25" s="165" t="n">
        <v>16224.84</v>
      </c>
      <c r="I25" s="165" t="n">
        <v>1006546.35</v>
      </c>
      <c r="K25" s="11">
        <f>A25</f>
        <v/>
      </c>
      <c r="L25" s="165" t="n">
        <v>515937.77</v>
      </c>
      <c r="M25" s="165" t="n">
        <v>406134.06</v>
      </c>
      <c r="N25" s="165" t="n">
        <v>401241.07</v>
      </c>
      <c r="O25" s="165" t="n">
        <v>4892.99</v>
      </c>
      <c r="P25" s="165" t="n">
        <v>342077.37</v>
      </c>
      <c r="Q25" s="165" t="n">
        <v>64056.69</v>
      </c>
      <c r="R25" s="165" t="n">
        <v>3929.34</v>
      </c>
      <c r="S25" s="165" t="n">
        <v>109803.71</v>
      </c>
      <c r="U25" s="11">
        <f>K25</f>
        <v/>
      </c>
      <c r="V25" s="165" t="n">
        <v>257683.77</v>
      </c>
      <c r="W25" s="165" t="n">
        <v>76959.7</v>
      </c>
      <c r="X25" s="165" t="n">
        <v>72459.75999999999</v>
      </c>
      <c r="Y25" s="165" t="n">
        <v>4499.94</v>
      </c>
      <c r="Z25" s="165" t="n">
        <v>59035.37</v>
      </c>
      <c r="AA25" s="165" t="n">
        <v>17924.33</v>
      </c>
      <c r="AB25" s="165" t="n">
        <v>795.46</v>
      </c>
      <c r="AC25" s="165" t="n">
        <v>180724.07</v>
      </c>
      <c r="AE25" s="11">
        <f>U25</f>
        <v/>
      </c>
      <c r="AF25" s="165" t="n">
        <v>67733.42</v>
      </c>
      <c r="AG25" s="165" t="n">
        <v>29300.31</v>
      </c>
      <c r="AH25" s="165" t="n">
        <v>29113.42</v>
      </c>
      <c r="AI25" s="165" t="n">
        <v>186.89</v>
      </c>
      <c r="AJ25" s="165" t="n">
        <v>24647.87</v>
      </c>
      <c r="AK25" s="165" t="n">
        <v>4652.44</v>
      </c>
      <c r="AL25" s="165" t="n">
        <v>285.71</v>
      </c>
      <c r="AM25" s="165" t="n">
        <v>38433.11</v>
      </c>
    </row>
    <row customHeight="1" ht="16.5" r="26" s="40">
      <c r="A26" s="11" t="n">
        <v>45126</v>
      </c>
      <c r="B26" s="165" t="n">
        <v>1691115.67</v>
      </c>
      <c r="C26" s="165" t="n">
        <v>705025.36</v>
      </c>
      <c r="D26" s="165" t="n">
        <v>598844.29</v>
      </c>
      <c r="E26" s="165" t="n">
        <v>106181.07</v>
      </c>
      <c r="F26" s="165" t="n">
        <v>397704.74</v>
      </c>
      <c r="G26" s="165" t="n">
        <v>307320.62</v>
      </c>
      <c r="H26" s="165" t="n">
        <v>16194.49</v>
      </c>
      <c r="I26" s="165" t="n">
        <v>986090.3100000001</v>
      </c>
      <c r="K26" s="11">
        <f>A26</f>
        <v/>
      </c>
      <c r="L26" s="165" t="n">
        <v>510934.76</v>
      </c>
      <c r="M26" s="165" t="n">
        <v>397476.89</v>
      </c>
      <c r="N26" s="165" t="n">
        <v>391716.2</v>
      </c>
      <c r="O26" s="165" t="n">
        <v>5760.69</v>
      </c>
      <c r="P26" s="165" t="n">
        <v>331873.79</v>
      </c>
      <c r="Q26" s="165" t="n">
        <v>65603.10000000001</v>
      </c>
      <c r="R26" s="165" t="n">
        <v>3878.64</v>
      </c>
      <c r="S26" s="165" t="n">
        <v>113457.87</v>
      </c>
      <c r="U26" s="11">
        <f>K26</f>
        <v/>
      </c>
      <c r="V26" s="165" t="n">
        <v>235598.31</v>
      </c>
      <c r="W26" s="165" t="n">
        <v>71928.95</v>
      </c>
      <c r="X26" s="165" t="n">
        <v>67648.99000000001</v>
      </c>
      <c r="Y26" s="165" t="n">
        <v>4279.96</v>
      </c>
      <c r="Z26" s="165" t="n">
        <v>55170.62</v>
      </c>
      <c r="AA26" s="165" t="n">
        <v>16758.33</v>
      </c>
      <c r="AB26" s="165" t="n">
        <v>786.03</v>
      </c>
      <c r="AC26" s="165" t="n">
        <v>163669.36</v>
      </c>
      <c r="AE26" s="11">
        <f>U26</f>
        <v/>
      </c>
      <c r="AF26" s="165" t="n">
        <v>57401.62</v>
      </c>
      <c r="AG26" s="165" t="n">
        <v>30555.72</v>
      </c>
      <c r="AH26" s="165" t="n">
        <v>30407.11</v>
      </c>
      <c r="AI26" s="165" t="n">
        <v>148.61</v>
      </c>
      <c r="AJ26" s="165" t="n">
        <v>26473.33</v>
      </c>
      <c r="AK26" s="165" t="n">
        <v>4082.39</v>
      </c>
      <c r="AL26" s="165" t="n">
        <v>285.71</v>
      </c>
      <c r="AM26" s="165" t="n">
        <v>26845.9</v>
      </c>
    </row>
    <row customHeight="1" ht="16.5" r="27" s="40">
      <c r="A27" s="11" t="n">
        <v>45127</v>
      </c>
      <c r="B27" s="165" t="n">
        <v>1787240.37</v>
      </c>
      <c r="C27" s="165" t="n">
        <v>709647.45</v>
      </c>
      <c r="D27" s="165" t="n">
        <v>607096.48</v>
      </c>
      <c r="E27" s="165" t="n">
        <v>102550.97</v>
      </c>
      <c r="F27" s="165" t="n">
        <v>385218.75</v>
      </c>
      <c r="G27" s="165" t="n">
        <v>324428.7</v>
      </c>
      <c r="H27" s="165" t="n">
        <v>16155.46</v>
      </c>
      <c r="I27" s="165" t="n">
        <v>1077592.92</v>
      </c>
      <c r="K27" s="11">
        <f>A27</f>
        <v/>
      </c>
      <c r="L27" s="165" t="n">
        <v>492416.84</v>
      </c>
      <c r="M27" s="165" t="n">
        <v>391467.45</v>
      </c>
      <c r="N27" s="165" t="n">
        <v>384679.81</v>
      </c>
      <c r="O27" s="165" t="n">
        <v>6787.64</v>
      </c>
      <c r="P27" s="165" t="n">
        <v>327910</v>
      </c>
      <c r="Q27" s="165" t="n">
        <v>63557.45</v>
      </c>
      <c r="R27" s="165" t="n">
        <v>3916.49</v>
      </c>
      <c r="S27" s="165" t="n">
        <v>100949.39</v>
      </c>
      <c r="U27" s="11">
        <f>K27</f>
        <v/>
      </c>
      <c r="V27" s="165" t="n">
        <v>268779.9</v>
      </c>
      <c r="W27" s="165" t="n">
        <v>74537.88</v>
      </c>
      <c r="X27" s="165" t="n">
        <v>69503.03999999999</v>
      </c>
      <c r="Y27" s="165" t="n">
        <v>5034.84</v>
      </c>
      <c r="Z27" s="165" t="n">
        <v>57450.89</v>
      </c>
      <c r="AA27" s="165" t="n">
        <v>17086.99</v>
      </c>
      <c r="AB27" s="165" t="n">
        <v>756.89</v>
      </c>
      <c r="AC27" s="165" t="n">
        <v>194242.02</v>
      </c>
      <c r="AE27" s="11">
        <f>U27</f>
        <v/>
      </c>
      <c r="AF27" s="165" t="n">
        <v>63697.08</v>
      </c>
      <c r="AG27" s="165" t="n">
        <v>32634.15</v>
      </c>
      <c r="AH27" s="165" t="n">
        <v>32446.21</v>
      </c>
      <c r="AI27" s="165" t="n">
        <v>187.94</v>
      </c>
      <c r="AJ27" s="165" t="n">
        <v>28545.6</v>
      </c>
      <c r="AK27" s="165" t="n">
        <v>4088.55</v>
      </c>
      <c r="AL27" s="165" t="n">
        <v>285.71</v>
      </c>
      <c r="AM27" s="165" t="n">
        <v>31062.93</v>
      </c>
    </row>
    <row customHeight="1" ht="16.5" r="28" s="40">
      <c r="A28" s="11" t="n">
        <v>45128</v>
      </c>
      <c r="B28" s="165" t="n">
        <v>1820083.5</v>
      </c>
      <c r="C28" s="165" t="n">
        <v>711324.12</v>
      </c>
      <c r="D28" s="165" t="n">
        <v>607409.0600000001</v>
      </c>
      <c r="E28" s="165" t="n">
        <v>103915.06</v>
      </c>
      <c r="F28" s="165" t="n">
        <v>382064.91</v>
      </c>
      <c r="G28" s="165" t="n">
        <v>329259.21</v>
      </c>
      <c r="H28" s="165" t="n">
        <v>16054.78</v>
      </c>
      <c r="I28" s="165" t="n">
        <v>1108759.38</v>
      </c>
      <c r="K28" s="11">
        <f>A28</f>
        <v/>
      </c>
      <c r="L28" s="165" t="n">
        <v>507579.99</v>
      </c>
      <c r="M28" s="165" t="n">
        <v>403423.14</v>
      </c>
      <c r="N28" s="165" t="n">
        <v>395701.66</v>
      </c>
      <c r="O28" s="165" t="n">
        <v>7721.48</v>
      </c>
      <c r="P28" s="165" t="n">
        <v>337823.34</v>
      </c>
      <c r="Q28" s="165" t="n">
        <v>65599.8</v>
      </c>
      <c r="R28" s="165" t="n">
        <v>3899.16</v>
      </c>
      <c r="S28" s="165" t="n">
        <v>104156.85</v>
      </c>
      <c r="U28" s="11">
        <f>K28</f>
        <v/>
      </c>
      <c r="V28" s="165" t="n">
        <v>231220.44</v>
      </c>
      <c r="W28" s="165" t="n">
        <v>71438.97</v>
      </c>
      <c r="X28" s="165" t="n">
        <v>69094.17</v>
      </c>
      <c r="Y28" s="165" t="n">
        <v>2344.8</v>
      </c>
      <c r="Z28" s="165" t="n">
        <v>57835.07</v>
      </c>
      <c r="AA28" s="165" t="n">
        <v>13603.9</v>
      </c>
      <c r="AB28" s="165" t="n">
        <v>769.61</v>
      </c>
      <c r="AC28" s="165" t="n">
        <v>159781.47</v>
      </c>
      <c r="AE28" s="11">
        <f>U28</f>
        <v/>
      </c>
      <c r="AF28" s="165" t="n">
        <v>60274.9</v>
      </c>
      <c r="AG28" s="165" t="n">
        <v>28335.62</v>
      </c>
      <c r="AH28" s="165" t="n">
        <v>28179.38</v>
      </c>
      <c r="AI28" s="165" t="n">
        <v>156.24</v>
      </c>
      <c r="AJ28" s="165" t="n">
        <v>23368.18</v>
      </c>
      <c r="AK28" s="165" t="n">
        <v>4967.44</v>
      </c>
      <c r="AL28" s="165" t="n">
        <v>285.71</v>
      </c>
      <c r="AM28" s="165" t="n">
        <v>31939.28</v>
      </c>
    </row>
    <row customHeight="1" ht="16.5" r="29" s="40">
      <c r="A29" s="11" t="n">
        <v>45129</v>
      </c>
      <c r="B29" s="165" t="n">
        <v>1771642.34</v>
      </c>
      <c r="C29" s="165" t="n">
        <v>683255.75</v>
      </c>
      <c r="D29" s="165" t="n">
        <v>527826.87</v>
      </c>
      <c r="E29" s="165" t="n">
        <v>155428.88</v>
      </c>
      <c r="F29" s="165" t="n">
        <v>417071.74</v>
      </c>
      <c r="G29" s="165" t="n">
        <v>266184.01</v>
      </c>
      <c r="H29" s="165" t="n">
        <v>15809.56</v>
      </c>
      <c r="I29" s="165" t="n">
        <v>1088386.59</v>
      </c>
      <c r="K29" s="11">
        <f>A29</f>
        <v/>
      </c>
      <c r="L29" s="165" t="n">
        <v>478496.56</v>
      </c>
      <c r="M29" s="165" t="n">
        <v>384240.23</v>
      </c>
      <c r="N29" s="165" t="n">
        <v>377478.29</v>
      </c>
      <c r="O29" s="165" t="n">
        <v>6761.94</v>
      </c>
      <c r="P29" s="165" t="n">
        <v>328118.23</v>
      </c>
      <c r="Q29" s="165" t="n">
        <v>56122</v>
      </c>
      <c r="R29" s="165" t="n">
        <v>3994.6</v>
      </c>
      <c r="S29" s="165" t="n">
        <v>94256.33</v>
      </c>
      <c r="U29" s="11">
        <f>K29</f>
        <v/>
      </c>
      <c r="V29" s="165" t="n">
        <v>231178.17</v>
      </c>
      <c r="W29" s="165" t="n">
        <v>68938.67999999999</v>
      </c>
      <c r="X29" s="165" t="n">
        <v>66910.19</v>
      </c>
      <c r="Y29" s="165" t="n">
        <v>2028.49</v>
      </c>
      <c r="Z29" s="165" t="n">
        <v>57368.73</v>
      </c>
      <c r="AA29" s="165" t="n">
        <v>11569.95</v>
      </c>
      <c r="AB29" s="165" t="n">
        <v>774.98</v>
      </c>
      <c r="AC29" s="165" t="n">
        <v>162239.49</v>
      </c>
      <c r="AE29" s="11">
        <f>U29</f>
        <v/>
      </c>
      <c r="AF29" s="165" t="n">
        <v>66596.77</v>
      </c>
      <c r="AG29" s="165" t="n">
        <v>29292.49</v>
      </c>
      <c r="AH29" s="165" t="n">
        <v>29088.88</v>
      </c>
      <c r="AI29" s="165" t="n">
        <v>203.61</v>
      </c>
      <c r="AJ29" s="165" t="n">
        <v>25571.06</v>
      </c>
      <c r="AK29" s="165" t="n">
        <v>3721.43</v>
      </c>
      <c r="AL29" s="165" t="n">
        <v>285.71</v>
      </c>
      <c r="AM29" s="165" t="n">
        <v>37304.28</v>
      </c>
    </row>
    <row customHeight="1" ht="16.5" r="30" s="40">
      <c r="A30" s="11" t="n">
        <v>45130</v>
      </c>
      <c r="B30" s="165" t="n">
        <v>1694217.76</v>
      </c>
      <c r="C30" s="165" t="n">
        <v>688904.2</v>
      </c>
      <c r="D30" s="165" t="n">
        <v>525815.8199999999</v>
      </c>
      <c r="E30" s="165" t="n">
        <v>163088.38</v>
      </c>
      <c r="F30" s="165" t="n">
        <v>438338.71</v>
      </c>
      <c r="G30" s="165" t="n">
        <v>250565.49</v>
      </c>
      <c r="H30" s="165" t="n">
        <v>15735.81</v>
      </c>
      <c r="I30" s="165" t="n">
        <v>1005313.56</v>
      </c>
      <c r="K30" s="11">
        <f>A30</f>
        <v/>
      </c>
      <c r="L30" s="165" t="n">
        <v>468499.45</v>
      </c>
      <c r="M30" s="165" t="n">
        <v>376457.33</v>
      </c>
      <c r="N30" s="165" t="n">
        <v>369797.66</v>
      </c>
      <c r="O30" s="165" t="n">
        <v>6659.67</v>
      </c>
      <c r="P30" s="165" t="n">
        <v>328095.08</v>
      </c>
      <c r="Q30" s="165" t="n">
        <v>48362.25</v>
      </c>
      <c r="R30" s="165" t="n">
        <v>3824.12</v>
      </c>
      <c r="S30" s="165" t="n">
        <v>92042.12</v>
      </c>
      <c r="U30" s="11">
        <f>K30</f>
        <v/>
      </c>
      <c r="V30" s="165" t="n">
        <v>217349.5</v>
      </c>
      <c r="W30" s="165" t="n">
        <v>63666.89</v>
      </c>
      <c r="X30" s="165" t="n">
        <v>62300.66</v>
      </c>
      <c r="Y30" s="165" t="n">
        <v>1366.23</v>
      </c>
      <c r="Z30" s="165" t="n">
        <v>54327.57</v>
      </c>
      <c r="AA30" s="165" t="n">
        <v>9339.32</v>
      </c>
      <c r="AB30" s="165" t="n">
        <v>807.0599999999999</v>
      </c>
      <c r="AC30" s="165" t="n">
        <v>153682.61</v>
      </c>
      <c r="AE30" s="11">
        <f>U30</f>
        <v/>
      </c>
      <c r="AF30" s="165" t="n">
        <v>73072.87</v>
      </c>
      <c r="AG30" s="165" t="n">
        <v>29882.69</v>
      </c>
      <c r="AH30" s="165" t="n">
        <v>29693.22</v>
      </c>
      <c r="AI30" s="165" t="n">
        <v>189.47</v>
      </c>
      <c r="AJ30" s="165" t="n">
        <v>26432.76</v>
      </c>
      <c r="AK30" s="165" t="n">
        <v>3449.93</v>
      </c>
      <c r="AL30" s="165" t="n">
        <v>285.74</v>
      </c>
      <c r="AM30" s="165" t="n">
        <v>43190.18</v>
      </c>
    </row>
    <row customHeight="1" ht="16.5" r="31" s="40">
      <c r="A31" s="11" t="n">
        <v>45131</v>
      </c>
      <c r="B31" s="165" t="n">
        <v>1870127.67</v>
      </c>
      <c r="C31" s="165" t="n">
        <v>753555.66</v>
      </c>
      <c r="D31" s="165" t="n">
        <v>590078.38</v>
      </c>
      <c r="E31" s="165" t="n">
        <v>163477.28</v>
      </c>
      <c r="F31" s="165" t="n">
        <v>433611</v>
      </c>
      <c r="G31" s="165" t="n">
        <v>319944.66</v>
      </c>
      <c r="H31" s="165" t="n">
        <v>14451.74</v>
      </c>
      <c r="I31" s="165" t="n">
        <v>1116572.01</v>
      </c>
      <c r="K31" s="11">
        <f>A31</f>
        <v/>
      </c>
      <c r="L31" s="165" t="n">
        <v>492516.78</v>
      </c>
      <c r="M31" s="165" t="n">
        <v>403157.62</v>
      </c>
      <c r="N31" s="165" t="n">
        <v>396848.12</v>
      </c>
      <c r="O31" s="165" t="n">
        <v>6309.5</v>
      </c>
      <c r="P31" s="165" t="n">
        <v>339184.76</v>
      </c>
      <c r="Q31" s="165" t="n">
        <v>63972.86</v>
      </c>
      <c r="R31" s="165" t="n">
        <v>3511.17</v>
      </c>
      <c r="S31" s="165" t="n">
        <v>89359.16</v>
      </c>
      <c r="U31" s="11">
        <f>K31</f>
        <v/>
      </c>
      <c r="V31" s="165" t="n">
        <v>236084.27</v>
      </c>
      <c r="W31" s="165" t="n">
        <v>65171.67</v>
      </c>
      <c r="X31" s="165" t="n">
        <v>63989.02</v>
      </c>
      <c r="Y31" s="165" t="n">
        <v>1182.65</v>
      </c>
      <c r="Z31" s="165" t="n">
        <v>52036.86</v>
      </c>
      <c r="AA31" s="165" t="n">
        <v>13134.81</v>
      </c>
      <c r="AB31" s="165" t="n">
        <v>152.64</v>
      </c>
      <c r="AC31" s="165" t="n">
        <v>170912.6</v>
      </c>
      <c r="AE31" s="11">
        <f>U31</f>
        <v/>
      </c>
      <c r="AF31" s="165" t="n">
        <v>68155.87</v>
      </c>
      <c r="AG31" s="165" t="n">
        <v>31176.61</v>
      </c>
      <c r="AH31" s="165" t="n">
        <v>30738.92</v>
      </c>
      <c r="AI31" s="165" t="n">
        <v>437.69</v>
      </c>
      <c r="AJ31" s="165" t="n">
        <v>26709.26</v>
      </c>
      <c r="AK31" s="165" t="n">
        <v>4467.35</v>
      </c>
      <c r="AL31" s="165" t="n">
        <v>285.71</v>
      </c>
      <c r="AM31" s="165" t="n">
        <v>36979.26</v>
      </c>
    </row>
    <row customHeight="1" ht="16.5" r="32" s="40">
      <c r="A32" s="11" t="n">
        <v>45132</v>
      </c>
      <c r="B32" s="165" t="n">
        <v>1837616.04</v>
      </c>
      <c r="C32" s="165" t="n">
        <v>728836.83</v>
      </c>
      <c r="D32" s="165" t="n">
        <v>577002.28</v>
      </c>
      <c r="E32" s="165" t="n">
        <v>151834.55</v>
      </c>
      <c r="F32" s="165" t="n">
        <v>416504.49</v>
      </c>
      <c r="G32" s="165" t="n">
        <v>312332.34</v>
      </c>
      <c r="H32" s="165" t="n">
        <v>14374.06</v>
      </c>
      <c r="I32" s="165" t="n">
        <v>1108779.21</v>
      </c>
      <c r="K32" s="11">
        <f>A32</f>
        <v/>
      </c>
      <c r="L32" s="165" t="n">
        <v>474156.729999999</v>
      </c>
      <c r="M32" s="165" t="n">
        <v>382421.13</v>
      </c>
      <c r="N32" s="165" t="n">
        <v>375885.05</v>
      </c>
      <c r="O32" s="165" t="n">
        <v>6536.08</v>
      </c>
      <c r="P32" s="165" t="n">
        <v>317778.98</v>
      </c>
      <c r="Q32" s="165" t="n">
        <v>64642.1500000001</v>
      </c>
      <c r="R32" s="165" t="n">
        <v>3404.51</v>
      </c>
      <c r="S32" s="165" t="n">
        <v>91735.60000000001</v>
      </c>
      <c r="U32" s="11">
        <f>K32</f>
        <v/>
      </c>
      <c r="V32" s="165" t="n">
        <v>233256.19</v>
      </c>
      <c r="W32" s="165" t="n">
        <v>69244.3</v>
      </c>
      <c r="X32" s="165" t="n">
        <v>67453.72</v>
      </c>
      <c r="Y32" s="165" t="n">
        <v>1790.58</v>
      </c>
      <c r="Z32" s="165" t="n">
        <v>55965.47</v>
      </c>
      <c r="AA32" s="165" t="n">
        <v>13278.83</v>
      </c>
      <c r="AB32" s="165" t="n">
        <v>109.73</v>
      </c>
      <c r="AC32" s="165" t="n">
        <v>164011.89</v>
      </c>
      <c r="AE32" s="11">
        <f>U32</f>
        <v/>
      </c>
      <c r="AF32" s="165" t="n">
        <v>70764.62</v>
      </c>
      <c r="AG32" s="165" t="n">
        <v>32521.95</v>
      </c>
      <c r="AH32" s="165" t="n">
        <v>32118.2</v>
      </c>
      <c r="AI32" s="165" t="n">
        <v>403.75</v>
      </c>
      <c r="AJ32" s="165" t="n">
        <v>27903.35</v>
      </c>
      <c r="AK32" s="165" t="n">
        <v>4618.6</v>
      </c>
      <c r="AL32" s="165" t="n">
        <v>285.71</v>
      </c>
      <c r="AM32" s="165" t="n">
        <v>38242.67</v>
      </c>
    </row>
    <row customHeight="1" ht="16.5" r="33" s="40">
      <c r="A33" s="11" t="n">
        <v>45133</v>
      </c>
      <c r="B33" s="165" t="n">
        <v>1988590.35</v>
      </c>
      <c r="C33" s="165" t="n">
        <v>718217.01</v>
      </c>
      <c r="D33" s="165" t="n">
        <v>561231.85</v>
      </c>
      <c r="E33" s="165" t="n">
        <v>156985.16</v>
      </c>
      <c r="F33" s="165" t="n">
        <v>383607.73</v>
      </c>
      <c r="G33" s="165" t="n">
        <v>334609.28</v>
      </c>
      <c r="H33" s="165" t="n">
        <v>14276.99</v>
      </c>
      <c r="I33" s="165" t="n">
        <v>1270373.34</v>
      </c>
      <c r="K33" s="11">
        <f>A33</f>
        <v/>
      </c>
      <c r="L33" s="165" t="n">
        <v>483012.95</v>
      </c>
      <c r="M33" s="165" t="n">
        <v>375236.45</v>
      </c>
      <c r="N33" s="165" t="n">
        <v>369004.64</v>
      </c>
      <c r="O33" s="165" t="n">
        <v>6231.81</v>
      </c>
      <c r="P33" s="165" t="n">
        <v>310620.79</v>
      </c>
      <c r="Q33" s="165" t="n">
        <v>64615.66</v>
      </c>
      <c r="R33" s="165" t="n">
        <v>3505.91</v>
      </c>
      <c r="S33" s="165" t="n">
        <v>107776.5</v>
      </c>
      <c r="U33" s="11">
        <f>K33</f>
        <v/>
      </c>
      <c r="V33" s="165" t="n">
        <v>238185.03</v>
      </c>
      <c r="W33" s="165" t="n">
        <v>67002.12</v>
      </c>
      <c r="X33" s="165" t="n">
        <v>65325.25</v>
      </c>
      <c r="Y33" s="165" t="n">
        <v>1676.87</v>
      </c>
      <c r="Z33" s="165" t="n">
        <v>52837.37</v>
      </c>
      <c r="AA33" s="165" t="n">
        <v>14164.75</v>
      </c>
      <c r="AB33" s="165" t="n">
        <v>65.36</v>
      </c>
      <c r="AC33" s="165" t="n">
        <v>171182.91</v>
      </c>
      <c r="AE33" s="11">
        <f>U33</f>
        <v/>
      </c>
      <c r="AF33" s="165" t="n">
        <v>66173.92</v>
      </c>
      <c r="AG33" s="165" t="n">
        <v>27648.55</v>
      </c>
      <c r="AH33" s="165" t="n">
        <v>27357.92</v>
      </c>
      <c r="AI33" s="165" t="n">
        <v>290.63</v>
      </c>
      <c r="AJ33" s="165" t="n">
        <v>23710.69</v>
      </c>
      <c r="AK33" s="165" t="n">
        <v>3937.86</v>
      </c>
      <c r="AL33" s="165" t="n">
        <v>285.71</v>
      </c>
      <c r="AM33" s="165" t="n">
        <v>38525.37</v>
      </c>
    </row>
    <row customHeight="1" ht="16.5" r="34" s="40">
      <c r="A34" s="11" t="n">
        <v>45134</v>
      </c>
      <c r="B34" s="165" t="n">
        <v>1865949.38</v>
      </c>
      <c r="C34" s="165" t="n">
        <v>617379.8100000001</v>
      </c>
      <c r="D34" s="165" t="n">
        <v>488089.82</v>
      </c>
      <c r="E34" s="165" t="n">
        <v>129289.99</v>
      </c>
      <c r="F34" s="165" t="n">
        <v>312223.78</v>
      </c>
      <c r="G34" s="165" t="n">
        <v>305156.03</v>
      </c>
      <c r="H34" s="165" t="n">
        <v>14305.94</v>
      </c>
      <c r="I34" s="165" t="n">
        <v>1248569.57</v>
      </c>
      <c r="K34" s="11">
        <f>A34</f>
        <v/>
      </c>
      <c r="L34" s="165" t="n">
        <v>440909.23</v>
      </c>
      <c r="M34" s="165" t="n">
        <v>339388.37</v>
      </c>
      <c r="N34" s="165" t="n">
        <v>333587.19</v>
      </c>
      <c r="O34" s="165" t="n">
        <v>5801.18</v>
      </c>
      <c r="P34" s="165" t="n">
        <v>277763.65</v>
      </c>
      <c r="Q34" s="165" t="n">
        <v>61624.72</v>
      </c>
      <c r="R34" s="165" t="n">
        <v>3459.45</v>
      </c>
      <c r="S34" s="165" t="n">
        <v>101520.86</v>
      </c>
      <c r="U34" s="11">
        <f>K34</f>
        <v/>
      </c>
      <c r="V34" s="165" t="n">
        <v>240551.84</v>
      </c>
      <c r="W34" s="165" t="n">
        <v>64118.56</v>
      </c>
      <c r="X34" s="165" t="n">
        <v>61857.95</v>
      </c>
      <c r="Y34" s="165" t="n">
        <v>2260.61</v>
      </c>
      <c r="Z34" s="165" t="n">
        <v>49477.18</v>
      </c>
      <c r="AA34" s="165" t="n">
        <v>14641.38</v>
      </c>
      <c r="AB34" s="165" t="n">
        <v>69.09</v>
      </c>
      <c r="AC34" s="165" t="n">
        <v>176433.28</v>
      </c>
      <c r="AE34" s="11">
        <f>U34</f>
        <v/>
      </c>
      <c r="AF34" s="165" t="n">
        <v>65714.10000000001</v>
      </c>
      <c r="AG34" s="165" t="n">
        <v>27713.37</v>
      </c>
      <c r="AH34" s="165" t="n">
        <v>27409.54</v>
      </c>
      <c r="AI34" s="165" t="n">
        <v>303.83</v>
      </c>
      <c r="AJ34" s="165" t="n">
        <v>23815.57</v>
      </c>
      <c r="AK34" s="165" t="n">
        <v>3897.8</v>
      </c>
      <c r="AL34" s="165" t="n">
        <v>285.71</v>
      </c>
      <c r="AM34" s="165" t="n">
        <v>38000.73</v>
      </c>
    </row>
    <row customHeight="1" ht="16.5" r="35" s="40">
      <c r="A35" s="11" t="n">
        <v>45135</v>
      </c>
      <c r="B35" s="165" t="n">
        <v>1867701.74</v>
      </c>
      <c r="C35" s="165" t="n">
        <v>592795.29</v>
      </c>
      <c r="D35" s="165" t="n">
        <v>439063.56</v>
      </c>
      <c r="E35" s="165" t="n">
        <v>153731.73</v>
      </c>
      <c r="F35" s="165" t="n">
        <v>317872.81</v>
      </c>
      <c r="G35" s="165" t="n">
        <v>274922.48</v>
      </c>
      <c r="H35" s="165" t="n">
        <v>14196.75</v>
      </c>
      <c r="I35" s="165" t="n">
        <v>1274906.45</v>
      </c>
      <c r="K35" s="11">
        <f>A35</f>
        <v/>
      </c>
      <c r="L35" s="165" t="n">
        <v>342194.4</v>
      </c>
      <c r="M35" s="165" t="n">
        <v>236492.65</v>
      </c>
      <c r="N35" s="165" t="n">
        <v>231402.59</v>
      </c>
      <c r="O35" s="165" t="n">
        <v>5090.06</v>
      </c>
      <c r="P35" s="165" t="n">
        <v>184776.22</v>
      </c>
      <c r="Q35" s="165" t="n">
        <v>51716.43</v>
      </c>
      <c r="R35" s="165" t="n">
        <v>3331.62</v>
      </c>
      <c r="S35" s="165" t="n">
        <v>105701.75</v>
      </c>
      <c r="U35" s="11">
        <f>K35</f>
        <v/>
      </c>
      <c r="V35" s="165" t="n">
        <v>238655.72</v>
      </c>
      <c r="W35" s="165" t="n">
        <v>67251.91</v>
      </c>
      <c r="X35" s="165" t="n">
        <v>65583.09</v>
      </c>
      <c r="Y35" s="165" t="n">
        <v>1668.82</v>
      </c>
      <c r="Z35" s="165" t="n">
        <v>54118.68</v>
      </c>
      <c r="AA35" s="165" t="n">
        <v>13133.23</v>
      </c>
      <c r="AB35" s="165" t="n">
        <v>107.75</v>
      </c>
      <c r="AC35" s="165" t="n">
        <v>171403.81</v>
      </c>
      <c r="AE35" s="11">
        <f>U35</f>
        <v/>
      </c>
      <c r="AF35" s="165" t="n">
        <v>60487.86</v>
      </c>
      <c r="AG35" s="165" t="n">
        <v>25429.57</v>
      </c>
      <c r="AH35" s="165" t="n">
        <v>25120.94</v>
      </c>
      <c r="AI35" s="165" t="n">
        <v>308.63</v>
      </c>
      <c r="AJ35" s="165" t="n">
        <v>21899.66</v>
      </c>
      <c r="AK35" s="165" t="n">
        <v>3529.91</v>
      </c>
      <c r="AL35" s="165" t="n">
        <v>285.71</v>
      </c>
      <c r="AM35" s="165" t="n">
        <v>35058.29</v>
      </c>
    </row>
    <row customHeight="1" ht="16.5" r="36" s="40">
      <c r="A36" s="11" t="n">
        <v>45136</v>
      </c>
      <c r="B36" s="165" t="n">
        <v>1858037.44</v>
      </c>
      <c r="C36" s="165" t="n">
        <v>643397.55</v>
      </c>
      <c r="D36" s="165" t="n">
        <v>507593.45</v>
      </c>
      <c r="E36" s="165" t="n">
        <v>135804.1</v>
      </c>
      <c r="F36" s="165" t="n">
        <v>396626.54</v>
      </c>
      <c r="G36" s="165" t="n">
        <v>246771.01</v>
      </c>
      <c r="H36" s="165" t="n">
        <v>14171.39</v>
      </c>
      <c r="I36" s="165" t="n">
        <v>1214639.89</v>
      </c>
      <c r="K36" s="11">
        <f>A36</f>
        <v/>
      </c>
      <c r="L36" s="165" t="n">
        <v>417571</v>
      </c>
      <c r="M36" s="165" t="n">
        <v>314664.17</v>
      </c>
      <c r="N36" s="165" t="n">
        <v>308327.67</v>
      </c>
      <c r="O36" s="165" t="n">
        <v>6336.5</v>
      </c>
      <c r="P36" s="165" t="n">
        <v>263562.72</v>
      </c>
      <c r="Q36" s="165" t="n">
        <v>51101.45</v>
      </c>
      <c r="R36" s="165" t="n">
        <v>3453.88</v>
      </c>
      <c r="S36" s="165" t="n">
        <v>102906.83</v>
      </c>
      <c r="U36" s="11">
        <f>K36</f>
        <v/>
      </c>
      <c r="V36" s="165" t="n">
        <v>241589.94</v>
      </c>
      <c r="W36" s="165" t="n">
        <v>71999.46000000001</v>
      </c>
      <c r="X36" s="165" t="n">
        <v>70363.11</v>
      </c>
      <c r="Y36" s="165" t="n">
        <v>1636.35</v>
      </c>
      <c r="Z36" s="165" t="n">
        <v>59606.24</v>
      </c>
      <c r="AA36" s="165" t="n">
        <v>12393.22</v>
      </c>
      <c r="AB36" s="165" t="n">
        <v>127.85</v>
      </c>
      <c r="AC36" s="165" t="n">
        <v>169590.48</v>
      </c>
      <c r="AE36" s="11">
        <f>U36</f>
        <v/>
      </c>
      <c r="AF36" s="165" t="n">
        <v>60742.45</v>
      </c>
      <c r="AG36" s="165" t="n">
        <v>26550.22</v>
      </c>
      <c r="AH36" s="165" t="n">
        <v>26163.99</v>
      </c>
      <c r="AI36" s="165" t="n">
        <v>386.23</v>
      </c>
      <c r="AJ36" s="165" t="n">
        <v>22528.99</v>
      </c>
      <c r="AK36" s="165" t="n">
        <v>4021.23</v>
      </c>
      <c r="AL36" s="165" t="n">
        <v>285.71</v>
      </c>
      <c r="AM36" s="165" t="n">
        <v>34192.23</v>
      </c>
    </row>
    <row customHeight="1" ht="16.5" r="37" s="40">
      <c r="A37" s="11" t="n">
        <v>45137</v>
      </c>
      <c r="B37" s="165" t="n">
        <v>1858061.01</v>
      </c>
      <c r="C37" s="165" t="n">
        <v>666950.8199999999</v>
      </c>
      <c r="D37" s="165" t="n">
        <v>499579.15</v>
      </c>
      <c r="E37" s="165" t="n">
        <v>167371.67</v>
      </c>
      <c r="F37" s="165" t="n">
        <v>436098</v>
      </c>
      <c r="G37" s="165" t="n">
        <v>230852.82</v>
      </c>
      <c r="H37" s="165" t="n">
        <v>14178.26</v>
      </c>
      <c r="I37" s="165" t="n">
        <v>1191110.19</v>
      </c>
      <c r="K37" s="11">
        <f>A37</f>
        <v/>
      </c>
      <c r="L37" s="165" t="n">
        <v>444756.12</v>
      </c>
      <c r="M37" s="165" t="n">
        <v>350430.64</v>
      </c>
      <c r="N37" s="165" t="n">
        <v>344528.51</v>
      </c>
      <c r="O37" s="165" t="n">
        <v>5902.13</v>
      </c>
      <c r="P37" s="165" t="n">
        <v>301172.72</v>
      </c>
      <c r="Q37" s="165" t="n">
        <v>49257.92</v>
      </c>
      <c r="R37" s="165" t="n">
        <v>3348.48</v>
      </c>
      <c r="S37" s="165" t="n">
        <v>94325.48</v>
      </c>
      <c r="U37" s="11">
        <f>K37</f>
        <v/>
      </c>
      <c r="V37" s="165" t="n">
        <v>220830.79</v>
      </c>
      <c r="W37" s="165" t="n">
        <v>69614.25999999999</v>
      </c>
      <c r="X37" s="165" t="n">
        <v>67546.35000000001</v>
      </c>
      <c r="Y37" s="165" t="n">
        <v>2067.91</v>
      </c>
      <c r="Z37" s="165" t="n">
        <v>58791.43</v>
      </c>
      <c r="AA37" s="165" t="n">
        <v>10822.83</v>
      </c>
      <c r="AB37" s="165" t="n">
        <v>136.25</v>
      </c>
      <c r="AC37" s="165" t="n">
        <v>151216.53</v>
      </c>
      <c r="AE37" s="11">
        <f>U37</f>
        <v/>
      </c>
      <c r="AF37" s="165" t="n">
        <v>59137.69</v>
      </c>
      <c r="AG37" s="165" t="n">
        <v>28873.63</v>
      </c>
      <c r="AH37" s="165" t="n">
        <v>28564.55</v>
      </c>
      <c r="AI37" s="165" t="n">
        <v>309.08</v>
      </c>
      <c r="AJ37" s="165" t="n">
        <v>25066.57</v>
      </c>
      <c r="AK37" s="165" t="n">
        <v>3807.06</v>
      </c>
      <c r="AL37" s="165" t="n">
        <v>285.74</v>
      </c>
      <c r="AM37" s="165" t="n">
        <v>30264.06</v>
      </c>
    </row>
    <row customHeight="1" ht="16.5" r="38" s="40">
      <c r="A38" s="11" t="n">
        <v>45138</v>
      </c>
      <c r="B38" s="165" t="n">
        <v>2030084.78</v>
      </c>
      <c r="C38" s="165" t="n">
        <v>750605.5699999999</v>
      </c>
      <c r="D38" s="165" t="n">
        <v>588064.08</v>
      </c>
      <c r="E38" s="165" t="n">
        <v>162541.49</v>
      </c>
      <c r="F38" s="165" t="n">
        <v>439208.73</v>
      </c>
      <c r="G38" s="165" t="n">
        <v>311396.84</v>
      </c>
      <c r="H38" s="165" t="n">
        <v>14366.94</v>
      </c>
      <c r="I38" s="165" t="n">
        <v>1279479.21</v>
      </c>
      <c r="K38" s="11">
        <f>A38</f>
        <v/>
      </c>
      <c r="L38" s="165" t="n">
        <v>481141.83</v>
      </c>
      <c r="M38" s="165" t="n">
        <v>385283.35</v>
      </c>
      <c r="N38" s="165" t="n">
        <v>379270.88</v>
      </c>
      <c r="O38" s="165" t="n">
        <v>6012.47</v>
      </c>
      <c r="P38" s="165" t="n">
        <v>322560.98</v>
      </c>
      <c r="Q38" s="165" t="n">
        <v>62722.37</v>
      </c>
      <c r="R38" s="165" t="n">
        <v>2548.65</v>
      </c>
      <c r="S38" s="165" t="n">
        <v>95858.48</v>
      </c>
      <c r="U38" s="11">
        <f>K38</f>
        <v/>
      </c>
      <c r="V38" s="165" t="n">
        <v>233082.96</v>
      </c>
      <c r="W38" s="165" t="n">
        <v>70620.64</v>
      </c>
      <c r="X38" s="165" t="n">
        <v>68619.92</v>
      </c>
      <c r="Y38" s="165" t="n">
        <v>2000.72</v>
      </c>
      <c r="Z38" s="165" t="n">
        <v>56413.23</v>
      </c>
      <c r="AA38" s="165" t="n">
        <v>14207.41</v>
      </c>
      <c r="AB38" s="165" t="n">
        <v>471.54</v>
      </c>
      <c r="AC38" s="165" t="n">
        <v>162462.32</v>
      </c>
      <c r="AE38" s="11">
        <f>U38</f>
        <v/>
      </c>
      <c r="AF38" s="165" t="n">
        <v>63341</v>
      </c>
      <c r="AG38" s="165" t="n">
        <v>27942.44</v>
      </c>
      <c r="AH38" s="165" t="n">
        <v>27639.37</v>
      </c>
      <c r="AI38" s="165" t="n">
        <v>303.07</v>
      </c>
      <c r="AJ38" s="165" t="n">
        <v>23837.99</v>
      </c>
      <c r="AK38" s="165" t="n">
        <v>4104.45</v>
      </c>
      <c r="AL38" s="165" t="n">
        <v>0</v>
      </c>
      <c r="AM38" s="165" t="n">
        <v>35398.56</v>
      </c>
    </row>
    <row customHeight="1" ht="16.5" r="39" s="40">
      <c r="A39" s="11" t="n">
        <v>45139</v>
      </c>
      <c r="B39" s="166" t="n">
        <v>1975867.22</v>
      </c>
      <c r="C39" s="166" t="n">
        <v>704516.3</v>
      </c>
      <c r="D39" s="166" t="n">
        <v>571909.08</v>
      </c>
      <c r="E39" s="166" t="n">
        <v>132607.22</v>
      </c>
      <c r="F39" s="165" t="n">
        <v>410933.83</v>
      </c>
      <c r="G39" s="165" t="n">
        <v>293582.47</v>
      </c>
      <c r="H39" s="165" t="n">
        <v>14390.68</v>
      </c>
      <c r="I39" s="165" t="n">
        <v>1271350.92</v>
      </c>
      <c r="K39" s="11">
        <f>A39</f>
        <v/>
      </c>
      <c r="L39" s="166" t="n">
        <v>471467.94</v>
      </c>
      <c r="M39" s="166" t="n">
        <v>368672.05</v>
      </c>
      <c r="N39" s="166" t="n">
        <v>362026.39</v>
      </c>
      <c r="O39" s="166" t="n">
        <v>6645.66</v>
      </c>
      <c r="P39" s="165" t="n">
        <v>307140.14</v>
      </c>
      <c r="Q39" s="165" t="n">
        <v>61531.91</v>
      </c>
      <c r="R39" s="165" t="n">
        <v>2557.39</v>
      </c>
      <c r="S39" s="165" t="n">
        <v>102795.89</v>
      </c>
      <c r="U39" s="11">
        <f>K39</f>
        <v/>
      </c>
      <c r="V39" s="166" t="n">
        <v>223167.57</v>
      </c>
      <c r="W39" s="166" t="n">
        <v>66679.78</v>
      </c>
      <c r="X39" s="166" t="n">
        <v>65424.87</v>
      </c>
      <c r="Y39" s="166" t="n">
        <v>1254.91</v>
      </c>
      <c r="Z39" s="165" t="n">
        <v>53287.74</v>
      </c>
      <c r="AA39" s="165" t="n">
        <v>13392.04</v>
      </c>
      <c r="AB39" s="165" t="n">
        <v>440.59</v>
      </c>
      <c r="AC39" s="165" t="n">
        <v>156487.79</v>
      </c>
      <c r="AE39" s="11">
        <f>U39</f>
        <v/>
      </c>
      <c r="AF39" s="166" t="n">
        <v>67704.39</v>
      </c>
      <c r="AG39" s="166" t="n">
        <v>29974.16</v>
      </c>
      <c r="AH39" s="166" t="n">
        <v>29730.71</v>
      </c>
      <c r="AI39" s="166" t="n">
        <v>243.45</v>
      </c>
      <c r="AJ39" s="165" t="n">
        <v>25606.08</v>
      </c>
      <c r="AK39" s="165" t="n">
        <v>4368.08</v>
      </c>
      <c r="AL39" s="165" t="n">
        <v>0</v>
      </c>
      <c r="AM39" s="165" t="n">
        <v>37730.23</v>
      </c>
    </row>
    <row customHeight="1" ht="16.5" r="40" s="40">
      <c r="A40" s="11" t="n">
        <v>45140</v>
      </c>
      <c r="B40" s="165" t="n">
        <v>2008624.47</v>
      </c>
      <c r="C40" s="165" t="n">
        <v>714753.35</v>
      </c>
      <c r="D40" s="165" t="n">
        <v>583014.95</v>
      </c>
      <c r="E40" s="165" t="n">
        <v>131738.4</v>
      </c>
      <c r="F40" s="165" t="n">
        <v>418061.43</v>
      </c>
      <c r="G40" s="165" t="n">
        <v>296691.92</v>
      </c>
      <c r="H40" s="165" t="n">
        <v>14459.47</v>
      </c>
      <c r="I40" s="165" t="n">
        <v>1293871.12</v>
      </c>
      <c r="K40" s="11">
        <f>A40</f>
        <v/>
      </c>
      <c r="L40" s="165" t="n">
        <v>489098.43</v>
      </c>
      <c r="M40" s="165" t="n">
        <v>386648.28</v>
      </c>
      <c r="N40" s="165" t="n">
        <v>378703.39</v>
      </c>
      <c r="O40" s="165" t="n">
        <v>7944.89</v>
      </c>
      <c r="P40" s="165" t="n">
        <v>322822.32</v>
      </c>
      <c r="Q40" s="165" t="n">
        <v>63825.96</v>
      </c>
      <c r="R40" s="165" t="n">
        <v>2474.01</v>
      </c>
      <c r="S40" s="165" t="n">
        <v>102450.15</v>
      </c>
      <c r="U40" s="11">
        <f>K40</f>
        <v/>
      </c>
      <c r="V40" s="165" t="n">
        <v>238791.96</v>
      </c>
      <c r="W40" s="165" t="n">
        <v>66837.50999999999</v>
      </c>
      <c r="X40" s="165" t="n">
        <v>64824.18</v>
      </c>
      <c r="Y40" s="165" t="n">
        <v>2013.33</v>
      </c>
      <c r="Z40" s="165" t="n">
        <v>54058.11</v>
      </c>
      <c r="AA40" s="165" t="n">
        <v>12779.4</v>
      </c>
      <c r="AB40" s="165" t="n">
        <v>427.99</v>
      </c>
      <c r="AC40" s="165" t="n">
        <v>171954.45</v>
      </c>
      <c r="AE40" s="11">
        <f>U40</f>
        <v/>
      </c>
      <c r="AF40" s="165" t="n">
        <v>65061.24</v>
      </c>
      <c r="AG40" s="165" t="n">
        <v>26942.93</v>
      </c>
      <c r="AH40" s="165" t="n">
        <v>26905.55</v>
      </c>
      <c r="AI40" s="165" t="n">
        <v>37.38</v>
      </c>
      <c r="AJ40" s="165" t="n">
        <v>22526.94</v>
      </c>
      <c r="AK40" s="165" t="n">
        <v>4415.99</v>
      </c>
      <c r="AL40" s="165" t="n">
        <v>0</v>
      </c>
      <c r="AM40" s="165" t="n">
        <v>38118.31</v>
      </c>
    </row>
    <row customHeight="1" ht="16.5" r="41" s="40">
      <c r="A41" s="11" t="n">
        <v>45141</v>
      </c>
      <c r="B41" s="165" t="n">
        <v>1999022.81</v>
      </c>
      <c r="C41" s="165" t="n">
        <v>720899.01</v>
      </c>
      <c r="D41" s="165" t="n">
        <v>580885.3199999999</v>
      </c>
      <c r="E41" s="165" t="n">
        <v>140013.69</v>
      </c>
      <c r="F41" s="165" t="n">
        <v>429489.91</v>
      </c>
      <c r="G41" s="165" t="n">
        <v>291409.1</v>
      </c>
      <c r="H41" s="165" t="n">
        <v>14622.84</v>
      </c>
      <c r="I41" s="165" t="n">
        <v>1278123.8</v>
      </c>
      <c r="K41" s="11">
        <f>A41</f>
        <v/>
      </c>
      <c r="L41" s="165" t="n">
        <v>503470.91</v>
      </c>
      <c r="M41" s="165" t="n">
        <v>387570.02</v>
      </c>
      <c r="N41" s="165" t="n">
        <v>377230.78</v>
      </c>
      <c r="O41" s="165" t="n">
        <v>10339.24</v>
      </c>
      <c r="P41" s="165" t="n">
        <v>324877.65</v>
      </c>
      <c r="Q41" s="165" t="n">
        <v>62692.37</v>
      </c>
      <c r="R41" s="165" t="n">
        <v>2559.68</v>
      </c>
      <c r="S41" s="165" t="n">
        <v>115900.89</v>
      </c>
      <c r="U41" s="11">
        <f>K41</f>
        <v/>
      </c>
      <c r="V41" s="165" t="n">
        <v>224807.72</v>
      </c>
      <c r="W41" s="165" t="n">
        <v>72761.66</v>
      </c>
      <c r="X41" s="165" t="n">
        <v>71167.05</v>
      </c>
      <c r="Y41" s="165" t="n">
        <v>1594.61</v>
      </c>
      <c r="Z41" s="165" t="n">
        <v>59617.21</v>
      </c>
      <c r="AA41" s="165" t="n">
        <v>13144.45</v>
      </c>
      <c r="AB41" s="165" t="n">
        <v>439.66</v>
      </c>
      <c r="AC41" s="165" t="n">
        <v>152046.06</v>
      </c>
      <c r="AE41" s="11">
        <f>U41</f>
        <v/>
      </c>
      <c r="AF41" s="165" t="n">
        <v>61755.2</v>
      </c>
      <c r="AG41" s="165" t="n">
        <v>27167.66</v>
      </c>
      <c r="AH41" s="165" t="n">
        <v>27122.33</v>
      </c>
      <c r="AI41" s="165" t="n">
        <v>45.33</v>
      </c>
      <c r="AJ41" s="165" t="n">
        <v>23581.39</v>
      </c>
      <c r="AK41" s="165" t="n">
        <v>3586.27</v>
      </c>
      <c r="AL41" s="165" t="n">
        <v>0</v>
      </c>
      <c r="AM41" s="165" t="n">
        <v>34587.54</v>
      </c>
    </row>
    <row customHeight="1" ht="16.5" r="42" s="40">
      <c r="A42" s="11" t="n">
        <v>45142</v>
      </c>
      <c r="B42" s="165" t="n">
        <v>2037498.21</v>
      </c>
      <c r="C42" s="165" t="n">
        <v>705233.65</v>
      </c>
      <c r="D42" s="165" t="n">
        <v>578059.08</v>
      </c>
      <c r="E42" s="165" t="n">
        <v>127174.57</v>
      </c>
      <c r="F42" s="165" t="n">
        <v>410962.4</v>
      </c>
      <c r="G42" s="165" t="n">
        <v>294271.25</v>
      </c>
      <c r="H42" s="165" t="n">
        <v>14456.97</v>
      </c>
      <c r="I42" s="165" t="n">
        <v>1332264.56</v>
      </c>
      <c r="K42" s="11">
        <f>A42</f>
        <v/>
      </c>
      <c r="L42" s="165" t="n">
        <v>541588.97</v>
      </c>
      <c r="M42" s="165" t="n">
        <v>418020.52</v>
      </c>
      <c r="N42" s="165" t="n">
        <v>397628.38</v>
      </c>
      <c r="O42" s="165" t="n">
        <v>20392.14</v>
      </c>
      <c r="P42" s="165" t="n">
        <v>354130.1</v>
      </c>
      <c r="Q42" s="165" t="n">
        <v>63890.42</v>
      </c>
      <c r="R42" s="165" t="n">
        <v>2521.39</v>
      </c>
      <c r="S42" s="165" t="n">
        <v>123568.45</v>
      </c>
      <c r="U42" s="11">
        <f>K42</f>
        <v/>
      </c>
      <c r="V42" s="165" t="n">
        <v>229180.76</v>
      </c>
      <c r="W42" s="165" t="n">
        <v>72178.63</v>
      </c>
      <c r="X42" s="165" t="n">
        <v>70978.85000000001</v>
      </c>
      <c r="Y42" s="165" t="n">
        <v>1199.78</v>
      </c>
      <c r="Z42" s="165" t="n">
        <v>59041.19</v>
      </c>
      <c r="AA42" s="165" t="n">
        <v>13137.44</v>
      </c>
      <c r="AB42" s="165" t="n">
        <v>434.77</v>
      </c>
      <c r="AC42" s="165" t="n">
        <v>157002.13</v>
      </c>
      <c r="AE42" s="11">
        <f>U42</f>
        <v/>
      </c>
      <c r="AF42" s="165" t="n">
        <v>59134.86</v>
      </c>
      <c r="AG42" s="165" t="n">
        <v>27324.35</v>
      </c>
      <c r="AH42" s="165" t="n">
        <v>27274.77</v>
      </c>
      <c r="AI42" s="165" t="n">
        <v>49.58</v>
      </c>
      <c r="AJ42" s="165" t="n">
        <v>23899.18</v>
      </c>
      <c r="AK42" s="165" t="n">
        <v>3425.17</v>
      </c>
      <c r="AL42" s="165" t="n">
        <v>0</v>
      </c>
      <c r="AM42" s="165" t="n">
        <v>31810.51</v>
      </c>
    </row>
    <row customHeight="1" ht="16.5" r="43" s="40">
      <c r="A43" s="11" t="n">
        <v>45143</v>
      </c>
      <c r="B43" s="165" t="n">
        <v>1998160.92</v>
      </c>
      <c r="C43" s="165" t="n">
        <v>638608.799999999</v>
      </c>
      <c r="D43" s="165" t="n">
        <v>512762.24</v>
      </c>
      <c r="E43" s="165" t="n">
        <v>125846.56</v>
      </c>
      <c r="F43" s="165" t="n">
        <v>413189.64</v>
      </c>
      <c r="G43" s="165" t="n">
        <v>225419.16</v>
      </c>
      <c r="H43" s="165" t="n">
        <v>14259.32</v>
      </c>
      <c r="I43" s="165" t="n">
        <v>1359552.12</v>
      </c>
      <c r="K43" s="11">
        <f>A43</f>
        <v/>
      </c>
      <c r="L43" s="165" t="n">
        <v>633449.49</v>
      </c>
      <c r="M43" s="165" t="n">
        <v>398425.42</v>
      </c>
      <c r="N43" s="165" t="n">
        <v>365139.28</v>
      </c>
      <c r="O43" s="165" t="n">
        <v>33286.14</v>
      </c>
      <c r="P43" s="165" t="n">
        <v>341811.67</v>
      </c>
      <c r="Q43" s="165" t="n">
        <v>56613.75</v>
      </c>
      <c r="R43" s="165" t="n">
        <v>2479.63</v>
      </c>
      <c r="S43" s="165" t="n">
        <v>235024.07</v>
      </c>
      <c r="U43" s="11">
        <f>K43</f>
        <v/>
      </c>
      <c r="V43" s="165" t="n">
        <v>223877.32</v>
      </c>
      <c r="W43" s="165" t="n">
        <v>69433.69</v>
      </c>
      <c r="X43" s="165" t="n">
        <v>68051.14999999999</v>
      </c>
      <c r="Y43" s="165" t="n">
        <v>1382.54</v>
      </c>
      <c r="Z43" s="165" t="n">
        <v>57185.71</v>
      </c>
      <c r="AA43" s="165" t="n">
        <v>12247.98</v>
      </c>
      <c r="AB43" s="165" t="n">
        <v>436.18</v>
      </c>
      <c r="AC43" s="165" t="n">
        <v>154443.63</v>
      </c>
      <c r="AE43" s="11">
        <f>U43</f>
        <v/>
      </c>
      <c r="AF43" s="165" t="n">
        <v>59556.93</v>
      </c>
      <c r="AG43" s="165" t="n">
        <v>27845.63</v>
      </c>
      <c r="AH43" s="165" t="n">
        <v>27800.71</v>
      </c>
      <c r="AI43" s="165" t="n">
        <v>44.92</v>
      </c>
      <c r="AJ43" s="165" t="n">
        <v>25196.51</v>
      </c>
      <c r="AK43" s="165" t="n">
        <v>2649.12</v>
      </c>
      <c r="AL43" s="165" t="n">
        <v>0</v>
      </c>
      <c r="AM43" s="165" t="n">
        <v>31711.3</v>
      </c>
    </row>
    <row customHeight="1" ht="16.5" r="44" s="40">
      <c r="A44" s="11" t="n">
        <v>45144</v>
      </c>
      <c r="B44" s="165" t="n">
        <v>1895064</v>
      </c>
      <c r="C44" s="165" t="n">
        <v>630014.64</v>
      </c>
      <c r="D44" s="165" t="n">
        <v>492890.5</v>
      </c>
      <c r="E44" s="165" t="n">
        <v>137124.14</v>
      </c>
      <c r="F44" s="165" t="n">
        <v>427285.73</v>
      </c>
      <c r="G44" s="165" t="n">
        <v>202728.91</v>
      </c>
      <c r="H44" s="165" t="n">
        <v>14054.52</v>
      </c>
      <c r="I44" s="165" t="n">
        <v>1265049.36</v>
      </c>
      <c r="K44" s="11">
        <f>A44</f>
        <v/>
      </c>
      <c r="L44" s="165" t="n">
        <v>634829.430000001</v>
      </c>
      <c r="M44" s="165" t="n">
        <v>412149.81</v>
      </c>
      <c r="N44" s="165" t="n">
        <v>376243.69</v>
      </c>
      <c r="O44" s="165" t="n">
        <v>35906.12</v>
      </c>
      <c r="P44" s="165" t="n">
        <v>362901.53</v>
      </c>
      <c r="Q44" s="165" t="n">
        <v>49248.28</v>
      </c>
      <c r="R44" s="165" t="n">
        <v>2390.52</v>
      </c>
      <c r="S44" s="165" t="n">
        <v>222679.62</v>
      </c>
      <c r="U44" s="11">
        <f>K44</f>
        <v/>
      </c>
      <c r="V44" s="165" t="n">
        <v>206707.4</v>
      </c>
      <c r="W44" s="165" t="n">
        <v>68480.32000000001</v>
      </c>
      <c r="X44" s="165" t="n">
        <v>67283.91</v>
      </c>
      <c r="Y44" s="165" t="n">
        <v>1196.41</v>
      </c>
      <c r="Z44" s="165" t="n">
        <v>59788.56</v>
      </c>
      <c r="AA44" s="165" t="n">
        <v>8691.759999999989</v>
      </c>
      <c r="AB44" s="165" t="n">
        <v>417.45</v>
      </c>
      <c r="AC44" s="165" t="n">
        <v>138227.08</v>
      </c>
      <c r="AE44" s="11">
        <f>U44</f>
        <v/>
      </c>
      <c r="AF44" s="165" t="n">
        <v>63975.37</v>
      </c>
      <c r="AG44" s="165" t="n">
        <v>28468.13</v>
      </c>
      <c r="AH44" s="165" t="n">
        <v>28418.59</v>
      </c>
      <c r="AI44" s="165" t="n">
        <v>49.54</v>
      </c>
      <c r="AJ44" s="165" t="n">
        <v>25974.58</v>
      </c>
      <c r="AK44" s="165" t="n">
        <v>2493.55</v>
      </c>
      <c r="AL44" s="165" t="n">
        <v>0</v>
      </c>
      <c r="AM44" s="165" t="n">
        <v>35507.24</v>
      </c>
    </row>
    <row customHeight="1" ht="16.5" r="45" s="40">
      <c r="A45" s="11" t="n">
        <v>45145</v>
      </c>
      <c r="B45" s="165" t="n">
        <v>2112770.89</v>
      </c>
      <c r="C45" s="165" t="n">
        <v>703947.4</v>
      </c>
      <c r="D45" s="165" t="n">
        <v>581963.61</v>
      </c>
      <c r="E45" s="165" t="n">
        <v>121983.79</v>
      </c>
      <c r="F45" s="165" t="n">
        <v>418567.15</v>
      </c>
      <c r="G45" s="165" t="n">
        <v>285380.25</v>
      </c>
      <c r="H45" s="165" t="n">
        <v>16299.06</v>
      </c>
      <c r="I45" s="165" t="n">
        <v>1408823.49</v>
      </c>
      <c r="K45" s="11">
        <f>A45</f>
        <v/>
      </c>
      <c r="L45" s="165" t="n">
        <v>590895.51</v>
      </c>
      <c r="M45" s="165" t="n">
        <v>406431.53</v>
      </c>
      <c r="N45" s="165" t="n">
        <v>380966.12</v>
      </c>
      <c r="O45" s="165" t="n">
        <v>25465.41</v>
      </c>
      <c r="P45" s="165" t="n">
        <v>347064.77</v>
      </c>
      <c r="Q45" s="165" t="n">
        <v>59366.76</v>
      </c>
      <c r="R45" s="165" t="n">
        <v>1792.32</v>
      </c>
      <c r="S45" s="165" t="n">
        <v>184463.98</v>
      </c>
      <c r="U45" s="11">
        <f>K45</f>
        <v/>
      </c>
      <c r="V45" s="165" t="n">
        <v>239278.87</v>
      </c>
      <c r="W45" s="165" t="n">
        <v>73459.48</v>
      </c>
      <c r="X45" s="165" t="n">
        <v>71877.59</v>
      </c>
      <c r="Y45" s="165" t="n">
        <v>1581.89</v>
      </c>
      <c r="Z45" s="165" t="n">
        <v>61009.6</v>
      </c>
      <c r="AA45" s="165" t="n">
        <v>12449.88</v>
      </c>
      <c r="AB45" s="165" t="n">
        <v>856.09</v>
      </c>
      <c r="AC45" s="165" t="n">
        <v>165819.39</v>
      </c>
      <c r="AE45" s="11">
        <f>U45</f>
        <v/>
      </c>
      <c r="AF45" s="165" t="n">
        <v>60813.78</v>
      </c>
      <c r="AG45" s="165" t="n">
        <v>26154.07</v>
      </c>
      <c r="AH45" s="165" t="n">
        <v>26096.91</v>
      </c>
      <c r="AI45" s="165" t="n">
        <v>57.16</v>
      </c>
      <c r="AJ45" s="165" t="n">
        <v>22665.54</v>
      </c>
      <c r="AK45" s="165" t="n">
        <v>3488.53</v>
      </c>
      <c r="AL45" s="165" t="n">
        <v>0</v>
      </c>
      <c r="AM45" s="165" t="n">
        <v>34659.71</v>
      </c>
    </row>
    <row customHeight="1" ht="16.5" r="46" s="40">
      <c r="A46" s="11" t="n">
        <v>45146</v>
      </c>
      <c r="B46" s="165" t="n">
        <v>1990735.11</v>
      </c>
      <c r="C46" s="165" t="n">
        <v>702116.499999999</v>
      </c>
      <c r="D46" s="165" t="n">
        <v>581502.78</v>
      </c>
      <c r="E46" s="165" t="n">
        <v>120613.72</v>
      </c>
      <c r="F46" s="165" t="n">
        <v>415371.7</v>
      </c>
      <c r="G46" s="165" t="n">
        <v>286744.8</v>
      </c>
      <c r="H46" s="165" t="n">
        <v>16089.31</v>
      </c>
      <c r="I46" s="165" t="n">
        <v>1288618.61</v>
      </c>
      <c r="K46" s="11">
        <f>A46</f>
        <v/>
      </c>
      <c r="L46" s="165" t="n">
        <v>562630.37</v>
      </c>
      <c r="M46" s="165" t="n">
        <v>396601.460000001</v>
      </c>
      <c r="N46" s="165" t="n">
        <v>372535.560000001</v>
      </c>
      <c r="O46" s="165" t="n">
        <v>24065.9</v>
      </c>
      <c r="P46" s="165" t="n">
        <v>334621.8</v>
      </c>
      <c r="Q46" s="165" t="n">
        <v>61979.66</v>
      </c>
      <c r="R46" s="165" t="n">
        <v>1828.27</v>
      </c>
      <c r="S46" s="165" t="n">
        <v>166028.91</v>
      </c>
      <c r="U46" s="11">
        <f>K46</f>
        <v/>
      </c>
      <c r="V46" s="165" t="n">
        <v>226244.39</v>
      </c>
      <c r="W46" s="165" t="n">
        <v>71196.37</v>
      </c>
      <c r="X46" s="165" t="n">
        <v>69883.25999999999</v>
      </c>
      <c r="Y46" s="165" t="n">
        <v>1313.11</v>
      </c>
      <c r="Z46" s="165" t="n">
        <v>58650.43</v>
      </c>
      <c r="AA46" s="165" t="n">
        <v>12545.94</v>
      </c>
      <c r="AB46" s="165" t="n">
        <v>845.08</v>
      </c>
      <c r="AC46" s="165" t="n">
        <v>155048.02</v>
      </c>
      <c r="AE46" s="11">
        <f>U46</f>
        <v/>
      </c>
      <c r="AF46" s="165" t="n">
        <v>50659.87</v>
      </c>
      <c r="AG46" s="165" t="n">
        <v>25237.59</v>
      </c>
      <c r="AH46" s="165" t="n">
        <v>25157.11</v>
      </c>
      <c r="AI46" s="165" t="n">
        <v>80.48</v>
      </c>
      <c r="AJ46" s="165" t="n">
        <v>21853.76</v>
      </c>
      <c r="AK46" s="165" t="n">
        <v>3383.83</v>
      </c>
      <c r="AL46" s="165" t="n">
        <v>0</v>
      </c>
      <c r="AM46" s="165" t="n">
        <v>25422.28</v>
      </c>
    </row>
    <row customHeight="1" ht="16.5" r="47" s="40">
      <c r="A47" s="11" t="n">
        <v>45147</v>
      </c>
      <c r="B47" s="165" t="n">
        <v>2881152.6</v>
      </c>
      <c r="C47" s="165" t="n">
        <v>708921.159999999</v>
      </c>
      <c r="D47" s="165" t="n">
        <v>583867.74</v>
      </c>
      <c r="E47" s="165" t="n">
        <v>125053.42</v>
      </c>
      <c r="F47" s="165" t="n">
        <v>421430.79</v>
      </c>
      <c r="G47" s="165" t="n">
        <v>287490.37</v>
      </c>
      <c r="H47" s="165" t="n">
        <v>16158.03</v>
      </c>
      <c r="I47" s="165" t="n">
        <v>1301231.44</v>
      </c>
      <c r="K47" s="11">
        <f>A47</f>
        <v/>
      </c>
      <c r="L47" s="165" t="n">
        <v>578178.47</v>
      </c>
      <c r="M47" s="165" t="n">
        <v>415367.38</v>
      </c>
      <c r="N47" s="165" t="n">
        <v>385124.68</v>
      </c>
      <c r="O47" s="165" t="n">
        <v>30242.7</v>
      </c>
      <c r="P47" s="165" t="n">
        <v>330456.69</v>
      </c>
      <c r="Q47" s="165" t="n">
        <v>84910.6900000001</v>
      </c>
      <c r="R47" s="165" t="n">
        <v>1803.47</v>
      </c>
      <c r="S47" s="165" t="n">
        <v>162811.09</v>
      </c>
      <c r="U47" s="11">
        <f>K47</f>
        <v/>
      </c>
      <c r="V47" s="165" t="n">
        <v>223566.63</v>
      </c>
      <c r="W47" s="165" t="n">
        <v>69251.75999999999</v>
      </c>
      <c r="X47" s="165" t="n">
        <v>67156.92</v>
      </c>
      <c r="Y47" s="165" t="n">
        <v>2094.84</v>
      </c>
      <c r="Z47" s="165" t="n">
        <v>56554.39</v>
      </c>
      <c r="AA47" s="165" t="n">
        <v>12697.37</v>
      </c>
      <c r="AB47" s="165" t="n">
        <v>771.86</v>
      </c>
      <c r="AC47" s="165" t="n">
        <v>154314.87</v>
      </c>
      <c r="AE47" s="11">
        <f>U47</f>
        <v/>
      </c>
      <c r="AF47" s="165" t="n">
        <v>51240.59</v>
      </c>
      <c r="AG47" s="165" t="n">
        <v>24011.34</v>
      </c>
      <c r="AH47" s="165" t="n">
        <v>23946.16</v>
      </c>
      <c r="AI47" s="165" t="n">
        <v>65.18000000000001</v>
      </c>
      <c r="AJ47" s="165" t="n">
        <v>20784.29</v>
      </c>
      <c r="AK47" s="165" t="n">
        <v>3227.05</v>
      </c>
      <c r="AL47" s="165" t="n">
        <v>0</v>
      </c>
      <c r="AM47" s="165" t="n">
        <v>27229.25</v>
      </c>
    </row>
    <row customHeight="1" ht="16.5" r="48" s="40">
      <c r="A48" s="11" t="n">
        <v>45148</v>
      </c>
      <c r="B48" s="165" t="n">
        <v>2034244.55</v>
      </c>
      <c r="C48" s="165" t="n">
        <v>729867.91</v>
      </c>
      <c r="D48" s="165" t="n">
        <v>577526.67</v>
      </c>
      <c r="E48" s="165" t="n">
        <v>152341.24</v>
      </c>
      <c r="F48" s="165" t="n">
        <v>439059.97</v>
      </c>
      <c r="G48" s="165" t="n">
        <v>290807.94</v>
      </c>
      <c r="H48" s="165" t="n">
        <v>16151.93</v>
      </c>
      <c r="I48" s="165" t="n">
        <v>1304376.64</v>
      </c>
      <c r="K48" s="11">
        <f>A48</f>
        <v/>
      </c>
      <c r="L48" s="165" t="n">
        <v>605023.86</v>
      </c>
      <c r="M48" s="165" t="n">
        <v>410170.97</v>
      </c>
      <c r="N48" s="165" t="n">
        <v>387185.61</v>
      </c>
      <c r="O48" s="165" t="n">
        <v>22985.36</v>
      </c>
      <c r="P48" s="165" t="n">
        <v>333478.69</v>
      </c>
      <c r="Q48" s="165" t="n">
        <v>76692.28</v>
      </c>
      <c r="R48" s="165" t="n">
        <v>1794.73</v>
      </c>
      <c r="S48" s="165" t="n">
        <v>194852.89</v>
      </c>
      <c r="U48" s="11">
        <f>K48</f>
        <v/>
      </c>
      <c r="V48" s="165" t="n">
        <v>245507.75</v>
      </c>
      <c r="W48" s="165" t="n">
        <v>68267.14999999999</v>
      </c>
      <c r="X48" s="165" t="n">
        <v>63474.54</v>
      </c>
      <c r="Y48" s="165" t="n">
        <v>4792.61</v>
      </c>
      <c r="Z48" s="165" t="n">
        <v>52882.57</v>
      </c>
      <c r="AA48" s="165" t="n">
        <v>15384.58</v>
      </c>
      <c r="AB48" s="165" t="n">
        <v>828.92</v>
      </c>
      <c r="AC48" s="165" t="n">
        <v>177240.6</v>
      </c>
      <c r="AE48" s="11">
        <f>U48</f>
        <v/>
      </c>
      <c r="AF48" s="165" t="n">
        <v>52225.87</v>
      </c>
      <c r="AG48" s="165" t="n">
        <v>25080.36</v>
      </c>
      <c r="AH48" s="165" t="n">
        <v>24984.62</v>
      </c>
      <c r="AI48" s="165" t="n">
        <v>95.73999999999999</v>
      </c>
      <c r="AJ48" s="165" t="n">
        <v>21840.12</v>
      </c>
      <c r="AK48" s="165" t="n">
        <v>3240.24</v>
      </c>
      <c r="AL48" s="165" t="n">
        <v>0</v>
      </c>
      <c r="AM48" s="165" t="n">
        <v>27145.51</v>
      </c>
    </row>
    <row customHeight="1" ht="16.5" r="49" s="40">
      <c r="A49" s="11" t="n">
        <v>45149</v>
      </c>
      <c r="B49" s="165" t="n">
        <v>2022394.34</v>
      </c>
      <c r="C49" s="165" t="n">
        <v>728751.34</v>
      </c>
      <c r="D49" s="165" t="n">
        <v>563337.62</v>
      </c>
      <c r="E49" s="165" t="n">
        <v>165413.72</v>
      </c>
      <c r="F49" s="165" t="n">
        <v>445433.47</v>
      </c>
      <c r="G49" s="165" t="n">
        <v>283317.87</v>
      </c>
      <c r="H49" s="165" t="n">
        <v>16225.19</v>
      </c>
      <c r="I49" s="165" t="n">
        <v>1293643</v>
      </c>
      <c r="K49" s="11">
        <f>A49</f>
        <v/>
      </c>
      <c r="L49" s="165" t="n">
        <v>620110.37</v>
      </c>
      <c r="M49" s="165" t="n">
        <v>402186.2</v>
      </c>
      <c r="N49" s="165" t="n">
        <v>366618.58</v>
      </c>
      <c r="O49" s="165" t="n">
        <v>35567.62</v>
      </c>
      <c r="P49" s="165" t="n">
        <v>319541.42</v>
      </c>
      <c r="Q49" s="165" t="n">
        <v>82644.78</v>
      </c>
      <c r="R49" s="165" t="n">
        <v>1766.88</v>
      </c>
      <c r="S49" s="165" t="n">
        <v>217924.17</v>
      </c>
      <c r="U49" s="11">
        <f>K49</f>
        <v/>
      </c>
      <c r="V49" s="165" t="n">
        <v>252574.77</v>
      </c>
      <c r="W49" s="165" t="n">
        <v>72673.96000000001</v>
      </c>
      <c r="X49" s="165" t="n">
        <v>65001.86</v>
      </c>
      <c r="Y49" s="165" t="n">
        <v>7672.1</v>
      </c>
      <c r="Z49" s="165" t="n">
        <v>54232.25</v>
      </c>
      <c r="AA49" s="165" t="n">
        <v>18441.71</v>
      </c>
      <c r="AB49" s="165" t="n">
        <v>838.01</v>
      </c>
      <c r="AC49" s="165" t="n">
        <v>179900.81</v>
      </c>
      <c r="AE49" s="11">
        <f>U49</f>
        <v/>
      </c>
      <c r="AF49" s="165" t="n">
        <v>56191.42</v>
      </c>
      <c r="AG49" s="165" t="n">
        <v>23587.13</v>
      </c>
      <c r="AH49" s="165" t="n">
        <v>23544.76</v>
      </c>
      <c r="AI49" s="165" t="n">
        <v>42.37</v>
      </c>
      <c r="AJ49" s="165" t="n">
        <v>20396.95</v>
      </c>
      <c r="AK49" s="165" t="n">
        <v>3190.18</v>
      </c>
      <c r="AL49" s="165" t="n">
        <v>0</v>
      </c>
      <c r="AM49" s="165" t="n">
        <v>32604.29</v>
      </c>
    </row>
    <row customHeight="1" ht="16.5" r="50" s="40">
      <c r="A50" s="11" t="n">
        <v>45150</v>
      </c>
      <c r="B50" s="165" t="n">
        <v>1994908.03</v>
      </c>
      <c r="C50" s="165" t="n">
        <v>683861.439999999</v>
      </c>
      <c r="D50" s="165" t="n">
        <v>512271.820000001</v>
      </c>
      <c r="E50" s="165" t="n">
        <v>171589.62</v>
      </c>
      <c r="F50" s="165" t="n">
        <v>449865.25</v>
      </c>
      <c r="G50" s="165" t="n">
        <v>233996.19</v>
      </c>
      <c r="H50" s="165" t="n">
        <v>15780.09</v>
      </c>
      <c r="I50" s="165" t="n">
        <v>1311046.59</v>
      </c>
      <c r="K50" s="11">
        <f>A50</f>
        <v/>
      </c>
      <c r="L50" s="165" t="n">
        <v>627192.9399999999</v>
      </c>
      <c r="M50" s="165" t="n">
        <v>397426.84</v>
      </c>
      <c r="N50" s="165" t="n">
        <v>364421.61</v>
      </c>
      <c r="O50" s="165" t="n">
        <v>33005.23</v>
      </c>
      <c r="P50" s="165" t="n">
        <v>322843</v>
      </c>
      <c r="Q50" s="165" t="n">
        <v>74583.83999999989</v>
      </c>
      <c r="R50" s="165" t="n">
        <v>1775.41</v>
      </c>
      <c r="S50" s="165" t="n">
        <v>229766.1</v>
      </c>
      <c r="U50" s="11">
        <f>K50</f>
        <v/>
      </c>
      <c r="V50" s="165" t="n">
        <v>226817.77</v>
      </c>
      <c r="W50" s="165" t="n">
        <v>69444.2600000001</v>
      </c>
      <c r="X50" s="165" t="n">
        <v>61963.48</v>
      </c>
      <c r="Y50" s="165" t="n">
        <v>7480.78</v>
      </c>
      <c r="Z50" s="165" t="n">
        <v>52585.21</v>
      </c>
      <c r="AA50" s="165" t="n">
        <v>16859.05</v>
      </c>
      <c r="AB50" s="165" t="n">
        <v>858.08</v>
      </c>
      <c r="AC50" s="165" t="n">
        <v>157373.51</v>
      </c>
      <c r="AE50" s="11">
        <f>U50</f>
        <v/>
      </c>
      <c r="AF50" s="165" t="n">
        <v>63487.99</v>
      </c>
      <c r="AG50" s="165" t="n">
        <v>27667.94</v>
      </c>
      <c r="AH50" s="165" t="n">
        <v>27551.05</v>
      </c>
      <c r="AI50" s="165" t="n">
        <v>116.89</v>
      </c>
      <c r="AJ50" s="165" t="n">
        <v>25469.82</v>
      </c>
      <c r="AK50" s="165" t="n">
        <v>2198.12</v>
      </c>
      <c r="AL50" s="165" t="n">
        <v>0</v>
      </c>
      <c r="AM50" s="165" t="n">
        <v>35820.05</v>
      </c>
    </row>
    <row customHeight="1" ht="16.5" r="51" s="40">
      <c r="A51" s="11" t="n">
        <v>45151</v>
      </c>
      <c r="B51" s="165" t="n">
        <v>1945284.92</v>
      </c>
      <c r="C51" s="165" t="n">
        <v>651126.85</v>
      </c>
      <c r="D51" s="165" t="n">
        <v>494595.45</v>
      </c>
      <c r="E51" s="165" t="n">
        <v>156531.4</v>
      </c>
      <c r="F51" s="165" t="n">
        <v>444253.6</v>
      </c>
      <c r="G51" s="165" t="n">
        <v>206873.25</v>
      </c>
      <c r="H51" s="165" t="n">
        <v>15729.09</v>
      </c>
      <c r="I51" s="165" t="n">
        <v>1294158.07</v>
      </c>
      <c r="K51" s="11">
        <f>A51</f>
        <v/>
      </c>
      <c r="L51" s="165" t="n">
        <v>710619.7</v>
      </c>
      <c r="M51" s="165" t="n">
        <v>403934.17</v>
      </c>
      <c r="N51" s="165" t="n">
        <v>381780.1</v>
      </c>
      <c r="O51" s="165" t="n">
        <v>22154.07</v>
      </c>
      <c r="P51" s="165" t="n">
        <v>342959.69</v>
      </c>
      <c r="Q51" s="165" t="n">
        <v>60974.48</v>
      </c>
      <c r="R51" s="165" t="n">
        <v>1821.73</v>
      </c>
      <c r="S51" s="165" t="n">
        <v>306685.53</v>
      </c>
      <c r="U51" s="11">
        <f>K51</f>
        <v/>
      </c>
      <c r="V51" s="165" t="n">
        <v>212851.34</v>
      </c>
      <c r="W51" s="165" t="n">
        <v>66833.92999999999</v>
      </c>
      <c r="X51" s="165" t="n">
        <v>61168.39</v>
      </c>
      <c r="Y51" s="165" t="n">
        <v>5665.54</v>
      </c>
      <c r="Z51" s="165" t="n">
        <v>52413.58</v>
      </c>
      <c r="AA51" s="165" t="n">
        <v>14420.35</v>
      </c>
      <c r="AB51" s="165" t="n">
        <v>810.37</v>
      </c>
      <c r="AC51" s="165" t="n">
        <v>146017.41</v>
      </c>
      <c r="AE51" s="11">
        <f>U51</f>
        <v/>
      </c>
      <c r="AF51" s="165" t="n">
        <v>60052.98</v>
      </c>
      <c r="AG51" s="165" t="n">
        <v>28540.99</v>
      </c>
      <c r="AH51" s="165" t="n">
        <v>28311.94</v>
      </c>
      <c r="AI51" s="165" t="n">
        <v>229.05</v>
      </c>
      <c r="AJ51" s="165" t="n">
        <v>26304.05</v>
      </c>
      <c r="AK51" s="165" t="n">
        <v>2236.94</v>
      </c>
      <c r="AL51" s="165" t="n">
        <v>0</v>
      </c>
      <c r="AM51" s="165" t="n">
        <v>31511.99</v>
      </c>
    </row>
    <row customHeight="1" ht="16.5" r="52" s="40">
      <c r="A52" s="11" t="n">
        <v>45152</v>
      </c>
      <c r="B52" s="165" t="n">
        <v>2099265.88</v>
      </c>
      <c r="C52" s="165" t="n">
        <v>718976.5200000009</v>
      </c>
      <c r="D52" s="165" t="n">
        <v>571683.340000001</v>
      </c>
      <c r="E52" s="165" t="n">
        <v>147293.18</v>
      </c>
      <c r="F52" s="165" t="n">
        <v>430552.13</v>
      </c>
      <c r="G52" s="165" t="n">
        <v>288424.39</v>
      </c>
      <c r="H52" s="165" t="n">
        <v>15687.89</v>
      </c>
      <c r="I52" s="165" t="n">
        <v>1380289.36</v>
      </c>
      <c r="K52" s="11">
        <f>A52</f>
        <v/>
      </c>
      <c r="L52" s="165" t="n">
        <v>694497.61</v>
      </c>
      <c r="M52" s="165" t="n">
        <v>408306.859999999</v>
      </c>
      <c r="N52" s="165" t="n">
        <v>387163.69</v>
      </c>
      <c r="O52" s="165" t="n">
        <v>21143.17</v>
      </c>
      <c r="P52" s="165" t="n">
        <v>333512.77</v>
      </c>
      <c r="Q52" s="165" t="n">
        <v>74794.09</v>
      </c>
      <c r="R52" s="165" t="n">
        <v>3234.91</v>
      </c>
      <c r="S52" s="165" t="n">
        <v>286190.75</v>
      </c>
      <c r="U52" s="11">
        <f>K52</f>
        <v/>
      </c>
      <c r="V52" s="165" t="n">
        <v>224958.27</v>
      </c>
      <c r="W52" s="165" t="n">
        <v>65997.14999999999</v>
      </c>
      <c r="X52" s="165" t="n">
        <v>62811.3</v>
      </c>
      <c r="Y52" s="165" t="n">
        <v>3185.85</v>
      </c>
      <c r="Z52" s="165" t="n">
        <v>51556.69</v>
      </c>
      <c r="AA52" s="165" t="n">
        <v>14440.46</v>
      </c>
      <c r="AB52" s="165" t="n">
        <v>1111.65</v>
      </c>
      <c r="AC52" s="165" t="n">
        <v>158961.12</v>
      </c>
      <c r="AE52" s="11">
        <f>U52</f>
        <v/>
      </c>
      <c r="AF52" s="165" t="n">
        <v>58231.87</v>
      </c>
      <c r="AG52" s="165" t="n">
        <v>27694.6</v>
      </c>
      <c r="AH52" s="165" t="n">
        <v>27461.68</v>
      </c>
      <c r="AI52" s="165" t="n">
        <v>232.92</v>
      </c>
      <c r="AJ52" s="165" t="n">
        <v>24474.04</v>
      </c>
      <c r="AK52" s="165" t="n">
        <v>3220.56</v>
      </c>
      <c r="AL52" s="165" t="n">
        <v>0</v>
      </c>
      <c r="AM52" s="165" t="n">
        <v>30537.27</v>
      </c>
    </row>
    <row customHeight="1" ht="16.5" r="53" s="40">
      <c r="A53" s="11" t="n">
        <v>45153</v>
      </c>
      <c r="B53" s="165" t="n">
        <v>2106777.06</v>
      </c>
      <c r="C53" s="165" t="n">
        <v>716094.27</v>
      </c>
      <c r="D53" s="165" t="n">
        <v>563071.9399999996</v>
      </c>
      <c r="E53" s="165" t="n">
        <v>153022.3299999999</v>
      </c>
      <c r="F53" s="165" t="n">
        <v>423518.2899999999</v>
      </c>
      <c r="G53" s="165" t="n">
        <v>292575.9800000006</v>
      </c>
      <c r="H53" s="165" t="n">
        <v>15550.55</v>
      </c>
      <c r="I53" s="165" t="n">
        <v>1390682.79</v>
      </c>
      <c r="K53" s="11">
        <f>A53</f>
        <v/>
      </c>
      <c r="L53" s="165" t="n">
        <v>617504.4599999997</v>
      </c>
      <c r="M53" s="165" t="n">
        <v>386519.1599999999</v>
      </c>
      <c r="N53" s="165" t="n">
        <v>365574.2899999998</v>
      </c>
      <c r="O53" s="165" t="n">
        <v>20944.87</v>
      </c>
      <c r="P53" s="165" t="n">
        <v>311200.3999999999</v>
      </c>
      <c r="Q53" s="165" t="n">
        <v>75318.76000000007</v>
      </c>
      <c r="R53" s="165" t="n">
        <v>3228.19</v>
      </c>
      <c r="S53" s="165" t="n">
        <v>230985.2999999999</v>
      </c>
      <c r="U53" s="11">
        <f>K53</f>
        <v/>
      </c>
      <c r="V53" s="165" t="n">
        <v>206469.09</v>
      </c>
      <c r="W53" s="165" t="n">
        <v>62442.81</v>
      </c>
      <c r="X53" s="165" t="n">
        <v>61650.59999999999</v>
      </c>
      <c r="Y53" s="165" t="n">
        <v>792.21</v>
      </c>
      <c r="Z53" s="165" t="n">
        <v>50108.55</v>
      </c>
      <c r="AA53" s="165" t="n">
        <v>12334.26</v>
      </c>
      <c r="AB53" s="165" t="n">
        <v>1132.61</v>
      </c>
      <c r="AC53" s="165" t="n">
        <v>144026.28</v>
      </c>
      <c r="AE53" s="11">
        <f>U53</f>
        <v/>
      </c>
      <c r="AF53" s="165" t="n">
        <v>58679.98</v>
      </c>
      <c r="AG53" s="165" t="n">
        <v>27086.92999999999</v>
      </c>
      <c r="AH53" s="165" t="n">
        <v>26851.48999999999</v>
      </c>
      <c r="AI53" s="165" t="n">
        <v>235.44</v>
      </c>
      <c r="AJ53" s="165" t="n">
        <v>24366.7</v>
      </c>
      <c r="AK53" s="165" t="n">
        <v>2720.23</v>
      </c>
      <c r="AL53" s="165" t="n">
        <v>0</v>
      </c>
      <c r="AM53" s="165" t="n">
        <v>31593.05</v>
      </c>
    </row>
    <row customHeight="1" ht="16.5" r="54" s="40">
      <c r="A54" s="11" t="n">
        <v>45154</v>
      </c>
      <c r="B54" s="165" t="n"/>
      <c r="C54" s="165" t="n"/>
      <c r="D54" s="165" t="n"/>
      <c r="E54" s="165" t="n"/>
      <c r="F54" s="165" t="n"/>
      <c r="G54" s="165" t="n"/>
      <c r="H54" s="165" t="n"/>
      <c r="I54" s="165" t="n"/>
      <c r="K54" s="11">
        <f>A54</f>
        <v/>
      </c>
      <c r="L54" s="165" t="n"/>
      <c r="M54" s="165" t="n"/>
      <c r="N54" s="165" t="n"/>
      <c r="O54" s="165" t="n"/>
      <c r="P54" s="165" t="n"/>
      <c r="Q54" s="165" t="n"/>
      <c r="R54" s="165" t="n"/>
      <c r="S54" s="165" t="n"/>
      <c r="U54" s="11">
        <f>K54</f>
        <v/>
      </c>
      <c r="V54" s="165" t="n"/>
      <c r="W54" s="165" t="n"/>
      <c r="X54" s="165" t="n"/>
      <c r="Y54" s="165" t="n"/>
      <c r="Z54" s="165" t="n"/>
      <c r="AA54" s="165" t="n"/>
      <c r="AB54" s="165" t="n"/>
      <c r="AC54" s="165" t="n"/>
      <c r="AE54" s="11">
        <f>U54</f>
        <v/>
      </c>
      <c r="AF54" s="165" t="n"/>
      <c r="AG54" s="165" t="n"/>
      <c r="AH54" s="165" t="n"/>
      <c r="AI54" s="165" t="n"/>
      <c r="AJ54" s="165" t="n"/>
      <c r="AK54" s="165" t="n"/>
      <c r="AL54" s="165" t="n"/>
      <c r="AM54" s="165" t="n"/>
    </row>
    <row customHeight="1" ht="16.5" r="55" s="40">
      <c r="A55" s="11" t="n">
        <v>45155</v>
      </c>
      <c r="B55" s="165" t="n"/>
      <c r="C55" s="165" t="n"/>
      <c r="D55" s="165" t="n"/>
      <c r="E55" s="165" t="n"/>
      <c r="F55" s="165" t="n"/>
      <c r="G55" s="165" t="n"/>
      <c r="H55" s="165" t="n"/>
      <c r="I55" s="165" t="n"/>
      <c r="K55" s="11">
        <f>A55</f>
        <v/>
      </c>
      <c r="L55" s="165" t="n"/>
      <c r="M55" s="165" t="n"/>
      <c r="N55" s="165" t="n"/>
      <c r="O55" s="165" t="n"/>
      <c r="P55" s="165" t="n"/>
      <c r="Q55" s="165" t="n"/>
      <c r="R55" s="165" t="n"/>
      <c r="S55" s="165" t="n"/>
      <c r="U55" s="11">
        <f>K55</f>
        <v/>
      </c>
      <c r="V55" s="165" t="n"/>
      <c r="W55" s="165" t="n"/>
      <c r="X55" s="165" t="n"/>
      <c r="Y55" s="165" t="n"/>
      <c r="Z55" s="165" t="n"/>
      <c r="AA55" s="165" t="n"/>
      <c r="AB55" s="165" t="n"/>
      <c r="AC55" s="165" t="n"/>
      <c r="AE55" s="11">
        <f>U55</f>
        <v/>
      </c>
      <c r="AF55" s="165" t="n"/>
      <c r="AG55" s="165" t="n"/>
      <c r="AH55" s="165" t="n"/>
      <c r="AI55" s="165" t="n"/>
      <c r="AJ55" s="165" t="n"/>
      <c r="AK55" s="165" t="n"/>
      <c r="AL55" s="165" t="n"/>
      <c r="AM55" s="165" t="n"/>
    </row>
    <row customHeight="1" ht="16.5" r="56" s="40">
      <c r="A56" s="11" t="n">
        <v>45156</v>
      </c>
      <c r="B56" s="165" t="n"/>
      <c r="C56" s="165" t="n"/>
      <c r="D56" s="165" t="n"/>
      <c r="E56" s="165" t="n"/>
      <c r="F56" s="165" t="n"/>
      <c r="G56" s="165" t="n"/>
      <c r="H56" s="165" t="n"/>
      <c r="I56" s="165" t="n"/>
      <c r="K56" s="11">
        <f>A56</f>
        <v/>
      </c>
      <c r="L56" s="165" t="n"/>
      <c r="M56" s="165" t="n"/>
      <c r="N56" s="165" t="n"/>
      <c r="O56" s="165" t="n"/>
      <c r="P56" s="165" t="n"/>
      <c r="Q56" s="165" t="n"/>
      <c r="R56" s="165" t="n"/>
      <c r="S56" s="165" t="n"/>
      <c r="U56" s="11">
        <f>K56</f>
        <v/>
      </c>
      <c r="V56" s="165" t="n"/>
      <c r="W56" s="165" t="n"/>
      <c r="X56" s="165" t="n"/>
      <c r="Y56" s="165" t="n"/>
      <c r="Z56" s="165" t="n"/>
      <c r="AA56" s="165" t="n"/>
      <c r="AB56" s="165" t="n"/>
      <c r="AC56" s="165" t="n"/>
      <c r="AE56" s="11">
        <f>U56</f>
        <v/>
      </c>
      <c r="AF56" s="165" t="n"/>
      <c r="AG56" s="165" t="n"/>
      <c r="AH56" s="165" t="n"/>
      <c r="AI56" s="165" t="n"/>
      <c r="AJ56" s="165" t="n"/>
      <c r="AK56" s="165" t="n"/>
      <c r="AL56" s="165" t="n"/>
      <c r="AM56" s="165" t="n"/>
    </row>
    <row customHeight="1" ht="16.5" r="57" s="40">
      <c r="A57" s="11" t="n">
        <v>45157</v>
      </c>
      <c r="B57" s="165" t="n"/>
      <c r="C57" s="165" t="n"/>
      <c r="D57" s="165" t="n"/>
      <c r="E57" s="165" t="n"/>
      <c r="F57" s="165" t="n"/>
      <c r="G57" s="165" t="n"/>
      <c r="H57" s="165" t="n"/>
      <c r="I57" s="165" t="n"/>
      <c r="K57" s="11">
        <f>A57</f>
        <v/>
      </c>
      <c r="L57" s="165" t="n"/>
      <c r="M57" s="165" t="n"/>
      <c r="N57" s="165" t="n"/>
      <c r="O57" s="165" t="n"/>
      <c r="P57" s="165" t="n"/>
      <c r="Q57" s="165" t="n"/>
      <c r="R57" s="165" t="n"/>
      <c r="S57" s="165" t="n"/>
      <c r="U57" s="11">
        <f>K57</f>
        <v/>
      </c>
      <c r="V57" s="165" t="n"/>
      <c r="W57" s="165" t="n"/>
      <c r="X57" s="165" t="n"/>
      <c r="Y57" s="165" t="n"/>
      <c r="Z57" s="165" t="n"/>
      <c r="AA57" s="165" t="n"/>
      <c r="AB57" s="165" t="n"/>
      <c r="AC57" s="165" t="n"/>
      <c r="AE57" s="11">
        <f>U57</f>
        <v/>
      </c>
      <c r="AF57" s="165" t="n"/>
      <c r="AG57" s="165" t="n"/>
      <c r="AH57" s="165" t="n"/>
      <c r="AI57" s="165" t="n"/>
      <c r="AJ57" s="165" t="n"/>
      <c r="AK57" s="165" t="n"/>
      <c r="AL57" s="165" t="n"/>
      <c r="AM57" s="165" t="n"/>
    </row>
    <row customHeight="1" ht="16.5" r="58" s="40">
      <c r="A58" s="11" t="n">
        <v>45158</v>
      </c>
      <c r="B58" s="165" t="n"/>
      <c r="C58" s="165" t="n"/>
      <c r="D58" s="165" t="n"/>
      <c r="E58" s="165" t="n"/>
      <c r="F58" s="165" t="n"/>
      <c r="G58" s="165" t="n"/>
      <c r="H58" s="165" t="n"/>
      <c r="I58" s="165" t="n"/>
      <c r="K58" s="11">
        <f>A58</f>
        <v/>
      </c>
      <c r="L58" s="165" t="n"/>
      <c r="M58" s="165" t="n"/>
      <c r="N58" s="165" t="n"/>
      <c r="O58" s="165" t="n"/>
      <c r="P58" s="165" t="n"/>
      <c r="Q58" s="165" t="n"/>
      <c r="R58" s="165" t="n"/>
      <c r="S58" s="165" t="n"/>
      <c r="U58" s="11">
        <f>K58</f>
        <v/>
      </c>
      <c r="V58" s="165" t="n"/>
      <c r="W58" s="165" t="n"/>
      <c r="X58" s="165" t="n"/>
      <c r="Y58" s="165" t="n"/>
      <c r="Z58" s="165" t="n"/>
      <c r="AA58" s="165" t="n"/>
      <c r="AB58" s="165" t="n"/>
      <c r="AC58" s="165" t="n"/>
      <c r="AE58" s="11">
        <f>U58</f>
        <v/>
      </c>
      <c r="AF58" s="165" t="n"/>
      <c r="AG58" s="165" t="n"/>
      <c r="AH58" s="165" t="n"/>
      <c r="AI58" s="165" t="n"/>
      <c r="AJ58" s="165" t="n"/>
      <c r="AK58" s="165" t="n"/>
      <c r="AL58" s="165" t="n"/>
      <c r="AM58" s="165" t="n"/>
    </row>
    <row customHeight="1" ht="16.5" r="59" s="40">
      <c r="A59" s="11" t="n">
        <v>45159</v>
      </c>
      <c r="B59" s="165" t="n"/>
      <c r="C59" s="165" t="n"/>
      <c r="D59" s="165" t="n"/>
      <c r="E59" s="165" t="n"/>
      <c r="F59" s="165" t="n"/>
      <c r="G59" s="165" t="n"/>
      <c r="H59" s="165" t="n"/>
      <c r="I59" s="165" t="n"/>
      <c r="K59" s="11">
        <f>A59</f>
        <v/>
      </c>
      <c r="L59" s="165" t="n"/>
      <c r="M59" s="165" t="n"/>
      <c r="N59" s="165" t="n"/>
      <c r="O59" s="165" t="n"/>
      <c r="P59" s="165" t="n"/>
      <c r="Q59" s="165" t="n"/>
      <c r="R59" s="165" t="n"/>
      <c r="S59" s="165" t="n"/>
      <c r="U59" s="11">
        <f>K59</f>
        <v/>
      </c>
      <c r="V59" s="165" t="n"/>
      <c r="W59" s="165" t="n"/>
      <c r="X59" s="165" t="n"/>
      <c r="Y59" s="165" t="n"/>
      <c r="Z59" s="165" t="n"/>
      <c r="AA59" s="165" t="n"/>
      <c r="AB59" s="165" t="n"/>
      <c r="AC59" s="165" t="n"/>
      <c r="AE59" s="11">
        <f>U59</f>
        <v/>
      </c>
      <c r="AF59" s="165" t="n"/>
      <c r="AG59" s="165" t="n"/>
      <c r="AH59" s="165" t="n"/>
      <c r="AI59" s="165" t="n"/>
      <c r="AJ59" s="165" t="n"/>
      <c r="AK59" s="165" t="n"/>
      <c r="AL59" s="165" t="n"/>
      <c r="AM59" s="165" t="n"/>
    </row>
    <row customHeight="1" ht="16.5" r="60" s="40">
      <c r="A60" s="11" t="n">
        <v>45160</v>
      </c>
      <c r="B60" s="165" t="n"/>
      <c r="C60" s="165" t="n"/>
      <c r="D60" s="165" t="n"/>
      <c r="E60" s="165" t="n"/>
      <c r="F60" s="165" t="n"/>
      <c r="G60" s="165" t="n"/>
      <c r="H60" s="165" t="n"/>
      <c r="I60" s="165" t="n"/>
      <c r="K60" s="11">
        <f>A60</f>
        <v/>
      </c>
      <c r="L60" s="165" t="n"/>
      <c r="M60" s="165" t="n"/>
      <c r="N60" s="165" t="n"/>
      <c r="O60" s="165" t="n"/>
      <c r="P60" s="165" t="n"/>
      <c r="Q60" s="165" t="n"/>
      <c r="R60" s="165" t="n"/>
      <c r="S60" s="165" t="n"/>
      <c r="U60" s="11">
        <f>K60</f>
        <v/>
      </c>
      <c r="V60" s="165" t="n"/>
      <c r="W60" s="165" t="n"/>
      <c r="X60" s="165" t="n"/>
      <c r="Y60" s="165" t="n"/>
      <c r="Z60" s="165" t="n"/>
      <c r="AA60" s="165" t="n"/>
      <c r="AB60" s="165" t="n"/>
      <c r="AC60" s="165" t="n"/>
      <c r="AE60" s="11">
        <f>U60</f>
        <v/>
      </c>
      <c r="AF60" s="165" t="n"/>
      <c r="AG60" s="165" t="n"/>
      <c r="AH60" s="165" t="n"/>
      <c r="AI60" s="165" t="n"/>
      <c r="AJ60" s="165" t="n"/>
      <c r="AK60" s="165" t="n"/>
      <c r="AL60" s="165" t="n"/>
      <c r="AM60" s="165" t="n"/>
    </row>
    <row customHeight="1" ht="16.5" r="61" s="40">
      <c r="A61" s="11" t="n">
        <v>45161</v>
      </c>
      <c r="B61" s="165" t="n"/>
      <c r="C61" s="165" t="n"/>
      <c r="D61" s="165" t="n"/>
      <c r="E61" s="165" t="n"/>
      <c r="F61" s="165" t="n"/>
      <c r="G61" s="165" t="n"/>
      <c r="H61" s="165" t="n"/>
      <c r="I61" s="165" t="n"/>
      <c r="K61" s="11">
        <f>A61</f>
        <v/>
      </c>
      <c r="L61" s="165" t="n"/>
      <c r="M61" s="165" t="n"/>
      <c r="N61" s="165" t="n"/>
      <c r="O61" s="165" t="n"/>
      <c r="P61" s="165" t="n"/>
      <c r="Q61" s="165" t="n"/>
      <c r="R61" s="165" t="n"/>
      <c r="S61" s="165" t="n"/>
      <c r="U61" s="11">
        <f>K61</f>
        <v/>
      </c>
      <c r="V61" s="165" t="n"/>
      <c r="W61" s="165" t="n"/>
      <c r="X61" s="165" t="n"/>
      <c r="Y61" s="165" t="n"/>
      <c r="Z61" s="165" t="n"/>
      <c r="AA61" s="165" t="n"/>
      <c r="AB61" s="165" t="n"/>
      <c r="AC61" s="165" t="n"/>
      <c r="AE61" s="11">
        <f>U61</f>
        <v/>
      </c>
      <c r="AF61" s="165" t="n"/>
      <c r="AG61" s="165" t="n"/>
      <c r="AH61" s="165" t="n"/>
      <c r="AI61" s="165" t="n"/>
      <c r="AJ61" s="165" t="n"/>
      <c r="AK61" s="165" t="n"/>
      <c r="AL61" s="165" t="n"/>
      <c r="AM61" s="165" t="n"/>
    </row>
    <row customHeight="1" ht="16.5" r="62" s="40">
      <c r="A62" s="11" t="n">
        <v>45162</v>
      </c>
      <c r="B62" s="165" t="n"/>
      <c r="C62" s="165" t="n"/>
      <c r="D62" s="165" t="n"/>
      <c r="E62" s="165" t="n"/>
      <c r="F62" s="165" t="n"/>
      <c r="G62" s="165" t="n"/>
      <c r="H62" s="165" t="n"/>
      <c r="I62" s="165" t="n"/>
      <c r="K62" s="11">
        <f>A62</f>
        <v/>
      </c>
      <c r="L62" s="165" t="n"/>
      <c r="M62" s="165" t="n"/>
      <c r="N62" s="165" t="n"/>
      <c r="O62" s="165" t="n"/>
      <c r="P62" s="165" t="n"/>
      <c r="Q62" s="165" t="n"/>
      <c r="R62" s="165" t="n"/>
      <c r="S62" s="165" t="n"/>
      <c r="U62" s="11">
        <f>K62</f>
        <v/>
      </c>
      <c r="V62" s="165" t="n"/>
      <c r="W62" s="165" t="n"/>
      <c r="X62" s="165" t="n"/>
      <c r="Y62" s="165" t="n"/>
      <c r="Z62" s="165" t="n"/>
      <c r="AA62" s="165" t="n"/>
      <c r="AB62" s="165" t="n"/>
      <c r="AC62" s="165" t="n"/>
      <c r="AE62" s="11">
        <f>U62</f>
        <v/>
      </c>
      <c r="AF62" s="165" t="n"/>
      <c r="AG62" s="165" t="n"/>
      <c r="AH62" s="165" t="n"/>
      <c r="AI62" s="165" t="n"/>
      <c r="AJ62" s="165" t="n"/>
      <c r="AK62" s="165" t="n"/>
      <c r="AL62" s="165" t="n"/>
      <c r="AM62" s="165" t="n"/>
    </row>
    <row customHeight="1" ht="16.5" r="63" s="40">
      <c r="A63" s="11" t="n">
        <v>45163</v>
      </c>
      <c r="B63" s="165" t="n"/>
      <c r="C63" s="165" t="n"/>
      <c r="D63" s="165" t="n"/>
      <c r="E63" s="165" t="n"/>
      <c r="F63" s="165" t="n"/>
      <c r="G63" s="165" t="n"/>
      <c r="H63" s="165" t="n"/>
      <c r="I63" s="165" t="n"/>
      <c r="K63" s="11">
        <f>A63</f>
        <v/>
      </c>
      <c r="L63" s="165" t="n"/>
      <c r="M63" s="165" t="n"/>
      <c r="N63" s="165" t="n"/>
      <c r="O63" s="165" t="n"/>
      <c r="P63" s="165" t="n"/>
      <c r="Q63" s="165" t="n"/>
      <c r="R63" s="165" t="n"/>
      <c r="S63" s="165" t="n"/>
      <c r="U63" s="11">
        <f>K63</f>
        <v/>
      </c>
      <c r="V63" s="165" t="n"/>
      <c r="W63" s="165" t="n"/>
      <c r="X63" s="165" t="n"/>
      <c r="Y63" s="165" t="n"/>
      <c r="Z63" s="165" t="n"/>
      <c r="AA63" s="165" t="n"/>
      <c r="AB63" s="165" t="n"/>
      <c r="AC63" s="165" t="n"/>
      <c r="AE63" s="11">
        <f>U63</f>
        <v/>
      </c>
      <c r="AF63" s="165" t="n"/>
      <c r="AG63" s="165" t="n"/>
      <c r="AH63" s="165" t="n"/>
      <c r="AI63" s="165" t="n"/>
      <c r="AJ63" s="165" t="n"/>
      <c r="AK63" s="165" t="n"/>
      <c r="AL63" s="165" t="n"/>
      <c r="AM63" s="165" t="n"/>
    </row>
    <row customHeight="1" ht="16.5" r="64" s="40">
      <c r="A64" s="11" t="n">
        <v>45164</v>
      </c>
      <c r="B64" s="165" t="n"/>
      <c r="C64" s="165" t="n"/>
      <c r="D64" s="165" t="n"/>
      <c r="E64" s="165" t="n"/>
      <c r="F64" s="165" t="n"/>
      <c r="G64" s="165" t="n"/>
      <c r="H64" s="165" t="n"/>
      <c r="I64" s="165" t="n"/>
      <c r="K64" s="11">
        <f>A64</f>
        <v/>
      </c>
      <c r="L64" s="165" t="n"/>
      <c r="M64" s="165" t="n"/>
      <c r="N64" s="165" t="n"/>
      <c r="O64" s="165" t="n"/>
      <c r="P64" s="165" t="n"/>
      <c r="Q64" s="165" t="n"/>
      <c r="R64" s="165" t="n"/>
      <c r="S64" s="165" t="n"/>
      <c r="U64" s="11">
        <f>K64</f>
        <v/>
      </c>
      <c r="V64" s="165" t="n"/>
      <c r="W64" s="165" t="n"/>
      <c r="X64" s="165" t="n"/>
      <c r="Y64" s="165" t="n"/>
      <c r="Z64" s="165" t="n"/>
      <c r="AA64" s="165" t="n"/>
      <c r="AB64" s="165" t="n"/>
      <c r="AC64" s="165" t="n"/>
      <c r="AE64" s="11">
        <f>U64</f>
        <v/>
      </c>
      <c r="AF64" s="165" t="n"/>
      <c r="AG64" s="165" t="n"/>
      <c r="AH64" s="165" t="n"/>
      <c r="AI64" s="165" t="n"/>
      <c r="AJ64" s="165" t="n"/>
      <c r="AK64" s="165" t="n"/>
      <c r="AL64" s="165" t="n"/>
      <c r="AM64" s="165" t="n"/>
    </row>
    <row customHeight="1" ht="16.5" r="65" s="40">
      <c r="A65" s="11" t="n">
        <v>45165</v>
      </c>
      <c r="B65" s="165" t="n"/>
      <c r="C65" s="165" t="n"/>
      <c r="D65" s="165" t="n"/>
      <c r="E65" s="165" t="n"/>
      <c r="F65" s="165" t="n"/>
      <c r="G65" s="165" t="n"/>
      <c r="H65" s="165" t="n"/>
      <c r="I65" s="165" t="n"/>
      <c r="K65" s="11">
        <f>A65</f>
        <v/>
      </c>
      <c r="L65" s="165" t="n"/>
      <c r="M65" s="165" t="n"/>
      <c r="N65" s="165" t="n"/>
      <c r="O65" s="165" t="n"/>
      <c r="P65" s="165" t="n"/>
      <c r="Q65" s="165" t="n"/>
      <c r="R65" s="165" t="n"/>
      <c r="S65" s="165" t="n"/>
      <c r="U65" s="11">
        <f>K65</f>
        <v/>
      </c>
      <c r="V65" s="165" t="n"/>
      <c r="W65" s="165" t="n"/>
      <c r="X65" s="165" t="n"/>
      <c r="Y65" s="165" t="n"/>
      <c r="Z65" s="165" t="n"/>
      <c r="AA65" s="165" t="n"/>
      <c r="AB65" s="165" t="n"/>
      <c r="AC65" s="165" t="n"/>
      <c r="AE65" s="11">
        <f>U65</f>
        <v/>
      </c>
      <c r="AF65" s="165" t="n"/>
      <c r="AG65" s="165" t="n"/>
      <c r="AH65" s="165" t="n"/>
      <c r="AI65" s="165" t="n"/>
      <c r="AJ65" s="165" t="n"/>
      <c r="AK65" s="165" t="n"/>
      <c r="AL65" s="165" t="n"/>
      <c r="AM65" s="165" t="n"/>
    </row>
    <row customHeight="1" ht="16.5" r="66" s="40">
      <c r="A66" s="11" t="n">
        <v>45166</v>
      </c>
      <c r="B66" s="165" t="n"/>
      <c r="C66" s="165" t="n"/>
      <c r="D66" s="165" t="n"/>
      <c r="E66" s="165" t="n"/>
      <c r="F66" s="165" t="n"/>
      <c r="G66" s="165" t="n"/>
      <c r="H66" s="165" t="n"/>
      <c r="I66" s="165" t="n"/>
      <c r="K66" s="11">
        <f>A66</f>
        <v/>
      </c>
      <c r="L66" s="165" t="n"/>
      <c r="M66" s="165" t="n"/>
      <c r="N66" s="165" t="n"/>
      <c r="O66" s="165" t="n"/>
      <c r="P66" s="165" t="n"/>
      <c r="Q66" s="165" t="n"/>
      <c r="R66" s="165" t="n"/>
      <c r="S66" s="165" t="n"/>
      <c r="U66" s="11">
        <f>K66</f>
        <v/>
      </c>
      <c r="V66" s="165" t="n"/>
      <c r="W66" s="165" t="n"/>
      <c r="X66" s="165" t="n"/>
      <c r="Y66" s="165" t="n"/>
      <c r="Z66" s="165" t="n"/>
      <c r="AA66" s="165" t="n"/>
      <c r="AB66" s="165" t="n"/>
      <c r="AC66" s="165" t="n"/>
      <c r="AE66" s="11">
        <f>U66</f>
        <v/>
      </c>
      <c r="AF66" s="165" t="n"/>
      <c r="AG66" s="165" t="n"/>
      <c r="AH66" s="165" t="n"/>
      <c r="AI66" s="165" t="n"/>
      <c r="AJ66" s="165" t="n"/>
      <c r="AK66" s="165" t="n"/>
      <c r="AL66" s="165" t="n"/>
      <c r="AM66" s="165" t="n"/>
    </row>
    <row customHeight="1" ht="16.5" r="67" s="40">
      <c r="A67" s="11" t="n">
        <v>45167</v>
      </c>
      <c r="B67" s="165" t="n"/>
      <c r="C67" s="165" t="n"/>
      <c r="D67" s="165" t="n"/>
      <c r="E67" s="165" t="n"/>
      <c r="F67" s="165" t="n"/>
      <c r="G67" s="165" t="n"/>
      <c r="H67" s="165" t="n"/>
      <c r="I67" s="165" t="n"/>
      <c r="K67" s="11">
        <f>A67</f>
        <v/>
      </c>
      <c r="L67" s="165" t="n"/>
      <c r="M67" s="165" t="n"/>
      <c r="N67" s="165" t="n"/>
      <c r="O67" s="165" t="n"/>
      <c r="P67" s="165" t="n"/>
      <c r="Q67" s="165" t="n"/>
      <c r="R67" s="165" t="n"/>
      <c r="S67" s="165" t="n"/>
      <c r="U67" s="11">
        <f>K67</f>
        <v/>
      </c>
      <c r="V67" s="165" t="n"/>
      <c r="W67" s="165" t="n"/>
      <c r="X67" s="165" t="n"/>
      <c r="Y67" s="165" t="n"/>
      <c r="Z67" s="165" t="n"/>
      <c r="AA67" s="165" t="n"/>
      <c r="AB67" s="165" t="n"/>
      <c r="AC67" s="165" t="n"/>
      <c r="AE67" s="11">
        <f>U67</f>
        <v/>
      </c>
      <c r="AF67" s="165" t="n"/>
      <c r="AG67" s="165" t="n"/>
      <c r="AH67" s="165" t="n"/>
      <c r="AI67" s="165" t="n"/>
      <c r="AJ67" s="165" t="n"/>
      <c r="AK67" s="165" t="n"/>
      <c r="AL67" s="165" t="n"/>
      <c r="AM67" s="165" t="n"/>
    </row>
    <row customHeight="1" ht="16.5" r="68" s="40">
      <c r="A68" s="11" t="n">
        <v>45168</v>
      </c>
      <c r="B68" s="165" t="n"/>
      <c r="C68" s="165" t="n"/>
      <c r="D68" s="165" t="n"/>
      <c r="E68" s="165" t="n"/>
      <c r="F68" s="165" t="n"/>
      <c r="G68" s="165" t="n"/>
      <c r="H68" s="165" t="n"/>
      <c r="I68" s="165" t="n"/>
      <c r="K68" s="11">
        <f>A68</f>
        <v/>
      </c>
      <c r="L68" s="165" t="n"/>
      <c r="M68" s="165" t="n"/>
      <c r="N68" s="165" t="n"/>
      <c r="O68" s="165" t="n"/>
      <c r="P68" s="165" t="n"/>
      <c r="Q68" s="165" t="n"/>
      <c r="R68" s="165" t="n"/>
      <c r="S68" s="165" t="n"/>
      <c r="U68" s="11">
        <f>K68</f>
        <v/>
      </c>
      <c r="V68" s="165" t="n"/>
      <c r="W68" s="165" t="n"/>
      <c r="X68" s="165" t="n"/>
      <c r="Y68" s="165" t="n"/>
      <c r="Z68" s="165" t="n"/>
      <c r="AA68" s="165" t="n"/>
      <c r="AB68" s="165" t="n"/>
      <c r="AC68" s="165" t="n"/>
      <c r="AE68" s="11">
        <f>U68</f>
        <v/>
      </c>
      <c r="AF68" s="165" t="n"/>
      <c r="AG68" s="165" t="n"/>
      <c r="AH68" s="165" t="n"/>
      <c r="AI68" s="165" t="n"/>
      <c r="AJ68" s="165" t="n"/>
      <c r="AK68" s="165" t="n"/>
      <c r="AL68" s="165" t="n"/>
      <c r="AM68" s="165" t="n"/>
    </row>
    <row customHeight="1" ht="16.5" r="69" s="40">
      <c r="A69" s="11" t="n">
        <v>45169</v>
      </c>
      <c r="B69" s="165" t="n"/>
      <c r="C69" s="165" t="n"/>
      <c r="D69" s="165" t="n"/>
      <c r="E69" s="165" t="n"/>
      <c r="F69" s="165" t="n"/>
      <c r="G69" s="165" t="n"/>
      <c r="H69" s="165" t="n"/>
      <c r="I69" s="165" t="n"/>
      <c r="K69" s="11">
        <f>A69</f>
        <v/>
      </c>
      <c r="L69" s="165" t="n"/>
      <c r="M69" s="165" t="n"/>
      <c r="N69" s="165" t="n"/>
      <c r="O69" s="165" t="n"/>
      <c r="P69" s="165" t="n"/>
      <c r="Q69" s="165" t="n"/>
      <c r="R69" s="165" t="n"/>
      <c r="S69" s="165" t="n"/>
      <c r="U69" s="11">
        <f>K69</f>
        <v/>
      </c>
      <c r="V69" s="165" t="n"/>
      <c r="W69" s="165" t="n"/>
      <c r="X69" s="165" t="n"/>
      <c r="Y69" s="165" t="n"/>
      <c r="Z69" s="165" t="n"/>
      <c r="AA69" s="165" t="n"/>
      <c r="AB69" s="165" t="n"/>
      <c r="AC69" s="165" t="n"/>
      <c r="AE69" s="11">
        <f>U69</f>
        <v/>
      </c>
      <c r="AF69" s="165" t="n"/>
      <c r="AG69" s="165" t="n"/>
      <c r="AH69" s="165" t="n"/>
      <c r="AI69" s="165" t="n"/>
      <c r="AJ69" s="165" t="n"/>
      <c r="AK69" s="165" t="n"/>
      <c r="AL69" s="165" t="n"/>
      <c r="AM69" s="165" t="n"/>
    </row>
    <row customHeight="1" ht="16.5" r="70" s="40">
      <c r="A70" s="11" t="n">
        <v>45170</v>
      </c>
      <c r="B70" s="165" t="n"/>
      <c r="C70" s="165" t="n"/>
      <c r="D70" s="165" t="n"/>
      <c r="E70" s="165" t="n"/>
      <c r="F70" s="165" t="n"/>
      <c r="G70" s="165" t="n"/>
      <c r="H70" s="165" t="n"/>
      <c r="I70" s="165" t="n"/>
      <c r="K70" s="11">
        <f>A70</f>
        <v/>
      </c>
      <c r="L70" s="165" t="n"/>
      <c r="M70" s="165" t="n"/>
      <c r="N70" s="165" t="n"/>
      <c r="O70" s="165" t="n"/>
      <c r="P70" s="165" t="n"/>
      <c r="Q70" s="165" t="n"/>
      <c r="R70" s="165" t="n"/>
      <c r="S70" s="165" t="n"/>
      <c r="U70" s="11">
        <f>K70</f>
        <v/>
      </c>
      <c r="V70" s="165" t="n"/>
      <c r="W70" s="165" t="n"/>
      <c r="X70" s="165" t="n"/>
      <c r="Y70" s="165" t="n"/>
      <c r="Z70" s="165" t="n"/>
      <c r="AA70" s="165" t="n"/>
      <c r="AB70" s="165" t="n"/>
      <c r="AC70" s="165" t="n"/>
      <c r="AE70" s="11">
        <f>U70</f>
        <v/>
      </c>
      <c r="AF70" s="165" t="n"/>
      <c r="AG70" s="165" t="n"/>
      <c r="AH70" s="165" t="n"/>
      <c r="AI70" s="165" t="n"/>
      <c r="AJ70" s="165" t="n"/>
      <c r="AK70" s="165" t="n"/>
      <c r="AL70" s="165" t="n"/>
      <c r="AM70" s="165" t="n"/>
    </row>
    <row customHeight="1" ht="16.5" r="71" s="40">
      <c r="A71" s="11" t="n">
        <v>45171</v>
      </c>
      <c r="B71" s="165" t="n"/>
      <c r="C71" s="165" t="n"/>
      <c r="D71" s="165" t="n"/>
      <c r="E71" s="165" t="n"/>
      <c r="F71" s="165" t="n"/>
      <c r="G71" s="165" t="n"/>
      <c r="H71" s="165" t="n"/>
      <c r="I71" s="165" t="n"/>
      <c r="K71" s="11">
        <f>A71</f>
        <v/>
      </c>
      <c r="L71" s="165" t="n"/>
      <c r="M71" s="165" t="n"/>
      <c r="N71" s="165" t="n"/>
      <c r="O71" s="165" t="n"/>
      <c r="P71" s="165" t="n"/>
      <c r="Q71" s="165" t="n"/>
      <c r="R71" s="165" t="n"/>
      <c r="S71" s="165" t="n"/>
      <c r="U71" s="11">
        <f>K71</f>
        <v/>
      </c>
      <c r="V71" s="165" t="n"/>
      <c r="W71" s="165" t="n"/>
      <c r="X71" s="165" t="n"/>
      <c r="Y71" s="165" t="n"/>
      <c r="Z71" s="165" t="n"/>
      <c r="AA71" s="165" t="n"/>
      <c r="AB71" s="165" t="n"/>
      <c r="AC71" s="165" t="n"/>
      <c r="AE71" s="11">
        <f>U71</f>
        <v/>
      </c>
      <c r="AF71" s="165" t="n"/>
      <c r="AG71" s="165" t="n"/>
      <c r="AH71" s="165" t="n"/>
      <c r="AI71" s="165" t="n"/>
      <c r="AJ71" s="165" t="n"/>
      <c r="AK71" s="165" t="n"/>
      <c r="AL71" s="165" t="n"/>
      <c r="AM71" s="165" t="n"/>
    </row>
    <row customHeight="1" ht="16.5" r="72" s="40">
      <c r="A72" s="11" t="n">
        <v>45172</v>
      </c>
      <c r="B72" s="165" t="n"/>
      <c r="C72" s="165" t="n"/>
      <c r="D72" s="165" t="n"/>
      <c r="E72" s="165" t="n"/>
      <c r="F72" s="165" t="n"/>
      <c r="G72" s="165" t="n"/>
      <c r="H72" s="165" t="n"/>
      <c r="I72" s="165" t="n"/>
      <c r="K72" s="11">
        <f>A72</f>
        <v/>
      </c>
      <c r="L72" s="165" t="n"/>
      <c r="M72" s="165" t="n"/>
      <c r="N72" s="165" t="n"/>
      <c r="O72" s="165" t="n"/>
      <c r="P72" s="165" t="n"/>
      <c r="Q72" s="165" t="n"/>
      <c r="R72" s="165" t="n"/>
      <c r="S72" s="165" t="n"/>
      <c r="U72" s="11">
        <f>K72</f>
        <v/>
      </c>
      <c r="V72" s="165" t="n"/>
      <c r="W72" s="165" t="n"/>
      <c r="X72" s="165" t="n"/>
      <c r="Y72" s="165" t="n"/>
      <c r="Z72" s="165" t="n"/>
      <c r="AA72" s="165" t="n"/>
      <c r="AB72" s="165" t="n"/>
      <c r="AC72" s="165" t="n"/>
      <c r="AE72" s="11">
        <f>U72</f>
        <v/>
      </c>
      <c r="AF72" s="165" t="n"/>
      <c r="AG72" s="165" t="n"/>
      <c r="AH72" s="165" t="n"/>
      <c r="AI72" s="165" t="n"/>
      <c r="AJ72" s="165" t="n"/>
      <c r="AK72" s="165" t="n"/>
      <c r="AL72" s="165" t="n"/>
      <c r="AM72" s="165" t="n"/>
    </row>
    <row customHeight="1" ht="16.5" r="73" s="40">
      <c r="A73" s="11" t="n">
        <v>45173</v>
      </c>
      <c r="B73" s="165" t="n"/>
      <c r="C73" s="165" t="n"/>
      <c r="D73" s="165" t="n"/>
      <c r="E73" s="165" t="n"/>
      <c r="F73" s="165" t="n"/>
      <c r="G73" s="165" t="n"/>
      <c r="H73" s="165" t="n"/>
      <c r="I73" s="165" t="n"/>
      <c r="J73" s="167" t="n"/>
      <c r="K73" s="11">
        <f>A73</f>
        <v/>
      </c>
      <c r="L73" s="165" t="n"/>
      <c r="M73" s="165" t="n"/>
      <c r="N73" s="165" t="n"/>
      <c r="O73" s="165" t="n"/>
      <c r="P73" s="165" t="n"/>
      <c r="Q73" s="165" t="n"/>
      <c r="R73" s="165" t="n"/>
      <c r="S73" s="165" t="n"/>
      <c r="T73" s="167" t="n"/>
      <c r="U73" s="11">
        <f>K73</f>
        <v/>
      </c>
      <c r="V73" s="165" t="n"/>
      <c r="W73" s="165" t="n"/>
      <c r="X73" s="165" t="n"/>
      <c r="Y73" s="165" t="n"/>
      <c r="Z73" s="165" t="n"/>
      <c r="AA73" s="165" t="n"/>
      <c r="AB73" s="165" t="n"/>
      <c r="AC73" s="165" t="n"/>
      <c r="AD73" s="167" t="n"/>
      <c r="AE73" s="11">
        <f>U73</f>
        <v/>
      </c>
      <c r="AF73" s="165" t="n"/>
      <c r="AG73" s="165" t="n"/>
      <c r="AH73" s="165" t="n"/>
      <c r="AI73" s="165" t="n"/>
      <c r="AJ73" s="165" t="n"/>
      <c r="AK73" s="165" t="n"/>
      <c r="AL73" s="165" t="n"/>
      <c r="AM73" s="165" t="n"/>
    </row>
    <row customHeight="1" ht="16.5" r="74" s="40">
      <c r="A74" s="11" t="n">
        <v>45174</v>
      </c>
      <c r="B74" s="165" t="n"/>
      <c r="C74" s="165" t="n"/>
      <c r="D74" s="165" t="n"/>
      <c r="E74" s="165" t="n"/>
      <c r="F74" s="165" t="n"/>
      <c r="G74" s="165" t="n"/>
      <c r="H74" s="165" t="n"/>
      <c r="I74" s="165" t="n"/>
      <c r="K74" s="11">
        <f>A74</f>
        <v/>
      </c>
      <c r="L74" s="165" t="n"/>
      <c r="M74" s="165" t="n"/>
      <c r="N74" s="165" t="n"/>
      <c r="O74" s="165" t="n"/>
      <c r="P74" s="165" t="n"/>
      <c r="Q74" s="165" t="n"/>
      <c r="R74" s="165" t="n"/>
      <c r="S74" s="165" t="n"/>
      <c r="U74" s="11">
        <f>K74</f>
        <v/>
      </c>
      <c r="V74" s="165" t="n"/>
      <c r="W74" s="165" t="n"/>
      <c r="X74" s="165" t="n"/>
      <c r="Y74" s="165" t="n"/>
      <c r="Z74" s="165" t="n"/>
      <c r="AA74" s="165" t="n"/>
      <c r="AB74" s="165" t="n"/>
      <c r="AC74" s="165" t="n"/>
      <c r="AE74" s="11">
        <f>U74</f>
        <v/>
      </c>
      <c r="AF74" s="165" t="n"/>
      <c r="AG74" s="165" t="n"/>
      <c r="AH74" s="165" t="n"/>
      <c r="AI74" s="165" t="n"/>
      <c r="AJ74" s="165" t="n"/>
      <c r="AK74" s="165" t="n"/>
      <c r="AL74" s="165" t="n"/>
      <c r="AM74" s="165" t="n"/>
    </row>
    <row customHeight="1" ht="16.5" r="75" s="40">
      <c r="A75" s="11" t="n">
        <v>45175</v>
      </c>
      <c r="B75" s="165" t="n"/>
      <c r="C75" s="165" t="n"/>
      <c r="D75" s="165" t="n"/>
      <c r="E75" s="165" t="n"/>
      <c r="F75" s="165" t="n"/>
      <c r="G75" s="165" t="n"/>
      <c r="H75" s="165" t="n"/>
      <c r="I75" s="165" t="n"/>
      <c r="K75" s="11">
        <f>A75</f>
        <v/>
      </c>
      <c r="L75" s="165" t="n"/>
      <c r="M75" s="165" t="n"/>
      <c r="N75" s="165" t="n"/>
      <c r="O75" s="165" t="n"/>
      <c r="P75" s="165" t="n"/>
      <c r="Q75" s="165" t="n"/>
      <c r="R75" s="165" t="n"/>
      <c r="S75" s="165" t="n"/>
      <c r="U75" s="11">
        <f>K75</f>
        <v/>
      </c>
      <c r="V75" s="165" t="n"/>
      <c r="W75" s="165" t="n"/>
      <c r="X75" s="165" t="n"/>
      <c r="Y75" s="165" t="n"/>
      <c r="Z75" s="165" t="n"/>
      <c r="AA75" s="165" t="n"/>
      <c r="AB75" s="165" t="n"/>
      <c r="AC75" s="165" t="n"/>
      <c r="AE75" s="11">
        <f>U75</f>
        <v/>
      </c>
      <c r="AF75" s="165" t="n"/>
      <c r="AG75" s="165" t="n"/>
      <c r="AH75" s="165" t="n"/>
      <c r="AI75" s="165" t="n"/>
      <c r="AJ75" s="165" t="n"/>
      <c r="AK75" s="165" t="n"/>
      <c r="AL75" s="165" t="n"/>
      <c r="AM75" s="165" t="n"/>
    </row>
    <row customHeight="1" ht="16.5" r="76" s="40">
      <c r="A76" s="11" t="n">
        <v>45176</v>
      </c>
      <c r="B76" s="165" t="n"/>
      <c r="C76" s="165" t="n"/>
      <c r="D76" s="165" t="n"/>
      <c r="E76" s="165" t="n"/>
      <c r="F76" s="165" t="n"/>
      <c r="G76" s="165" t="n"/>
      <c r="H76" s="165" t="n"/>
      <c r="I76" s="165" t="n"/>
      <c r="K76" s="11">
        <f>A76</f>
        <v/>
      </c>
      <c r="L76" s="165" t="n"/>
      <c r="M76" s="165" t="n"/>
      <c r="N76" s="165" t="n"/>
      <c r="O76" s="165" t="n"/>
      <c r="P76" s="165" t="n"/>
      <c r="Q76" s="165" t="n"/>
      <c r="R76" s="165" t="n"/>
      <c r="S76" s="165" t="n"/>
      <c r="U76" s="11">
        <f>K76</f>
        <v/>
      </c>
      <c r="V76" s="165" t="n"/>
      <c r="W76" s="165" t="n"/>
      <c r="X76" s="165" t="n"/>
      <c r="Y76" s="165" t="n"/>
      <c r="Z76" s="165" t="n"/>
      <c r="AA76" s="165" t="n"/>
      <c r="AB76" s="165" t="n"/>
      <c r="AC76" s="165" t="n"/>
      <c r="AE76" s="11">
        <f>U76</f>
        <v/>
      </c>
      <c r="AF76" s="165" t="n"/>
      <c r="AG76" s="165" t="n"/>
      <c r="AH76" s="165" t="n"/>
      <c r="AI76" s="165" t="n"/>
      <c r="AJ76" s="165" t="n"/>
      <c r="AK76" s="165" t="n"/>
      <c r="AL76" s="165" t="n"/>
      <c r="AM76" s="165" t="n"/>
    </row>
    <row customHeight="1" ht="16.5" r="77" s="40">
      <c r="A77" s="11" t="n">
        <v>45177</v>
      </c>
      <c r="B77" s="165" t="n"/>
      <c r="C77" s="165" t="n"/>
      <c r="D77" s="165" t="n"/>
      <c r="E77" s="165" t="n"/>
      <c r="F77" s="165" t="n"/>
      <c r="G77" s="165" t="n"/>
      <c r="H77" s="165" t="n"/>
      <c r="I77" s="165" t="n"/>
      <c r="K77" s="11">
        <f>A77</f>
        <v/>
      </c>
      <c r="L77" s="165" t="n"/>
      <c r="M77" s="165" t="n"/>
      <c r="N77" s="165" t="n"/>
      <c r="O77" s="165" t="n"/>
      <c r="P77" s="165" t="n"/>
      <c r="Q77" s="165" t="n"/>
      <c r="R77" s="165" t="n"/>
      <c r="S77" s="165" t="n"/>
      <c r="U77" s="11">
        <f>K77</f>
        <v/>
      </c>
      <c r="V77" s="165" t="n"/>
      <c r="W77" s="165" t="n"/>
      <c r="X77" s="165" t="n"/>
      <c r="Y77" s="165" t="n"/>
      <c r="Z77" s="165" t="n"/>
      <c r="AA77" s="165" t="n"/>
      <c r="AB77" s="165" t="n"/>
      <c r="AC77" s="165" t="n"/>
      <c r="AE77" s="11">
        <f>U77</f>
        <v/>
      </c>
      <c r="AF77" s="165" t="n"/>
      <c r="AG77" s="165" t="n"/>
      <c r="AH77" s="165" t="n"/>
      <c r="AI77" s="165" t="n"/>
      <c r="AJ77" s="165" t="n"/>
      <c r="AK77" s="165" t="n"/>
      <c r="AL77" s="165" t="n"/>
      <c r="AM77" s="165" t="n"/>
    </row>
    <row customHeight="1" ht="16.5" r="78" s="40">
      <c r="A78" s="11" t="n">
        <v>45178</v>
      </c>
      <c r="B78" s="165" t="n"/>
      <c r="C78" s="165" t="n"/>
      <c r="D78" s="165" t="n"/>
      <c r="E78" s="165" t="n"/>
      <c r="F78" s="165" t="n"/>
      <c r="G78" s="165" t="n"/>
      <c r="H78" s="165" t="n"/>
      <c r="I78" s="165" t="n"/>
      <c r="K78" s="11">
        <f>A78</f>
        <v/>
      </c>
      <c r="L78" s="165" t="n"/>
      <c r="M78" s="165" t="n"/>
      <c r="N78" s="165" t="n"/>
      <c r="O78" s="165" t="n"/>
      <c r="P78" s="165" t="n"/>
      <c r="Q78" s="165" t="n"/>
      <c r="R78" s="165" t="n"/>
      <c r="S78" s="165" t="n"/>
      <c r="U78" s="11">
        <f>K78</f>
        <v/>
      </c>
      <c r="V78" s="165" t="n"/>
      <c r="W78" s="165" t="n"/>
      <c r="X78" s="165" t="n"/>
      <c r="Y78" s="165" t="n"/>
      <c r="Z78" s="165" t="n"/>
      <c r="AA78" s="165" t="n"/>
      <c r="AB78" s="165" t="n"/>
      <c r="AC78" s="165" t="n"/>
      <c r="AE78" s="11">
        <f>U78</f>
        <v/>
      </c>
      <c r="AF78" s="165" t="n"/>
      <c r="AG78" s="165" t="n"/>
      <c r="AH78" s="165" t="n"/>
      <c r="AI78" s="165" t="n"/>
      <c r="AJ78" s="165" t="n"/>
      <c r="AK78" s="165" t="n"/>
      <c r="AL78" s="165" t="n"/>
      <c r="AM78" s="165" t="n"/>
    </row>
    <row customHeight="1" ht="16.5" r="79" s="40">
      <c r="A79" s="11" t="n">
        <v>45179</v>
      </c>
      <c r="B79" s="165" t="n"/>
      <c r="C79" s="165" t="n"/>
      <c r="D79" s="165" t="n"/>
      <c r="E79" s="165" t="n"/>
      <c r="F79" s="165" t="n"/>
      <c r="G79" s="165" t="n"/>
      <c r="H79" s="165" t="n"/>
      <c r="I79" s="165" t="n"/>
      <c r="K79" s="11">
        <f>A79</f>
        <v/>
      </c>
      <c r="L79" s="165" t="n"/>
      <c r="M79" s="165" t="n"/>
      <c r="N79" s="165" t="n"/>
      <c r="O79" s="165" t="n"/>
      <c r="P79" s="165" t="n"/>
      <c r="Q79" s="165" t="n"/>
      <c r="R79" s="165" t="n"/>
      <c r="S79" s="165" t="n"/>
      <c r="U79" s="11">
        <f>K79</f>
        <v/>
      </c>
      <c r="V79" s="165" t="n"/>
      <c r="W79" s="165" t="n"/>
      <c r="X79" s="165" t="n"/>
      <c r="Y79" s="165" t="n"/>
      <c r="Z79" s="165" t="n"/>
      <c r="AA79" s="165" t="n"/>
      <c r="AB79" s="165" t="n"/>
      <c r="AC79" s="165" t="n"/>
      <c r="AE79" s="11">
        <f>U79</f>
        <v/>
      </c>
      <c r="AF79" s="165" t="n"/>
      <c r="AG79" s="165" t="n"/>
      <c r="AH79" s="165" t="n"/>
      <c r="AI79" s="165" t="n"/>
      <c r="AJ79" s="165" t="n"/>
      <c r="AK79" s="165" t="n"/>
      <c r="AL79" s="165" t="n"/>
      <c r="AM79" s="165" t="n"/>
    </row>
    <row customHeight="1" ht="16.5" r="80" s="40">
      <c r="A80" s="11" t="n">
        <v>45180</v>
      </c>
      <c r="B80" s="165" t="n"/>
      <c r="C80" s="165" t="n"/>
      <c r="D80" s="165" t="n"/>
      <c r="E80" s="165" t="n"/>
      <c r="F80" s="165" t="n"/>
      <c r="G80" s="165" t="n"/>
      <c r="H80" s="165" t="n"/>
      <c r="I80" s="165" t="n"/>
      <c r="K80" s="11">
        <f>A80</f>
        <v/>
      </c>
      <c r="L80" s="165" t="n"/>
      <c r="M80" s="165" t="n"/>
      <c r="N80" s="165" t="n"/>
      <c r="O80" s="165" t="n"/>
      <c r="P80" s="165" t="n"/>
      <c r="Q80" s="165" t="n"/>
      <c r="R80" s="165" t="n"/>
      <c r="S80" s="165" t="n"/>
      <c r="U80" s="11">
        <f>K80</f>
        <v/>
      </c>
      <c r="V80" s="165" t="n"/>
      <c r="W80" s="165" t="n"/>
      <c r="X80" s="165" t="n"/>
      <c r="Y80" s="165" t="n"/>
      <c r="Z80" s="165" t="n"/>
      <c r="AA80" s="165" t="n"/>
      <c r="AB80" s="165" t="n"/>
      <c r="AC80" s="165" t="n"/>
      <c r="AE80" s="11">
        <f>U80</f>
        <v/>
      </c>
      <c r="AF80" s="165" t="n"/>
      <c r="AG80" s="165" t="n"/>
      <c r="AH80" s="165" t="n"/>
      <c r="AI80" s="165" t="n"/>
      <c r="AJ80" s="165" t="n"/>
      <c r="AK80" s="165" t="n"/>
      <c r="AL80" s="165" t="n"/>
      <c r="AM80" s="165" t="n"/>
    </row>
    <row customHeight="1" ht="16.5" r="81" s="40">
      <c r="A81" s="11" t="n">
        <v>45181</v>
      </c>
      <c r="B81" s="165" t="n"/>
      <c r="C81" s="165" t="n"/>
      <c r="D81" s="165" t="n"/>
      <c r="E81" s="165" t="n"/>
      <c r="F81" s="165" t="n"/>
      <c r="G81" s="165" t="n"/>
      <c r="H81" s="165" t="n"/>
      <c r="I81" s="165" t="n"/>
      <c r="K81" s="11">
        <f>A81</f>
        <v/>
      </c>
      <c r="L81" s="165" t="n"/>
      <c r="M81" s="165" t="n"/>
      <c r="N81" s="165" t="n"/>
      <c r="O81" s="165" t="n"/>
      <c r="P81" s="165" t="n"/>
      <c r="Q81" s="165" t="n"/>
      <c r="R81" s="165" t="n"/>
      <c r="S81" s="165" t="n"/>
      <c r="U81" s="11">
        <f>K81</f>
        <v/>
      </c>
      <c r="V81" s="165" t="n"/>
      <c r="W81" s="165" t="n"/>
      <c r="X81" s="165" t="n"/>
      <c r="Y81" s="165" t="n"/>
      <c r="Z81" s="165" t="n"/>
      <c r="AA81" s="165" t="n"/>
      <c r="AB81" s="165" t="n"/>
      <c r="AC81" s="165" t="n"/>
      <c r="AE81" s="11">
        <f>U81</f>
        <v/>
      </c>
      <c r="AF81" s="165" t="n"/>
      <c r="AG81" s="165" t="n"/>
      <c r="AH81" s="165" t="n"/>
      <c r="AI81" s="165" t="n"/>
      <c r="AJ81" s="165" t="n"/>
      <c r="AK81" s="165" t="n"/>
      <c r="AL81" s="165" t="n"/>
      <c r="AM81" s="165" t="n"/>
    </row>
    <row customHeight="1" ht="16.5" r="82" s="40">
      <c r="A82" s="11" t="n">
        <v>45182</v>
      </c>
      <c r="B82" s="165" t="n"/>
      <c r="C82" s="165" t="n"/>
      <c r="D82" s="165" t="n"/>
      <c r="E82" s="165" t="n"/>
      <c r="F82" s="165" t="n"/>
      <c r="G82" s="165" t="n"/>
      <c r="H82" s="165" t="n"/>
      <c r="I82" s="165" t="n"/>
      <c r="K82" s="11">
        <f>A82</f>
        <v/>
      </c>
      <c r="L82" s="165" t="n"/>
      <c r="M82" s="165" t="n"/>
      <c r="N82" s="165" t="n"/>
      <c r="O82" s="165" t="n"/>
      <c r="P82" s="165" t="n"/>
      <c r="Q82" s="165" t="n"/>
      <c r="R82" s="165" t="n"/>
      <c r="S82" s="165" t="n"/>
      <c r="U82" s="11">
        <f>K82</f>
        <v/>
      </c>
      <c r="V82" s="165" t="n"/>
      <c r="W82" s="165" t="n"/>
      <c r="X82" s="165" t="n"/>
      <c r="Y82" s="165" t="n"/>
      <c r="Z82" s="165" t="n"/>
      <c r="AA82" s="165" t="n"/>
      <c r="AB82" s="165" t="n"/>
      <c r="AC82" s="165" t="n"/>
      <c r="AE82" s="11">
        <f>U82</f>
        <v/>
      </c>
      <c r="AF82" s="165" t="n"/>
      <c r="AG82" s="165" t="n"/>
      <c r="AH82" s="165" t="n"/>
      <c r="AI82" s="165" t="n"/>
      <c r="AJ82" s="165" t="n"/>
      <c r="AK82" s="165" t="n"/>
      <c r="AL82" s="165" t="n"/>
      <c r="AM82" s="165" t="n"/>
    </row>
    <row customHeight="1" ht="16.5" r="83" s="40">
      <c r="A83" s="11" t="n">
        <v>45183</v>
      </c>
      <c r="B83" s="165" t="n"/>
      <c r="C83" s="165" t="n"/>
      <c r="D83" s="165" t="n"/>
      <c r="E83" s="165" t="n"/>
      <c r="F83" s="165" t="n"/>
      <c r="G83" s="165" t="n"/>
      <c r="H83" s="165" t="n"/>
      <c r="I83" s="165" t="n"/>
      <c r="K83" s="11">
        <f>A83</f>
        <v/>
      </c>
      <c r="L83" s="165" t="n"/>
      <c r="M83" s="165" t="n"/>
      <c r="N83" s="165" t="n"/>
      <c r="O83" s="165" t="n"/>
      <c r="P83" s="165" t="n"/>
      <c r="Q83" s="165" t="n"/>
      <c r="R83" s="165" t="n"/>
      <c r="S83" s="165" t="n"/>
      <c r="U83" s="11">
        <f>K83</f>
        <v/>
      </c>
      <c r="V83" s="165" t="n"/>
      <c r="W83" s="165" t="n"/>
      <c r="X83" s="165" t="n"/>
      <c r="Y83" s="165" t="n"/>
      <c r="Z83" s="165" t="n"/>
      <c r="AA83" s="165" t="n"/>
      <c r="AB83" s="165" t="n"/>
      <c r="AC83" s="165" t="n"/>
      <c r="AE83" s="11">
        <f>U83</f>
        <v/>
      </c>
      <c r="AF83" s="165" t="n"/>
      <c r="AG83" s="165" t="n"/>
      <c r="AH83" s="165" t="n"/>
      <c r="AI83" s="165" t="n"/>
      <c r="AJ83" s="165" t="n"/>
      <c r="AK83" s="165" t="n"/>
      <c r="AL83" s="165" t="n"/>
      <c r="AM83" s="165" t="n"/>
    </row>
    <row customHeight="1" ht="16.5" r="84" s="40">
      <c r="A84" s="11" t="n">
        <v>45184</v>
      </c>
      <c r="B84" s="165" t="n"/>
      <c r="C84" s="165" t="n"/>
      <c r="D84" s="165" t="n"/>
      <c r="E84" s="165" t="n"/>
      <c r="F84" s="165" t="n"/>
      <c r="G84" s="165" t="n"/>
      <c r="H84" s="165" t="n"/>
      <c r="I84" s="165" t="n"/>
      <c r="K84" s="11">
        <f>A84</f>
        <v/>
      </c>
      <c r="L84" s="165" t="n"/>
      <c r="M84" s="165" t="n"/>
      <c r="N84" s="165" t="n"/>
      <c r="O84" s="165" t="n"/>
      <c r="P84" s="165" t="n"/>
      <c r="Q84" s="165" t="n"/>
      <c r="R84" s="165" t="n"/>
      <c r="S84" s="165" t="n"/>
      <c r="U84" s="11">
        <f>K84</f>
        <v/>
      </c>
      <c r="V84" s="165" t="n"/>
      <c r="W84" s="165" t="n"/>
      <c r="X84" s="165" t="n"/>
      <c r="Y84" s="165" t="n"/>
      <c r="Z84" s="165" t="n"/>
      <c r="AA84" s="165" t="n"/>
      <c r="AB84" s="165" t="n"/>
      <c r="AC84" s="165" t="n"/>
      <c r="AE84" s="11">
        <f>U84</f>
        <v/>
      </c>
      <c r="AF84" s="165" t="n"/>
      <c r="AG84" s="165" t="n"/>
      <c r="AH84" s="165" t="n"/>
      <c r="AI84" s="165" t="n"/>
      <c r="AJ84" s="165" t="n"/>
      <c r="AK84" s="165" t="n"/>
      <c r="AL84" s="165" t="n"/>
      <c r="AM84" s="165" t="n"/>
    </row>
    <row customHeight="1" ht="16.5" r="85" s="40">
      <c r="A85" s="11" t="n">
        <v>45185</v>
      </c>
      <c r="B85" s="165" t="n"/>
      <c r="C85" s="165" t="n"/>
      <c r="D85" s="165" t="n"/>
      <c r="E85" s="165" t="n"/>
      <c r="F85" s="165" t="n"/>
      <c r="G85" s="165" t="n"/>
      <c r="H85" s="165" t="n"/>
      <c r="I85" s="165" t="n"/>
      <c r="K85" s="11">
        <f>A85</f>
        <v/>
      </c>
      <c r="L85" s="165" t="n"/>
      <c r="M85" s="165" t="n"/>
      <c r="N85" s="165" t="n"/>
      <c r="O85" s="165" t="n"/>
      <c r="P85" s="165" t="n"/>
      <c r="Q85" s="165" t="n"/>
      <c r="R85" s="165" t="n"/>
      <c r="S85" s="165" t="n"/>
      <c r="U85" s="11">
        <f>K85</f>
        <v/>
      </c>
      <c r="V85" s="165" t="n"/>
      <c r="W85" s="165" t="n"/>
      <c r="X85" s="165" t="n"/>
      <c r="Y85" s="165" t="n"/>
      <c r="Z85" s="165" t="n"/>
      <c r="AA85" s="165" t="n"/>
      <c r="AB85" s="165" t="n"/>
      <c r="AC85" s="165" t="n"/>
      <c r="AE85" s="11">
        <f>U85</f>
        <v/>
      </c>
      <c r="AF85" s="165" t="n"/>
      <c r="AG85" s="165" t="n"/>
      <c r="AH85" s="165" t="n"/>
      <c r="AI85" s="165" t="n"/>
      <c r="AJ85" s="165" t="n"/>
      <c r="AK85" s="165" t="n"/>
      <c r="AL85" s="165" t="n"/>
      <c r="AM85" s="165" t="n"/>
    </row>
    <row customHeight="1" ht="16.5" r="86" s="40">
      <c r="A86" s="11" t="n">
        <v>45186</v>
      </c>
      <c r="B86" s="165" t="n"/>
      <c r="C86" s="165" t="n"/>
      <c r="D86" s="165" t="n"/>
      <c r="E86" s="165" t="n"/>
      <c r="F86" s="165" t="n"/>
      <c r="G86" s="165" t="n"/>
      <c r="H86" s="165" t="n"/>
      <c r="I86" s="165" t="n"/>
      <c r="K86" s="11">
        <f>A86</f>
        <v/>
      </c>
      <c r="L86" s="165" t="n"/>
      <c r="M86" s="165" t="n"/>
      <c r="N86" s="165" t="n"/>
      <c r="O86" s="165" t="n"/>
      <c r="P86" s="165" t="n"/>
      <c r="Q86" s="165" t="n"/>
      <c r="R86" s="165" t="n"/>
      <c r="S86" s="165" t="n"/>
      <c r="U86" s="11">
        <f>K86</f>
        <v/>
      </c>
      <c r="V86" s="165" t="n"/>
      <c r="W86" s="165" t="n"/>
      <c r="X86" s="165" t="n"/>
      <c r="Y86" s="165" t="n"/>
      <c r="Z86" s="165" t="n"/>
      <c r="AA86" s="165" t="n"/>
      <c r="AB86" s="165" t="n"/>
      <c r="AC86" s="165" t="n"/>
      <c r="AE86" s="11">
        <f>U86</f>
        <v/>
      </c>
      <c r="AF86" s="165" t="n"/>
      <c r="AG86" s="165" t="n"/>
      <c r="AH86" s="165" t="n"/>
      <c r="AI86" s="165" t="n"/>
      <c r="AJ86" s="165" t="n"/>
      <c r="AK86" s="165" t="n"/>
      <c r="AL86" s="165" t="n"/>
      <c r="AM86" s="165" t="n"/>
    </row>
    <row customHeight="1" ht="16.5" r="87" s="40">
      <c r="A87" s="11" t="n">
        <v>45187</v>
      </c>
      <c r="B87" s="165" t="n"/>
      <c r="C87" s="165" t="n"/>
      <c r="D87" s="165" t="n"/>
      <c r="E87" s="165" t="n"/>
      <c r="F87" s="165" t="n"/>
      <c r="G87" s="165" t="n"/>
      <c r="H87" s="165" t="n"/>
      <c r="I87" s="165" t="n"/>
      <c r="K87" s="11">
        <f>A87</f>
        <v/>
      </c>
      <c r="L87" s="165" t="n"/>
      <c r="M87" s="165" t="n"/>
      <c r="N87" s="165" t="n"/>
      <c r="O87" s="165" t="n"/>
      <c r="P87" s="165" t="n"/>
      <c r="Q87" s="165" t="n"/>
      <c r="R87" s="165" t="n"/>
      <c r="S87" s="165" t="n"/>
      <c r="U87" s="11">
        <f>K87</f>
        <v/>
      </c>
      <c r="V87" s="165" t="n"/>
      <c r="W87" s="165" t="n"/>
      <c r="X87" s="165" t="n"/>
      <c r="Y87" s="165" t="n"/>
      <c r="Z87" s="165" t="n"/>
      <c r="AA87" s="165" t="n"/>
      <c r="AB87" s="165" t="n"/>
      <c r="AC87" s="165" t="n"/>
      <c r="AE87" s="11">
        <f>U87</f>
        <v/>
      </c>
      <c r="AF87" s="165" t="n"/>
      <c r="AG87" s="165" t="n"/>
      <c r="AH87" s="165" t="n"/>
      <c r="AI87" s="165" t="n"/>
      <c r="AJ87" s="165" t="n"/>
      <c r="AK87" s="165" t="n"/>
      <c r="AL87" s="165" t="n"/>
      <c r="AM87" s="165" t="n"/>
    </row>
    <row customHeight="1" ht="16.5" r="88" s="40">
      <c r="A88" s="11" t="n">
        <v>45188</v>
      </c>
      <c r="B88" s="165" t="n"/>
      <c r="C88" s="165" t="n"/>
      <c r="D88" s="165" t="n"/>
      <c r="E88" s="165" t="n"/>
      <c r="F88" s="165" t="n"/>
      <c r="G88" s="165" t="n"/>
      <c r="H88" s="165" t="n"/>
      <c r="I88" s="165" t="n"/>
      <c r="K88" s="11">
        <f>A88</f>
        <v/>
      </c>
      <c r="L88" s="165" t="n"/>
      <c r="M88" s="165" t="n"/>
      <c r="N88" s="165" t="n"/>
      <c r="O88" s="165" t="n"/>
      <c r="P88" s="165" t="n"/>
      <c r="Q88" s="165" t="n"/>
      <c r="R88" s="165" t="n"/>
      <c r="S88" s="165" t="n"/>
      <c r="U88" s="11">
        <f>K88</f>
        <v/>
      </c>
      <c r="V88" s="165" t="n"/>
      <c r="W88" s="165" t="n"/>
      <c r="X88" s="165" t="n"/>
      <c r="Y88" s="165" t="n"/>
      <c r="Z88" s="165" t="n"/>
      <c r="AA88" s="165" t="n"/>
      <c r="AB88" s="165" t="n"/>
      <c r="AC88" s="165" t="n"/>
      <c r="AE88" s="11">
        <f>U88</f>
        <v/>
      </c>
      <c r="AF88" s="165" t="n"/>
      <c r="AG88" s="165" t="n"/>
      <c r="AH88" s="165" t="n"/>
      <c r="AI88" s="165" t="n"/>
      <c r="AJ88" s="165" t="n"/>
      <c r="AK88" s="165" t="n"/>
      <c r="AL88" s="165" t="n"/>
      <c r="AM88" s="165" t="n"/>
    </row>
    <row customHeight="1" ht="16.5" r="89" s="40">
      <c r="A89" s="11" t="n">
        <v>45189</v>
      </c>
      <c r="B89" s="165" t="n"/>
      <c r="C89" s="165" t="n"/>
      <c r="D89" s="165" t="n"/>
      <c r="E89" s="165" t="n"/>
      <c r="F89" s="165" t="n"/>
      <c r="G89" s="165" t="n"/>
      <c r="H89" s="165" t="n"/>
      <c r="I89" s="165" t="n"/>
      <c r="K89" s="11">
        <f>A89</f>
        <v/>
      </c>
      <c r="L89" s="165" t="n"/>
      <c r="M89" s="165" t="n"/>
      <c r="N89" s="165" t="n"/>
      <c r="O89" s="165" t="n"/>
      <c r="P89" s="165" t="n"/>
      <c r="Q89" s="165" t="n"/>
      <c r="R89" s="165" t="n"/>
      <c r="S89" s="165" t="n"/>
      <c r="U89" s="11">
        <f>K89</f>
        <v/>
      </c>
      <c r="V89" s="165" t="n"/>
      <c r="W89" s="165" t="n"/>
      <c r="X89" s="165" t="n"/>
      <c r="Y89" s="165" t="n"/>
      <c r="Z89" s="165" t="n"/>
      <c r="AA89" s="165" t="n"/>
      <c r="AB89" s="165" t="n"/>
      <c r="AC89" s="165" t="n"/>
      <c r="AE89" s="11">
        <f>U89</f>
        <v/>
      </c>
      <c r="AF89" s="165" t="n"/>
      <c r="AG89" s="165" t="n"/>
      <c r="AH89" s="165" t="n"/>
      <c r="AI89" s="165" t="n"/>
      <c r="AJ89" s="165" t="n"/>
      <c r="AK89" s="165" t="n"/>
      <c r="AL89" s="165" t="n"/>
      <c r="AM89" s="165" t="n"/>
    </row>
    <row customHeight="1" ht="16.5" r="90" s="40">
      <c r="A90" s="11" t="n">
        <v>45190</v>
      </c>
      <c r="B90" s="165" t="n"/>
      <c r="C90" s="165" t="n"/>
      <c r="D90" s="165" t="n"/>
      <c r="E90" s="165" t="n"/>
      <c r="F90" s="165" t="n"/>
      <c r="G90" s="165" t="n"/>
      <c r="H90" s="165" t="n"/>
      <c r="I90" s="165" t="n"/>
      <c r="K90" s="11">
        <f>A90</f>
        <v/>
      </c>
      <c r="L90" s="165" t="n"/>
      <c r="M90" s="165" t="n"/>
      <c r="N90" s="165" t="n"/>
      <c r="O90" s="165" t="n"/>
      <c r="P90" s="165" t="n"/>
      <c r="Q90" s="165" t="n"/>
      <c r="R90" s="165" t="n"/>
      <c r="S90" s="165" t="n"/>
      <c r="U90" s="11">
        <f>K90</f>
        <v/>
      </c>
      <c r="V90" s="165" t="n"/>
      <c r="W90" s="165" t="n"/>
      <c r="X90" s="165" t="n"/>
      <c r="Y90" s="165" t="n"/>
      <c r="Z90" s="165" t="n"/>
      <c r="AA90" s="165" t="n"/>
      <c r="AB90" s="165" t="n"/>
      <c r="AC90" s="165" t="n"/>
      <c r="AE90" s="11">
        <f>U90</f>
        <v/>
      </c>
      <c r="AF90" s="165" t="n"/>
      <c r="AG90" s="165" t="n"/>
      <c r="AH90" s="165" t="n"/>
      <c r="AI90" s="165" t="n"/>
      <c r="AJ90" s="165" t="n"/>
      <c r="AK90" s="165" t="n"/>
      <c r="AL90" s="165" t="n"/>
      <c r="AM90" s="165" t="n"/>
    </row>
    <row customHeight="1" ht="16.5" r="91" s="40">
      <c r="A91" s="11" t="n">
        <v>45191</v>
      </c>
      <c r="B91" s="165" t="n"/>
      <c r="C91" s="165" t="n"/>
      <c r="D91" s="165" t="n"/>
      <c r="E91" s="165" t="n"/>
      <c r="F91" s="165" t="n"/>
      <c r="G91" s="165" t="n"/>
      <c r="H91" s="165" t="n"/>
      <c r="I91" s="165" t="n"/>
      <c r="K91" s="11">
        <f>A91</f>
        <v/>
      </c>
      <c r="L91" s="165" t="n"/>
      <c r="M91" s="165" t="n"/>
      <c r="N91" s="165" t="n"/>
      <c r="O91" s="165" t="n"/>
      <c r="P91" s="165" t="n"/>
      <c r="Q91" s="165" t="n"/>
      <c r="R91" s="165" t="n"/>
      <c r="S91" s="165" t="n"/>
      <c r="U91" s="11">
        <f>K91</f>
        <v/>
      </c>
      <c r="V91" s="165" t="n"/>
      <c r="W91" s="165" t="n"/>
      <c r="X91" s="165" t="n"/>
      <c r="Y91" s="165" t="n"/>
      <c r="Z91" s="165" t="n"/>
      <c r="AA91" s="165" t="n"/>
      <c r="AB91" s="165" t="n"/>
      <c r="AC91" s="165" t="n"/>
      <c r="AE91" s="11">
        <f>U91</f>
        <v/>
      </c>
      <c r="AF91" s="165" t="n"/>
      <c r="AG91" s="165" t="n"/>
      <c r="AH91" s="165" t="n"/>
      <c r="AI91" s="165" t="n"/>
      <c r="AJ91" s="165" t="n"/>
      <c r="AK91" s="165" t="n"/>
      <c r="AL91" s="165" t="n"/>
      <c r="AM91" s="165" t="n"/>
    </row>
    <row customHeight="1" ht="16.5" r="92" s="40">
      <c r="A92" s="11" t="n">
        <v>45192</v>
      </c>
      <c r="B92" s="165" t="n"/>
      <c r="C92" s="165" t="n"/>
      <c r="D92" s="165" t="n"/>
      <c r="E92" s="165" t="n"/>
      <c r="F92" s="165" t="n"/>
      <c r="G92" s="165" t="n"/>
      <c r="H92" s="165" t="n"/>
      <c r="I92" s="165" t="n"/>
      <c r="K92" s="11">
        <f>A92</f>
        <v/>
      </c>
      <c r="L92" s="165" t="n"/>
      <c r="M92" s="165" t="n"/>
      <c r="N92" s="165" t="n"/>
      <c r="O92" s="165" t="n"/>
      <c r="P92" s="165" t="n"/>
      <c r="Q92" s="165" t="n"/>
      <c r="R92" s="165" t="n"/>
      <c r="S92" s="165" t="n"/>
      <c r="U92" s="11">
        <f>K92</f>
        <v/>
      </c>
      <c r="V92" s="165" t="n"/>
      <c r="W92" s="165" t="n"/>
      <c r="X92" s="165" t="n"/>
      <c r="Y92" s="165" t="n"/>
      <c r="Z92" s="165" t="n"/>
      <c r="AA92" s="165" t="n"/>
      <c r="AB92" s="165" t="n"/>
      <c r="AC92" s="165" t="n"/>
      <c r="AE92" s="11">
        <f>U92</f>
        <v/>
      </c>
      <c r="AF92" s="165" t="n"/>
      <c r="AG92" s="165" t="n"/>
      <c r="AH92" s="165" t="n"/>
      <c r="AI92" s="165" t="n"/>
      <c r="AJ92" s="165" t="n"/>
      <c r="AK92" s="165" t="n"/>
      <c r="AL92" s="165" t="n"/>
      <c r="AM92" s="165" t="n"/>
    </row>
    <row customHeight="1" ht="16.5" r="93" s="40">
      <c r="A93" s="11" t="n">
        <v>45193</v>
      </c>
      <c r="B93" s="165" t="n"/>
      <c r="C93" s="165" t="n"/>
      <c r="D93" s="165" t="n"/>
      <c r="E93" s="165" t="n"/>
      <c r="F93" s="165" t="n"/>
      <c r="G93" s="165" t="n"/>
      <c r="H93" s="165" t="n"/>
      <c r="I93" s="165" t="n"/>
      <c r="K93" s="11">
        <f>A93</f>
        <v/>
      </c>
      <c r="L93" s="165" t="n"/>
      <c r="M93" s="165" t="n"/>
      <c r="N93" s="165" t="n"/>
      <c r="O93" s="165" t="n"/>
      <c r="P93" s="165" t="n"/>
      <c r="Q93" s="165" t="n"/>
      <c r="R93" s="165" t="n"/>
      <c r="S93" s="165" t="n"/>
      <c r="U93" s="11">
        <f>K93</f>
        <v/>
      </c>
      <c r="V93" s="165" t="n"/>
      <c r="W93" s="165" t="n"/>
      <c r="X93" s="165" t="n"/>
      <c r="Y93" s="165" t="n"/>
      <c r="Z93" s="165" t="n"/>
      <c r="AA93" s="165" t="n"/>
      <c r="AB93" s="165" t="n"/>
      <c r="AC93" s="165" t="n"/>
      <c r="AE93" s="11">
        <f>U93</f>
        <v/>
      </c>
      <c r="AF93" s="165" t="n"/>
      <c r="AG93" s="165" t="n"/>
      <c r="AH93" s="165" t="n"/>
      <c r="AI93" s="165" t="n"/>
      <c r="AJ93" s="165" t="n"/>
      <c r="AK93" s="165" t="n"/>
      <c r="AL93" s="165" t="n"/>
      <c r="AM93" s="165" t="n"/>
    </row>
    <row customHeight="1" ht="16.5" r="94" s="40">
      <c r="A94" s="11" t="n">
        <v>45194</v>
      </c>
      <c r="B94" s="165" t="n"/>
      <c r="C94" s="165" t="n"/>
      <c r="D94" s="165" t="n"/>
      <c r="E94" s="165" t="n"/>
      <c r="F94" s="165" t="n"/>
      <c r="G94" s="165" t="n"/>
      <c r="H94" s="165" t="n"/>
      <c r="I94" s="165" t="n"/>
      <c r="K94" s="11">
        <f>A94</f>
        <v/>
      </c>
      <c r="L94" s="165" t="n"/>
      <c r="M94" s="165" t="n"/>
      <c r="N94" s="165" t="n"/>
      <c r="O94" s="165" t="n"/>
      <c r="P94" s="165" t="n"/>
      <c r="Q94" s="165" t="n"/>
      <c r="R94" s="165" t="n"/>
      <c r="S94" s="165" t="n"/>
      <c r="U94" s="11">
        <f>K94</f>
        <v/>
      </c>
      <c r="V94" s="165" t="n"/>
      <c r="W94" s="165" t="n"/>
      <c r="X94" s="165" t="n"/>
      <c r="Y94" s="165" t="n"/>
      <c r="Z94" s="165" t="n"/>
      <c r="AA94" s="165" t="n"/>
      <c r="AB94" s="165" t="n"/>
      <c r="AC94" s="165" t="n"/>
      <c r="AE94" s="11">
        <f>U94</f>
        <v/>
      </c>
      <c r="AF94" s="165" t="n"/>
      <c r="AG94" s="165" t="n"/>
      <c r="AH94" s="165" t="n"/>
      <c r="AI94" s="165" t="n"/>
      <c r="AJ94" s="165" t="n"/>
      <c r="AK94" s="165" t="n"/>
      <c r="AL94" s="165" t="n"/>
      <c r="AM94" s="165" t="n"/>
    </row>
    <row customHeight="1" ht="16.5" r="95" s="40">
      <c r="A95" s="11" t="n">
        <v>45195</v>
      </c>
      <c r="B95" s="165" t="n"/>
      <c r="C95" s="165" t="n"/>
      <c r="D95" s="165" t="n"/>
      <c r="E95" s="165" t="n"/>
      <c r="F95" s="165" t="n"/>
      <c r="G95" s="165" t="n"/>
      <c r="H95" s="165" t="n"/>
      <c r="I95" s="165" t="n"/>
      <c r="K95" s="11">
        <f>A95</f>
        <v/>
      </c>
      <c r="L95" s="165" t="n"/>
      <c r="M95" s="165" t="n"/>
      <c r="N95" s="165" t="n"/>
      <c r="O95" s="165" t="n"/>
      <c r="P95" s="165" t="n"/>
      <c r="Q95" s="165" t="n"/>
      <c r="R95" s="165" t="n"/>
      <c r="S95" s="165" t="n"/>
      <c r="U95" s="11">
        <f>K95</f>
        <v/>
      </c>
      <c r="V95" s="165" t="n"/>
      <c r="W95" s="165" t="n"/>
      <c r="X95" s="165" t="n"/>
      <c r="Y95" s="165" t="n"/>
      <c r="Z95" s="165" t="n"/>
      <c r="AA95" s="165" t="n"/>
      <c r="AB95" s="165" t="n"/>
      <c r="AC95" s="165" t="n"/>
      <c r="AE95" s="11">
        <f>U95</f>
        <v/>
      </c>
      <c r="AF95" s="165" t="n"/>
      <c r="AG95" s="165" t="n"/>
      <c r="AH95" s="165" t="n"/>
      <c r="AI95" s="165" t="n"/>
      <c r="AJ95" s="165" t="n"/>
      <c r="AK95" s="165" t="n"/>
      <c r="AL95" s="165" t="n"/>
      <c r="AM95" s="165" t="n"/>
    </row>
    <row customHeight="1" ht="16.5" r="96" s="40">
      <c r="A96" s="11" t="n">
        <v>45196</v>
      </c>
      <c r="B96" s="165" t="n"/>
      <c r="C96" s="165" t="n"/>
      <c r="D96" s="165" t="n"/>
      <c r="E96" s="165" t="n"/>
      <c r="F96" s="165" t="n"/>
      <c r="G96" s="165" t="n"/>
      <c r="H96" s="165" t="n"/>
      <c r="I96" s="165" t="n"/>
      <c r="K96" s="11">
        <f>A96</f>
        <v/>
      </c>
      <c r="L96" s="165" t="n"/>
      <c r="M96" s="165" t="n"/>
      <c r="N96" s="165" t="n"/>
      <c r="O96" s="165" t="n"/>
      <c r="P96" s="165" t="n"/>
      <c r="Q96" s="165" t="n"/>
      <c r="R96" s="165" t="n"/>
      <c r="S96" s="165" t="n"/>
      <c r="U96" s="11">
        <f>K96</f>
        <v/>
      </c>
      <c r="V96" s="165" t="n"/>
      <c r="W96" s="165" t="n"/>
      <c r="X96" s="165" t="n"/>
      <c r="Y96" s="165" t="n"/>
      <c r="Z96" s="165" t="n"/>
      <c r="AA96" s="165" t="n"/>
      <c r="AB96" s="165" t="n"/>
      <c r="AC96" s="165" t="n"/>
      <c r="AE96" s="11">
        <f>U96</f>
        <v/>
      </c>
      <c r="AF96" s="165" t="n"/>
      <c r="AG96" s="165" t="n"/>
      <c r="AH96" s="165" t="n"/>
      <c r="AI96" s="165" t="n"/>
      <c r="AJ96" s="165" t="n"/>
      <c r="AK96" s="165" t="n"/>
      <c r="AL96" s="165" t="n"/>
      <c r="AM96" s="165" t="n"/>
    </row>
    <row customHeight="1" ht="16.5" r="97" s="40">
      <c r="A97" s="11" t="n">
        <v>45197</v>
      </c>
      <c r="B97" s="165" t="n"/>
      <c r="C97" s="165" t="n"/>
      <c r="D97" s="165" t="n"/>
      <c r="E97" s="165" t="n"/>
      <c r="F97" s="165" t="n"/>
      <c r="G97" s="165" t="n"/>
      <c r="H97" s="165" t="n"/>
      <c r="I97" s="165" t="n"/>
      <c r="K97" s="11">
        <f>A97</f>
        <v/>
      </c>
      <c r="L97" s="165" t="n"/>
      <c r="M97" s="165" t="n"/>
      <c r="N97" s="165" t="n"/>
      <c r="O97" s="165" t="n"/>
      <c r="P97" s="165" t="n"/>
      <c r="Q97" s="165" t="n"/>
      <c r="R97" s="165" t="n"/>
      <c r="S97" s="165" t="n"/>
      <c r="U97" s="11">
        <f>K97</f>
        <v/>
      </c>
      <c r="V97" s="165" t="n"/>
      <c r="W97" s="165" t="n"/>
      <c r="X97" s="165" t="n"/>
      <c r="Y97" s="165" t="n"/>
      <c r="Z97" s="165" t="n"/>
      <c r="AA97" s="165" t="n"/>
      <c r="AB97" s="165" t="n"/>
      <c r="AC97" s="165" t="n"/>
      <c r="AE97" s="11">
        <f>U97</f>
        <v/>
      </c>
      <c r="AF97" s="165" t="n"/>
      <c r="AG97" s="165" t="n"/>
      <c r="AH97" s="165" t="n"/>
      <c r="AI97" s="165" t="n"/>
      <c r="AJ97" s="165" t="n"/>
      <c r="AK97" s="165" t="n"/>
      <c r="AL97" s="165" t="n"/>
      <c r="AM97" s="165" t="n"/>
    </row>
    <row customHeight="1" ht="16.5" r="98" s="40">
      <c r="A98" s="11" t="n">
        <v>45198</v>
      </c>
      <c r="B98" s="165" t="n"/>
      <c r="C98" s="165" t="n"/>
      <c r="D98" s="165" t="n"/>
      <c r="E98" s="165" t="n"/>
      <c r="F98" s="165" t="n"/>
      <c r="G98" s="165" t="n"/>
      <c r="H98" s="165" t="n"/>
      <c r="I98" s="165" t="n"/>
      <c r="K98" s="11">
        <f>A98</f>
        <v/>
      </c>
      <c r="L98" s="165" t="n"/>
      <c r="M98" s="165" t="n"/>
      <c r="N98" s="165" t="n"/>
      <c r="O98" s="165" t="n"/>
      <c r="P98" s="165" t="n"/>
      <c r="Q98" s="165" t="n"/>
      <c r="R98" s="165" t="n"/>
      <c r="S98" s="165" t="n"/>
      <c r="U98" s="11">
        <f>K98</f>
        <v/>
      </c>
      <c r="V98" s="165" t="n"/>
      <c r="W98" s="165" t="n"/>
      <c r="X98" s="165" t="n"/>
      <c r="Y98" s="165" t="n"/>
      <c r="Z98" s="165" t="n"/>
      <c r="AA98" s="165" t="n"/>
      <c r="AB98" s="165" t="n"/>
      <c r="AC98" s="165" t="n"/>
      <c r="AE98" s="11">
        <f>U98</f>
        <v/>
      </c>
      <c r="AF98" s="165" t="n"/>
      <c r="AG98" s="165" t="n"/>
      <c r="AH98" s="165" t="n"/>
      <c r="AI98" s="165" t="n"/>
      <c r="AJ98" s="165" t="n"/>
      <c r="AK98" s="165" t="n"/>
      <c r="AL98" s="165" t="n"/>
      <c r="AM98" s="165" t="n"/>
    </row>
    <row customHeight="1" ht="16.5" r="99" s="40">
      <c r="A99" s="11" t="n">
        <v>45199</v>
      </c>
      <c r="B99" s="165" t="n"/>
      <c r="C99" s="165" t="n"/>
      <c r="D99" s="165" t="n"/>
      <c r="E99" s="165" t="n"/>
      <c r="F99" s="165" t="n"/>
      <c r="G99" s="165" t="n"/>
      <c r="H99" s="165" t="n"/>
      <c r="I99" s="165" t="n"/>
      <c r="K99" s="11">
        <f>A99</f>
        <v/>
      </c>
      <c r="L99" s="165" t="n"/>
      <c r="M99" s="165" t="n"/>
      <c r="N99" s="165" t="n"/>
      <c r="O99" s="165" t="n"/>
      <c r="P99" s="165" t="n"/>
      <c r="Q99" s="165" t="n"/>
      <c r="R99" s="165" t="n"/>
      <c r="S99" s="165" t="n"/>
      <c r="U99" s="11">
        <f>K99</f>
        <v/>
      </c>
      <c r="V99" s="165" t="n"/>
      <c r="W99" s="165" t="n"/>
      <c r="X99" s="165" t="n"/>
      <c r="Y99" s="165" t="n"/>
      <c r="Z99" s="165" t="n"/>
      <c r="AA99" s="165" t="n"/>
      <c r="AB99" s="165" t="n"/>
      <c r="AC99" s="165" t="n"/>
      <c r="AE99" s="11">
        <f>U99</f>
        <v/>
      </c>
      <c r="AF99" s="165" t="n"/>
      <c r="AG99" s="165" t="n"/>
      <c r="AH99" s="165" t="n"/>
      <c r="AI99" s="165" t="n"/>
      <c r="AJ99" s="165" t="n"/>
      <c r="AK99" s="165" t="n"/>
      <c r="AL99" s="165" t="n"/>
      <c r="AM99" s="165" t="n"/>
    </row>
  </sheetData>
  <mergeCells count="20">
    <mergeCell ref="U1:U3"/>
    <mergeCell ref="AE1:AE3"/>
    <mergeCell ref="A1:A3"/>
    <mergeCell ref="AF2:AF3"/>
    <mergeCell ref="B2:B3"/>
    <mergeCell ref="B1:I1"/>
    <mergeCell ref="I2:I3"/>
    <mergeCell ref="L2:L3"/>
    <mergeCell ref="AG2:AL2"/>
    <mergeCell ref="AF1:AM1"/>
    <mergeCell ref="AM2:AM3"/>
    <mergeCell ref="W2:AB2"/>
    <mergeCell ref="V1:AC1"/>
    <mergeCell ref="AC2:AC3"/>
    <mergeCell ref="C2:H2"/>
    <mergeCell ref="M2:R2"/>
    <mergeCell ref="L1:S1"/>
    <mergeCell ref="V2:V3"/>
    <mergeCell ref="S2:S3"/>
    <mergeCell ref="K1:K3"/>
  </mergeCells>
  <conditionalFormatting sqref="A8:A99 K8:K99 U8:U99 AE8:AE99">
    <cfRule dxfId="10" priority="13" type="expression">
      <formula>OR(WEEKDAY(A8,2)=6,WEEKDAY(A8,2)=7)</formula>
    </cfRule>
  </conditionalFormatting>
  <pageMargins bottom="0.75" footer="0.3" header="0.3" left="0.7" right="0.7" top="0.75"/>
  <pageSetup orientation="portrait" paperSize="9"/>
</worksheet>
</file>

<file path=xl/worksheets/sheet4.xml><?xml version="1.0" encoding="utf-8"?>
<worksheet xmlns="http://schemas.openxmlformats.org/spreadsheetml/2006/main">
  <sheetPr>
    <tabColor rgb="FFC2CD2D"/>
    <outlinePr summaryBelow="1" summaryRight="1"/>
    <pageSetUpPr/>
  </sheetPr>
  <dimension ref="A1:AB97"/>
  <sheetViews>
    <sheetView showGridLines="0" workbookViewId="0">
      <pane activePane="bottomLeft" state="frozen" topLeftCell="A39" ySplit="5"/>
      <selection activeCell="A1" sqref="A1"/>
      <selection activeCell="X50" pane="bottomLeft" sqref="X50:AA50"/>
    </sheetView>
  </sheetViews>
  <sheetFormatPr baseColWidth="8" defaultColWidth="9" defaultRowHeight="16.5"/>
  <cols>
    <col customWidth="1" max="1" min="1" style="15" width="9"/>
    <col customWidth="1" max="6" min="2" style="168" width="7.875"/>
    <col customWidth="1" max="7" min="7" style="15" width="1.25833333333333"/>
    <col customWidth="1" max="8" min="8" style="15" width="9.625"/>
    <col customWidth="1" max="9" min="9" style="168" width="12.875"/>
    <col customWidth="1" max="10" min="10" style="168" width="12.125"/>
    <col customWidth="1" max="13" min="11" style="168" width="10.625"/>
    <col customWidth="1" max="14" min="14" style="15" width="1.25833333333333"/>
    <col customWidth="1" max="15" min="15" style="15" width="9.625"/>
    <col customWidth="1" max="16" min="16" style="17" width="9.875"/>
    <col customWidth="1" max="20" min="17" style="17" width="7.875"/>
    <col customWidth="1" max="21" min="21" style="15" width="1.25833333333333"/>
    <col customWidth="1" max="22" min="22" style="15" width="11.375"/>
    <col customWidth="1" max="27" min="23" style="17" width="7.875"/>
    <col customWidth="1" max="28" min="28" style="15" width="7.25833333333333"/>
    <col customWidth="1" max="16384" min="29" style="15" width="9"/>
  </cols>
  <sheetData>
    <row r="1">
      <c r="A1" s="18" t="inlineStr">
        <is>
          <t>新单汇总</t>
        </is>
      </c>
      <c r="B1" s="169" t="inlineStr">
        <is>
          <t>合计</t>
        </is>
      </c>
      <c r="C1" s="169" t="inlineStr">
        <is>
          <t>厦门</t>
        </is>
      </c>
      <c r="D1" s="169" t="inlineStr">
        <is>
          <t>泉州</t>
        </is>
      </c>
      <c r="E1" s="169" t="inlineStr">
        <is>
          <t>漳州</t>
        </is>
      </c>
      <c r="F1" s="169" t="inlineStr">
        <is>
          <t>龙岩</t>
        </is>
      </c>
      <c r="H1" s="18" t="inlineStr">
        <is>
          <t>新单消费汇总</t>
        </is>
      </c>
      <c r="I1" s="169" t="inlineStr">
        <is>
          <t>合计</t>
        </is>
      </c>
      <c r="J1" s="169" t="inlineStr">
        <is>
          <t>厦门</t>
        </is>
      </c>
      <c r="K1" s="169" t="inlineStr">
        <is>
          <t>泉州</t>
        </is>
      </c>
      <c r="L1" s="169" t="inlineStr">
        <is>
          <t>漳州</t>
        </is>
      </c>
      <c r="M1" s="169" t="inlineStr">
        <is>
          <t>龙岩</t>
        </is>
      </c>
      <c r="O1" s="29" t="inlineStr">
        <is>
          <t>新单消费占比</t>
        </is>
      </c>
      <c r="P1" s="18" t="inlineStr">
        <is>
          <t>合计</t>
        </is>
      </c>
      <c r="Q1" s="18" t="inlineStr">
        <is>
          <t>厦门</t>
        </is>
      </c>
      <c r="R1" s="18" t="inlineStr">
        <is>
          <t>泉州</t>
        </is>
      </c>
      <c r="S1" s="18" t="inlineStr">
        <is>
          <t>漳州</t>
        </is>
      </c>
      <c r="T1" s="18" t="inlineStr">
        <is>
          <t>龙岩</t>
        </is>
      </c>
      <c r="V1" s="18" t="inlineStr">
        <is>
          <t>信息流新单数</t>
        </is>
      </c>
      <c r="W1" s="18" t="inlineStr">
        <is>
          <t>合计</t>
        </is>
      </c>
      <c r="X1" s="18" t="inlineStr">
        <is>
          <t>厦门</t>
        </is>
      </c>
      <c r="Y1" s="18" t="inlineStr">
        <is>
          <t>泉州</t>
        </is>
      </c>
      <c r="Z1" s="18" t="inlineStr">
        <is>
          <t>漳州</t>
        </is>
      </c>
      <c r="AA1" s="18" t="inlineStr">
        <is>
          <t>龙岩</t>
        </is>
      </c>
    </row>
    <row r="2">
      <c r="A2" s="20" t="inlineStr">
        <is>
          <t>2023Q3</t>
        </is>
      </c>
      <c r="B2" s="170">
        <f>SUM(B6:B95)</f>
        <v/>
      </c>
      <c r="C2" s="170">
        <f>SUM(C6:C95)</f>
        <v/>
      </c>
      <c r="D2" s="170">
        <f>SUM(D6:D95)</f>
        <v/>
      </c>
      <c r="E2" s="170">
        <f>SUM(E6:E95)</f>
        <v/>
      </c>
      <c r="F2" s="170">
        <f>SUM(F6:F95)</f>
        <v/>
      </c>
      <c r="H2" s="20" t="inlineStr">
        <is>
          <t>2023Q3</t>
        </is>
      </c>
      <c r="I2" s="170">
        <f>SUM(I6:I95)</f>
        <v/>
      </c>
      <c r="J2" s="170">
        <f>SUM(J6:J95)</f>
        <v/>
      </c>
      <c r="K2" s="170">
        <f>SUM(K6:K95)</f>
        <v/>
      </c>
      <c r="L2" s="170">
        <f>SUM(L6:L95)</f>
        <v/>
      </c>
      <c r="M2" s="170">
        <f>SUM(M6:M95)</f>
        <v/>
      </c>
      <c r="O2" s="20" t="inlineStr">
        <is>
          <t>2023Q3</t>
        </is>
      </c>
      <c r="P2" s="30">
        <f>IF(I2="","",I2/消费汇总!I3)</f>
        <v/>
      </c>
      <c r="Q2" s="30">
        <f>IF(J2="","",J2/二级地市消费汇总!C4)</f>
        <v/>
      </c>
      <c r="R2" s="30">
        <f>IF(K2="","",新单数据!K2/二级地市消费汇总!M4)</f>
        <v/>
      </c>
      <c r="S2" s="30">
        <f>IF(L2="","",L2/二级地市消费汇总!W4)</f>
        <v/>
      </c>
      <c r="T2" s="30">
        <f>IF(M2="","",M2/二级地市消费汇总!AG4)</f>
        <v/>
      </c>
      <c r="V2" s="20" t="inlineStr">
        <is>
          <t>2023Q3</t>
        </is>
      </c>
      <c r="W2" s="32">
        <f>SUM(W6:W95)</f>
        <v/>
      </c>
      <c r="X2" s="32">
        <f>SUM(X6:X95)</f>
        <v/>
      </c>
      <c r="Y2" s="32">
        <f>SUM(Y6:Y95)</f>
        <v/>
      </c>
      <c r="Z2" s="32">
        <f>SUM(Z6:Z95)</f>
        <v/>
      </c>
      <c r="AA2" s="32">
        <f>SUM(AA6:AA95)</f>
        <v/>
      </c>
    </row>
    <row r="3">
      <c r="A3" s="22" t="inlineStr">
        <is>
          <t>7月份</t>
        </is>
      </c>
      <c r="B3" s="170">
        <f>IF(B6="","",SUM(B6:B36))</f>
        <v/>
      </c>
      <c r="C3" s="170">
        <f>IF(C6="","",SUM(C6:C36))</f>
        <v/>
      </c>
      <c r="D3" s="170">
        <f>IF(D6="","",SUM(D6:D36))</f>
        <v/>
      </c>
      <c r="E3" s="170">
        <f>IF(E6="","",SUM(E6:E36))</f>
        <v/>
      </c>
      <c r="F3" s="170">
        <f>IF(F6="","",SUM(F6:F36))</f>
        <v/>
      </c>
      <c r="H3" s="22" t="inlineStr">
        <is>
          <t>7月份</t>
        </is>
      </c>
      <c r="I3" s="170">
        <f>IF(I6="","",SUM(I6:I36))</f>
        <v/>
      </c>
      <c r="J3" s="170">
        <f>IF(J6="","",SUM(J6:J36))</f>
        <v/>
      </c>
      <c r="K3" s="170">
        <f>IF(K6="","",SUM(K6:K36))</f>
        <v/>
      </c>
      <c r="L3" s="170">
        <f>IF(L6="","",SUM(L6:L36))</f>
        <v/>
      </c>
      <c r="M3" s="170">
        <f>IF(M6="","",SUM(M6:M36))</f>
        <v/>
      </c>
      <c r="O3" s="22" t="inlineStr">
        <is>
          <t>7月份</t>
        </is>
      </c>
      <c r="P3" s="30">
        <f>IF(I3="","",I3/消费汇总!I4)</f>
        <v/>
      </c>
      <c r="Q3" s="30">
        <f>IF(J3="","",J3/二级地市消费汇总!C5)</f>
        <v/>
      </c>
      <c r="R3" s="30">
        <f>IF(K3="","",新单数据!K3/二级地市消费汇总!M5)</f>
        <v/>
      </c>
      <c r="S3" s="30">
        <f>IF(L3="","",L3/二级地市消费汇总!W5)</f>
        <v/>
      </c>
      <c r="T3" s="30">
        <f>IF(M3="","",M3/二级地市消费汇总!AG5)</f>
        <v/>
      </c>
      <c r="V3" s="22" t="inlineStr">
        <is>
          <t>7月份</t>
        </is>
      </c>
      <c r="W3" s="170">
        <f>IF(W6="","",SUM(W6:W36))</f>
        <v/>
      </c>
      <c r="X3" s="170">
        <f>IF(X6="","",SUM(X6:X36))</f>
        <v/>
      </c>
      <c r="Y3" s="170">
        <f>IF(Y6="","",SUM(Y6:Y36))</f>
        <v/>
      </c>
      <c r="Z3" s="170">
        <f>IF(Z6="","",SUM(Z6:Z36))</f>
        <v/>
      </c>
      <c r="AA3" s="170">
        <f>IF(AA6="","",SUM(AA6:AA36))</f>
        <v/>
      </c>
    </row>
    <row r="4">
      <c r="A4" s="22" t="inlineStr">
        <is>
          <t>8月份</t>
        </is>
      </c>
      <c r="B4" s="170">
        <f>IF(B37="","",SUM(B37:B67))</f>
        <v/>
      </c>
      <c r="C4" s="170">
        <f>IF(C37="","",SUM(C37:C67))</f>
        <v/>
      </c>
      <c r="D4" s="170">
        <f>IF(D37="","",SUM(D37:D67))</f>
        <v/>
      </c>
      <c r="E4" s="170">
        <f>IF(E37="","",SUM(E37:E67))</f>
        <v/>
      </c>
      <c r="F4" s="170">
        <f>IF(F37="","",SUM(F37:F67))</f>
        <v/>
      </c>
      <c r="H4" s="22" t="inlineStr">
        <is>
          <t>8月份</t>
        </is>
      </c>
      <c r="I4" s="170">
        <f>IF(I37="","",SUM(I37:I67))</f>
        <v/>
      </c>
      <c r="J4" s="170">
        <f>IF(J37="","",SUM(J37:J67))</f>
        <v/>
      </c>
      <c r="K4" s="170">
        <f>IF(K37="","",SUM(K37:K67))</f>
        <v/>
      </c>
      <c r="L4" s="170">
        <f>IF(L37="","",SUM(L37:L67))</f>
        <v/>
      </c>
      <c r="M4" s="170">
        <f>IF(M37="","",SUM(M37:M67))</f>
        <v/>
      </c>
      <c r="O4" s="22" t="inlineStr">
        <is>
          <t>8月份</t>
        </is>
      </c>
      <c r="P4" s="30">
        <f>IF(I4="","",I4/消费汇总!I5)</f>
        <v/>
      </c>
      <c r="Q4" s="30">
        <f>IF(J4="","",J4/二级地市消费汇总!C6)</f>
        <v/>
      </c>
      <c r="R4" s="30">
        <f>IF(K4="","",新单数据!K4/二级地市消费汇总!M6)</f>
        <v/>
      </c>
      <c r="S4" s="30">
        <f>IF(L4="","",L4/二级地市消费汇总!W6)</f>
        <v/>
      </c>
      <c r="T4" s="30">
        <f>IF(M4="","",M4/二级地市消费汇总!AG6)</f>
        <v/>
      </c>
      <c r="V4" s="22" t="inlineStr">
        <is>
          <t>8月份</t>
        </is>
      </c>
      <c r="W4" s="170">
        <f>IF(W37="","",SUM(W37:W67))</f>
        <v/>
      </c>
      <c r="X4" s="170">
        <f>IF(X37="","",SUM(X37:X67))</f>
        <v/>
      </c>
      <c r="Y4" s="170">
        <f>IF(Y37="","",SUM(Y37:Y67))</f>
        <v/>
      </c>
      <c r="Z4" s="170">
        <f>IF(Z37="","",SUM(Z37:Z67))</f>
        <v/>
      </c>
      <c r="AA4" s="170">
        <f>IF(AA37="","",SUM(AA37:AA67))</f>
        <v/>
      </c>
    </row>
    <row r="5">
      <c r="A5" s="22" t="inlineStr">
        <is>
          <t>9月份</t>
        </is>
      </c>
      <c r="B5" s="170">
        <f>IF(B68="","",SUM(B68:B97))</f>
        <v/>
      </c>
      <c r="C5" s="170">
        <f>IF(C67="","",SUM(C67:C96))</f>
        <v/>
      </c>
      <c r="D5" s="170">
        <f>IF(D67="","",SUM(D67:D96))</f>
        <v/>
      </c>
      <c r="E5" s="170">
        <f>IF(E67="","",SUM(E67:E96))</f>
        <v/>
      </c>
      <c r="F5" s="170">
        <f>IF(F67="","",SUM(F67:F96))</f>
        <v/>
      </c>
      <c r="H5" s="22" t="inlineStr">
        <is>
          <t>9月份</t>
        </is>
      </c>
      <c r="I5" s="170">
        <f>IF(I68="","",SUM(I68:I97))</f>
        <v/>
      </c>
      <c r="J5" s="170">
        <f>IF(J68="","",SUM(J68:J97))</f>
        <v/>
      </c>
      <c r="K5" s="170">
        <f>IF(K68="","",SUM(K68:K97))</f>
        <v/>
      </c>
      <c r="L5" s="170">
        <f>IF(L68="","",SUM(L68:L97))</f>
        <v/>
      </c>
      <c r="M5" s="170">
        <f>IF(M68="","",SUM(M68:M97))</f>
        <v/>
      </c>
      <c r="O5" s="22" t="inlineStr">
        <is>
          <t>9月份</t>
        </is>
      </c>
      <c r="P5" s="30">
        <f>IF(I5="","",I5/消费汇总!I6)</f>
        <v/>
      </c>
      <c r="Q5" s="30">
        <f>IF(J5="","",J5/二级地市消费汇总!C7)</f>
        <v/>
      </c>
      <c r="R5" s="30">
        <f>IF(K5="","",新单数据!K5/二级地市消费汇总!M7)</f>
        <v/>
      </c>
      <c r="S5" s="30">
        <f>IF(L5="","",L5/二级地市消费汇总!W7)</f>
        <v/>
      </c>
      <c r="T5" s="30">
        <f>IF(M5="","",M5/二级地市消费汇总!AG7)</f>
        <v/>
      </c>
      <c r="V5" s="22" t="inlineStr">
        <is>
          <t>9月份</t>
        </is>
      </c>
      <c r="W5" s="170">
        <f>IF(W68="","",SUM(W68:W97))</f>
        <v/>
      </c>
      <c r="X5" s="170">
        <f>IF(X68="","",SUM(X68:X97))</f>
        <v/>
      </c>
      <c r="Y5" s="170">
        <f>IF(Y68="","",SUM(Y68:Y97))</f>
        <v/>
      </c>
      <c r="Z5" s="170">
        <f>IF(Z68="","",SUM(Z68:Z97))</f>
        <v/>
      </c>
      <c r="AA5" s="170">
        <f>IF(AA68="","",SUM(AA68:AA97))</f>
        <v/>
      </c>
    </row>
    <row r="6">
      <c r="A6" s="11" t="n">
        <v>45108</v>
      </c>
      <c r="B6" s="127">
        <f>IF(C6="","",SUM(C6:F6))</f>
        <v/>
      </c>
      <c r="C6" s="171" t="n">
        <v>0</v>
      </c>
      <c r="D6" s="172" t="n">
        <v>0</v>
      </c>
      <c r="E6" s="172" t="n">
        <v>0</v>
      </c>
      <c r="F6" s="172" t="n">
        <v>1</v>
      </c>
      <c r="H6" s="11">
        <f>A6</f>
        <v/>
      </c>
      <c r="I6" s="127">
        <f>IF(J6="","",SUM(J6:M6))</f>
        <v/>
      </c>
      <c r="J6" s="127" t="n">
        <v>2026.03</v>
      </c>
      <c r="K6" s="127" t="n">
        <v>811.88</v>
      </c>
      <c r="L6" s="127" t="n">
        <v>102.41</v>
      </c>
      <c r="M6" s="127" t="n">
        <v>52.94</v>
      </c>
      <c r="O6" s="11">
        <f>H6</f>
        <v/>
      </c>
      <c r="P6" s="31">
        <f>IF(I6="","",I6/消费汇总!I7)</f>
        <v/>
      </c>
      <c r="Q6" s="31">
        <f>IF(J6="","",J6/二级地市消费汇总!C8)</f>
        <v/>
      </c>
      <c r="R6" s="31">
        <f>IF(K6="","",新单数据!K6/二级地市消费汇总!M8)</f>
        <v/>
      </c>
      <c r="S6" s="31">
        <f>IF(L6="","",L6/二级地市消费汇总!W8)</f>
        <v/>
      </c>
      <c r="T6" s="31">
        <f>IF(M6="","",M6/二级地市消费汇总!AG8)</f>
        <v/>
      </c>
      <c r="V6" s="11">
        <f>O6</f>
        <v/>
      </c>
      <c r="W6" s="173">
        <f>IF(X6="","",SUM(X6:AA6))</f>
        <v/>
      </c>
      <c r="X6" s="37" t="n">
        <v>0</v>
      </c>
      <c r="Y6" s="37" t="n">
        <v>0</v>
      </c>
      <c r="Z6" s="37" t="n">
        <v>0</v>
      </c>
      <c r="AA6" s="37" t="n">
        <v>0</v>
      </c>
    </row>
    <row r="7">
      <c r="A7" s="11" t="n">
        <v>45109</v>
      </c>
      <c r="B7" s="127">
        <f>IF(C7="","",SUM(C7:F7))</f>
        <v/>
      </c>
      <c r="C7" s="171" t="n">
        <v>0</v>
      </c>
      <c r="D7" s="172" t="n">
        <v>1</v>
      </c>
      <c r="E7" s="172" t="n">
        <v>1</v>
      </c>
      <c r="F7" s="172" t="n">
        <v>0</v>
      </c>
      <c r="H7" s="11">
        <f>A7</f>
        <v/>
      </c>
      <c r="I7" s="127">
        <f>IF(J7="","",SUM(J7:M7))</f>
        <v/>
      </c>
      <c r="J7" s="127" t="n">
        <v>2174.78</v>
      </c>
      <c r="K7" s="127" t="n">
        <v>771.22</v>
      </c>
      <c r="L7" s="127" t="n">
        <v>810.6799999999999</v>
      </c>
      <c r="M7" s="127" t="n">
        <v>51.63</v>
      </c>
      <c r="O7" s="11">
        <f>H7</f>
        <v/>
      </c>
      <c r="P7" s="31">
        <f>IF(I7="","",I7/消费汇总!I8)</f>
        <v/>
      </c>
      <c r="Q7" s="31">
        <f>IF(J7="","",J7/二级地市消费汇总!C9)</f>
        <v/>
      </c>
      <c r="R7" s="31">
        <f>IF(K7="","",新单数据!K7/二级地市消费汇总!M9)</f>
        <v/>
      </c>
      <c r="S7" s="31">
        <f>IF(L7="","",L7/二级地市消费汇总!W9)</f>
        <v/>
      </c>
      <c r="T7" s="31">
        <f>IF(M7="","",M7/二级地市消费汇总!AG9)</f>
        <v/>
      </c>
      <c r="V7" s="11">
        <f>O7</f>
        <v/>
      </c>
      <c r="W7" s="173">
        <f>IF(X7="","",SUM(X7:AA7))</f>
        <v/>
      </c>
      <c r="X7" s="37" t="n">
        <v>0</v>
      </c>
      <c r="Y7" s="37" t="n">
        <v>0</v>
      </c>
      <c r="Z7" s="37" t="n">
        <v>0</v>
      </c>
      <c r="AA7" s="37" t="n">
        <v>0</v>
      </c>
    </row>
    <row r="8">
      <c r="A8" s="11" t="n">
        <v>45110</v>
      </c>
      <c r="B8" s="127">
        <f>IF(C8="","",SUM(C8:F8))</f>
        <v/>
      </c>
      <c r="C8" s="171" t="n">
        <v>1</v>
      </c>
      <c r="D8" s="172" t="n">
        <v>3</v>
      </c>
      <c r="E8" s="172" t="n">
        <v>1</v>
      </c>
      <c r="F8" s="172" t="n">
        <v>1</v>
      </c>
      <c r="H8" s="11">
        <f>A8</f>
        <v/>
      </c>
      <c r="I8" s="127">
        <f>IF(J8="","",SUM(J8:M8))</f>
        <v/>
      </c>
      <c r="J8" s="127" t="n">
        <v>47.54</v>
      </c>
      <c r="K8" s="127" t="n">
        <v>166.84</v>
      </c>
      <c r="L8" s="127" t="n">
        <v>2266.01</v>
      </c>
      <c r="M8" s="127" t="n">
        <v>72.63</v>
      </c>
      <c r="O8" s="11">
        <f>H8</f>
        <v/>
      </c>
      <c r="P8" s="31">
        <f>IF(I8="","",I8/消费汇总!I9)</f>
        <v/>
      </c>
      <c r="Q8" s="31">
        <f>IF(J8="","",J8/二级地市消费汇总!C10)</f>
        <v/>
      </c>
      <c r="R8" s="31">
        <f>IF(K8="","",新单数据!K8/二级地市消费汇总!M10)</f>
        <v/>
      </c>
      <c r="S8" s="31">
        <f>IF(L8="","",L8/二级地市消费汇总!W10)</f>
        <v/>
      </c>
      <c r="T8" s="31">
        <f>IF(M8="","",M8/二级地市消费汇总!AG10)</f>
        <v/>
      </c>
      <c r="V8" s="11">
        <f>O8</f>
        <v/>
      </c>
      <c r="W8" s="173">
        <f>IF(X8="","",SUM(X8:AA8))</f>
        <v/>
      </c>
      <c r="X8" s="37" t="n">
        <v>0</v>
      </c>
      <c r="Y8" s="37" t="n">
        <v>0</v>
      </c>
      <c r="Z8" s="37" t="n">
        <v>0</v>
      </c>
      <c r="AA8" s="37" t="n">
        <v>0</v>
      </c>
    </row>
    <row r="9">
      <c r="A9" s="11" t="n">
        <v>45111</v>
      </c>
      <c r="B9" s="127">
        <f>IF(C9="","",SUM(C9:F9))</f>
        <v/>
      </c>
      <c r="C9" s="171" t="n">
        <v>2</v>
      </c>
      <c r="D9" s="172" t="n">
        <v>1</v>
      </c>
      <c r="E9" s="172" t="n">
        <v>0</v>
      </c>
      <c r="F9" s="172" t="n">
        <v>1</v>
      </c>
      <c r="H9" s="11">
        <f>A9</f>
        <v/>
      </c>
      <c r="I9" s="127">
        <f>IF(J9="","",SUM(J9:M9))</f>
        <v/>
      </c>
      <c r="J9" s="127" t="n">
        <v>467.96</v>
      </c>
      <c r="K9" s="127" t="n">
        <v>471.88</v>
      </c>
      <c r="L9" s="127" t="n">
        <v>2889.04</v>
      </c>
      <c r="M9" s="127" t="n">
        <v>133.33</v>
      </c>
      <c r="O9" s="11">
        <f>H9</f>
        <v/>
      </c>
      <c r="P9" s="31">
        <f>IF(I9="","",I9/消费汇总!I10)</f>
        <v/>
      </c>
      <c r="Q9" s="31">
        <f>IF(J9="","",J9/二级地市消费汇总!C11)</f>
        <v/>
      </c>
      <c r="R9" s="31">
        <f>IF(K9="","",新单数据!K9/二级地市消费汇总!M11)</f>
        <v/>
      </c>
      <c r="S9" s="31">
        <f>IF(L9="","",L9/二级地市消费汇总!W11)</f>
        <v/>
      </c>
      <c r="T9" s="31">
        <f>IF(M9="","",M9/二级地市消费汇总!AG11)</f>
        <v/>
      </c>
      <c r="V9" s="11">
        <f>O9</f>
        <v/>
      </c>
      <c r="W9" s="173">
        <f>IF(X9="","",SUM(X9:AA9))</f>
        <v/>
      </c>
      <c r="X9" s="37" t="n">
        <v>0</v>
      </c>
      <c r="Y9" s="37" t="n">
        <v>0</v>
      </c>
      <c r="Z9" s="37" t="n">
        <v>0</v>
      </c>
      <c r="AA9" s="37" t="n">
        <v>0</v>
      </c>
    </row>
    <row r="10">
      <c r="A10" s="11" t="n">
        <v>45112</v>
      </c>
      <c r="B10" s="127">
        <f>IF(C10="","",SUM(C10:F10))</f>
        <v/>
      </c>
      <c r="C10" s="171" t="n">
        <v>1</v>
      </c>
      <c r="D10" s="172" t="n">
        <v>0</v>
      </c>
      <c r="E10" s="172" t="n">
        <v>0</v>
      </c>
      <c r="F10" s="172" t="n">
        <v>0</v>
      </c>
      <c r="H10" s="11">
        <f>A10</f>
        <v/>
      </c>
      <c r="I10" s="127">
        <f>IF(J10="","",SUM(J10:M10))</f>
        <v/>
      </c>
      <c r="J10" s="127" t="n">
        <v>2082.81</v>
      </c>
      <c r="K10" s="127" t="n">
        <v>341.11</v>
      </c>
      <c r="L10" s="127" t="n">
        <v>3281.86</v>
      </c>
      <c r="M10" s="127" t="n">
        <v>269.38</v>
      </c>
      <c r="O10" s="11">
        <f>H10</f>
        <v/>
      </c>
      <c r="P10" s="31">
        <f>IF(I10="","",I10/消费汇总!I11)</f>
        <v/>
      </c>
      <c r="Q10" s="31">
        <f>IF(J10="","",J10/二级地市消费汇总!C12)</f>
        <v/>
      </c>
      <c r="R10" s="31">
        <f>IF(K10="","",新单数据!K10/二级地市消费汇总!M12)</f>
        <v/>
      </c>
      <c r="S10" s="31">
        <f>IF(L10="","",L10/二级地市消费汇总!W12)</f>
        <v/>
      </c>
      <c r="T10" s="31">
        <f>IF(M10="","",M10/二级地市消费汇总!AG12)</f>
        <v/>
      </c>
      <c r="V10" s="11">
        <f>O10</f>
        <v/>
      </c>
      <c r="W10" s="173">
        <f>IF(X10="","",SUM(X10:AA10))</f>
        <v/>
      </c>
      <c r="X10" s="37" t="n">
        <v>0</v>
      </c>
      <c r="Y10" s="37" t="n">
        <v>0</v>
      </c>
      <c r="Z10" s="37" t="n">
        <v>0</v>
      </c>
      <c r="AA10" s="37" t="n">
        <v>0</v>
      </c>
    </row>
    <row r="11">
      <c r="A11" s="11" t="n">
        <v>45113</v>
      </c>
      <c r="B11" s="127">
        <f>IF(C11="","",SUM(C11:F11))</f>
        <v/>
      </c>
      <c r="C11" s="171" t="n">
        <v>2</v>
      </c>
      <c r="D11" s="172" t="n">
        <v>1</v>
      </c>
      <c r="E11" s="172" t="n">
        <v>0</v>
      </c>
      <c r="F11" s="172" t="n">
        <v>0</v>
      </c>
      <c r="H11" s="11">
        <f>A11</f>
        <v/>
      </c>
      <c r="I11" s="127">
        <f>IF(J11="","",SUM(J11:M11))</f>
        <v/>
      </c>
      <c r="J11" s="127" t="n">
        <v>3204.17</v>
      </c>
      <c r="K11" s="127" t="n">
        <v>241.76</v>
      </c>
      <c r="L11" s="127" t="n">
        <v>3231.92</v>
      </c>
      <c r="M11" s="127" t="n">
        <v>209.91</v>
      </c>
      <c r="O11" s="11">
        <f>H11</f>
        <v/>
      </c>
      <c r="P11" s="31">
        <f>IF(I11="","",I11/消费汇总!I12)</f>
        <v/>
      </c>
      <c r="Q11" s="31">
        <f>IF(J11="","",J11/二级地市消费汇总!C13)</f>
        <v/>
      </c>
      <c r="R11" s="31">
        <f>IF(K11="","",新单数据!K11/二级地市消费汇总!M13)</f>
        <v/>
      </c>
      <c r="S11" s="31">
        <f>IF(L11="","",L11/二级地市消费汇总!W13)</f>
        <v/>
      </c>
      <c r="T11" s="31">
        <f>IF(M11="","",M11/二级地市消费汇总!AG13)</f>
        <v/>
      </c>
      <c r="V11" s="11">
        <f>O11</f>
        <v/>
      </c>
      <c r="W11" s="173">
        <f>IF(X11="","",SUM(X11:AA11))</f>
        <v/>
      </c>
      <c r="X11" s="37" t="n">
        <v>0</v>
      </c>
      <c r="Y11" s="37" t="n">
        <v>0</v>
      </c>
      <c r="Z11" s="37" t="n">
        <v>0</v>
      </c>
      <c r="AA11" s="37" t="n">
        <v>0</v>
      </c>
    </row>
    <row r="12">
      <c r="A12" s="11" t="n">
        <v>45114</v>
      </c>
      <c r="B12" s="127">
        <f>IF(C12="","",SUM(C12:F12))</f>
        <v/>
      </c>
      <c r="C12" s="171" t="n">
        <v>1</v>
      </c>
      <c r="D12" s="172" t="n">
        <v>2</v>
      </c>
      <c r="E12" s="172" t="n">
        <v>0</v>
      </c>
      <c r="F12" s="172" t="n">
        <v>0</v>
      </c>
      <c r="H12" s="11">
        <f>A12</f>
        <v/>
      </c>
      <c r="I12" s="127">
        <f>IF(J12="","",SUM(J12:M12))</f>
        <v/>
      </c>
      <c r="J12" s="127" t="n">
        <v>2355.17</v>
      </c>
      <c r="K12" s="127" t="n">
        <v>641.4299999999999</v>
      </c>
      <c r="L12" s="127" t="n">
        <v>587.4299999999999</v>
      </c>
      <c r="M12" s="127" t="n">
        <v>664.36</v>
      </c>
      <c r="O12" s="11">
        <f>H12</f>
        <v/>
      </c>
      <c r="P12" s="31">
        <f>IF(I12="","",I12/消费汇总!I13)</f>
        <v/>
      </c>
      <c r="Q12" s="31">
        <f>IF(J12="","",J12/二级地市消费汇总!C14)</f>
        <v/>
      </c>
      <c r="R12" s="31">
        <f>IF(K12="","",新单数据!K12/二级地市消费汇总!M14)</f>
        <v/>
      </c>
      <c r="S12" s="31">
        <f>IF(L12="","",L12/二级地市消费汇总!W14)</f>
        <v/>
      </c>
      <c r="T12" s="31">
        <f>IF(M12="","",M12/二级地市消费汇总!AG14)</f>
        <v/>
      </c>
      <c r="V12" s="11">
        <f>O12</f>
        <v/>
      </c>
      <c r="W12" s="173">
        <f>IF(X12="","",SUM(X12:AA12))</f>
        <v/>
      </c>
      <c r="X12" s="37" t="n">
        <v>0</v>
      </c>
      <c r="Y12" s="37" t="n">
        <v>0</v>
      </c>
      <c r="Z12" s="37" t="n">
        <v>0</v>
      </c>
      <c r="AA12" s="37" t="n">
        <v>0</v>
      </c>
    </row>
    <row r="13">
      <c r="A13" s="11" t="n">
        <v>45115</v>
      </c>
      <c r="B13" s="127">
        <f>IF(C13="","",SUM(C13:F13))</f>
        <v/>
      </c>
      <c r="C13" s="171" t="n">
        <v>1</v>
      </c>
      <c r="D13" s="172" t="n">
        <v>0</v>
      </c>
      <c r="E13" s="172" t="n">
        <v>0</v>
      </c>
      <c r="F13" s="172" t="n">
        <v>0</v>
      </c>
      <c r="H13" s="11">
        <f>A13</f>
        <v/>
      </c>
      <c r="I13" s="127">
        <f>IF(J13="","",SUM(J13:M13))</f>
        <v/>
      </c>
      <c r="J13" s="127" t="n">
        <v>1042.49</v>
      </c>
      <c r="K13" s="127" t="n">
        <v>1132.91</v>
      </c>
      <c r="L13" s="127" t="n">
        <v>745.85</v>
      </c>
      <c r="M13" s="127" t="n">
        <v>657.64</v>
      </c>
      <c r="O13" s="11">
        <f>H13</f>
        <v/>
      </c>
      <c r="P13" s="31">
        <f>IF(I13="","",I13/消费汇总!I14)</f>
        <v/>
      </c>
      <c r="Q13" s="31">
        <f>IF(J13="","",J13/二级地市消费汇总!C15)</f>
        <v/>
      </c>
      <c r="R13" s="31">
        <f>IF(K13="","",新单数据!K13/二级地市消费汇总!M15)</f>
        <v/>
      </c>
      <c r="S13" s="31">
        <f>IF(L13="","",L13/二级地市消费汇总!W15)</f>
        <v/>
      </c>
      <c r="T13" s="31">
        <f>IF(M13="","",M13/二级地市消费汇总!AG15)</f>
        <v/>
      </c>
      <c r="V13" s="11">
        <f>O13</f>
        <v/>
      </c>
      <c r="W13" s="173">
        <f>IF(X13="","",SUM(X13:AA13))</f>
        <v/>
      </c>
      <c r="X13" s="37" t="n">
        <v>0</v>
      </c>
      <c r="Y13" s="37" t="n">
        <v>0</v>
      </c>
      <c r="Z13" s="37" t="n">
        <v>0</v>
      </c>
      <c r="AA13" s="37" t="n">
        <v>0</v>
      </c>
    </row>
    <row r="14">
      <c r="A14" s="11" t="n">
        <v>45116</v>
      </c>
      <c r="B14" s="127">
        <f>IF(C14="","",SUM(C14:F14))</f>
        <v/>
      </c>
      <c r="C14" s="171" t="n">
        <v>0</v>
      </c>
      <c r="D14" s="172" t="n">
        <v>0</v>
      </c>
      <c r="E14" s="172" t="n">
        <v>0</v>
      </c>
      <c r="F14" s="172" t="n">
        <v>0</v>
      </c>
      <c r="H14" s="11">
        <f>A14</f>
        <v/>
      </c>
      <c r="I14" s="127">
        <f>IF(J14="","",SUM(J14:M14))</f>
        <v/>
      </c>
      <c r="J14" s="127" t="n">
        <v>1364.44</v>
      </c>
      <c r="K14" s="127" t="n">
        <v>1731.65</v>
      </c>
      <c r="L14" s="127" t="n">
        <v>689.4</v>
      </c>
      <c r="M14" s="127" t="n">
        <v>697.58</v>
      </c>
      <c r="O14" s="11">
        <f>H14</f>
        <v/>
      </c>
      <c r="P14" s="31">
        <f>IF(I14="","",I14/消费汇总!I15)</f>
        <v/>
      </c>
      <c r="Q14" s="31">
        <f>IF(J14="","",J14/二级地市消费汇总!C16)</f>
        <v/>
      </c>
      <c r="R14" s="31">
        <f>IF(K14="","",新单数据!K14/二级地市消费汇总!M16)</f>
        <v/>
      </c>
      <c r="S14" s="31">
        <f>IF(L14="","",L14/二级地市消费汇总!W16)</f>
        <v/>
      </c>
      <c r="T14" s="31">
        <f>IF(M14="","",M14/二级地市消费汇总!AG16)</f>
        <v/>
      </c>
      <c r="V14" s="11">
        <f>O14</f>
        <v/>
      </c>
      <c r="W14" s="173">
        <f>IF(X14="","",SUM(X14:AA14))</f>
        <v/>
      </c>
      <c r="X14" s="37" t="n">
        <v>0</v>
      </c>
      <c r="Y14" s="37" t="n">
        <v>0</v>
      </c>
      <c r="Z14" s="37" t="n">
        <v>0</v>
      </c>
      <c r="AA14" s="37" t="n">
        <v>0</v>
      </c>
    </row>
    <row r="15">
      <c r="A15" s="11" t="n">
        <v>45117</v>
      </c>
      <c r="B15" s="127">
        <f>IF(C15="","",SUM(C15:F15))</f>
        <v/>
      </c>
      <c r="C15" s="171" t="n">
        <v>3</v>
      </c>
      <c r="D15" s="172" t="n">
        <v>3</v>
      </c>
      <c r="E15" s="172" t="n">
        <v>0</v>
      </c>
      <c r="F15" s="172" t="n">
        <v>0</v>
      </c>
      <c r="H15" s="11">
        <f>A15</f>
        <v/>
      </c>
      <c r="I15" s="127">
        <f>IF(J15="","",SUM(J15:M15))</f>
        <v/>
      </c>
      <c r="J15" s="127" t="n">
        <v>3644.37</v>
      </c>
      <c r="K15" s="127" t="n">
        <v>1275.84</v>
      </c>
      <c r="L15" s="127" t="n">
        <v>740.09</v>
      </c>
      <c r="M15" s="127" t="n">
        <v>493.95</v>
      </c>
      <c r="O15" s="11">
        <f>H15</f>
        <v/>
      </c>
      <c r="P15" s="31">
        <f>IF(I15="","",I15/消费汇总!I16)</f>
        <v/>
      </c>
      <c r="Q15" s="31">
        <f>IF(J15="","",J15/二级地市消费汇总!C17)</f>
        <v/>
      </c>
      <c r="R15" s="31">
        <f>IF(K15="","",新单数据!K15/二级地市消费汇总!M17)</f>
        <v/>
      </c>
      <c r="S15" s="31">
        <f>IF(L15="","",L15/二级地市消费汇总!W17)</f>
        <v/>
      </c>
      <c r="T15" s="31">
        <f>IF(M15="","",M15/二级地市消费汇总!AG17)</f>
        <v/>
      </c>
      <c r="V15" s="11">
        <f>O15</f>
        <v/>
      </c>
      <c r="W15" s="173">
        <f>IF(X15="","",SUM(X15:AA15))</f>
        <v/>
      </c>
      <c r="X15" s="37" t="n">
        <v>0</v>
      </c>
      <c r="Y15" s="37" t="n">
        <v>0</v>
      </c>
      <c r="Z15" s="37" t="n">
        <v>0</v>
      </c>
      <c r="AA15" s="37" t="n">
        <v>0</v>
      </c>
    </row>
    <row r="16">
      <c r="A16" s="11" t="n">
        <v>45118</v>
      </c>
      <c r="B16" s="127">
        <f>IF(C16="","",SUM(C16:F16))</f>
        <v/>
      </c>
      <c r="C16" s="171" t="n">
        <v>2</v>
      </c>
      <c r="D16" s="172" t="n">
        <v>0</v>
      </c>
      <c r="E16" s="172" t="n">
        <v>1</v>
      </c>
      <c r="F16" s="172" t="n">
        <v>0</v>
      </c>
      <c r="H16" s="11">
        <f>A16</f>
        <v/>
      </c>
      <c r="I16" s="127">
        <f>IF(J16="","",SUM(J16:M16))</f>
        <v/>
      </c>
      <c r="J16" s="127" t="n">
        <v>7497.64</v>
      </c>
      <c r="K16" s="127" t="n">
        <v>2575.08</v>
      </c>
      <c r="L16" s="127" t="n">
        <v>328.69</v>
      </c>
      <c r="M16" s="127" t="n">
        <v>525.3200000000001</v>
      </c>
      <c r="O16" s="11">
        <f>H16</f>
        <v/>
      </c>
      <c r="P16" s="31">
        <f>IF(I16="","",I16/消费汇总!I17)</f>
        <v/>
      </c>
      <c r="Q16" s="31">
        <f>IF(J16="","",J16/二级地市消费汇总!C18)</f>
        <v/>
      </c>
      <c r="R16" s="31">
        <f>IF(K16="","",新单数据!K16/二级地市消费汇总!M18)</f>
        <v/>
      </c>
      <c r="S16" s="31">
        <f>IF(L16="","",L16/二级地市消费汇总!W18)</f>
        <v/>
      </c>
      <c r="T16" s="31">
        <f>IF(M16="","",M16/二级地市消费汇总!AG18)</f>
        <v/>
      </c>
      <c r="V16" s="11">
        <f>O16</f>
        <v/>
      </c>
      <c r="W16" s="173">
        <f>IF(X16="","",SUM(X16:AA16))</f>
        <v/>
      </c>
      <c r="X16" s="37" t="n">
        <v>0</v>
      </c>
      <c r="Y16" s="37" t="n">
        <v>0</v>
      </c>
      <c r="Z16" s="37" t="n">
        <v>0</v>
      </c>
      <c r="AA16" s="37" t="n">
        <v>0</v>
      </c>
    </row>
    <row r="17">
      <c r="A17" s="11" t="n">
        <v>45119</v>
      </c>
      <c r="B17" s="127">
        <f>IF(C17="","",SUM(C17:F17))</f>
        <v/>
      </c>
      <c r="C17" s="172" t="n">
        <v>2</v>
      </c>
      <c r="D17" s="172" t="n">
        <v>2</v>
      </c>
      <c r="E17" s="172" t="n">
        <v>2</v>
      </c>
      <c r="F17" s="172" t="n">
        <v>0</v>
      </c>
      <c r="H17" s="11">
        <f>A17</f>
        <v/>
      </c>
      <c r="I17" s="127">
        <f>IF(J17="","",SUM(J17:M17))</f>
        <v/>
      </c>
      <c r="J17" s="127" t="n">
        <v>5508.35</v>
      </c>
      <c r="K17" s="127" t="n">
        <v>1090.81</v>
      </c>
      <c r="L17" s="127" t="n">
        <v>556.38</v>
      </c>
      <c r="M17" s="127" t="n">
        <v>392.23</v>
      </c>
      <c r="O17" s="11">
        <f>H17</f>
        <v/>
      </c>
      <c r="P17" s="31">
        <f>IF(I17="","",I17/消费汇总!I18)</f>
        <v/>
      </c>
      <c r="Q17" s="31">
        <f>IF(J17="","",J17/二级地市消费汇总!C19)</f>
        <v/>
      </c>
      <c r="R17" s="31">
        <f>IF(K17="","",新单数据!K17/二级地市消费汇总!M19)</f>
        <v/>
      </c>
      <c r="S17" s="31">
        <f>IF(L17="","",L17/二级地市消费汇总!W19)</f>
        <v/>
      </c>
      <c r="T17" s="31">
        <f>IF(M17="","",M17/二级地市消费汇总!AG19)</f>
        <v/>
      </c>
      <c r="V17" s="11">
        <f>O17</f>
        <v/>
      </c>
      <c r="W17" s="173">
        <f>IF(X17="","",SUM(X17:AA17))</f>
        <v/>
      </c>
      <c r="X17" s="37" t="n">
        <v>0</v>
      </c>
      <c r="Y17" s="37" t="n">
        <v>0</v>
      </c>
      <c r="Z17" s="37" t="n">
        <v>0</v>
      </c>
      <c r="AA17" s="37" t="n">
        <v>0</v>
      </c>
    </row>
    <row r="18">
      <c r="A18" s="11" t="n">
        <v>45120</v>
      </c>
      <c r="B18" s="127">
        <f>IF(C18="","",SUM(C18:F18))</f>
        <v/>
      </c>
      <c r="C18" s="172" t="n">
        <v>2</v>
      </c>
      <c r="D18" s="172" t="n">
        <v>2</v>
      </c>
      <c r="E18" s="172" t="n">
        <v>0</v>
      </c>
      <c r="F18" s="172" t="n">
        <v>2</v>
      </c>
      <c r="H18" s="11">
        <f>A18</f>
        <v/>
      </c>
      <c r="I18" s="127">
        <f>IF(J18="","",SUM(J18:M18))</f>
        <v/>
      </c>
      <c r="J18" s="127" t="n">
        <v>2946.08</v>
      </c>
      <c r="K18" s="127" t="n">
        <v>1508.99</v>
      </c>
      <c r="L18" s="127" t="n">
        <v>529.73</v>
      </c>
      <c r="M18" s="127" t="n">
        <v>376.71</v>
      </c>
      <c r="O18" s="11">
        <f>H18</f>
        <v/>
      </c>
      <c r="P18" s="31">
        <f>IF(I18="","",I18/消费汇总!I19)</f>
        <v/>
      </c>
      <c r="Q18" s="31">
        <f>IF(J18="","",J18/二级地市消费汇总!C20)</f>
        <v/>
      </c>
      <c r="R18" s="31">
        <f>IF(K18="","",新单数据!K18/二级地市消费汇总!M20)</f>
        <v/>
      </c>
      <c r="S18" s="31">
        <f>IF(L18="","",L18/二级地市消费汇总!W20)</f>
        <v/>
      </c>
      <c r="T18" s="31">
        <f>IF(M18="","",M18/二级地市消费汇总!AG20)</f>
        <v/>
      </c>
      <c r="V18" s="11">
        <f>O18</f>
        <v/>
      </c>
      <c r="W18" s="173">
        <f>IF(X18="","",SUM(X18:AA18))</f>
        <v/>
      </c>
      <c r="X18" s="37" t="n">
        <v>1</v>
      </c>
      <c r="Y18" s="37" t="n">
        <v>0</v>
      </c>
      <c r="Z18" s="37" t="n">
        <v>0</v>
      </c>
      <c r="AA18" s="37" t="n">
        <v>1</v>
      </c>
    </row>
    <row r="19">
      <c r="A19" s="11" t="n">
        <v>45121</v>
      </c>
      <c r="B19" s="127">
        <f>IF(C19="","",SUM(C19:F19))</f>
        <v/>
      </c>
      <c r="C19" s="172" t="n">
        <v>0</v>
      </c>
      <c r="D19" s="172" t="n">
        <v>1</v>
      </c>
      <c r="E19" s="172" t="n">
        <v>0</v>
      </c>
      <c r="F19" s="172" t="n">
        <v>0</v>
      </c>
      <c r="H19" s="11">
        <f>A19</f>
        <v/>
      </c>
      <c r="I19" s="127">
        <f>IF(J19="","",SUM(J19:M19))</f>
        <v/>
      </c>
      <c r="J19" s="127" t="n">
        <v>4634.53</v>
      </c>
      <c r="K19" s="127" t="n">
        <v>1597.23</v>
      </c>
      <c r="L19" s="127" t="n">
        <v>649.9</v>
      </c>
      <c r="M19" s="127" t="n">
        <v>390.9</v>
      </c>
      <c r="O19" s="11">
        <f>H19</f>
        <v/>
      </c>
      <c r="P19" s="31">
        <f>IF(I19="","",I19/消费汇总!I20)</f>
        <v/>
      </c>
      <c r="Q19" s="31">
        <f>IF(J19="","",J19/二级地市消费汇总!C21)</f>
        <v/>
      </c>
      <c r="R19" s="31">
        <f>IF(K19="","",新单数据!K19/二级地市消费汇总!M21)</f>
        <v/>
      </c>
      <c r="S19" s="31">
        <f>IF(L19="","",L19/二级地市消费汇总!W21)</f>
        <v/>
      </c>
      <c r="T19" s="31">
        <f>IF(M19="","",M19/二级地市消费汇总!AG21)</f>
        <v/>
      </c>
      <c r="V19" s="11">
        <f>O19</f>
        <v/>
      </c>
      <c r="W19" s="173">
        <f>IF(X19="","",SUM(X19:AA19))</f>
        <v/>
      </c>
      <c r="X19" s="37" t="n">
        <v>0</v>
      </c>
      <c r="Y19" s="37" t="n">
        <v>0</v>
      </c>
      <c r="Z19" s="37" t="n">
        <v>0</v>
      </c>
      <c r="AA19" s="37" t="n">
        <v>0</v>
      </c>
    </row>
    <row r="20">
      <c r="A20" s="11" t="n">
        <v>45122</v>
      </c>
      <c r="B20" s="127">
        <f>IF(C20="","",SUM(C20:F20))</f>
        <v/>
      </c>
      <c r="C20" s="174" t="n">
        <v>1</v>
      </c>
      <c r="D20" s="172" t="n">
        <v>0</v>
      </c>
      <c r="E20" s="172" t="n">
        <v>0</v>
      </c>
      <c r="F20" s="172" t="n">
        <v>0</v>
      </c>
      <c r="H20" s="11">
        <f>A20</f>
        <v/>
      </c>
      <c r="I20" s="127">
        <f>IF(J20="","",SUM(J20:M20))</f>
        <v/>
      </c>
      <c r="J20" s="127" t="n">
        <v>1745.46</v>
      </c>
      <c r="K20" s="127" t="n">
        <v>1166.22</v>
      </c>
      <c r="L20" s="127" t="n">
        <v>485.59</v>
      </c>
      <c r="M20" s="127" t="n">
        <v>871.11</v>
      </c>
      <c r="O20" s="11">
        <f>H20</f>
        <v/>
      </c>
      <c r="P20" s="31">
        <f>IF(I20="","",I20/消费汇总!I21)</f>
        <v/>
      </c>
      <c r="Q20" s="31">
        <f>IF(J20="","",J20/二级地市消费汇总!C22)</f>
        <v/>
      </c>
      <c r="R20" s="31">
        <f>IF(K20="","",新单数据!K20/二级地市消费汇总!M22)</f>
        <v/>
      </c>
      <c r="S20" s="31">
        <f>IF(L20="","",L20/二级地市消费汇总!W22)</f>
        <v/>
      </c>
      <c r="T20" s="31">
        <f>IF(M20="","",M20/二级地市消费汇总!AG22)</f>
        <v/>
      </c>
      <c r="V20" s="11">
        <f>O20</f>
        <v/>
      </c>
      <c r="W20" s="173">
        <f>IF(X20="","",SUM(X20:AA20))</f>
        <v/>
      </c>
      <c r="X20" s="37" t="n">
        <v>1</v>
      </c>
      <c r="Y20" s="37" t="n">
        <v>0</v>
      </c>
      <c r="Z20" s="37" t="n">
        <v>0</v>
      </c>
      <c r="AA20" s="37" t="n">
        <v>0</v>
      </c>
    </row>
    <row r="21">
      <c r="A21" s="11" t="n">
        <v>45123</v>
      </c>
      <c r="B21" s="127">
        <f>IF(C21="","",SUM(C21:F21))</f>
        <v/>
      </c>
      <c r="C21" s="172" t="n">
        <v>0</v>
      </c>
      <c r="D21" s="172" t="n">
        <v>0</v>
      </c>
      <c r="E21" s="172" t="n">
        <v>0</v>
      </c>
      <c r="F21" s="172" t="n">
        <v>0</v>
      </c>
      <c r="H21" s="11">
        <f>A21</f>
        <v/>
      </c>
      <c r="I21" s="127">
        <f>IF(J21="","",SUM(J21:M21))</f>
        <v/>
      </c>
      <c r="J21" s="127" t="n">
        <v>3024.82</v>
      </c>
      <c r="K21" s="127" t="n">
        <v>1541</v>
      </c>
      <c r="L21" s="127" t="n">
        <v>621.41</v>
      </c>
      <c r="M21" s="127" t="n">
        <v>631.55</v>
      </c>
      <c r="O21" s="11">
        <f>H21</f>
        <v/>
      </c>
      <c r="P21" s="31">
        <f>IF(I21="","",I21/消费汇总!I22)</f>
        <v/>
      </c>
      <c r="Q21" s="31">
        <f>IF(J21="","",J21/二级地市消费汇总!C23)</f>
        <v/>
      </c>
      <c r="R21" s="31">
        <f>IF(K21="","",新单数据!K21/二级地市消费汇总!M23)</f>
        <v/>
      </c>
      <c r="S21" s="31">
        <f>IF(L21="","",L21/二级地市消费汇总!W23)</f>
        <v/>
      </c>
      <c r="T21" s="31">
        <f>IF(M21="","",M21/二级地市消费汇总!AG23)</f>
        <v/>
      </c>
      <c r="V21" s="11">
        <f>O21</f>
        <v/>
      </c>
      <c r="W21" s="173">
        <f>IF(X21="","",SUM(X21:AA21))</f>
        <v/>
      </c>
      <c r="X21" s="37" t="n">
        <v>0</v>
      </c>
      <c r="Y21" s="37" t="n">
        <v>0</v>
      </c>
      <c r="Z21" s="37" t="n">
        <v>0</v>
      </c>
      <c r="AA21" s="37" t="n">
        <v>0</v>
      </c>
    </row>
    <row r="22">
      <c r="A22" s="11" t="n">
        <v>45124</v>
      </c>
      <c r="B22" s="127">
        <f>IF(C22="","",SUM(C22:F22))</f>
        <v/>
      </c>
      <c r="C22" s="172" t="n">
        <v>2</v>
      </c>
      <c r="D22" s="172" t="n">
        <v>2</v>
      </c>
      <c r="E22" s="172" t="n">
        <v>0</v>
      </c>
      <c r="F22" s="172" t="n">
        <v>0</v>
      </c>
      <c r="H22" s="11">
        <f>A22</f>
        <v/>
      </c>
      <c r="I22" s="127">
        <f>IF(J22="","",SUM(J22:M22))</f>
        <v/>
      </c>
      <c r="J22" s="127" t="n">
        <v>4078.31</v>
      </c>
      <c r="K22" s="127" t="n">
        <v>2034.88</v>
      </c>
      <c r="L22" s="127" t="n">
        <v>347.28</v>
      </c>
      <c r="M22" s="127" t="n">
        <v>733.96</v>
      </c>
      <c r="O22" s="11">
        <f>H22</f>
        <v/>
      </c>
      <c r="P22" s="31">
        <f>IF(I22="","",I22/消费汇总!I23)</f>
        <v/>
      </c>
      <c r="Q22" s="31">
        <f>IF(J22="","",J22/二级地市消费汇总!C24)</f>
        <v/>
      </c>
      <c r="R22" s="31">
        <f>IF(K22="","",新单数据!K22/二级地市消费汇总!M24)</f>
        <v/>
      </c>
      <c r="S22" s="31">
        <f>IF(L22="","",L22/二级地市消费汇总!W24)</f>
        <v/>
      </c>
      <c r="T22" s="31">
        <f>IF(M22="","",M22/二级地市消费汇总!AG24)</f>
        <v/>
      </c>
      <c r="V22" s="11">
        <f>O22</f>
        <v/>
      </c>
      <c r="W22" s="173">
        <f>IF(X22="","",SUM(X22:AA22))</f>
        <v/>
      </c>
      <c r="X22" s="37" t="n">
        <v>0</v>
      </c>
      <c r="Y22" s="37" t="n">
        <v>0</v>
      </c>
      <c r="Z22" s="37" t="n">
        <v>0</v>
      </c>
      <c r="AA22" s="37" t="n">
        <v>0</v>
      </c>
    </row>
    <row r="23">
      <c r="A23" s="11" t="n">
        <v>45125</v>
      </c>
      <c r="B23" s="127">
        <f>IF(C23="","",SUM(C23:F23))</f>
        <v/>
      </c>
      <c r="C23" s="172" t="n">
        <v>3</v>
      </c>
      <c r="D23" s="172" t="n">
        <v>0</v>
      </c>
      <c r="E23" s="172" t="n">
        <v>1</v>
      </c>
      <c r="F23" s="172" t="n">
        <v>0</v>
      </c>
      <c r="H23" s="11">
        <f>A23</f>
        <v/>
      </c>
      <c r="I23" s="127">
        <f>IF(J23="","",SUM(J23:M23))</f>
        <v/>
      </c>
      <c r="J23" s="127" t="n">
        <v>6166.32</v>
      </c>
      <c r="K23" s="127" t="n">
        <v>2633.87</v>
      </c>
      <c r="L23" s="127" t="n">
        <v>599.26</v>
      </c>
      <c r="M23" s="127" t="n">
        <v>645.62</v>
      </c>
      <c r="O23" s="11">
        <f>H23</f>
        <v/>
      </c>
      <c r="P23" s="31">
        <f>IF(I23="","",I23/消费汇总!I24)</f>
        <v/>
      </c>
      <c r="Q23" s="31">
        <f>IF(J23="","",J23/二级地市消费汇总!C25)</f>
        <v/>
      </c>
      <c r="R23" s="31">
        <f>IF(K23="","",新单数据!K23/二级地市消费汇总!M25)</f>
        <v/>
      </c>
      <c r="S23" s="31">
        <f>IF(L23="","",L23/二级地市消费汇总!W25)</f>
        <v/>
      </c>
      <c r="T23" s="31">
        <f>IF(M23="","",M23/二级地市消费汇总!AG25)</f>
        <v/>
      </c>
      <c r="V23" s="11">
        <f>O23</f>
        <v/>
      </c>
      <c r="W23" s="173">
        <f>IF(X23="","",SUM(X23:AA23))</f>
        <v/>
      </c>
      <c r="X23" s="37" t="n">
        <v>0</v>
      </c>
      <c r="Y23" s="37" t="n">
        <v>1</v>
      </c>
      <c r="Z23" s="37" t="n">
        <v>0</v>
      </c>
      <c r="AA23" s="37" t="n">
        <v>0</v>
      </c>
    </row>
    <row r="24">
      <c r="A24" s="11" t="n">
        <v>45126</v>
      </c>
      <c r="B24" s="127">
        <f>IF(C24="","",SUM(C24:F24))</f>
        <v/>
      </c>
      <c r="C24" s="172" t="n">
        <v>2</v>
      </c>
      <c r="D24" s="172" t="n">
        <v>0</v>
      </c>
      <c r="E24" s="172" t="n">
        <v>0</v>
      </c>
      <c r="F24" s="172" t="n">
        <v>0</v>
      </c>
      <c r="H24" s="11">
        <f>A24</f>
        <v/>
      </c>
      <c r="I24" s="127">
        <f>IF(J24="","",SUM(J24:M24))</f>
        <v/>
      </c>
      <c r="J24" s="127" t="n">
        <v>6008.52</v>
      </c>
      <c r="K24" s="127" t="n">
        <v>2586.01</v>
      </c>
      <c r="L24" s="127" t="n">
        <v>528.05</v>
      </c>
      <c r="M24" s="127" t="n">
        <v>383.46</v>
      </c>
      <c r="O24" s="11">
        <f>H24</f>
        <v/>
      </c>
      <c r="P24" s="31">
        <f>IF(I24="","",I24/消费汇总!I25)</f>
        <v/>
      </c>
      <c r="Q24" s="31">
        <f>IF(J24="","",J24/二级地市消费汇总!C26)</f>
        <v/>
      </c>
      <c r="R24" s="31">
        <f>IF(K24="","",新单数据!K24/二级地市消费汇总!M26)</f>
        <v/>
      </c>
      <c r="S24" s="31">
        <f>IF(L24="","",L24/二级地市消费汇总!W26)</f>
        <v/>
      </c>
      <c r="T24" s="31">
        <f>IF(M24="","",M24/二级地市消费汇总!AG26)</f>
        <v/>
      </c>
      <c r="V24" s="11">
        <f>O24</f>
        <v/>
      </c>
      <c r="W24" s="173">
        <f>IF(X24="","",SUM(X24:AA24))</f>
        <v/>
      </c>
      <c r="X24" s="37" t="n">
        <v>1</v>
      </c>
      <c r="Y24" s="37" t="n">
        <v>0</v>
      </c>
      <c r="Z24" s="37" t="n">
        <v>0</v>
      </c>
      <c r="AA24" s="37" t="n">
        <v>0</v>
      </c>
    </row>
    <row r="25">
      <c r="A25" s="11" t="n">
        <v>45127</v>
      </c>
      <c r="B25" s="127">
        <f>IF(C25="","",SUM(C25:F25))</f>
        <v/>
      </c>
      <c r="C25" s="172" t="n">
        <v>2</v>
      </c>
      <c r="D25" s="172" t="n">
        <v>1</v>
      </c>
      <c r="E25" s="172" t="n">
        <v>2</v>
      </c>
      <c r="F25" s="172" t="n">
        <v>0</v>
      </c>
      <c r="H25" s="11">
        <f>A25</f>
        <v/>
      </c>
      <c r="I25" s="127">
        <f>IF(J25="","",SUM(J25:M25))</f>
        <v/>
      </c>
      <c r="J25" s="127" t="n">
        <v>5618.41</v>
      </c>
      <c r="K25" s="127" t="n">
        <v>2052.02</v>
      </c>
      <c r="L25" s="127" t="n">
        <v>708.83</v>
      </c>
      <c r="M25" s="127" t="n">
        <v>647.98</v>
      </c>
      <c r="O25" s="11">
        <f>H25</f>
        <v/>
      </c>
      <c r="P25" s="31">
        <f>IF(I25="","",I25/消费汇总!I26)</f>
        <v/>
      </c>
      <c r="Q25" s="31">
        <f>IF(J25="","",J25/二级地市消费汇总!C27)</f>
        <v/>
      </c>
      <c r="R25" s="31">
        <f>IF(K25="","",新单数据!K25/二级地市消费汇总!M27)</f>
        <v/>
      </c>
      <c r="S25" s="31">
        <f>IF(L25="","",L25/二级地市消费汇总!W27)</f>
        <v/>
      </c>
      <c r="T25" s="31">
        <f>IF(M25="","",M25/二级地市消费汇总!AG27)</f>
        <v/>
      </c>
      <c r="V25" s="11">
        <f>O25</f>
        <v/>
      </c>
      <c r="W25" s="173">
        <f>IF(X25="","",SUM(X25:AA25))</f>
        <v/>
      </c>
      <c r="X25" s="37" t="n">
        <v>0</v>
      </c>
      <c r="Y25" s="37" t="n">
        <v>0</v>
      </c>
      <c r="Z25" s="37" t="n">
        <v>0</v>
      </c>
      <c r="AA25" s="37" t="n">
        <v>0</v>
      </c>
    </row>
    <row r="26">
      <c r="A26" s="11" t="n">
        <v>45128</v>
      </c>
      <c r="B26" s="127">
        <f>IF(C26="","",SUM(C26:F26))</f>
        <v/>
      </c>
      <c r="C26" s="172" t="n">
        <v>2</v>
      </c>
      <c r="D26" s="172" t="n">
        <v>1</v>
      </c>
      <c r="E26" s="172" t="n">
        <v>0</v>
      </c>
      <c r="F26" s="172" t="n">
        <v>0</v>
      </c>
      <c r="H26" s="11">
        <f>A26</f>
        <v/>
      </c>
      <c r="I26" s="127">
        <f>IF(J26="","",SUM(J26:M26))</f>
        <v/>
      </c>
      <c r="J26" s="127" t="n">
        <v>6448.37</v>
      </c>
      <c r="K26" s="127" t="n">
        <v>2439.75</v>
      </c>
      <c r="L26" s="127" t="n">
        <v>786.41</v>
      </c>
      <c r="M26" s="127" t="n">
        <v>722.41</v>
      </c>
      <c r="O26" s="11">
        <f>H26</f>
        <v/>
      </c>
      <c r="P26" s="31">
        <f>IF(I26="","",I26/消费汇总!I27)</f>
        <v/>
      </c>
      <c r="Q26" s="31">
        <f>IF(J26="","",J26/二级地市消费汇总!C28)</f>
        <v/>
      </c>
      <c r="R26" s="31">
        <f>IF(K26="","",新单数据!K26/二级地市消费汇总!M28)</f>
        <v/>
      </c>
      <c r="S26" s="31">
        <f>IF(L26="","",L26/二级地市消费汇总!W28)</f>
        <v/>
      </c>
      <c r="T26" s="31">
        <f>IF(M26="","",M26/二级地市消费汇总!AG28)</f>
        <v/>
      </c>
      <c r="V26" s="11">
        <f>O26</f>
        <v/>
      </c>
      <c r="W26" s="173">
        <f>IF(X26="","",SUM(X26:AA26))</f>
        <v/>
      </c>
      <c r="X26" s="37" t="n">
        <v>0</v>
      </c>
      <c r="Y26" s="37" t="n">
        <v>0</v>
      </c>
      <c r="Z26" s="37" t="n">
        <v>0</v>
      </c>
      <c r="AA26" s="37" t="n">
        <v>0</v>
      </c>
    </row>
    <row r="27">
      <c r="A27" s="11" t="n">
        <v>45129</v>
      </c>
      <c r="B27" s="127">
        <f>IF(C27="","",SUM(C27:F27))</f>
        <v/>
      </c>
      <c r="C27" s="172" t="n">
        <v>0</v>
      </c>
      <c r="D27" s="172" t="n">
        <v>0</v>
      </c>
      <c r="E27" s="172" t="n">
        <v>0</v>
      </c>
      <c r="F27" s="172" t="n">
        <v>0</v>
      </c>
      <c r="H27" s="11">
        <f>A27</f>
        <v/>
      </c>
      <c r="I27" s="127">
        <f>IF(J27="","",SUM(J27:M27))</f>
        <v/>
      </c>
      <c r="J27" s="127" t="n">
        <v>5835.82</v>
      </c>
      <c r="K27" s="127" t="n">
        <v>2246.63</v>
      </c>
      <c r="L27" s="127" t="n">
        <v>692.75</v>
      </c>
      <c r="M27" s="127" t="n">
        <v>424.95</v>
      </c>
      <c r="O27" s="11">
        <f>H27</f>
        <v/>
      </c>
      <c r="P27" s="31">
        <f>IF(I27="","",I27/消费汇总!I28)</f>
        <v/>
      </c>
      <c r="Q27" s="31">
        <f>IF(J27="","",J27/二级地市消费汇总!C29)</f>
        <v/>
      </c>
      <c r="R27" s="31">
        <f>IF(K27="","",新单数据!K27/二级地市消费汇总!M29)</f>
        <v/>
      </c>
      <c r="S27" s="31">
        <f>IF(L27="","",L27/二级地市消费汇总!W29)</f>
        <v/>
      </c>
      <c r="T27" s="31">
        <f>IF(M27="","",M27/二级地市消费汇总!AG29)</f>
        <v/>
      </c>
      <c r="V27" s="11">
        <f>O27</f>
        <v/>
      </c>
      <c r="W27" s="173">
        <f>IF(X27="","",SUM(X27:AA27))</f>
        <v/>
      </c>
      <c r="X27" s="37" t="n">
        <v>0</v>
      </c>
      <c r="Y27" s="37" t="n">
        <v>0</v>
      </c>
      <c r="Z27" s="37" t="n">
        <v>0</v>
      </c>
      <c r="AA27" s="37" t="n">
        <v>0</v>
      </c>
    </row>
    <row r="28">
      <c r="A28" s="11" t="n">
        <v>45130</v>
      </c>
      <c r="B28" s="127">
        <f>IF(C28="","",SUM(C28:F28))</f>
        <v/>
      </c>
      <c r="C28" s="172" t="n">
        <v>0</v>
      </c>
      <c r="D28" s="172" t="n">
        <v>0</v>
      </c>
      <c r="E28" s="172" t="n">
        <v>0</v>
      </c>
      <c r="F28" s="172" t="n">
        <v>0</v>
      </c>
      <c r="H28" s="11">
        <f>A28</f>
        <v/>
      </c>
      <c r="I28" s="127">
        <f>IF(J28="","",SUM(J28:M28))</f>
        <v/>
      </c>
      <c r="J28" s="127" t="n">
        <v>6432.64</v>
      </c>
      <c r="K28" s="127" t="n">
        <v>1792.51</v>
      </c>
      <c r="L28" s="127" t="n">
        <v>755.58</v>
      </c>
      <c r="M28" s="127" t="n">
        <v>502.74</v>
      </c>
      <c r="O28" s="11">
        <f>H28</f>
        <v/>
      </c>
      <c r="P28" s="31">
        <f>IF(I28="","",I28/消费汇总!I29)</f>
        <v/>
      </c>
      <c r="Q28" s="31">
        <f>IF(J28="","",J28/二级地市消费汇总!C30)</f>
        <v/>
      </c>
      <c r="R28" s="31">
        <f>IF(K28="","",新单数据!K28/二级地市消费汇总!M30)</f>
        <v/>
      </c>
      <c r="S28" s="31">
        <f>IF(L28="","",L28/二级地市消费汇总!W30)</f>
        <v/>
      </c>
      <c r="T28" s="31">
        <f>IF(M28="","",M28/二级地市消费汇总!AG30)</f>
        <v/>
      </c>
      <c r="V28" s="11">
        <f>O28</f>
        <v/>
      </c>
      <c r="W28" s="173">
        <f>IF(X28="","",SUM(X28:AA28))</f>
        <v/>
      </c>
      <c r="X28" s="37" t="n">
        <v>1</v>
      </c>
      <c r="Y28" s="37" t="n">
        <v>0</v>
      </c>
      <c r="Z28" s="37" t="n">
        <v>0</v>
      </c>
      <c r="AA28" s="37" t="n">
        <v>0</v>
      </c>
    </row>
    <row r="29">
      <c r="A29" s="11" t="n">
        <v>45131</v>
      </c>
      <c r="B29" s="127">
        <f>IF(C29="","",SUM(C29:F29))</f>
        <v/>
      </c>
      <c r="C29" s="172" t="n">
        <v>0</v>
      </c>
      <c r="D29" s="172" t="n">
        <v>0</v>
      </c>
      <c r="E29" s="172" t="n">
        <v>0</v>
      </c>
      <c r="F29" s="172" t="n">
        <v>0</v>
      </c>
      <c r="H29" s="11">
        <f>A29</f>
        <v/>
      </c>
      <c r="I29" s="127">
        <f>IF(J29="","",SUM(J29:M29))</f>
        <v/>
      </c>
      <c r="J29" s="127" t="n">
        <v>6292.85</v>
      </c>
      <c r="K29" s="127" t="n">
        <v>1638.14</v>
      </c>
      <c r="L29" s="127" t="n">
        <v>851.61</v>
      </c>
      <c r="M29" s="127" t="n">
        <v>1168.36</v>
      </c>
      <c r="O29" s="11">
        <f>H29</f>
        <v/>
      </c>
      <c r="P29" s="31">
        <f>IF(I29="","",I29/消费汇总!I30)</f>
        <v/>
      </c>
      <c r="Q29" s="31">
        <f>IF(J29="","",J29/二级地市消费汇总!C31)</f>
        <v/>
      </c>
      <c r="R29" s="31">
        <f>IF(K29="","",新单数据!K29/二级地市消费汇总!M31)</f>
        <v/>
      </c>
      <c r="S29" s="31">
        <f>IF(L29="","",L29/二级地市消费汇总!W31)</f>
        <v/>
      </c>
      <c r="T29" s="31">
        <f>IF(M29="","",M29/二级地市消费汇总!AG31)</f>
        <v/>
      </c>
      <c r="V29" s="11">
        <f>O29</f>
        <v/>
      </c>
      <c r="W29" s="173">
        <f>IF(X29="","",SUM(X29:AA29))</f>
        <v/>
      </c>
      <c r="X29" s="37" t="n">
        <v>0</v>
      </c>
      <c r="Y29" s="37" t="n">
        <v>0</v>
      </c>
      <c r="Z29" s="37" t="n">
        <v>0</v>
      </c>
      <c r="AA29" s="37" t="n">
        <v>0</v>
      </c>
    </row>
    <row r="30">
      <c r="A30" s="11" t="n">
        <v>45132</v>
      </c>
      <c r="B30" s="175">
        <f>IF(C30="","",SUM(C30:F30))</f>
        <v/>
      </c>
      <c r="C30" s="176" t="n">
        <v>1</v>
      </c>
      <c r="D30" s="176" t="n">
        <v>1</v>
      </c>
      <c r="E30" s="172" t="n">
        <v>0</v>
      </c>
      <c r="F30" s="176" t="n">
        <v>0</v>
      </c>
      <c r="H30" s="11">
        <f>A30</f>
        <v/>
      </c>
      <c r="I30" s="127" t="n">
        <v>10378.64</v>
      </c>
      <c r="J30" s="127" t="n">
        <v>6661.75</v>
      </c>
      <c r="K30" s="127" t="n">
        <v>1888.78</v>
      </c>
      <c r="L30" s="127" t="n">
        <v>803.6</v>
      </c>
      <c r="M30" s="127" t="n">
        <v>1039.47</v>
      </c>
      <c r="O30" s="11">
        <f>H30</f>
        <v/>
      </c>
      <c r="P30" s="31">
        <f>IF(I30="","",I30/消费汇总!I31)</f>
        <v/>
      </c>
      <c r="Q30" s="31">
        <f>IF(J30="","",J30/二级地市消费汇总!C32)</f>
        <v/>
      </c>
      <c r="R30" s="31">
        <f>IF(K30="","",新单数据!K30/二级地市消费汇总!M32)</f>
        <v/>
      </c>
      <c r="S30" s="31">
        <f>IF(L30="","",L30/二级地市消费汇总!W32)</f>
        <v/>
      </c>
      <c r="T30" s="31">
        <f>IF(M30="","",M30/二级地市消费汇总!AG32)</f>
        <v/>
      </c>
      <c r="V30" s="11">
        <f>O30</f>
        <v/>
      </c>
      <c r="W30" s="173">
        <f>IF(X30="","",SUM(X30:AA30))</f>
        <v/>
      </c>
      <c r="X30" s="37" t="n">
        <v>0</v>
      </c>
      <c r="Y30" s="37" t="n">
        <v>0</v>
      </c>
      <c r="Z30" s="37" t="n">
        <v>0</v>
      </c>
      <c r="AA30" s="37" t="n">
        <v>0</v>
      </c>
    </row>
    <row r="31">
      <c r="A31" s="11" t="n">
        <v>45133</v>
      </c>
      <c r="B31" s="127">
        <f>IF(C31="","",SUM(C31:F31))</f>
        <v/>
      </c>
      <c r="C31" s="172" t="n">
        <v>4</v>
      </c>
      <c r="D31" s="172" t="n">
        <v>1</v>
      </c>
      <c r="E31" s="172" t="n">
        <v>0</v>
      </c>
      <c r="F31" s="172" t="n">
        <v>0</v>
      </c>
      <c r="H31" s="11">
        <f>A31</f>
        <v/>
      </c>
      <c r="I31" s="168" t="n">
        <v>9787.969999999999</v>
      </c>
      <c r="J31" s="127" t="n">
        <v>5604.43</v>
      </c>
      <c r="K31" s="127" t="n">
        <v>2502.63</v>
      </c>
      <c r="L31" s="127" t="n">
        <v>686.92</v>
      </c>
      <c r="M31" s="127" t="n">
        <v>1001.84</v>
      </c>
      <c r="O31" s="11">
        <f>H31</f>
        <v/>
      </c>
      <c r="P31" s="31">
        <f>IF(I31="","",I31/消费汇总!I32)</f>
        <v/>
      </c>
      <c r="Q31" s="31">
        <f>IF(J31="","",J31/二级地市消费汇总!C33)</f>
        <v/>
      </c>
      <c r="R31" s="31">
        <f>IF(K31="","",新单数据!K31/二级地市消费汇总!M33)</f>
        <v/>
      </c>
      <c r="S31" s="31">
        <f>IF(L31="","",L31/二级地市消费汇总!W33)</f>
        <v/>
      </c>
      <c r="T31" s="31">
        <f>IF(M31="","",M31/二级地市消费汇总!AG33)</f>
        <v/>
      </c>
      <c r="V31" s="11">
        <f>O31</f>
        <v/>
      </c>
      <c r="W31" s="173">
        <f>IF(X31="","",SUM(X31:AA31))</f>
        <v/>
      </c>
      <c r="X31" s="177" t="n">
        <v>0</v>
      </c>
      <c r="Y31" s="37" t="n">
        <v>0</v>
      </c>
      <c r="Z31" s="37" t="n">
        <v>0</v>
      </c>
      <c r="AA31" s="37" t="n">
        <v>0</v>
      </c>
      <c r="AB31" s="37" t="n"/>
    </row>
    <row r="32">
      <c r="A32" s="11" t="n">
        <v>45134</v>
      </c>
      <c r="B32" s="127">
        <f>IF(C32="","",SUM(C32:F32))</f>
        <v/>
      </c>
      <c r="C32" s="172" t="n">
        <v>0</v>
      </c>
      <c r="D32" s="172" t="n">
        <v>0</v>
      </c>
      <c r="E32" s="172" t="n">
        <v>1</v>
      </c>
      <c r="F32" s="172" t="n">
        <v>0</v>
      </c>
      <c r="H32" s="11">
        <f>A32</f>
        <v/>
      </c>
      <c r="I32" s="127">
        <f>IF(J32="","",SUM(J32:M32))</f>
        <v/>
      </c>
      <c r="J32" s="127" t="n">
        <v>5733.9</v>
      </c>
      <c r="K32" s="127" t="n">
        <v>2656</v>
      </c>
      <c r="L32" s="127" t="n">
        <v>813.09</v>
      </c>
      <c r="M32" s="127" t="n">
        <v>784.92</v>
      </c>
      <c r="O32" s="11">
        <f>H32</f>
        <v/>
      </c>
      <c r="P32" s="31">
        <f>IF(I32="","",I32/消费汇总!I33)</f>
        <v/>
      </c>
      <c r="Q32" s="31">
        <f>IF(J32="","",J32/二级地市消费汇总!C34)</f>
        <v/>
      </c>
      <c r="R32" s="31">
        <f>IF(K32="","",新单数据!K32/二级地市消费汇总!M34)</f>
        <v/>
      </c>
      <c r="S32" s="31">
        <f>IF(L32="","",L32/二级地市消费汇总!W34)</f>
        <v/>
      </c>
      <c r="T32" s="31">
        <f>IF(M32="","",M32/二级地市消费汇总!AG34)</f>
        <v/>
      </c>
      <c r="V32" s="11">
        <f>O32</f>
        <v/>
      </c>
      <c r="W32" s="173">
        <f>IF(X32="","",SUM(X32:AA32))</f>
        <v/>
      </c>
      <c r="X32" s="37" t="n">
        <v>0</v>
      </c>
      <c r="Y32" s="37" t="n">
        <v>0</v>
      </c>
      <c r="Z32" s="37" t="n">
        <v>0</v>
      </c>
      <c r="AA32" s="37" t="n">
        <v>0</v>
      </c>
    </row>
    <row r="33">
      <c r="A33" s="11" t="n">
        <v>45135</v>
      </c>
      <c r="B33" s="127">
        <f>IF(C33="","",SUM(C33:F33))</f>
        <v/>
      </c>
      <c r="C33" s="172" t="n">
        <v>1</v>
      </c>
      <c r="D33" s="172" t="n">
        <v>0</v>
      </c>
      <c r="E33" s="172" t="n">
        <v>0</v>
      </c>
      <c r="F33" s="172" t="n">
        <v>0</v>
      </c>
      <c r="H33" s="11">
        <f>A33</f>
        <v/>
      </c>
      <c r="I33" s="127">
        <f>IF(J33="","",SUM(J33:M33))</f>
        <v/>
      </c>
      <c r="J33" s="127" t="n">
        <v>5976.77</v>
      </c>
      <c r="K33" s="127" t="n">
        <v>2313.57</v>
      </c>
      <c r="L33" s="127" t="n">
        <v>692.15</v>
      </c>
      <c r="M33" s="127" t="n">
        <v>562.4</v>
      </c>
      <c r="O33" s="11">
        <f>H33</f>
        <v/>
      </c>
      <c r="P33" s="31">
        <f>IF(I33="","",I33/消费汇总!I34)</f>
        <v/>
      </c>
      <c r="Q33" s="31">
        <f>IF(J33="","",J33/二级地市消费汇总!C35)</f>
        <v/>
      </c>
      <c r="R33" s="31">
        <f>IF(K33="","",新单数据!K33/二级地市消费汇总!M35)</f>
        <v/>
      </c>
      <c r="S33" s="31">
        <f>IF(L33="","",L33/二级地市消费汇总!W35)</f>
        <v/>
      </c>
      <c r="T33" s="31">
        <f>IF(M33="","",M33/二级地市消费汇总!AG35)</f>
        <v/>
      </c>
      <c r="V33" s="11">
        <f>O33</f>
        <v/>
      </c>
      <c r="W33" s="173">
        <f>IF(X33="","",SUM(X33:AA33))</f>
        <v/>
      </c>
      <c r="X33" s="37" t="n">
        <v>0</v>
      </c>
      <c r="Y33" s="37" t="n">
        <v>0</v>
      </c>
      <c r="Z33" s="37" t="n">
        <v>0</v>
      </c>
      <c r="AA33" s="37" t="n">
        <v>0</v>
      </c>
    </row>
    <row r="34">
      <c r="A34" s="11" t="n">
        <v>45136</v>
      </c>
      <c r="B34" s="127">
        <f>IF(C34="","",SUM(C34:F34))</f>
        <v/>
      </c>
      <c r="C34" s="172" t="n">
        <v>1</v>
      </c>
      <c r="D34" s="172" t="n">
        <v>0</v>
      </c>
      <c r="E34" s="172" t="n">
        <v>0</v>
      </c>
      <c r="F34" s="172" t="n">
        <v>0</v>
      </c>
      <c r="H34" s="11">
        <f>A34</f>
        <v/>
      </c>
      <c r="I34" s="127">
        <f>IF(J34="","",SUM(J34:M34))</f>
        <v/>
      </c>
      <c r="J34" s="127" t="n">
        <v>9577.99</v>
      </c>
      <c r="K34" s="127" t="n">
        <v>2082.49</v>
      </c>
      <c r="L34" s="127" t="n">
        <v>725.23</v>
      </c>
      <c r="M34" s="127" t="n">
        <v>687.34</v>
      </c>
      <c r="O34" s="11">
        <f>H34</f>
        <v/>
      </c>
      <c r="P34" s="31">
        <f>IF(I34="","",I34/消费汇总!I35)</f>
        <v/>
      </c>
      <c r="Q34" s="31">
        <f>IF(J34="","",J34/二级地市消费汇总!C36)</f>
        <v/>
      </c>
      <c r="R34" s="31">
        <f>IF(K34="","",新单数据!K34/二级地市消费汇总!M36)</f>
        <v/>
      </c>
      <c r="S34" s="31">
        <f>IF(L34="","",L34/二级地市消费汇总!W36)</f>
        <v/>
      </c>
      <c r="T34" s="31">
        <f>IF(M34="","",M34/二级地市消费汇总!AG36)</f>
        <v/>
      </c>
      <c r="V34" s="11">
        <f>O34</f>
        <v/>
      </c>
      <c r="W34" s="173">
        <f>IF(X34="","",SUM(X34:AA34))</f>
        <v/>
      </c>
      <c r="X34" s="37" t="n">
        <v>0</v>
      </c>
      <c r="Y34" s="37" t="n">
        <v>0</v>
      </c>
      <c r="Z34" s="37" t="n">
        <v>0</v>
      </c>
      <c r="AA34" s="37" t="n">
        <v>0</v>
      </c>
    </row>
    <row r="35">
      <c r="A35" s="11" t="n">
        <v>45137</v>
      </c>
      <c r="B35" s="127">
        <f>IF(C35="","",SUM(C35:F35))</f>
        <v/>
      </c>
      <c r="C35" s="172" t="n">
        <v>0</v>
      </c>
      <c r="D35" s="172" t="n">
        <v>0</v>
      </c>
      <c r="E35" s="172" t="n">
        <v>0</v>
      </c>
      <c r="F35" s="172" t="n">
        <v>0</v>
      </c>
      <c r="H35" s="11">
        <f>A35</f>
        <v/>
      </c>
      <c r="I35" s="127">
        <f>IF(J35="","",SUM(J35:M35))</f>
        <v/>
      </c>
      <c r="J35" s="127" t="n">
        <v>9448.15</v>
      </c>
      <c r="K35" s="127" t="n">
        <v>1847.99</v>
      </c>
      <c r="L35" s="127" t="n">
        <v>626.6900000000001</v>
      </c>
      <c r="M35" s="127" t="n">
        <v>543.1900000000001</v>
      </c>
      <c r="O35" s="11">
        <f>H35</f>
        <v/>
      </c>
      <c r="P35" s="31">
        <f>IF(I35="","",I35/消费汇总!I36)</f>
        <v/>
      </c>
      <c r="Q35" s="31">
        <f>IF(J35="","",J35/二级地市消费汇总!C37)</f>
        <v/>
      </c>
      <c r="R35" s="31">
        <f>IF(K35="","",新单数据!K35/二级地市消费汇总!M37)</f>
        <v/>
      </c>
      <c r="S35" s="31">
        <f>IF(L35="","",L35/二级地市消费汇总!W37)</f>
        <v/>
      </c>
      <c r="T35" s="31">
        <f>IF(M35="","",M35/二级地市消费汇总!AG37)</f>
        <v/>
      </c>
      <c r="V35" s="11">
        <f>O35</f>
        <v/>
      </c>
      <c r="W35" s="173">
        <f>IF(X35="","",SUM(X35:AA35))</f>
        <v/>
      </c>
      <c r="X35" s="37" t="n">
        <v>0</v>
      </c>
      <c r="Y35" s="37" t="n">
        <v>0</v>
      </c>
      <c r="Z35" s="37" t="n">
        <v>0</v>
      </c>
      <c r="AA35" s="37" t="n">
        <v>0</v>
      </c>
    </row>
    <row r="36">
      <c r="A36" s="11" t="n">
        <v>45138</v>
      </c>
      <c r="B36" s="127">
        <f>IF(C36="","",SUM(C36:F36))</f>
        <v/>
      </c>
      <c r="C36" s="172" t="n">
        <v>0</v>
      </c>
      <c r="D36" s="172" t="n">
        <v>1</v>
      </c>
      <c r="E36" s="172" t="n">
        <v>1</v>
      </c>
      <c r="F36" s="172" t="n">
        <v>0</v>
      </c>
      <c r="H36" s="11">
        <f>A36</f>
        <v/>
      </c>
      <c r="I36" s="127">
        <f>IF(J36="","",SUM(J36:M36))</f>
        <v/>
      </c>
      <c r="J36" s="127" t="n">
        <v>6897.18</v>
      </c>
      <c r="K36" s="127" t="n">
        <v>2136.18</v>
      </c>
      <c r="L36" s="127" t="n">
        <v>1021.29</v>
      </c>
      <c r="M36" s="127" t="n">
        <v>700.36</v>
      </c>
      <c r="O36" s="11">
        <f>H36</f>
        <v/>
      </c>
      <c r="P36" s="31">
        <f>IF(I36="","",I36/消费汇总!I37)</f>
        <v/>
      </c>
      <c r="Q36" s="31">
        <f>IF(J36="","",J36/二级地市消费汇总!C38)</f>
        <v/>
      </c>
      <c r="R36" s="31">
        <f>IF(K36="","",新单数据!K36/二级地市消费汇总!M38)</f>
        <v/>
      </c>
      <c r="S36" s="31">
        <f>IF(L36="","",L36/二级地市消费汇总!W38)</f>
        <v/>
      </c>
      <c r="T36" s="31">
        <f>IF(M36="","",M36/二级地市消费汇总!AG38)</f>
        <v/>
      </c>
      <c r="V36" s="11">
        <f>O36</f>
        <v/>
      </c>
      <c r="W36" s="173">
        <f>IF(X36="","",SUM(X36:AA36))</f>
        <v/>
      </c>
      <c r="X36" s="37" t="n">
        <v>0</v>
      </c>
      <c r="Y36" s="37" t="n">
        <v>0</v>
      </c>
      <c r="Z36" s="37" t="n">
        <v>0</v>
      </c>
      <c r="AA36" s="37" t="n">
        <v>0</v>
      </c>
    </row>
    <row r="37">
      <c r="A37" s="11" t="n">
        <v>45139</v>
      </c>
      <c r="B37" s="127">
        <f>IF(C37="","",SUM(C37:F37))</f>
        <v/>
      </c>
      <c r="C37" s="172" t="n">
        <v>1</v>
      </c>
      <c r="D37" s="172" t="n">
        <v>1</v>
      </c>
      <c r="E37" s="172" t="n">
        <v>0</v>
      </c>
      <c r="F37" s="172" t="n">
        <v>0</v>
      </c>
      <c r="H37" s="11">
        <f>A37</f>
        <v/>
      </c>
      <c r="I37" s="127">
        <f>IF(J37="","",SUM(J37:M37))</f>
        <v/>
      </c>
      <c r="J37" s="127" t="n">
        <v>7520.22</v>
      </c>
      <c r="K37" s="127" t="n">
        <v>2804.05</v>
      </c>
      <c r="L37" s="127" t="n">
        <v>786.54</v>
      </c>
      <c r="M37" s="127" t="n">
        <v>706.08</v>
      </c>
      <c r="O37" s="11">
        <f>H37</f>
        <v/>
      </c>
      <c r="P37" s="31">
        <f>IF(I37="","",I37/消费汇总!I38)</f>
        <v/>
      </c>
      <c r="Q37" s="31">
        <f>IF(J37="","",J37/二级地市消费汇总!C39)</f>
        <v/>
      </c>
      <c r="R37" s="31">
        <f>IF(K37="","",新单数据!K37/二级地市消费汇总!M39)</f>
        <v/>
      </c>
      <c r="S37" s="31">
        <f>IF(L37="","",L37/二级地市消费汇总!W39)</f>
        <v/>
      </c>
      <c r="T37" s="31">
        <f>IF(M37="","",M37/二级地市消费汇总!AG39)</f>
        <v/>
      </c>
      <c r="V37" s="11">
        <f>O37</f>
        <v/>
      </c>
      <c r="W37" s="173">
        <f>IF(X37="","",SUM(X37:AA37))</f>
        <v/>
      </c>
      <c r="X37" s="37" t="n">
        <v>0</v>
      </c>
      <c r="Y37" s="37" t="n">
        <v>0</v>
      </c>
      <c r="Z37" s="37" t="n">
        <v>0</v>
      </c>
      <c r="AA37" s="37" t="n">
        <v>0</v>
      </c>
    </row>
    <row r="38">
      <c r="A38" s="11" t="n">
        <v>45140</v>
      </c>
      <c r="B38" s="127">
        <f>IF(C38="","",SUM(C38:F38))</f>
        <v/>
      </c>
      <c r="C38" s="172" t="n">
        <v>1</v>
      </c>
      <c r="D38" s="172" t="n">
        <v>2</v>
      </c>
      <c r="E38" s="172" t="n">
        <v>0</v>
      </c>
      <c r="F38" s="172" t="n">
        <v>0</v>
      </c>
      <c r="H38" s="11">
        <f>A38</f>
        <v/>
      </c>
      <c r="I38" s="127">
        <f>IF(J38="","",SUM(J38:M38))</f>
        <v/>
      </c>
      <c r="J38" s="127" t="n">
        <v>7121.72</v>
      </c>
      <c r="K38" s="127" t="n">
        <v>4521.15</v>
      </c>
      <c r="L38" s="127" t="n">
        <v>803.01</v>
      </c>
      <c r="M38" s="127" t="n">
        <v>283.32</v>
      </c>
      <c r="O38" s="11">
        <f>H38</f>
        <v/>
      </c>
      <c r="P38" s="31">
        <f>IF(I38="","",I38/消费汇总!I39)</f>
        <v/>
      </c>
      <c r="Q38" s="31">
        <f>IF(J38="","",J38/二级地市消费汇总!C40)</f>
        <v/>
      </c>
      <c r="R38" s="31">
        <f>IF(K38="","",新单数据!K38/二级地市消费汇总!M40)</f>
        <v/>
      </c>
      <c r="S38" s="31">
        <f>IF(L38="","",L38/二级地市消费汇总!W40)</f>
        <v/>
      </c>
      <c r="T38" s="31">
        <f>IF(M38="","",M38/二级地市消费汇总!AG40)</f>
        <v/>
      </c>
      <c r="V38" s="11">
        <f>O38</f>
        <v/>
      </c>
      <c r="W38" s="173">
        <f>IF(X38="","",SUM(X38:AA38))</f>
        <v/>
      </c>
      <c r="X38" s="37" t="n">
        <v>0</v>
      </c>
      <c r="Y38" s="37" t="n">
        <v>1</v>
      </c>
      <c r="Z38" s="37" t="n">
        <v>0</v>
      </c>
      <c r="AA38" s="37" t="n">
        <v>0</v>
      </c>
    </row>
    <row r="39">
      <c r="A39" s="11" t="n">
        <v>45141</v>
      </c>
      <c r="B39" s="127">
        <f>IF(C39="","",SUM(C39:F39))</f>
        <v/>
      </c>
      <c r="C39" s="172" t="n">
        <v>3</v>
      </c>
      <c r="D39" s="172" t="n">
        <v>0</v>
      </c>
      <c r="E39" s="172" t="n">
        <v>0</v>
      </c>
      <c r="F39" s="172" t="n">
        <v>0</v>
      </c>
      <c r="H39" s="11">
        <f>A39</f>
        <v/>
      </c>
      <c r="I39" s="127">
        <f>IF(J39="","",SUM(J39:M39))</f>
        <v/>
      </c>
      <c r="J39" s="127" t="n">
        <v>8177.09</v>
      </c>
      <c r="K39" s="127" t="n">
        <v>5401.91</v>
      </c>
      <c r="L39" s="127" t="n">
        <v>968.61</v>
      </c>
      <c r="M39" s="127" t="n">
        <v>438.27</v>
      </c>
      <c r="O39" s="11">
        <f>H39</f>
        <v/>
      </c>
      <c r="P39" s="31">
        <f>IF(I39="","",I39/消费汇总!I40)</f>
        <v/>
      </c>
      <c r="Q39" s="31">
        <f>IF(J39="","",J39/二级地市消费汇总!C41)</f>
        <v/>
      </c>
      <c r="R39" s="31">
        <f>IF(K39="","",新单数据!K39/二级地市消费汇总!M41)</f>
        <v/>
      </c>
      <c r="S39" s="31">
        <f>IF(L39="","",L39/二级地市消费汇总!W41)</f>
        <v/>
      </c>
      <c r="T39" s="31">
        <f>IF(M39="","",M39/二级地市消费汇总!AG41)</f>
        <v/>
      </c>
      <c r="V39" s="11">
        <f>O39</f>
        <v/>
      </c>
      <c r="W39" s="173">
        <f>IF(X39="","",SUM(X39:AA39))</f>
        <v/>
      </c>
      <c r="X39" s="37" t="n">
        <v>0</v>
      </c>
      <c r="Y39" s="37" t="n">
        <v>0</v>
      </c>
      <c r="Z39" s="37" t="n">
        <v>0</v>
      </c>
      <c r="AA39" s="37" t="n">
        <v>0</v>
      </c>
    </row>
    <row r="40">
      <c r="A40" s="11" t="n">
        <v>45142</v>
      </c>
      <c r="B40" s="127">
        <f>IF(C40="","",SUM(C40:F40))</f>
        <v/>
      </c>
      <c r="C40" s="172" t="n">
        <v>1</v>
      </c>
      <c r="D40" s="172" t="n">
        <v>0</v>
      </c>
      <c r="E40" s="172" t="n">
        <v>0</v>
      </c>
      <c r="F40" s="172" t="n">
        <v>0</v>
      </c>
      <c r="H40" s="11">
        <f>A40</f>
        <v/>
      </c>
      <c r="I40" s="127">
        <f>IF(J40="","",SUM(J40:M40))</f>
        <v/>
      </c>
      <c r="J40" s="127" t="n">
        <v>9228.450000000001</v>
      </c>
      <c r="K40" s="127" t="n">
        <v>13997.19</v>
      </c>
      <c r="L40" s="127" t="n">
        <v>599.49</v>
      </c>
      <c r="M40" s="127" t="n">
        <v>596.8</v>
      </c>
      <c r="O40" s="11">
        <f>H40</f>
        <v/>
      </c>
      <c r="P40" s="31">
        <f>IF(I40="","",I40/消费汇总!I41)</f>
        <v/>
      </c>
      <c r="Q40" s="31">
        <f>IF(J40="","",J40/二级地市消费汇总!C42)</f>
        <v/>
      </c>
      <c r="R40" s="31">
        <f>IF(K40="","",新单数据!K40/二级地市消费汇总!M42)</f>
        <v/>
      </c>
      <c r="S40" s="31">
        <f>IF(L40="","",L40/二级地市消费汇总!W42)</f>
        <v/>
      </c>
      <c r="T40" s="31">
        <f>IF(M40="","",M40/二级地市消费汇总!AG42)</f>
        <v/>
      </c>
      <c r="V40" s="11">
        <f>O40</f>
        <v/>
      </c>
      <c r="W40" s="173">
        <f>IF(X40="","",SUM(X40:AA40))</f>
        <v/>
      </c>
      <c r="X40" s="37" t="n">
        <v>0</v>
      </c>
      <c r="Y40" s="37" t="n">
        <v>0</v>
      </c>
      <c r="Z40" s="37" t="n">
        <v>0</v>
      </c>
      <c r="AA40" s="37" t="n">
        <v>0</v>
      </c>
    </row>
    <row r="41">
      <c r="A41" s="11" t="n">
        <v>45143</v>
      </c>
      <c r="B41" s="172" t="n">
        <v>0</v>
      </c>
      <c r="C41" s="172" t="n">
        <v>0</v>
      </c>
      <c r="D41" s="172" t="n">
        <v>0</v>
      </c>
      <c r="E41" s="172" t="n">
        <v>0</v>
      </c>
      <c r="F41" s="172" t="n">
        <v>0</v>
      </c>
      <c r="H41" s="11">
        <f>A41</f>
        <v/>
      </c>
      <c r="I41" s="127">
        <f>IF(J41="","",SUM(J41:M41))</f>
        <v/>
      </c>
      <c r="J41" s="127" t="n">
        <v>9775.690000000001</v>
      </c>
      <c r="K41" s="127" t="n">
        <v>27116.52</v>
      </c>
      <c r="L41" s="127" t="n">
        <v>331.03</v>
      </c>
      <c r="M41" s="127" t="n">
        <v>249.63</v>
      </c>
      <c r="O41" s="11">
        <f>H41</f>
        <v/>
      </c>
      <c r="P41" s="31">
        <f>IF(I41="","",I41/消费汇总!I42)</f>
        <v/>
      </c>
      <c r="Q41" s="31">
        <f>IF(J41="","",J41/二级地市消费汇总!C43)</f>
        <v/>
      </c>
      <c r="R41" s="31">
        <f>IF(K41="","",新单数据!K41/二级地市消费汇总!M43)</f>
        <v/>
      </c>
      <c r="S41" s="31">
        <f>IF(L41="","",L41/二级地市消费汇总!W43)</f>
        <v/>
      </c>
      <c r="T41" s="31">
        <f>IF(M41="","",M41/二级地市消费汇总!AG43)</f>
        <v/>
      </c>
      <c r="V41" s="11">
        <f>O41</f>
        <v/>
      </c>
      <c r="W41" s="173">
        <f>IF(X41="","",SUM(X41:AA41))</f>
        <v/>
      </c>
      <c r="X41" s="36" t="n">
        <v>0</v>
      </c>
      <c r="Y41" s="36" t="n">
        <v>0</v>
      </c>
      <c r="Z41" s="36" t="n">
        <v>0</v>
      </c>
      <c r="AA41" s="36" t="n">
        <v>0</v>
      </c>
    </row>
    <row r="42">
      <c r="A42" s="11" t="n">
        <v>45144</v>
      </c>
      <c r="B42" s="172" t="n">
        <v>1</v>
      </c>
      <c r="C42" s="172" t="n">
        <v>0</v>
      </c>
      <c r="D42" s="172" t="n">
        <v>0</v>
      </c>
      <c r="E42" s="172" t="n">
        <v>0</v>
      </c>
      <c r="F42" s="172" t="n">
        <v>1</v>
      </c>
      <c r="H42" s="11">
        <f>A42</f>
        <v/>
      </c>
      <c r="I42" s="127">
        <f>IF(J42="","",SUM(J42:M42))</f>
        <v/>
      </c>
      <c r="J42" s="127" t="n">
        <v>10536.92</v>
      </c>
      <c r="K42" s="127" t="n">
        <v>28339.02</v>
      </c>
      <c r="L42" s="127" t="n">
        <v>162.56</v>
      </c>
      <c r="M42" s="127" t="n">
        <v>397.91</v>
      </c>
      <c r="O42" s="11">
        <f>H42</f>
        <v/>
      </c>
      <c r="P42" s="31">
        <f>IF(I42="","",I42/消费汇总!I43)</f>
        <v/>
      </c>
      <c r="Q42" s="31">
        <f>IF(J42="","",J42/二级地市消费汇总!C44)</f>
        <v/>
      </c>
      <c r="R42" s="31">
        <f>IF(K42="","",新单数据!K42/二级地市消费汇总!M44)</f>
        <v/>
      </c>
      <c r="S42" s="31">
        <f>IF(L42="","",L42/二级地市消费汇总!W44)</f>
        <v/>
      </c>
      <c r="T42" s="31">
        <f>IF(M42="","",M42/二级地市消费汇总!AG44)</f>
        <v/>
      </c>
      <c r="V42" s="11">
        <f>O42</f>
        <v/>
      </c>
      <c r="W42" s="173">
        <f>IF(X42="","",SUM(X42:AA42))</f>
        <v/>
      </c>
      <c r="X42" s="36" t="n">
        <v>0</v>
      </c>
      <c r="Y42" s="36" t="n">
        <v>0</v>
      </c>
      <c r="Z42" s="36" t="n">
        <v>0</v>
      </c>
      <c r="AA42" s="36" t="n">
        <v>0</v>
      </c>
    </row>
    <row r="43">
      <c r="A43" s="11" t="n">
        <v>45145</v>
      </c>
      <c r="B43" s="127" t="n">
        <v>2</v>
      </c>
      <c r="C43" s="172" t="n">
        <v>1</v>
      </c>
      <c r="D43" s="172" t="n">
        <v>1</v>
      </c>
      <c r="E43" s="172" t="n">
        <v>0</v>
      </c>
      <c r="F43" s="172" t="n">
        <v>0</v>
      </c>
      <c r="H43" s="11">
        <f>A43</f>
        <v/>
      </c>
      <c r="I43" s="127">
        <f>IF(J43="","",SUM(J43:M43))</f>
        <v/>
      </c>
      <c r="J43" s="127" t="n">
        <v>11443.21</v>
      </c>
      <c r="K43" s="127" t="n">
        <v>19029.48</v>
      </c>
      <c r="L43" s="127" t="n">
        <v>592.8099999999999</v>
      </c>
      <c r="M43" s="127" t="n">
        <v>840.88</v>
      </c>
      <c r="O43" s="11">
        <f>H43</f>
        <v/>
      </c>
      <c r="P43" s="31">
        <f>IF(I43="","",I43/消费汇总!I44)</f>
        <v/>
      </c>
      <c r="Q43" s="31">
        <f>IF(J43="","",J43/二级地市消费汇总!C45)</f>
        <v/>
      </c>
      <c r="R43" s="31">
        <f>IF(K43="","",新单数据!K43/二级地市消费汇总!M45)</f>
        <v/>
      </c>
      <c r="S43" s="31">
        <f>IF(L43="","",L43/二级地市消费汇总!W45)</f>
        <v/>
      </c>
      <c r="T43" s="31">
        <f>IF(M43="","",M43/二级地市消费汇总!AG45)</f>
        <v/>
      </c>
      <c r="V43" s="11">
        <f>O43</f>
        <v/>
      </c>
      <c r="W43" s="173">
        <f>IF(X43="","",SUM(X43:AA43))</f>
        <v/>
      </c>
      <c r="X43" s="37" t="n">
        <v>0</v>
      </c>
      <c r="Y43" s="37" t="n">
        <v>0</v>
      </c>
      <c r="Z43" s="37" t="n">
        <v>0</v>
      </c>
      <c r="AA43" s="37" t="n">
        <v>0</v>
      </c>
    </row>
    <row r="44">
      <c r="A44" s="11" t="n">
        <v>45146</v>
      </c>
      <c r="B44" s="127" t="n">
        <v>2</v>
      </c>
      <c r="C44" s="172" t="n">
        <v>1</v>
      </c>
      <c r="D44" s="172" t="n">
        <v>1</v>
      </c>
      <c r="E44" s="172" t="n">
        <v>0</v>
      </c>
      <c r="F44" s="172" t="n">
        <v>0</v>
      </c>
      <c r="H44" s="11">
        <f>A44</f>
        <v/>
      </c>
      <c r="I44" s="127">
        <f>IF(J44="","",SUM(J44:M44))</f>
        <v/>
      </c>
      <c r="J44" s="127" t="n">
        <v>8491.85</v>
      </c>
      <c r="K44" s="127" t="n">
        <v>16328.57</v>
      </c>
      <c r="L44" s="127" t="n">
        <v>805.1900000000001</v>
      </c>
      <c r="M44" s="127" t="n">
        <v>613.79</v>
      </c>
      <c r="O44" s="11">
        <f>H44</f>
        <v/>
      </c>
      <c r="P44" s="31">
        <f>IF(I44="","",I44/消费汇总!I45)</f>
        <v/>
      </c>
      <c r="Q44" s="31">
        <f>IF(J44="","",J44/二级地市消费汇总!C46)</f>
        <v/>
      </c>
      <c r="R44" s="31">
        <f>IF(K44="","",新单数据!K44/二级地市消费汇总!M46)</f>
        <v/>
      </c>
      <c r="S44" s="31">
        <f>IF(L44="","",L44/二级地市消费汇总!W46)</f>
        <v/>
      </c>
      <c r="T44" s="31">
        <f>IF(M44="","",M44/二级地市消费汇总!AG46)</f>
        <v/>
      </c>
      <c r="V44" s="11">
        <f>O44</f>
        <v/>
      </c>
      <c r="W44" s="173">
        <f>IF(X44="","",SUM(X44:AA44))</f>
        <v/>
      </c>
      <c r="X44" s="37" t="n">
        <v>0</v>
      </c>
      <c r="Y44" s="37" t="n">
        <v>0</v>
      </c>
      <c r="Z44" s="37" t="n">
        <v>0</v>
      </c>
      <c r="AA44" s="37" t="n">
        <v>0</v>
      </c>
    </row>
    <row r="45">
      <c r="A45" s="11" t="n">
        <v>45147</v>
      </c>
      <c r="B45" s="127" t="n">
        <v>1</v>
      </c>
      <c r="C45" s="172" t="n">
        <v>1</v>
      </c>
      <c r="D45" s="172" t="n">
        <v>0</v>
      </c>
      <c r="E45" s="172" t="n">
        <v>0</v>
      </c>
      <c r="F45" s="172" t="n">
        <v>0</v>
      </c>
      <c r="H45" s="11">
        <f>A45</f>
        <v/>
      </c>
      <c r="I45" s="127">
        <f>IF(J45="","",SUM(J45:M45))</f>
        <v/>
      </c>
      <c r="J45" s="127" t="n">
        <v>9291.73</v>
      </c>
      <c r="K45" s="127" t="n">
        <v>18973.95</v>
      </c>
      <c r="L45" s="127" t="n">
        <v>733.97</v>
      </c>
      <c r="M45" s="127" t="n">
        <v>522.15</v>
      </c>
      <c r="O45" s="11">
        <f>H45</f>
        <v/>
      </c>
      <c r="P45" s="31">
        <f>IF(I45="","",I45/消费汇总!I46)</f>
        <v/>
      </c>
      <c r="Q45" s="31">
        <f>IF(J45="","",J45/二级地市消费汇总!C47)</f>
        <v/>
      </c>
      <c r="R45" s="31">
        <f>IF(K45="","",新单数据!K45/二级地市消费汇总!M47)</f>
        <v/>
      </c>
      <c r="S45" s="31">
        <f>IF(L45="","",L45/二级地市消费汇总!W47)</f>
        <v/>
      </c>
      <c r="T45" s="31">
        <f>IF(M45="","",M45/二级地市消费汇总!AG47)</f>
        <v/>
      </c>
      <c r="V45" s="11">
        <f>O45</f>
        <v/>
      </c>
      <c r="W45" s="173">
        <f>IF(X45="","",SUM(X45:AA45))</f>
        <v/>
      </c>
      <c r="X45" s="37" t="n">
        <v>0</v>
      </c>
      <c r="Y45" s="37" t="n">
        <v>0</v>
      </c>
      <c r="Z45" s="37" t="n">
        <v>0</v>
      </c>
      <c r="AA45" s="37" t="n">
        <v>0</v>
      </c>
    </row>
    <row r="46">
      <c r="A46" s="11" t="n">
        <v>45148</v>
      </c>
      <c r="B46" s="127" t="n">
        <v>3</v>
      </c>
      <c r="C46" s="172" t="n">
        <v>2</v>
      </c>
      <c r="D46" s="172" t="n">
        <v>1</v>
      </c>
      <c r="E46" s="172" t="n">
        <v>0</v>
      </c>
      <c r="F46" s="172" t="n">
        <v>0</v>
      </c>
      <c r="H46" s="11">
        <f>A46</f>
        <v/>
      </c>
      <c r="I46" s="127">
        <f>IF(J46="","",SUM(J46:M46))</f>
        <v/>
      </c>
      <c r="J46" s="127" t="n">
        <v>9280.24</v>
      </c>
      <c r="K46" s="127" t="n">
        <v>12523.33</v>
      </c>
      <c r="L46" s="127" t="n">
        <v>733.49</v>
      </c>
      <c r="M46" s="127" t="n">
        <v>606.0700000000001</v>
      </c>
      <c r="O46" s="11">
        <f>H46</f>
        <v/>
      </c>
      <c r="P46" s="31">
        <f>IF(I46="","",I46/消费汇总!I47)</f>
        <v/>
      </c>
      <c r="Q46" s="31">
        <f>IF(J46="","",J46/二级地市消费汇总!C48)</f>
        <v/>
      </c>
      <c r="R46" s="31">
        <f>IF(K46="","",新单数据!K46/二级地市消费汇总!M48)</f>
        <v/>
      </c>
      <c r="S46" s="31">
        <f>IF(L46="","",L46/二级地市消费汇总!W48)</f>
        <v/>
      </c>
      <c r="T46" s="31">
        <f>IF(M46="","",M46/二级地市消费汇总!AG48)</f>
        <v/>
      </c>
      <c r="V46" s="11">
        <f>O46</f>
        <v/>
      </c>
      <c r="W46" s="173">
        <f>IF(X46="","",SUM(X46:AA46))</f>
        <v/>
      </c>
      <c r="X46" s="37" t="n">
        <v>0</v>
      </c>
      <c r="Y46" s="37" t="n">
        <v>0</v>
      </c>
      <c r="Z46" s="37" t="n">
        <v>0</v>
      </c>
      <c r="AA46" s="37" t="n">
        <v>0</v>
      </c>
    </row>
    <row r="47">
      <c r="A47" s="11" t="n">
        <v>45149</v>
      </c>
      <c r="B47" s="127" t="n">
        <v>1</v>
      </c>
      <c r="C47" s="172" t="n">
        <v>1</v>
      </c>
      <c r="D47" s="172" t="n">
        <v>0</v>
      </c>
      <c r="E47" s="172" t="n">
        <v>0</v>
      </c>
      <c r="F47" s="172" t="n">
        <v>0</v>
      </c>
      <c r="H47" s="11">
        <f>A47</f>
        <v/>
      </c>
      <c r="I47" s="127">
        <f>IF(J47="","",SUM(J47:M47))</f>
        <v/>
      </c>
      <c r="J47" s="127" t="n">
        <v>9153.860000000001</v>
      </c>
      <c r="K47" s="127" t="n">
        <v>18211.78</v>
      </c>
      <c r="L47" s="127" t="n">
        <v>489.45</v>
      </c>
      <c r="M47" s="127" t="n">
        <v>480.34</v>
      </c>
      <c r="O47" s="11">
        <f>H47</f>
        <v/>
      </c>
      <c r="P47" s="31">
        <f>IF(I47="","",I47/消费汇总!I48)</f>
        <v/>
      </c>
      <c r="Q47" s="31">
        <f>IF(J47="","",J47/二级地市消费汇总!C49)</f>
        <v/>
      </c>
      <c r="R47" s="31">
        <f>IF(K47="","",新单数据!K47/二级地市消费汇总!M49)</f>
        <v/>
      </c>
      <c r="S47" s="31">
        <f>IF(L47="","",L47/二级地市消费汇总!W49)</f>
        <v/>
      </c>
      <c r="T47" s="31">
        <f>IF(M47="","",M47/二级地市消费汇总!AG49)</f>
        <v/>
      </c>
      <c r="V47" s="11">
        <f>O47</f>
        <v/>
      </c>
      <c r="W47" s="173">
        <f>IF(X47="","",SUM(X47:AA47))</f>
        <v/>
      </c>
      <c r="X47" s="37" t="n">
        <v>1</v>
      </c>
      <c r="Y47" s="37" t="n">
        <v>0</v>
      </c>
      <c r="Z47" s="37" t="n">
        <v>0</v>
      </c>
      <c r="AA47" s="37" t="n">
        <v>0</v>
      </c>
    </row>
    <row r="48">
      <c r="A48" s="11" t="n">
        <v>45150</v>
      </c>
      <c r="B48" s="127" t="n">
        <v>2</v>
      </c>
      <c r="C48" s="172" t="n">
        <v>0</v>
      </c>
      <c r="D48" s="172" t="n">
        <v>1</v>
      </c>
      <c r="E48" s="172" t="n">
        <v>1</v>
      </c>
      <c r="F48" s="172" t="n">
        <v>0</v>
      </c>
      <c r="H48" s="11">
        <f>A48</f>
        <v/>
      </c>
      <c r="I48" s="127">
        <f>IF(J48="","",SUM(J48:M48))</f>
        <v/>
      </c>
      <c r="J48" s="127" t="n">
        <v>12751.43</v>
      </c>
      <c r="K48" s="127" t="n">
        <v>19574.66</v>
      </c>
      <c r="L48" s="127" t="n">
        <v>240.85</v>
      </c>
      <c r="M48" s="127" t="n">
        <v>492.59</v>
      </c>
      <c r="O48" s="11">
        <f>H48</f>
        <v/>
      </c>
      <c r="P48" s="31">
        <f>IF(I48="","",I48/消费汇总!I49)</f>
        <v/>
      </c>
      <c r="Q48" s="31">
        <f>IF(J48="","",J48/二级地市消费汇总!C50)</f>
        <v/>
      </c>
      <c r="R48" s="31">
        <f>IF(K48="","",新单数据!K48/二级地市消费汇总!M50)</f>
        <v/>
      </c>
      <c r="S48" s="31">
        <f>IF(L48="","",L48/二级地市消费汇总!W50)</f>
        <v/>
      </c>
      <c r="T48" s="31">
        <f>IF(M48="","",M48/二级地市消费汇总!AG50)</f>
        <v/>
      </c>
      <c r="V48" s="11">
        <f>O48</f>
        <v/>
      </c>
      <c r="W48" s="173">
        <f>IF(X48="","",SUM(X48:AA48))</f>
        <v/>
      </c>
      <c r="X48" s="37" t="n">
        <v>0</v>
      </c>
      <c r="Y48" s="37" t="n">
        <v>0</v>
      </c>
      <c r="Z48" s="37" t="n">
        <v>0</v>
      </c>
      <c r="AA48" s="37" t="n">
        <v>0</v>
      </c>
    </row>
    <row r="49">
      <c r="A49" s="11" t="n">
        <v>45151</v>
      </c>
      <c r="B49" s="127" t="n">
        <v>0</v>
      </c>
      <c r="C49" s="172" t="n">
        <v>0</v>
      </c>
      <c r="D49" s="172" t="n">
        <v>0</v>
      </c>
      <c r="E49" s="172" t="n">
        <v>0</v>
      </c>
      <c r="F49" s="172" t="n">
        <v>0</v>
      </c>
      <c r="H49" s="11">
        <f>A49</f>
        <v/>
      </c>
      <c r="I49" s="127">
        <f>IF(J49="","",SUM(J49:M49))</f>
        <v/>
      </c>
      <c r="J49" s="127" t="n">
        <v>10072.7</v>
      </c>
      <c r="K49" s="127" t="n">
        <v>9374.17</v>
      </c>
      <c r="L49" s="127" t="n">
        <v>57.23</v>
      </c>
      <c r="M49" s="127" t="n">
        <v>359.03</v>
      </c>
      <c r="O49" s="11">
        <f>H49</f>
        <v/>
      </c>
      <c r="P49" s="31">
        <f>IF(I49="","",I49/消费汇总!I50)</f>
        <v/>
      </c>
      <c r="Q49" s="31">
        <f>IF(J49="","",J49/二级地市消费汇总!C51)</f>
        <v/>
      </c>
      <c r="R49" s="31">
        <f>IF(K49="","",新单数据!K49/二级地市消费汇总!M51)</f>
        <v/>
      </c>
      <c r="S49" s="31">
        <f>IF(L49="","",L49/二级地市消费汇总!W51)</f>
        <v/>
      </c>
      <c r="T49" s="31">
        <f>IF(M49="","",M49/二级地市消费汇总!AG51)</f>
        <v/>
      </c>
      <c r="V49" s="11">
        <f>O49</f>
        <v/>
      </c>
      <c r="W49" s="173">
        <f>IF(X49="","",SUM(X49:AA49))</f>
        <v/>
      </c>
      <c r="X49" s="37" t="n">
        <v>0</v>
      </c>
      <c r="Y49" s="37" t="n">
        <v>0</v>
      </c>
      <c r="Z49" s="37" t="n">
        <v>0</v>
      </c>
      <c r="AA49" s="37" t="n">
        <v>0</v>
      </c>
    </row>
    <row r="50">
      <c r="A50" s="11" t="n">
        <v>45152</v>
      </c>
      <c r="B50" s="127" t="n">
        <v>2</v>
      </c>
      <c r="C50" s="172" t="n">
        <v>1</v>
      </c>
      <c r="D50" s="172" t="n">
        <v>1</v>
      </c>
      <c r="E50" s="172" t="n">
        <v>0</v>
      </c>
      <c r="F50" s="172" t="n">
        <v>0</v>
      </c>
      <c r="H50" s="11">
        <f>A50</f>
        <v/>
      </c>
      <c r="I50" s="127">
        <f>IF(J50="","",SUM(J50:M50))</f>
        <v/>
      </c>
      <c r="J50" s="127" t="n">
        <v>10704.51</v>
      </c>
      <c r="K50" s="127" t="n">
        <v>9418.82</v>
      </c>
      <c r="L50" s="127" t="n">
        <v>468.62</v>
      </c>
      <c r="M50" s="127" t="n">
        <v>933.37</v>
      </c>
      <c r="O50" s="11">
        <f>H50</f>
        <v/>
      </c>
      <c r="P50" s="31">
        <f>IF(I50="","",I50/消费汇总!I51)</f>
        <v/>
      </c>
      <c r="Q50" s="31">
        <f>IF(J50="","",J50/二级地市消费汇总!C52)</f>
        <v/>
      </c>
      <c r="R50" s="31">
        <f>IF(K50="","",新单数据!K50/二级地市消费汇总!M52)</f>
        <v/>
      </c>
      <c r="S50" s="31">
        <f>IF(L50="","",L50/二级地市消费汇总!W52)</f>
        <v/>
      </c>
      <c r="T50" s="31">
        <f>IF(M50="","",M50/二级地市消费汇总!AG52)</f>
        <v/>
      </c>
      <c r="V50" s="11">
        <f>O50</f>
        <v/>
      </c>
      <c r="W50" s="173">
        <f>IF(X50="","",SUM(X50:AA50))</f>
        <v/>
      </c>
      <c r="X50" s="37" t="n">
        <v>0</v>
      </c>
      <c r="Y50" s="37" t="n">
        <v>0</v>
      </c>
      <c r="Z50" s="37" t="n">
        <v>0</v>
      </c>
      <c r="AA50" s="37" t="n">
        <v>0</v>
      </c>
    </row>
    <row r="51">
      <c r="A51" s="11" t="n">
        <v>45153</v>
      </c>
      <c r="B51" s="127">
        <f>IF(C51="","",SUM(C51:F51))</f>
        <v/>
      </c>
      <c r="C51" s="172" t="n">
        <v>1</v>
      </c>
      <c r="D51" s="172" t="n">
        <v>1</v>
      </c>
      <c r="E51" s="172" t="n">
        <v>0</v>
      </c>
      <c r="F51" s="172" t="n">
        <v>0</v>
      </c>
      <c r="H51" s="11">
        <f>A51</f>
        <v/>
      </c>
      <c r="I51" s="127">
        <f>IF(J51="","",SUM(J51:M51))</f>
        <v/>
      </c>
      <c r="J51" s="127" t="n">
        <v>8662.869999999999</v>
      </c>
      <c r="K51" s="127" t="n">
        <v>8384.1</v>
      </c>
      <c r="L51" s="127" t="n">
        <v>700.01</v>
      </c>
      <c r="M51" s="127" t="n">
        <v>478.3200000000001</v>
      </c>
      <c r="O51" s="11">
        <f>H51</f>
        <v/>
      </c>
      <c r="P51" s="31">
        <f>IF(I51="","",I51/消费汇总!I52)</f>
        <v/>
      </c>
      <c r="Q51" s="31">
        <f>IF(J51="","",J51/二级地市消费汇总!C53)</f>
        <v/>
      </c>
      <c r="R51" s="31">
        <f>IF(K51="","",新单数据!K51/二级地市消费汇总!M53)</f>
        <v/>
      </c>
      <c r="S51" s="31">
        <f>IF(L51="","",L51/二级地市消费汇总!W53)</f>
        <v/>
      </c>
      <c r="T51" s="31">
        <f>IF(M51="","",M51/二级地市消费汇总!AG53)</f>
        <v/>
      </c>
      <c r="V51" s="11">
        <f>O51</f>
        <v/>
      </c>
      <c r="W51" s="173">
        <f>IF(X51="","",SUM(X51:AA51))</f>
        <v/>
      </c>
      <c r="X51" s="37" t="n">
        <v>0</v>
      </c>
      <c r="Y51" s="37" t="n">
        <v>0</v>
      </c>
      <c r="Z51" s="37" t="n">
        <v>0</v>
      </c>
      <c r="AA51" s="37" t="n">
        <v>0</v>
      </c>
    </row>
    <row r="52">
      <c r="A52" s="11" t="n">
        <v>45154</v>
      </c>
      <c r="B52" s="127">
        <f>IF(C52="","",SUM(C52:F52))</f>
        <v/>
      </c>
      <c r="C52" s="172" t="n"/>
      <c r="D52" s="172" t="n"/>
      <c r="E52" s="172" t="n"/>
      <c r="F52" s="172" t="n"/>
      <c r="H52" s="11">
        <f>A52</f>
        <v/>
      </c>
      <c r="I52" s="127">
        <f>IF(J52="","",SUM(J52:M52))</f>
        <v/>
      </c>
      <c r="J52" s="127" t="n"/>
      <c r="K52" s="127" t="n"/>
      <c r="L52" s="127" t="n"/>
      <c r="M52" s="127" t="n"/>
      <c r="O52" s="11">
        <f>H52</f>
        <v/>
      </c>
      <c r="P52" s="31">
        <f>IF(I52="","",I52/消费汇总!I53)</f>
        <v/>
      </c>
      <c r="Q52" s="31">
        <f>IF(J52="","",J52/二级地市消费汇总!C54)</f>
        <v/>
      </c>
      <c r="R52" s="31">
        <f>IF(K52="","",新单数据!K52/二级地市消费汇总!M54)</f>
        <v/>
      </c>
      <c r="S52" s="31">
        <f>IF(L52="","",L52/二级地市消费汇总!W54)</f>
        <v/>
      </c>
      <c r="T52" s="31">
        <f>IF(M52="","",M52/二级地市消费汇总!AG54)</f>
        <v/>
      </c>
      <c r="V52" s="11">
        <f>O52</f>
        <v/>
      </c>
      <c r="W52" s="173">
        <f>IF(X52="","",SUM(X52:AA52))</f>
        <v/>
      </c>
      <c r="X52" s="37" t="n"/>
      <c r="Y52" s="37" t="n"/>
      <c r="Z52" s="37" t="n"/>
      <c r="AA52" s="37" t="n"/>
    </row>
    <row r="53">
      <c r="A53" s="11" t="n">
        <v>45155</v>
      </c>
      <c r="B53" s="127">
        <f>IF(C53="","",SUM(C53:F53))</f>
        <v/>
      </c>
      <c r="C53" s="172" t="n"/>
      <c r="D53" s="172" t="n"/>
      <c r="E53" s="172" t="n"/>
      <c r="F53" s="172" t="n"/>
      <c r="H53" s="11">
        <f>A53</f>
        <v/>
      </c>
      <c r="I53" s="127">
        <f>IF(J53="","",SUM(J53:M53))</f>
        <v/>
      </c>
      <c r="J53" s="127" t="n"/>
      <c r="K53" s="127" t="n"/>
      <c r="L53" s="127" t="n"/>
      <c r="M53" s="127" t="n"/>
      <c r="O53" s="11">
        <f>H53</f>
        <v/>
      </c>
      <c r="P53" s="31">
        <f>IF(I53="","",I53/消费汇总!I54)</f>
        <v/>
      </c>
      <c r="Q53" s="31">
        <f>IF(J53="","",J53/二级地市消费汇总!C55)</f>
        <v/>
      </c>
      <c r="R53" s="31">
        <f>IF(K53="","",新单数据!K53/二级地市消费汇总!M55)</f>
        <v/>
      </c>
      <c r="S53" s="31">
        <f>IF(L53="","",L53/二级地市消费汇总!W55)</f>
        <v/>
      </c>
      <c r="T53" s="31">
        <f>IF(M53="","",M53/二级地市消费汇总!AG55)</f>
        <v/>
      </c>
      <c r="V53" s="11">
        <f>O53</f>
        <v/>
      </c>
      <c r="W53" s="173">
        <f>IF(X53="","",SUM(X53:AA53))</f>
        <v/>
      </c>
      <c r="X53" s="37" t="n"/>
      <c r="Y53" s="37" t="n"/>
      <c r="Z53" s="37" t="n"/>
      <c r="AA53" s="37" t="n"/>
    </row>
    <row r="54">
      <c r="A54" s="11" t="n">
        <v>45156</v>
      </c>
      <c r="B54" s="127">
        <f>IF(C54="","",SUM(C54:F54))</f>
        <v/>
      </c>
      <c r="C54" s="172" t="n"/>
      <c r="D54" s="172" t="n"/>
      <c r="E54" s="172" t="n"/>
      <c r="F54" s="172" t="n"/>
      <c r="H54" s="11">
        <f>A54</f>
        <v/>
      </c>
      <c r="I54" s="127">
        <f>IF(J54="","",SUM(J54:M54))</f>
        <v/>
      </c>
      <c r="J54" s="127" t="n"/>
      <c r="K54" s="127" t="n"/>
      <c r="L54" s="127" t="n"/>
      <c r="M54" s="127" t="n"/>
      <c r="O54" s="11">
        <f>H54</f>
        <v/>
      </c>
      <c r="P54" s="31">
        <f>IF(I54="","",I54/消费汇总!I55)</f>
        <v/>
      </c>
      <c r="Q54" s="31">
        <f>IF(J54="","",J54/二级地市消费汇总!C56)</f>
        <v/>
      </c>
      <c r="R54" s="31">
        <f>IF(K54="","",新单数据!K54/二级地市消费汇总!M56)</f>
        <v/>
      </c>
      <c r="S54" s="31">
        <f>IF(L54="","",L54/二级地市消费汇总!W56)</f>
        <v/>
      </c>
      <c r="T54" s="31">
        <f>IF(M54="","",M54/二级地市消费汇总!AG56)</f>
        <v/>
      </c>
      <c r="V54" s="11">
        <f>O54</f>
        <v/>
      </c>
      <c r="W54" s="173">
        <f>IF(X54="","",SUM(X54:AA54))</f>
        <v/>
      </c>
      <c r="X54" s="37" t="n"/>
      <c r="Y54" s="37" t="n"/>
      <c r="Z54" s="37" t="n"/>
      <c r="AA54" s="37" t="n"/>
    </row>
    <row r="55">
      <c r="A55" s="11" t="n">
        <v>45157</v>
      </c>
      <c r="B55" s="127">
        <f>IF(C55="","",SUM(C55:F55))</f>
        <v/>
      </c>
      <c r="C55" s="172" t="n"/>
      <c r="D55" s="172" t="n"/>
      <c r="E55" s="172" t="n"/>
      <c r="F55" s="172" t="n"/>
      <c r="H55" s="11">
        <f>A55</f>
        <v/>
      </c>
      <c r="I55" s="127">
        <f>IF(J55="","",SUM(J55:M55))</f>
        <v/>
      </c>
      <c r="J55" s="127" t="n"/>
      <c r="K55" s="127" t="n"/>
      <c r="L55" s="127" t="n"/>
      <c r="M55" s="127" t="n"/>
      <c r="O55" s="11">
        <f>H55</f>
        <v/>
      </c>
      <c r="P55" s="31">
        <f>IF(I55="","",I55/消费汇总!I56)</f>
        <v/>
      </c>
      <c r="Q55" s="31">
        <f>IF(J55="","",J55/二级地市消费汇总!C57)</f>
        <v/>
      </c>
      <c r="R55" s="31">
        <f>IF(K55="","",新单数据!K55/二级地市消费汇总!M57)</f>
        <v/>
      </c>
      <c r="S55" s="31">
        <f>IF(L55="","",L55/二级地市消费汇总!W57)</f>
        <v/>
      </c>
      <c r="T55" s="31">
        <f>IF(M55="","",M55/二级地市消费汇总!AG57)</f>
        <v/>
      </c>
      <c r="V55" s="11">
        <f>O55</f>
        <v/>
      </c>
      <c r="W55" s="173">
        <f>IF(X55="","",SUM(X55:AA55))</f>
        <v/>
      </c>
      <c r="X55" s="37" t="n"/>
      <c r="Y55" s="37" t="n"/>
      <c r="Z55" s="37" t="n"/>
      <c r="AA55" s="37" t="n"/>
    </row>
    <row r="56">
      <c r="A56" s="11" t="n">
        <v>45158</v>
      </c>
      <c r="B56" s="127">
        <f>IF(C56="","",SUM(C56:F56))</f>
        <v/>
      </c>
      <c r="C56" s="172" t="n"/>
      <c r="D56" s="172" t="n"/>
      <c r="E56" s="172" t="n"/>
      <c r="F56" s="172" t="n"/>
      <c r="H56" s="11">
        <f>A56</f>
        <v/>
      </c>
      <c r="I56" s="127">
        <f>IF(J56="","",SUM(J56:M56))</f>
        <v/>
      </c>
      <c r="J56" s="127" t="n"/>
      <c r="K56" s="127" t="n"/>
      <c r="L56" s="127" t="n"/>
      <c r="M56" s="127" t="n"/>
      <c r="O56" s="11">
        <f>H56</f>
        <v/>
      </c>
      <c r="P56" s="31">
        <f>IF(I56="","",I56/消费汇总!I57)</f>
        <v/>
      </c>
      <c r="Q56" s="31">
        <f>IF(J56="","",J56/二级地市消费汇总!C58)</f>
        <v/>
      </c>
      <c r="R56" s="31">
        <f>IF(K56="","",新单数据!K56/二级地市消费汇总!M58)</f>
        <v/>
      </c>
      <c r="S56" s="31">
        <f>IF(L56="","",L56/二级地市消费汇总!W58)</f>
        <v/>
      </c>
      <c r="T56" s="31">
        <f>IF(M56="","",M56/二级地市消费汇总!AG58)</f>
        <v/>
      </c>
      <c r="V56" s="11">
        <f>O56</f>
        <v/>
      </c>
      <c r="W56" s="173">
        <f>IF(X56="","",SUM(X56:AA56))</f>
        <v/>
      </c>
      <c r="X56" s="37" t="n"/>
      <c r="Y56" s="37" t="n"/>
      <c r="Z56" s="37" t="n"/>
      <c r="AA56" s="37" t="n"/>
    </row>
    <row r="57">
      <c r="A57" s="11" t="n">
        <v>45159</v>
      </c>
      <c r="B57" s="127">
        <f>IF(C57="","",SUM(C57:F57))</f>
        <v/>
      </c>
      <c r="C57" s="172" t="n"/>
      <c r="D57" s="172" t="n"/>
      <c r="E57" s="172" t="n"/>
      <c r="F57" s="172" t="n"/>
      <c r="H57" s="11">
        <f>A57</f>
        <v/>
      </c>
      <c r="I57" s="127">
        <f>IF(J57="","",SUM(J57:M57))</f>
        <v/>
      </c>
      <c r="J57" s="127" t="n"/>
      <c r="K57" s="127" t="n"/>
      <c r="L57" s="127" t="n"/>
      <c r="M57" s="127" t="n"/>
      <c r="O57" s="11">
        <f>H57</f>
        <v/>
      </c>
      <c r="P57" s="31">
        <f>IF(I57="","",I57/消费汇总!I58)</f>
        <v/>
      </c>
      <c r="Q57" s="31">
        <f>IF(J57="","",J57/二级地市消费汇总!C59)</f>
        <v/>
      </c>
      <c r="R57" s="31">
        <f>IF(K57="","",新单数据!K57/二级地市消费汇总!M59)</f>
        <v/>
      </c>
      <c r="S57" s="31">
        <f>IF(L57="","",L57/二级地市消费汇总!W59)</f>
        <v/>
      </c>
      <c r="T57" s="31">
        <f>IF(M57="","",M57/二级地市消费汇总!AG59)</f>
        <v/>
      </c>
      <c r="V57" s="11">
        <f>O57</f>
        <v/>
      </c>
      <c r="W57" s="173">
        <f>IF(X57="","",SUM(X57:AA57))</f>
        <v/>
      </c>
      <c r="X57" s="37" t="n"/>
      <c r="Y57" s="37" t="n"/>
      <c r="Z57" s="37" t="n"/>
      <c r="AA57" s="37" t="n"/>
    </row>
    <row r="58">
      <c r="A58" s="11" t="n">
        <v>45160</v>
      </c>
      <c r="B58" s="127">
        <f>IF(C58="","",SUM(C58:F58))</f>
        <v/>
      </c>
      <c r="C58" s="172" t="n"/>
      <c r="D58" s="172" t="n"/>
      <c r="E58" s="172" t="n"/>
      <c r="F58" s="172" t="n"/>
      <c r="H58" s="11">
        <f>A58</f>
        <v/>
      </c>
      <c r="I58" s="127">
        <f>IF(J58="","",SUM(J58:M58))</f>
        <v/>
      </c>
      <c r="J58" s="127" t="n"/>
      <c r="K58" s="127" t="n"/>
      <c r="L58" s="127" t="n"/>
      <c r="M58" s="127" t="n"/>
      <c r="O58" s="11">
        <f>H58</f>
        <v/>
      </c>
      <c r="P58" s="31">
        <f>IF(I58="","",I58/消费汇总!I59)</f>
        <v/>
      </c>
      <c r="Q58" s="31">
        <f>IF(J58="","",J58/二级地市消费汇总!C60)</f>
        <v/>
      </c>
      <c r="R58" s="31">
        <f>IF(K58="","",新单数据!K58/二级地市消费汇总!M60)</f>
        <v/>
      </c>
      <c r="S58" s="31">
        <f>IF(L58="","",L58/二级地市消费汇总!W60)</f>
        <v/>
      </c>
      <c r="T58" s="31">
        <f>IF(M58="","",M58/二级地市消费汇总!AG60)</f>
        <v/>
      </c>
      <c r="V58" s="11">
        <f>O58</f>
        <v/>
      </c>
      <c r="W58" s="173">
        <f>IF(X58="","",SUM(X58:AA58))</f>
        <v/>
      </c>
      <c r="X58" s="37" t="n"/>
      <c r="Y58" s="37" t="n"/>
      <c r="Z58" s="37" t="n"/>
      <c r="AA58" s="37" t="n"/>
    </row>
    <row r="59">
      <c r="A59" s="11" t="n">
        <v>45161</v>
      </c>
      <c r="B59" s="127">
        <f>IF(C59="","",SUM(C59:F59))</f>
        <v/>
      </c>
      <c r="C59" s="172" t="n"/>
      <c r="D59" s="172" t="n"/>
      <c r="E59" s="172" t="n"/>
      <c r="F59" s="172" t="n"/>
      <c r="H59" s="11">
        <f>A59</f>
        <v/>
      </c>
      <c r="I59" s="127">
        <f>IF(J59="","",SUM(J59:M59))</f>
        <v/>
      </c>
      <c r="J59" s="127" t="n"/>
      <c r="K59" s="127" t="n"/>
      <c r="L59" s="127" t="n"/>
      <c r="M59" s="127" t="n"/>
      <c r="O59" s="11">
        <f>H59</f>
        <v/>
      </c>
      <c r="P59" s="31">
        <f>IF(I59="","",I59/消费汇总!I60)</f>
        <v/>
      </c>
      <c r="Q59" s="31">
        <f>IF(J59="","",J59/二级地市消费汇总!C61)</f>
        <v/>
      </c>
      <c r="R59" s="31">
        <f>IF(K59="","",新单数据!K59/二级地市消费汇总!M61)</f>
        <v/>
      </c>
      <c r="S59" s="31">
        <f>IF(L59="","",L59/二级地市消费汇总!W61)</f>
        <v/>
      </c>
      <c r="T59" s="31">
        <f>IF(M59="","",M59/二级地市消费汇总!AG61)</f>
        <v/>
      </c>
      <c r="V59" s="11">
        <f>O59</f>
        <v/>
      </c>
      <c r="W59" s="173">
        <f>IF(X59="","",SUM(X59:AA59))</f>
        <v/>
      </c>
      <c r="X59" s="37" t="n"/>
      <c r="Y59" s="37" t="n"/>
      <c r="Z59" s="37" t="n"/>
      <c r="AA59" s="37" t="n"/>
    </row>
    <row r="60">
      <c r="A60" s="11" t="n">
        <v>45162</v>
      </c>
      <c r="B60" s="127">
        <f>IF(C60="","",SUM(C60:F60))</f>
        <v/>
      </c>
      <c r="C60" s="172" t="n"/>
      <c r="D60" s="172" t="n"/>
      <c r="E60" s="172" t="n"/>
      <c r="F60" s="172" t="n"/>
      <c r="H60" s="11">
        <f>A60</f>
        <v/>
      </c>
      <c r="I60" s="127">
        <f>IF(J60="","",SUM(J60:M60))</f>
        <v/>
      </c>
      <c r="J60" s="127" t="n"/>
      <c r="K60" s="127" t="n"/>
      <c r="L60" s="127" t="n"/>
      <c r="M60" s="127" t="n"/>
      <c r="O60" s="11">
        <f>H60</f>
        <v/>
      </c>
      <c r="P60" s="31">
        <f>IF(I60="","",I60/消费汇总!I61)</f>
        <v/>
      </c>
      <c r="Q60" s="31">
        <f>IF(J60="","",J60/二级地市消费汇总!C62)</f>
        <v/>
      </c>
      <c r="R60" s="31">
        <f>IF(K60="","",新单数据!K60/二级地市消费汇总!M62)</f>
        <v/>
      </c>
      <c r="S60" s="31">
        <f>IF(L60="","",L60/二级地市消费汇总!W62)</f>
        <v/>
      </c>
      <c r="T60" s="31">
        <f>IF(M60="","",M60/二级地市消费汇总!AG62)</f>
        <v/>
      </c>
      <c r="V60" s="11">
        <f>O60</f>
        <v/>
      </c>
      <c r="W60" s="173">
        <f>IF(X60="","",SUM(X60:AA60))</f>
        <v/>
      </c>
      <c r="X60" s="37" t="n"/>
      <c r="Y60" s="37" t="n"/>
      <c r="Z60" s="37" t="n"/>
      <c r="AA60" s="37" t="n"/>
    </row>
    <row r="61">
      <c r="A61" s="11" t="n">
        <v>45163</v>
      </c>
      <c r="B61" s="127">
        <f>IF(C61="","",SUM(C61:F61))</f>
        <v/>
      </c>
      <c r="C61" s="172" t="n"/>
      <c r="D61" s="172" t="n"/>
      <c r="E61" s="172" t="n"/>
      <c r="F61" s="172" t="n"/>
      <c r="H61" s="11">
        <f>A61</f>
        <v/>
      </c>
      <c r="I61" s="127">
        <f>IF(J61="","",SUM(J61:M61))</f>
        <v/>
      </c>
      <c r="J61" s="127" t="n"/>
      <c r="K61" s="127" t="n"/>
      <c r="L61" s="127" t="n"/>
      <c r="M61" s="127" t="n"/>
      <c r="O61" s="11">
        <f>H61</f>
        <v/>
      </c>
      <c r="P61" s="31">
        <f>IF(I61="","",I61/消费汇总!I62)</f>
        <v/>
      </c>
      <c r="Q61" s="31">
        <f>IF(J61="","",J61/二级地市消费汇总!C63)</f>
        <v/>
      </c>
      <c r="R61" s="31">
        <f>IF(K61="","",新单数据!K61/二级地市消费汇总!M63)</f>
        <v/>
      </c>
      <c r="S61" s="31">
        <f>IF(L61="","",L61/二级地市消费汇总!W63)</f>
        <v/>
      </c>
      <c r="T61" s="31">
        <f>IF(M61="","",M61/二级地市消费汇总!AG63)</f>
        <v/>
      </c>
      <c r="V61" s="11">
        <f>O61</f>
        <v/>
      </c>
      <c r="W61" s="173">
        <f>IF(X61="","",SUM(X61:AA61))</f>
        <v/>
      </c>
      <c r="X61" s="37" t="n"/>
      <c r="Y61" s="37" t="n"/>
      <c r="Z61" s="37" t="n"/>
      <c r="AA61" s="37" t="n"/>
      <c r="AB61" s="15" t="n">
        <v>0</v>
      </c>
    </row>
    <row r="62">
      <c r="A62" s="11" t="n">
        <v>45164</v>
      </c>
      <c r="B62" s="127">
        <f>IF(C62="","",SUM(C62:F62))</f>
        <v/>
      </c>
      <c r="C62" s="172" t="n"/>
      <c r="D62" s="172" t="n"/>
      <c r="E62" s="172" t="n"/>
      <c r="F62" s="172" t="n"/>
      <c r="H62" s="11">
        <f>A62</f>
        <v/>
      </c>
      <c r="I62" s="127">
        <f>IF(J62="","",SUM(J62:M62))</f>
        <v/>
      </c>
      <c r="J62" s="127" t="n"/>
      <c r="K62" s="127" t="n"/>
      <c r="L62" s="127" t="n"/>
      <c r="M62" s="127" t="n"/>
      <c r="O62" s="11">
        <f>H62</f>
        <v/>
      </c>
      <c r="P62" s="31">
        <f>IF(I62="","",I62/消费汇总!I63)</f>
        <v/>
      </c>
      <c r="Q62" s="31">
        <f>IF(J62="","",J62/二级地市消费汇总!C64)</f>
        <v/>
      </c>
      <c r="R62" s="31">
        <f>IF(K62="","",新单数据!K62/二级地市消费汇总!M64)</f>
        <v/>
      </c>
      <c r="S62" s="31">
        <f>IF(L62="","",L62/二级地市消费汇总!W64)</f>
        <v/>
      </c>
      <c r="T62" s="31">
        <f>IF(M62="","",M62/二级地市消费汇总!AG64)</f>
        <v/>
      </c>
      <c r="V62" s="11">
        <f>O62</f>
        <v/>
      </c>
      <c r="W62" s="173">
        <f>IF(X62="","",SUM(X62:AA62))</f>
        <v/>
      </c>
      <c r="X62" s="37" t="n"/>
      <c r="Y62" s="37" t="n"/>
      <c r="Z62" s="37" t="n"/>
      <c r="AA62" s="37" t="n"/>
    </row>
    <row r="63">
      <c r="A63" s="11" t="n">
        <v>45165</v>
      </c>
      <c r="B63" s="127">
        <f>IF(C63="","",SUM(C63:F63))</f>
        <v/>
      </c>
      <c r="C63" s="172" t="n"/>
      <c r="D63" s="172" t="n"/>
      <c r="E63" s="172" t="n"/>
      <c r="F63" s="172" t="n"/>
      <c r="H63" s="11">
        <f>A63</f>
        <v/>
      </c>
      <c r="I63" s="127">
        <f>IF(J63="","",SUM(J63:M63))</f>
        <v/>
      </c>
      <c r="J63" s="127" t="n"/>
      <c r="K63" s="127" t="n"/>
      <c r="L63" s="127" t="n"/>
      <c r="M63" s="127" t="n"/>
      <c r="O63" s="11">
        <f>H63</f>
        <v/>
      </c>
      <c r="P63" s="31">
        <f>IF(I63="","",I63/消费汇总!I64)</f>
        <v/>
      </c>
      <c r="Q63" s="31">
        <f>IF(J63="","",J63/二级地市消费汇总!C65)</f>
        <v/>
      </c>
      <c r="R63" s="31">
        <f>IF(K63="","",新单数据!K63/二级地市消费汇总!M65)</f>
        <v/>
      </c>
      <c r="S63" s="31">
        <f>IF(L63="","",L63/二级地市消费汇总!W65)</f>
        <v/>
      </c>
      <c r="T63" s="31">
        <f>IF(M63="","",M63/二级地市消费汇总!AG65)</f>
        <v/>
      </c>
      <c r="V63" s="11">
        <f>O63</f>
        <v/>
      </c>
      <c r="W63" s="173">
        <f>IF(X63="","",SUM(X63:AA63))</f>
        <v/>
      </c>
      <c r="X63" s="37" t="n"/>
      <c r="Y63" s="37" t="n"/>
      <c r="Z63" s="37" t="n"/>
      <c r="AA63" s="37" t="n"/>
    </row>
    <row r="64">
      <c r="A64" s="11" t="n">
        <v>45166</v>
      </c>
      <c r="B64" s="127">
        <f>IF(C64="","",SUM(C64:F64))</f>
        <v/>
      </c>
      <c r="C64" s="172" t="n"/>
      <c r="D64" s="172" t="n"/>
      <c r="E64" s="172" t="n"/>
      <c r="F64" s="172" t="n"/>
      <c r="H64" s="11">
        <f>A64</f>
        <v/>
      </c>
      <c r="I64" s="127">
        <f>IF(J64="","",SUM(J64:M64))</f>
        <v/>
      </c>
      <c r="J64" s="127" t="n"/>
      <c r="K64" s="127" t="n"/>
      <c r="L64" s="127" t="n"/>
      <c r="M64" s="127" t="n"/>
      <c r="O64" s="11">
        <f>H64</f>
        <v/>
      </c>
      <c r="P64" s="31">
        <f>IF(I64="","",I64/消费汇总!I65)</f>
        <v/>
      </c>
      <c r="Q64" s="31">
        <f>IF(J64="","",J64/二级地市消费汇总!C66)</f>
        <v/>
      </c>
      <c r="R64" s="31">
        <f>IF(K64="","",新单数据!K64/二级地市消费汇总!M66)</f>
        <v/>
      </c>
      <c r="S64" s="31">
        <f>IF(L64="","",L64/二级地市消费汇总!W66)</f>
        <v/>
      </c>
      <c r="T64" s="31">
        <f>IF(M64="","",M64/二级地市消费汇总!AG66)</f>
        <v/>
      </c>
      <c r="V64" s="11">
        <f>O64</f>
        <v/>
      </c>
      <c r="W64" s="173">
        <f>IF(X64="","",SUM(X64:AA64))</f>
        <v/>
      </c>
      <c r="X64" s="37" t="n"/>
      <c r="Y64" s="37" t="n"/>
      <c r="Z64" s="37" t="n"/>
      <c r="AA64" s="37" t="n"/>
    </row>
    <row r="65">
      <c r="A65" s="11" t="n">
        <v>45167</v>
      </c>
      <c r="B65" s="127">
        <f>IF(C65="","",SUM(C65:F65))</f>
        <v/>
      </c>
      <c r="C65" s="172" t="n"/>
      <c r="D65" s="172" t="n"/>
      <c r="E65" s="172" t="n"/>
      <c r="F65" s="172" t="n"/>
      <c r="H65" s="11">
        <f>A65</f>
        <v/>
      </c>
      <c r="I65" s="127">
        <f>IF(J65="","",SUM(J65:M65))</f>
        <v/>
      </c>
      <c r="J65" s="127" t="n"/>
      <c r="K65" s="127" t="n"/>
      <c r="L65" s="127" t="n"/>
      <c r="M65" s="127" t="n"/>
      <c r="O65" s="11">
        <f>H65</f>
        <v/>
      </c>
      <c r="P65" s="31">
        <f>IF(I65="","",I65/消费汇总!I66)</f>
        <v/>
      </c>
      <c r="Q65" s="31">
        <f>IF(J65="","",J65/二级地市消费汇总!C67)</f>
        <v/>
      </c>
      <c r="R65" s="31">
        <f>IF(K65="","",新单数据!K65/二级地市消费汇总!M67)</f>
        <v/>
      </c>
      <c r="S65" s="31">
        <f>IF(L65="","",L65/二级地市消费汇总!W67)</f>
        <v/>
      </c>
      <c r="T65" s="31">
        <f>IF(M65="","",M65/二级地市消费汇总!AG67)</f>
        <v/>
      </c>
      <c r="V65" s="11">
        <f>O65</f>
        <v/>
      </c>
      <c r="W65" s="173">
        <f>IF(X65="","",SUM(X65:AA65))</f>
        <v/>
      </c>
      <c r="X65" s="37" t="n"/>
      <c r="Y65" s="37" t="n"/>
      <c r="Z65" s="37" t="n"/>
      <c r="AA65" s="37" t="n"/>
    </row>
    <row r="66">
      <c r="A66" s="11" t="n">
        <v>45168</v>
      </c>
      <c r="B66" s="127">
        <f>IF(C66="","",SUM(C66:F66))</f>
        <v/>
      </c>
      <c r="C66" s="172" t="n"/>
      <c r="D66" s="172" t="n"/>
      <c r="E66" s="172" t="n"/>
      <c r="F66" s="172" t="n"/>
      <c r="H66" s="11">
        <f>A66</f>
        <v/>
      </c>
      <c r="I66" s="127">
        <f>IF(J66="","",SUM(J66:M66))</f>
        <v/>
      </c>
      <c r="J66" s="127" t="n"/>
      <c r="K66" s="127" t="n"/>
      <c r="L66" s="127" t="n"/>
      <c r="M66" s="127" t="n"/>
      <c r="O66" s="11">
        <f>H66</f>
        <v/>
      </c>
      <c r="P66" s="31">
        <f>IF(I66="","",I66/消费汇总!I67)</f>
        <v/>
      </c>
      <c r="Q66" s="31">
        <f>IF(J66="","",J66/二级地市消费汇总!C68)</f>
        <v/>
      </c>
      <c r="R66" s="31">
        <f>IF(K66="","",新单数据!K66/二级地市消费汇总!M68)</f>
        <v/>
      </c>
      <c r="S66" s="31">
        <f>IF(L66="","",L66/二级地市消费汇总!W68)</f>
        <v/>
      </c>
      <c r="T66" s="31">
        <f>IF(M66="","",M66/二级地市消费汇总!AG68)</f>
        <v/>
      </c>
      <c r="V66" s="11">
        <f>O66</f>
        <v/>
      </c>
      <c r="W66" s="173">
        <f>IF(X66="","",SUM(X66:AA66))</f>
        <v/>
      </c>
      <c r="X66" s="37" t="n"/>
      <c r="Y66" s="37" t="n"/>
      <c r="Z66" s="37" t="n"/>
      <c r="AA66" s="37" t="n"/>
    </row>
    <row r="67">
      <c r="A67" s="11" t="n">
        <v>45169</v>
      </c>
      <c r="B67" s="127">
        <f>IF(C67="","",SUM(C67:F67))</f>
        <v/>
      </c>
      <c r="C67" s="172" t="n"/>
      <c r="D67" s="172" t="n"/>
      <c r="E67" s="172" t="n"/>
      <c r="F67" s="172" t="n"/>
      <c r="H67" s="11">
        <f>A67</f>
        <v/>
      </c>
      <c r="I67" s="127">
        <f>IF(J67="","",SUM(J67:M67))</f>
        <v/>
      </c>
      <c r="J67" s="127" t="n"/>
      <c r="K67" s="127" t="n"/>
      <c r="L67" s="127" t="n"/>
      <c r="M67" s="127" t="n"/>
      <c r="O67" s="11">
        <f>H67</f>
        <v/>
      </c>
      <c r="P67" s="31">
        <f>IF(I67="","",I67/消费汇总!I68)</f>
        <v/>
      </c>
      <c r="Q67" s="31">
        <f>IF(J67="","",J67/二级地市消费汇总!C69)</f>
        <v/>
      </c>
      <c r="R67" s="31">
        <f>IF(K67="","",新单数据!K67/二级地市消费汇总!M69)</f>
        <v/>
      </c>
      <c r="S67" s="31">
        <f>IF(L67="","",L67/二级地市消费汇总!W69)</f>
        <v/>
      </c>
      <c r="T67" s="31">
        <f>IF(M67="","",M67/二级地市消费汇总!AG69)</f>
        <v/>
      </c>
      <c r="V67" s="11">
        <f>O67</f>
        <v/>
      </c>
      <c r="W67" s="173">
        <f>IF(X67="","",SUM(X67:AA67))</f>
        <v/>
      </c>
      <c r="X67" s="37" t="n"/>
      <c r="Y67" s="37" t="n"/>
      <c r="Z67" s="37" t="n"/>
      <c r="AA67" s="37" t="n"/>
    </row>
    <row r="68">
      <c r="A68" s="11" t="n">
        <v>45170</v>
      </c>
      <c r="B68" s="127">
        <f>IF(C68="","",SUM(C68:F68))</f>
        <v/>
      </c>
      <c r="C68" s="172" t="n"/>
      <c r="D68" s="172" t="n"/>
      <c r="E68" s="172" t="n"/>
      <c r="F68" s="172" t="n"/>
      <c r="H68" s="11">
        <f>A68</f>
        <v/>
      </c>
      <c r="I68" s="127">
        <f>IF(J68="","",SUM(J68:M68))</f>
        <v/>
      </c>
      <c r="J68" s="127" t="n"/>
      <c r="K68" s="127" t="n"/>
      <c r="L68" s="127" t="n"/>
      <c r="M68" s="127" t="n"/>
      <c r="O68" s="11">
        <f>H68</f>
        <v/>
      </c>
      <c r="P68" s="31">
        <f>IF(I68="","",I68/消费汇总!I69)</f>
        <v/>
      </c>
      <c r="Q68" s="31">
        <f>IF(J68="","",J68/二级地市消费汇总!C70)</f>
        <v/>
      </c>
      <c r="R68" s="31">
        <f>IF(K68="","",新单数据!K68/二级地市消费汇总!M70)</f>
        <v/>
      </c>
      <c r="S68" s="31">
        <f>IF(L68="","",L68/二级地市消费汇总!W70)</f>
        <v/>
      </c>
      <c r="T68" s="31">
        <f>IF(M68="","",M68/二级地市消费汇总!AG70)</f>
        <v/>
      </c>
      <c r="V68" s="11">
        <f>O68</f>
        <v/>
      </c>
      <c r="W68" s="173">
        <f>IF(X68="","",SUM(X68:AA68))</f>
        <v/>
      </c>
      <c r="X68" s="37" t="n"/>
      <c r="Y68" s="37" t="n"/>
      <c r="Z68" s="37" t="n"/>
      <c r="AA68" s="37" t="n"/>
    </row>
    <row r="69">
      <c r="A69" s="11" t="n">
        <v>45171</v>
      </c>
      <c r="B69" s="127">
        <f>IF(C69="","",SUM(C69:F69))</f>
        <v/>
      </c>
      <c r="C69" s="172" t="n"/>
      <c r="D69" s="172" t="n"/>
      <c r="E69" s="172" t="n"/>
      <c r="F69" s="172" t="n"/>
      <c r="H69" s="11">
        <f>A69</f>
        <v/>
      </c>
      <c r="I69" s="127">
        <f>IF(J69="","",SUM(J69:M69))</f>
        <v/>
      </c>
      <c r="J69" s="127" t="n"/>
      <c r="K69" s="127" t="n"/>
      <c r="L69" s="127" t="n"/>
      <c r="M69" s="127" t="n"/>
      <c r="O69" s="11">
        <f>H69</f>
        <v/>
      </c>
      <c r="P69" s="31">
        <f>IF(I69="","",I69/消费汇总!I70)</f>
        <v/>
      </c>
      <c r="Q69" s="31">
        <f>IF(J69="","",J69/二级地市消费汇总!C71)</f>
        <v/>
      </c>
      <c r="R69" s="31">
        <f>IF(K69="","",新单数据!K69/二级地市消费汇总!M71)</f>
        <v/>
      </c>
      <c r="S69" s="31">
        <f>IF(L69="","",L69/二级地市消费汇总!W71)</f>
        <v/>
      </c>
      <c r="T69" s="31">
        <f>IF(M69="","",M69/二级地市消费汇总!AG71)</f>
        <v/>
      </c>
      <c r="V69" s="11">
        <f>O69</f>
        <v/>
      </c>
      <c r="W69" s="173">
        <f>IF(X69="","",SUM(X69:AA69))</f>
        <v/>
      </c>
      <c r="X69" s="37" t="n"/>
      <c r="Y69" s="37" t="n"/>
      <c r="Z69" s="37" t="n"/>
      <c r="AA69" s="37" t="n"/>
    </row>
    <row r="70">
      <c r="A70" s="11" t="n">
        <v>45172</v>
      </c>
      <c r="B70" s="127">
        <f>IF(C70="","",SUM(C70:F70))</f>
        <v/>
      </c>
      <c r="C70" s="172" t="n"/>
      <c r="D70" s="172" t="n"/>
      <c r="E70" s="172" t="n"/>
      <c r="F70" s="172" t="n"/>
      <c r="H70" s="11">
        <f>A70</f>
        <v/>
      </c>
      <c r="I70" s="127">
        <f>IF(J70="","",SUM(J70:M70))</f>
        <v/>
      </c>
      <c r="J70" s="127" t="n"/>
      <c r="K70" s="127" t="n"/>
      <c r="L70" s="127" t="n"/>
      <c r="M70" s="127" t="n"/>
      <c r="O70" s="11">
        <f>H70</f>
        <v/>
      </c>
      <c r="P70" s="31">
        <f>IF(I70="","",I70/消费汇总!I71)</f>
        <v/>
      </c>
      <c r="Q70" s="31">
        <f>IF(J70="","",J70/二级地市消费汇总!C72)</f>
        <v/>
      </c>
      <c r="R70" s="31">
        <f>IF(K70="","",新单数据!K70/二级地市消费汇总!M72)</f>
        <v/>
      </c>
      <c r="S70" s="31">
        <f>IF(L70="","",L70/二级地市消费汇总!W72)</f>
        <v/>
      </c>
      <c r="T70" s="31">
        <f>IF(M70="","",M70/二级地市消费汇总!AG72)</f>
        <v/>
      </c>
      <c r="V70" s="11">
        <f>O70</f>
        <v/>
      </c>
      <c r="W70" s="173">
        <f>IF(X70="","",SUM(X70:AA70))</f>
        <v/>
      </c>
      <c r="X70" s="37" t="n"/>
      <c r="Y70" s="37" t="n"/>
      <c r="Z70" s="37" t="n"/>
      <c r="AA70" s="37" t="n"/>
    </row>
    <row r="71">
      <c r="A71" s="11" t="n">
        <v>45173</v>
      </c>
      <c r="B71" s="127">
        <f>IF(C71="","",SUM(C71:F71))</f>
        <v/>
      </c>
      <c r="C71" s="172" t="n"/>
      <c r="D71" s="172" t="n"/>
      <c r="E71" s="172" t="n"/>
      <c r="F71" s="172" t="n"/>
      <c r="H71" s="11">
        <f>A71</f>
        <v/>
      </c>
      <c r="I71" s="127">
        <f>IF(J71="","",SUM(J71:M71))</f>
        <v/>
      </c>
      <c r="J71" s="127" t="n"/>
      <c r="K71" s="127" t="n"/>
      <c r="L71" s="127" t="n"/>
      <c r="M71" s="127" t="n"/>
      <c r="O71" s="11">
        <f>H71</f>
        <v/>
      </c>
      <c r="P71" s="31">
        <f>IF(I71="","",I71/消费汇总!I72)</f>
        <v/>
      </c>
      <c r="Q71" s="31">
        <f>IF(J71="","",J71/二级地市消费汇总!C73)</f>
        <v/>
      </c>
      <c r="R71" s="31">
        <f>IF(K71="","",新单数据!K71/二级地市消费汇总!M73)</f>
        <v/>
      </c>
      <c r="S71" s="31">
        <f>IF(L71="","",L71/二级地市消费汇总!W73)</f>
        <v/>
      </c>
      <c r="T71" s="31">
        <f>IF(M71="","",M71/二级地市消费汇总!AG73)</f>
        <v/>
      </c>
      <c r="V71" s="11">
        <f>O71</f>
        <v/>
      </c>
      <c r="W71" s="173">
        <f>IF(X71="","",SUM(X71:AA71))</f>
        <v/>
      </c>
      <c r="X71" s="37" t="n"/>
      <c r="Y71" s="37" t="n"/>
      <c r="Z71" s="37" t="n"/>
      <c r="AA71" s="37" t="n"/>
    </row>
    <row r="72">
      <c r="A72" s="11" t="n">
        <v>45174</v>
      </c>
      <c r="B72" s="127">
        <f>IF(C72="","",SUM(C72:F72))</f>
        <v/>
      </c>
      <c r="C72" s="172" t="n"/>
      <c r="D72" s="172" t="n"/>
      <c r="E72" s="172" t="n"/>
      <c r="F72" s="172" t="n"/>
      <c r="H72" s="11">
        <f>A72</f>
        <v/>
      </c>
      <c r="I72" s="127">
        <f>IF(J72="","",SUM(J72:M72))</f>
        <v/>
      </c>
      <c r="J72" s="127" t="n"/>
      <c r="K72" s="127" t="n"/>
      <c r="L72" s="127" t="n"/>
      <c r="M72" s="127" t="n"/>
      <c r="O72" s="11">
        <f>H72</f>
        <v/>
      </c>
      <c r="P72" s="31">
        <f>IF(I72="","",I72/消费汇总!I73)</f>
        <v/>
      </c>
      <c r="Q72" s="31">
        <f>IF(J72="","",J72/二级地市消费汇总!C74)</f>
        <v/>
      </c>
      <c r="R72" s="31">
        <f>IF(K72="","",新单数据!K72/二级地市消费汇总!M74)</f>
        <v/>
      </c>
      <c r="S72" s="31">
        <f>IF(L72="","",L72/二级地市消费汇总!W74)</f>
        <v/>
      </c>
      <c r="T72" s="31">
        <f>IF(M72="","",M72/二级地市消费汇总!AG74)</f>
        <v/>
      </c>
      <c r="V72" s="11">
        <f>O72</f>
        <v/>
      </c>
      <c r="W72" s="173">
        <f>IF(X72="","",SUM(X72:AA72))</f>
        <v/>
      </c>
      <c r="X72" s="37" t="n"/>
      <c r="Y72" s="37" t="n"/>
      <c r="Z72" s="37" t="n"/>
      <c r="AA72" s="37" t="n"/>
    </row>
    <row r="73">
      <c r="A73" s="11" t="n">
        <v>45175</v>
      </c>
      <c r="B73" s="127">
        <f>IF(C73="","",SUM(C73:F73))</f>
        <v/>
      </c>
      <c r="C73" s="172" t="n"/>
      <c r="D73" s="172" t="n"/>
      <c r="E73" s="172" t="n"/>
      <c r="F73" s="172" t="n"/>
      <c r="H73" s="11">
        <f>A73</f>
        <v/>
      </c>
      <c r="I73" s="127">
        <f>IF(J73="","",SUM(J73:M73))</f>
        <v/>
      </c>
      <c r="J73" s="127" t="n"/>
      <c r="K73" s="127" t="n"/>
      <c r="L73" s="127" t="n"/>
      <c r="M73" s="127" t="n"/>
      <c r="O73" s="11">
        <f>H73</f>
        <v/>
      </c>
      <c r="P73" s="31">
        <f>IF(I73="","",I73/消费汇总!I74)</f>
        <v/>
      </c>
      <c r="Q73" s="31">
        <f>IF(J73="","",J73/二级地市消费汇总!C75)</f>
        <v/>
      </c>
      <c r="R73" s="31">
        <f>IF(K73="","",新单数据!K73/二级地市消费汇总!M75)</f>
        <v/>
      </c>
      <c r="S73" s="31">
        <f>IF(L73="","",L73/二级地市消费汇总!W75)</f>
        <v/>
      </c>
      <c r="T73" s="31">
        <f>IF(M73="","",M73/二级地市消费汇总!AG75)</f>
        <v/>
      </c>
      <c r="V73" s="11">
        <f>O73</f>
        <v/>
      </c>
      <c r="W73" s="173">
        <f>IF(X73="","",SUM(X73:AA73))</f>
        <v/>
      </c>
      <c r="X73" s="37" t="n"/>
      <c r="Y73" s="37" t="n"/>
      <c r="Z73" s="37" t="n"/>
      <c r="AA73" s="37" t="n"/>
    </row>
    <row r="74">
      <c r="A74" s="11" t="n">
        <v>45176</v>
      </c>
      <c r="B74" s="127">
        <f>IF(C74="","",SUM(C74:F74))</f>
        <v/>
      </c>
      <c r="C74" s="172" t="n"/>
      <c r="D74" s="172" t="n"/>
      <c r="E74" s="172" t="n"/>
      <c r="F74" s="172" t="n"/>
      <c r="H74" s="11">
        <f>A74</f>
        <v/>
      </c>
      <c r="I74" s="127">
        <f>IF(J74="","",SUM(J74:M74))</f>
        <v/>
      </c>
      <c r="J74" s="127" t="n"/>
      <c r="K74" s="127" t="n"/>
      <c r="L74" s="127" t="n"/>
      <c r="M74" s="127" t="n"/>
      <c r="O74" s="11">
        <f>H74</f>
        <v/>
      </c>
      <c r="P74" s="31">
        <f>IF(I74="","",I74/消费汇总!I75)</f>
        <v/>
      </c>
      <c r="Q74" s="31">
        <f>IF(J74="","",J74/二级地市消费汇总!C76)</f>
        <v/>
      </c>
      <c r="R74" s="31">
        <f>IF(K74="","",新单数据!K74/二级地市消费汇总!M76)</f>
        <v/>
      </c>
      <c r="S74" s="31">
        <f>IF(L74="","",L74/二级地市消费汇总!W76)</f>
        <v/>
      </c>
      <c r="T74" s="31">
        <f>IF(M74="","",M74/二级地市消费汇总!AG76)</f>
        <v/>
      </c>
      <c r="V74" s="11">
        <f>O74</f>
        <v/>
      </c>
      <c r="W74" s="173">
        <f>IF(X74="","",SUM(X74:AA74))</f>
        <v/>
      </c>
      <c r="X74" s="37" t="n"/>
      <c r="Y74" s="37" t="n"/>
      <c r="Z74" s="37" t="n"/>
      <c r="AA74" s="37" t="n"/>
    </row>
    <row r="75">
      <c r="A75" s="11" t="n">
        <v>45177</v>
      </c>
      <c r="B75" s="127">
        <f>IF(C75="","",SUM(C75:F75))</f>
        <v/>
      </c>
      <c r="C75" s="172" t="n"/>
      <c r="D75" s="172" t="n"/>
      <c r="E75" s="172" t="n"/>
      <c r="F75" s="172" t="n"/>
      <c r="H75" s="11">
        <f>A75</f>
        <v/>
      </c>
      <c r="I75" s="127">
        <f>IF(J75="","",SUM(J75:M75))</f>
        <v/>
      </c>
      <c r="J75" s="127" t="n"/>
      <c r="K75" s="127" t="n"/>
      <c r="L75" s="127" t="n"/>
      <c r="M75" s="127" t="n"/>
      <c r="O75" s="11">
        <f>H75</f>
        <v/>
      </c>
      <c r="P75" s="31">
        <f>IF(I75="","",I75/消费汇总!I76)</f>
        <v/>
      </c>
      <c r="Q75" s="31">
        <f>IF(J75="","",J75/二级地市消费汇总!C77)</f>
        <v/>
      </c>
      <c r="R75" s="31">
        <f>IF(K75="","",新单数据!K75/二级地市消费汇总!M77)</f>
        <v/>
      </c>
      <c r="S75" s="31">
        <f>IF(L75="","",L75/二级地市消费汇总!W77)</f>
        <v/>
      </c>
      <c r="T75" s="31">
        <f>IF(M75="","",M75/二级地市消费汇总!AG77)</f>
        <v/>
      </c>
      <c r="V75" s="11">
        <f>O75</f>
        <v/>
      </c>
      <c r="W75" s="173">
        <f>IF(X75="","",SUM(X75:AA75))</f>
        <v/>
      </c>
      <c r="X75" s="37" t="n"/>
      <c r="Y75" s="37" t="n"/>
      <c r="Z75" s="37" t="n"/>
      <c r="AA75" s="37" t="n"/>
    </row>
    <row r="76">
      <c r="A76" s="11" t="n">
        <v>45178</v>
      </c>
      <c r="B76" s="127">
        <f>IF(C76="","",SUM(C76:F76))</f>
        <v/>
      </c>
      <c r="C76" s="172" t="n"/>
      <c r="D76" s="172" t="n"/>
      <c r="E76" s="172" t="n"/>
      <c r="F76" s="172" t="n"/>
      <c r="H76" s="11">
        <f>A76</f>
        <v/>
      </c>
      <c r="I76" s="127">
        <f>IF(J76="","",SUM(J76:M76))</f>
        <v/>
      </c>
      <c r="J76" s="127" t="n"/>
      <c r="K76" s="127" t="n"/>
      <c r="L76" s="127" t="n"/>
      <c r="M76" s="127" t="n"/>
      <c r="O76" s="11">
        <f>H76</f>
        <v/>
      </c>
      <c r="P76" s="31">
        <f>IF(I76="","",I76/消费汇总!I77)</f>
        <v/>
      </c>
      <c r="Q76" s="31">
        <f>IF(J76="","",J76/二级地市消费汇总!C78)</f>
        <v/>
      </c>
      <c r="R76" s="31">
        <f>IF(K76="","",新单数据!K76/二级地市消费汇总!M78)</f>
        <v/>
      </c>
      <c r="S76" s="31">
        <f>IF(L76="","",L76/二级地市消费汇总!W78)</f>
        <v/>
      </c>
      <c r="T76" s="31">
        <f>IF(M76="","",M76/二级地市消费汇总!AG78)</f>
        <v/>
      </c>
      <c r="V76" s="11">
        <f>O76</f>
        <v/>
      </c>
      <c r="W76" s="173">
        <f>IF(X76="","",SUM(X76:AA76))</f>
        <v/>
      </c>
      <c r="X76" s="37" t="n"/>
      <c r="Y76" s="37" t="n"/>
      <c r="Z76" s="37" t="n"/>
      <c r="AA76" s="37" t="n"/>
    </row>
    <row r="77">
      <c r="A77" s="11" t="n">
        <v>45179</v>
      </c>
      <c r="B77" s="127">
        <f>IF(C77="","",SUM(C77:F77))</f>
        <v/>
      </c>
      <c r="C77" s="172" t="n"/>
      <c r="D77" s="172" t="n"/>
      <c r="E77" s="172" t="n"/>
      <c r="F77" s="172" t="n"/>
      <c r="H77" s="11">
        <f>A77</f>
        <v/>
      </c>
      <c r="I77" s="127">
        <f>IF(J77="","",SUM(J77:M77))</f>
        <v/>
      </c>
      <c r="J77" s="127" t="n"/>
      <c r="K77" s="127" t="n"/>
      <c r="L77" s="127" t="n"/>
      <c r="M77" s="127" t="n"/>
      <c r="O77" s="11">
        <f>H77</f>
        <v/>
      </c>
      <c r="P77" s="31">
        <f>IF(I77="","",I77/消费汇总!I78)</f>
        <v/>
      </c>
      <c r="Q77" s="31">
        <f>IF(J77="","",J77/二级地市消费汇总!C79)</f>
        <v/>
      </c>
      <c r="R77" s="31">
        <f>IF(K77="","",新单数据!K77/二级地市消费汇总!M79)</f>
        <v/>
      </c>
      <c r="S77" s="31">
        <f>IF(L77="","",L77/二级地市消费汇总!W79)</f>
        <v/>
      </c>
      <c r="T77" s="31">
        <f>IF(M77="","",M77/二级地市消费汇总!AG79)</f>
        <v/>
      </c>
      <c r="V77" s="11">
        <f>O77</f>
        <v/>
      </c>
      <c r="W77" s="173">
        <f>IF(X77="","",SUM(X77:AA77))</f>
        <v/>
      </c>
      <c r="X77" s="37" t="n"/>
      <c r="Y77" s="37" t="n"/>
      <c r="Z77" s="37" t="n"/>
      <c r="AA77" s="37" t="n"/>
    </row>
    <row r="78">
      <c r="A78" s="11" t="n">
        <v>45180</v>
      </c>
      <c r="B78" s="127">
        <f>IF(C78="","",SUM(C78:F78))</f>
        <v/>
      </c>
      <c r="C78" s="172" t="n"/>
      <c r="D78" s="172" t="n"/>
      <c r="E78" s="172" t="n"/>
      <c r="F78" s="172" t="n"/>
      <c r="H78" s="11">
        <f>A78</f>
        <v/>
      </c>
      <c r="I78" s="127">
        <f>IF(J78="","",SUM(J78:M78))</f>
        <v/>
      </c>
      <c r="J78" s="127" t="n"/>
      <c r="K78" s="127" t="n"/>
      <c r="L78" s="127" t="n"/>
      <c r="M78" s="127" t="n"/>
      <c r="O78" s="11">
        <f>H78</f>
        <v/>
      </c>
      <c r="P78" s="31">
        <f>IF(I78="","",I78/消费汇总!I79)</f>
        <v/>
      </c>
      <c r="Q78" s="31">
        <f>IF(J78="","",J78/二级地市消费汇总!C80)</f>
        <v/>
      </c>
      <c r="R78" s="31">
        <f>IF(K78="","",新单数据!K78/二级地市消费汇总!M80)</f>
        <v/>
      </c>
      <c r="S78" s="31">
        <f>IF(L78="","",L78/二级地市消费汇总!W80)</f>
        <v/>
      </c>
      <c r="T78" s="31">
        <f>IF(M78="","",M78/二级地市消费汇总!AG80)</f>
        <v/>
      </c>
      <c r="V78" s="11">
        <f>O78</f>
        <v/>
      </c>
      <c r="W78" s="173">
        <f>IF(X78="","",SUM(X78:AA78))</f>
        <v/>
      </c>
      <c r="X78" s="37" t="n"/>
      <c r="Y78" s="37" t="n"/>
      <c r="Z78" s="37" t="n"/>
      <c r="AA78" s="37" t="n"/>
    </row>
    <row r="79">
      <c r="A79" s="11" t="n">
        <v>45181</v>
      </c>
      <c r="B79" s="127">
        <f>IF(C79="","",SUM(C79:F79))</f>
        <v/>
      </c>
      <c r="C79" s="172" t="n"/>
      <c r="D79" s="172" t="n"/>
      <c r="E79" s="172" t="n"/>
      <c r="F79" s="172" t="n"/>
      <c r="H79" s="11">
        <f>A79</f>
        <v/>
      </c>
      <c r="I79" s="127">
        <f>IF(J79="","",SUM(J79:M79))</f>
        <v/>
      </c>
      <c r="J79" s="127" t="n"/>
      <c r="K79" s="127" t="n"/>
      <c r="L79" s="127" t="n"/>
      <c r="M79" s="127" t="n"/>
      <c r="O79" s="11">
        <f>H79</f>
        <v/>
      </c>
      <c r="P79" s="31">
        <f>IF(I79="","",I79/消费汇总!I80)</f>
        <v/>
      </c>
      <c r="Q79" s="31">
        <f>IF(J79="","",J79/二级地市消费汇总!C81)</f>
        <v/>
      </c>
      <c r="R79" s="31">
        <f>IF(K79="","",新单数据!K79/二级地市消费汇总!M81)</f>
        <v/>
      </c>
      <c r="S79" s="31">
        <f>IF(L79="","",L79/二级地市消费汇总!W81)</f>
        <v/>
      </c>
      <c r="T79" s="31">
        <f>IF(M79="","",M79/二级地市消费汇总!AG81)</f>
        <v/>
      </c>
      <c r="V79" s="11">
        <f>O79</f>
        <v/>
      </c>
      <c r="W79" s="173">
        <f>IF(X79="","",SUM(X79:AA79))</f>
        <v/>
      </c>
      <c r="X79" s="37" t="n"/>
      <c r="Y79" s="37" t="n"/>
      <c r="Z79" s="37" t="n"/>
      <c r="AA79" s="37" t="n"/>
      <c r="AB79" s="15" t="n">
        <v>0</v>
      </c>
    </row>
    <row r="80">
      <c r="A80" s="11" t="n">
        <v>45182</v>
      </c>
      <c r="B80" s="127">
        <f>IF(C80="","",SUM(C80:F80))</f>
        <v/>
      </c>
      <c r="C80" s="172" t="n"/>
      <c r="D80" s="172" t="n"/>
      <c r="E80" s="172" t="n"/>
      <c r="F80" s="172" t="n"/>
      <c r="H80" s="11">
        <f>A80</f>
        <v/>
      </c>
      <c r="I80" s="127">
        <f>IF(J80="","",SUM(J80:M80))</f>
        <v/>
      </c>
      <c r="J80" s="127" t="n"/>
      <c r="K80" s="127" t="n"/>
      <c r="L80" s="127" t="n"/>
      <c r="M80" s="127" t="n"/>
      <c r="O80" s="11">
        <f>H80</f>
        <v/>
      </c>
      <c r="P80" s="31">
        <f>IF(I80="","",I80/消费汇总!I81)</f>
        <v/>
      </c>
      <c r="Q80" s="31">
        <f>IF(J80="","",J80/二级地市消费汇总!C82)</f>
        <v/>
      </c>
      <c r="R80" s="31">
        <f>IF(K80="","",新单数据!K80/二级地市消费汇总!M82)</f>
        <v/>
      </c>
      <c r="S80" s="31">
        <f>IF(L80="","",L80/二级地市消费汇总!W82)</f>
        <v/>
      </c>
      <c r="T80" s="31">
        <f>IF(M80="","",M80/二级地市消费汇总!AG82)</f>
        <v/>
      </c>
      <c r="V80" s="11">
        <f>O80</f>
        <v/>
      </c>
      <c r="W80" s="173">
        <f>IF(X80="","",SUM(X80:AA80))</f>
        <v/>
      </c>
      <c r="X80" s="37" t="n"/>
      <c r="Y80" s="37" t="n"/>
      <c r="Z80" s="37" t="n"/>
      <c r="AA80" s="37" t="n"/>
    </row>
    <row r="81">
      <c r="A81" s="11" t="n">
        <v>45183</v>
      </c>
      <c r="B81" s="127">
        <f>IF(C81="","",SUM(C81:F81))</f>
        <v/>
      </c>
      <c r="C81" s="178" t="n"/>
      <c r="D81" s="179" t="n"/>
      <c r="E81" s="179" t="n"/>
      <c r="F81" s="179" t="n"/>
      <c r="H81" s="11">
        <f>A81</f>
        <v/>
      </c>
      <c r="I81" s="127">
        <f>IF(J81="","",SUM(J81:M81))</f>
        <v/>
      </c>
      <c r="J81" s="127" t="n"/>
      <c r="K81" s="127" t="n"/>
      <c r="L81" s="127" t="n"/>
      <c r="M81" s="127" t="n"/>
      <c r="O81" s="11">
        <f>H81</f>
        <v/>
      </c>
      <c r="P81" s="31">
        <f>IF(I81="","",I81/消费汇总!I82)</f>
        <v/>
      </c>
      <c r="Q81" s="31">
        <f>IF(J81="","",J81/二级地市消费汇总!C83)</f>
        <v/>
      </c>
      <c r="R81" s="31">
        <f>IF(K81="","",新单数据!K81/二级地市消费汇总!M83)</f>
        <v/>
      </c>
      <c r="S81" s="31">
        <f>IF(L81="","",L81/二级地市消费汇总!W83)</f>
        <v/>
      </c>
      <c r="T81" s="31">
        <f>IF(M81="","",M81/二级地市消费汇总!AG83)</f>
        <v/>
      </c>
      <c r="V81" s="11">
        <f>O81</f>
        <v/>
      </c>
      <c r="W81" s="173">
        <f>IF(X81="","",SUM(X81:AA81))</f>
        <v/>
      </c>
      <c r="X81" s="37" t="n"/>
      <c r="Y81" s="37" t="n"/>
      <c r="Z81" s="37" t="n"/>
      <c r="AA81" s="37" t="n"/>
    </row>
    <row r="82">
      <c r="A82" s="11" t="n">
        <v>45184</v>
      </c>
      <c r="B82" s="127">
        <f>IF(C82="","",SUM(C82:F82))</f>
        <v/>
      </c>
      <c r="C82" s="172" t="n"/>
      <c r="D82" s="172" t="n"/>
      <c r="E82" s="172" t="n"/>
      <c r="F82" s="172" t="n"/>
      <c r="H82" s="11">
        <f>A82</f>
        <v/>
      </c>
      <c r="I82" s="127">
        <f>IF(J82="","",SUM(J82:M82))</f>
        <v/>
      </c>
      <c r="J82" s="127" t="n"/>
      <c r="K82" s="127" t="n"/>
      <c r="L82" s="127" t="n"/>
      <c r="M82" s="127" t="n"/>
      <c r="O82" s="11">
        <f>H82</f>
        <v/>
      </c>
      <c r="P82" s="31">
        <f>IF(I82="","",I82/消费汇总!I83)</f>
        <v/>
      </c>
      <c r="Q82" s="31">
        <f>IF(J82="","",J82/二级地市消费汇总!C84)</f>
        <v/>
      </c>
      <c r="R82" s="31">
        <f>IF(K82="","",新单数据!K82/二级地市消费汇总!M84)</f>
        <v/>
      </c>
      <c r="S82" s="31">
        <f>IF(L82="","",L82/二级地市消费汇总!W84)</f>
        <v/>
      </c>
      <c r="T82" s="31">
        <f>IF(M82="","",M82/二级地市消费汇总!AG84)</f>
        <v/>
      </c>
      <c r="V82" s="11">
        <f>O82</f>
        <v/>
      </c>
      <c r="W82" s="173">
        <f>IF(X82="","",SUM(X82:AA82))</f>
        <v/>
      </c>
      <c r="X82" s="37" t="n"/>
      <c r="Y82" s="37" t="n"/>
      <c r="Z82" s="37" t="n"/>
      <c r="AA82" s="37" t="n"/>
    </row>
    <row r="83">
      <c r="A83" s="11" t="n">
        <v>45185</v>
      </c>
      <c r="B83" s="127">
        <f>IF(C83="","",SUM(C83:F83))</f>
        <v/>
      </c>
      <c r="C83" s="172" t="n"/>
      <c r="D83" s="172" t="n"/>
      <c r="E83" s="172" t="n"/>
      <c r="F83" s="172" t="n"/>
      <c r="H83" s="11">
        <f>A83</f>
        <v/>
      </c>
      <c r="I83" s="127">
        <f>IF(J83="","",SUM(J83:M83))</f>
        <v/>
      </c>
      <c r="J83" s="127" t="n"/>
      <c r="K83" s="127" t="n"/>
      <c r="L83" s="127" t="n"/>
      <c r="M83" s="127" t="n"/>
      <c r="O83" s="11">
        <f>H83</f>
        <v/>
      </c>
      <c r="P83" s="31">
        <f>IF(I83="","",I83/消费汇总!I84)</f>
        <v/>
      </c>
      <c r="Q83" s="31">
        <f>IF(J83="","",J83/二级地市消费汇总!C85)</f>
        <v/>
      </c>
      <c r="R83" s="31">
        <f>IF(K83="","",新单数据!K83/二级地市消费汇总!M85)</f>
        <v/>
      </c>
      <c r="S83" s="31">
        <f>IF(L83="","",L83/二级地市消费汇总!W85)</f>
        <v/>
      </c>
      <c r="T83" s="31">
        <f>IF(M83="","",M83/二级地市消费汇总!AG85)</f>
        <v/>
      </c>
      <c r="V83" s="11">
        <f>O83</f>
        <v/>
      </c>
      <c r="W83" s="173">
        <f>IF(X83="","",SUM(X83:AA83))</f>
        <v/>
      </c>
      <c r="X83" s="37" t="n"/>
      <c r="Y83" s="37" t="n"/>
      <c r="Z83" s="37" t="n"/>
      <c r="AA83" s="37" t="n"/>
    </row>
    <row r="84">
      <c r="A84" s="11" t="n">
        <v>45186</v>
      </c>
      <c r="B84" s="127">
        <f>IF(C84="","",SUM(C84:F84))</f>
        <v/>
      </c>
      <c r="C84" s="172" t="n"/>
      <c r="D84" s="172" t="n"/>
      <c r="E84" s="172" t="n"/>
      <c r="F84" s="172" t="n"/>
      <c r="H84" s="11">
        <f>A84</f>
        <v/>
      </c>
      <c r="I84" s="127">
        <f>IF(J84="","",SUM(J84:M84))</f>
        <v/>
      </c>
      <c r="J84" s="127" t="n"/>
      <c r="K84" s="127" t="n"/>
      <c r="L84" s="127" t="n"/>
      <c r="M84" s="127" t="n"/>
      <c r="O84" s="11">
        <f>H84</f>
        <v/>
      </c>
      <c r="P84" s="31">
        <f>IF(I84="","",I84/消费汇总!I85)</f>
        <v/>
      </c>
      <c r="Q84" s="31">
        <f>IF(J84="","",J84/二级地市消费汇总!C86)</f>
        <v/>
      </c>
      <c r="R84" s="31">
        <f>IF(K84="","",新单数据!K84/二级地市消费汇总!M86)</f>
        <v/>
      </c>
      <c r="S84" s="31">
        <f>IF(L84="","",L84/二级地市消费汇总!W86)</f>
        <v/>
      </c>
      <c r="T84" s="31">
        <f>IF(M84="","",M84/二级地市消费汇总!AG86)</f>
        <v/>
      </c>
      <c r="V84" s="11">
        <f>O84</f>
        <v/>
      </c>
      <c r="W84" s="173">
        <f>IF(X84="","",SUM(X84:AA84))</f>
        <v/>
      </c>
      <c r="X84" s="37" t="n"/>
      <c r="Y84" s="37" t="n"/>
      <c r="Z84" s="37" t="n"/>
      <c r="AA84" s="37" t="n"/>
    </row>
    <row r="85">
      <c r="A85" s="11" t="n">
        <v>45187</v>
      </c>
      <c r="B85" s="127">
        <f>IF(C85="","",SUM(C85:F85))</f>
        <v/>
      </c>
      <c r="C85" s="172" t="n"/>
      <c r="D85" s="172" t="n"/>
      <c r="E85" s="172" t="n"/>
      <c r="F85" s="172" t="n"/>
      <c r="H85" s="11">
        <f>A85</f>
        <v/>
      </c>
      <c r="I85" s="127">
        <f>IF(J85="","",SUM(J85:M85))</f>
        <v/>
      </c>
      <c r="J85" s="127" t="n"/>
      <c r="K85" s="127" t="n"/>
      <c r="L85" s="127" t="n"/>
      <c r="M85" s="127" t="n"/>
      <c r="O85" s="11">
        <f>H85</f>
        <v/>
      </c>
      <c r="P85" s="31">
        <f>IF(I85="","",I85/消费汇总!I86)</f>
        <v/>
      </c>
      <c r="Q85" s="31">
        <f>IF(J85="","",J85/二级地市消费汇总!C87)</f>
        <v/>
      </c>
      <c r="R85" s="31">
        <f>IF(K85="","",新单数据!K85/二级地市消费汇总!M87)</f>
        <v/>
      </c>
      <c r="S85" s="31">
        <f>IF(L85="","",L85/二级地市消费汇总!W87)</f>
        <v/>
      </c>
      <c r="T85" s="31">
        <f>IF(M85="","",M85/二级地市消费汇总!AG87)</f>
        <v/>
      </c>
      <c r="V85" s="11">
        <f>O85</f>
        <v/>
      </c>
      <c r="W85" s="173">
        <f>IF(X85="","",SUM(X85:AA85))</f>
        <v/>
      </c>
      <c r="X85" s="37" t="n"/>
      <c r="Y85" s="37" t="n"/>
      <c r="Z85" s="37" t="n"/>
      <c r="AA85" s="37" t="n"/>
    </row>
    <row r="86">
      <c r="A86" s="11" t="n">
        <v>45188</v>
      </c>
      <c r="B86" s="127">
        <f>IF(C86="","",SUM(C86:F86))</f>
        <v/>
      </c>
      <c r="C86" s="172" t="n"/>
      <c r="D86" s="172" t="n"/>
      <c r="E86" s="172" t="n"/>
      <c r="F86" s="172" t="n"/>
      <c r="H86" s="11">
        <f>A86</f>
        <v/>
      </c>
      <c r="I86" s="127">
        <f>IF(J86="","",SUM(J86:M86))</f>
        <v/>
      </c>
      <c r="J86" s="127" t="n"/>
      <c r="K86" s="127" t="n"/>
      <c r="L86" s="127" t="n"/>
      <c r="M86" s="127" t="n"/>
      <c r="O86" s="11">
        <f>H86</f>
        <v/>
      </c>
      <c r="P86" s="31">
        <f>IF(I86="","",I86/消费汇总!I87)</f>
        <v/>
      </c>
      <c r="Q86" s="31">
        <f>IF(J86="","",J86/二级地市消费汇总!C88)</f>
        <v/>
      </c>
      <c r="R86" s="31">
        <f>IF(K86="","",新单数据!K86/二级地市消费汇总!M88)</f>
        <v/>
      </c>
      <c r="S86" s="31">
        <f>IF(L86="","",L86/二级地市消费汇总!W88)</f>
        <v/>
      </c>
      <c r="T86" s="31">
        <f>IF(M86="","",M86/二级地市消费汇总!AG88)</f>
        <v/>
      </c>
      <c r="V86" s="11">
        <f>O86</f>
        <v/>
      </c>
      <c r="W86" s="173">
        <f>IF(X86="","",SUM(X86:AA86))</f>
        <v/>
      </c>
      <c r="X86" s="37" t="n"/>
      <c r="Y86" s="37" t="n"/>
      <c r="Z86" s="37" t="n"/>
      <c r="AA86" s="37" t="n"/>
    </row>
    <row r="87">
      <c r="A87" s="11" t="n">
        <v>45189</v>
      </c>
      <c r="B87" s="127">
        <f>IF(C87="","",SUM(C87:F87))</f>
        <v/>
      </c>
      <c r="C87" s="172" t="n"/>
      <c r="D87" s="172" t="n"/>
      <c r="E87" s="172" t="n"/>
      <c r="F87" s="172" t="n"/>
      <c r="H87" s="11">
        <f>A87</f>
        <v/>
      </c>
      <c r="I87" s="127">
        <f>IF(J87="","",SUM(J87:M87))</f>
        <v/>
      </c>
      <c r="J87" s="127" t="n"/>
      <c r="K87" s="127" t="n"/>
      <c r="L87" s="127" t="n"/>
      <c r="M87" s="127" t="n"/>
      <c r="O87" s="11">
        <f>H87</f>
        <v/>
      </c>
      <c r="P87" s="31">
        <f>IF(I87="","",I87/消费汇总!I88)</f>
        <v/>
      </c>
      <c r="Q87" s="31">
        <f>IF(J87="","",J87/二级地市消费汇总!C89)</f>
        <v/>
      </c>
      <c r="R87" s="31">
        <f>IF(K87="","",新单数据!K87/二级地市消费汇总!M89)</f>
        <v/>
      </c>
      <c r="S87" s="31">
        <f>IF(L87="","",L87/二级地市消费汇总!W89)</f>
        <v/>
      </c>
      <c r="T87" s="31">
        <f>IF(M87="","",M87/二级地市消费汇总!AG89)</f>
        <v/>
      </c>
      <c r="V87" s="11">
        <f>O87</f>
        <v/>
      </c>
      <c r="W87" s="173">
        <f>IF(X87="","",SUM(X87:AA87))</f>
        <v/>
      </c>
      <c r="X87" s="37" t="n"/>
      <c r="Y87" s="37" t="n"/>
      <c r="Z87" s="37" t="n"/>
      <c r="AA87" s="37" t="n"/>
    </row>
    <row r="88">
      <c r="A88" s="11" t="n">
        <v>45190</v>
      </c>
      <c r="B88" s="127">
        <f>IF(C88="","",SUM(C88:F88))</f>
        <v/>
      </c>
      <c r="C88" s="172" t="n"/>
      <c r="D88" s="172" t="n"/>
      <c r="E88" s="172" t="n"/>
      <c r="F88" s="172" t="n"/>
      <c r="H88" s="11">
        <f>A88</f>
        <v/>
      </c>
      <c r="I88" s="127">
        <f>IF(J88="","",SUM(J88:M88))</f>
        <v/>
      </c>
      <c r="J88" s="127" t="n"/>
      <c r="K88" s="127" t="n"/>
      <c r="L88" s="127" t="n"/>
      <c r="M88" s="127" t="n"/>
      <c r="O88" s="11">
        <f>H88</f>
        <v/>
      </c>
      <c r="P88" s="31">
        <f>IF(I88="","",I88/消费汇总!I89)</f>
        <v/>
      </c>
      <c r="Q88" s="31">
        <f>IF(J88="","",J88/二级地市消费汇总!C90)</f>
        <v/>
      </c>
      <c r="R88" s="31">
        <f>IF(K88="","",新单数据!K88/二级地市消费汇总!M90)</f>
        <v/>
      </c>
      <c r="S88" s="31">
        <f>IF(L88="","",L88/二级地市消费汇总!W90)</f>
        <v/>
      </c>
      <c r="T88" s="31">
        <f>IF(M88="","",M88/二级地市消费汇总!AG90)</f>
        <v/>
      </c>
      <c r="V88" s="11">
        <f>O88</f>
        <v/>
      </c>
      <c r="W88" s="173">
        <f>IF(X88="","",SUM(X88:AA88))</f>
        <v/>
      </c>
      <c r="X88" s="37" t="n"/>
      <c r="Y88" s="37" t="n"/>
      <c r="Z88" s="37" t="n"/>
      <c r="AA88" s="37" t="n"/>
    </row>
    <row r="89">
      <c r="A89" s="11" t="n">
        <v>45191</v>
      </c>
      <c r="B89" s="127">
        <f>IF(C89="","",SUM(C89:F89))</f>
        <v/>
      </c>
      <c r="C89" s="172" t="n"/>
      <c r="D89" s="172" t="n"/>
      <c r="E89" s="172" t="n"/>
      <c r="F89" s="172" t="n"/>
      <c r="H89" s="11">
        <f>A89</f>
        <v/>
      </c>
      <c r="I89" s="127">
        <f>IF(J89="","",SUM(J89:M89))</f>
        <v/>
      </c>
      <c r="J89" s="127" t="n"/>
      <c r="K89" s="127" t="n"/>
      <c r="L89" s="127" t="n"/>
      <c r="M89" s="127" t="n"/>
      <c r="O89" s="11">
        <f>H89</f>
        <v/>
      </c>
      <c r="P89" s="31">
        <f>IF(I89="","",I89/消费汇总!I90)</f>
        <v/>
      </c>
      <c r="Q89" s="31">
        <f>IF(J89="","",J89/二级地市消费汇总!C91)</f>
        <v/>
      </c>
      <c r="R89" s="31">
        <f>IF(K89="","",新单数据!K89/二级地市消费汇总!M91)</f>
        <v/>
      </c>
      <c r="S89" s="31">
        <f>IF(L89="","",L89/二级地市消费汇总!W91)</f>
        <v/>
      </c>
      <c r="T89" s="31">
        <f>IF(M89="","",M89/二级地市消费汇总!AG91)</f>
        <v/>
      </c>
      <c r="V89" s="11">
        <f>O89</f>
        <v/>
      </c>
      <c r="W89" s="173">
        <f>IF(X89="","",SUM(X89:AA89))</f>
        <v/>
      </c>
      <c r="X89" s="37" t="n"/>
      <c r="Y89" s="37" t="n"/>
      <c r="Z89" s="37" t="n"/>
      <c r="AA89" s="37" t="n"/>
      <c r="AB89" s="15" t="n">
        <v>0</v>
      </c>
    </row>
    <row r="90">
      <c r="A90" s="11" t="n">
        <v>45192</v>
      </c>
      <c r="B90" s="127">
        <f>IF(C90="","",SUM(C90:F90))</f>
        <v/>
      </c>
      <c r="C90" s="172" t="n"/>
      <c r="D90" s="172" t="n"/>
      <c r="E90" s="172" t="n"/>
      <c r="F90" s="172" t="n"/>
      <c r="H90" s="11">
        <f>A90</f>
        <v/>
      </c>
      <c r="I90" s="127">
        <f>IF(J90="","",SUM(J90:M90))</f>
        <v/>
      </c>
      <c r="J90" s="127" t="n"/>
      <c r="K90" s="127" t="n"/>
      <c r="L90" s="127" t="n"/>
      <c r="M90" s="127" t="n"/>
      <c r="O90" s="11">
        <f>H90</f>
        <v/>
      </c>
      <c r="P90" s="31">
        <f>IF(I90="","",I90/消费汇总!I91)</f>
        <v/>
      </c>
      <c r="Q90" s="31">
        <f>IF(J90="","",J90/二级地市消费汇总!C92)</f>
        <v/>
      </c>
      <c r="R90" s="31">
        <f>IF(K90="","",新单数据!K90/二级地市消费汇总!M92)</f>
        <v/>
      </c>
      <c r="S90" s="31">
        <f>IF(L90="","",L90/二级地市消费汇总!W92)</f>
        <v/>
      </c>
      <c r="T90" s="31">
        <f>IF(M90="","",M90/二级地市消费汇总!AG92)</f>
        <v/>
      </c>
      <c r="V90" s="11">
        <f>O90</f>
        <v/>
      </c>
      <c r="W90" s="173">
        <f>IF(X90="","",SUM(X90:AA90))</f>
        <v/>
      </c>
      <c r="X90" s="37" t="n"/>
      <c r="Y90" s="37" t="n"/>
      <c r="Z90" s="37" t="n"/>
      <c r="AA90" s="37" t="n"/>
      <c r="AB90" s="15" t="n">
        <v>0</v>
      </c>
    </row>
    <row r="91">
      <c r="A91" s="11" t="n">
        <v>45193</v>
      </c>
      <c r="B91" s="127">
        <f>IF(C91="","",SUM(C91:F91))</f>
        <v/>
      </c>
      <c r="C91" s="172" t="n"/>
      <c r="D91" s="172" t="n"/>
      <c r="E91" s="172" t="n"/>
      <c r="F91" s="172" t="n"/>
      <c r="H91" s="11">
        <f>A91</f>
        <v/>
      </c>
      <c r="I91" s="127">
        <f>IF(J91="","",SUM(J91:M91))</f>
        <v/>
      </c>
      <c r="J91" s="127" t="n"/>
      <c r="K91" s="127" t="n"/>
      <c r="L91" s="127" t="n"/>
      <c r="M91" s="127" t="n"/>
      <c r="O91" s="11">
        <f>H91</f>
        <v/>
      </c>
      <c r="P91" s="31">
        <f>IF(I91="","",I91/消费汇总!I92)</f>
        <v/>
      </c>
      <c r="Q91" s="31">
        <f>IF(J91="","",J91/二级地市消费汇总!C93)</f>
        <v/>
      </c>
      <c r="R91" s="31">
        <f>IF(K91="","",新单数据!K91/二级地市消费汇总!M93)</f>
        <v/>
      </c>
      <c r="S91" s="31">
        <f>IF(L91="","",L91/二级地市消费汇总!W93)</f>
        <v/>
      </c>
      <c r="T91" s="31">
        <f>IF(M91="","",M91/二级地市消费汇总!AG93)</f>
        <v/>
      </c>
      <c r="V91" s="11">
        <f>O91</f>
        <v/>
      </c>
      <c r="W91" s="173">
        <f>IF(X91="","",SUM(X91:AA91))</f>
        <v/>
      </c>
      <c r="X91" s="37" t="n"/>
      <c r="Y91" s="37" t="n"/>
      <c r="Z91" s="37" t="n"/>
      <c r="AA91" s="37" t="n"/>
      <c r="AB91" s="15" t="n">
        <v>0</v>
      </c>
    </row>
    <row r="92">
      <c r="A92" s="11" t="n">
        <v>45194</v>
      </c>
      <c r="B92" s="127">
        <f>IF(C92="","",SUM(C92:F92))</f>
        <v/>
      </c>
      <c r="C92" s="172" t="n"/>
      <c r="D92" s="172" t="n"/>
      <c r="E92" s="172" t="n"/>
      <c r="F92" s="172" t="n"/>
      <c r="H92" s="11">
        <f>A92</f>
        <v/>
      </c>
      <c r="I92" s="127">
        <f>IF(J92="","",SUM(J92:M92))</f>
        <v/>
      </c>
      <c r="J92" s="127" t="n"/>
      <c r="K92" s="127" t="n"/>
      <c r="L92" s="127" t="n"/>
      <c r="M92" s="127" t="n"/>
      <c r="O92" s="11">
        <f>H92</f>
        <v/>
      </c>
      <c r="P92" s="31">
        <f>IF(I92="","",I92/消费汇总!I93)</f>
        <v/>
      </c>
      <c r="Q92" s="31">
        <f>IF(J92="","",J92/二级地市消费汇总!C94)</f>
        <v/>
      </c>
      <c r="R92" s="31">
        <f>IF(K92="","",新单数据!K92/二级地市消费汇总!M94)</f>
        <v/>
      </c>
      <c r="S92" s="31">
        <f>IF(L92="","",L92/二级地市消费汇总!W94)</f>
        <v/>
      </c>
      <c r="T92" s="31">
        <f>IF(M92="","",M92/二级地市消费汇总!AG94)</f>
        <v/>
      </c>
      <c r="V92" s="11">
        <f>O92</f>
        <v/>
      </c>
      <c r="W92" s="173">
        <f>IF(X92="","",SUM(X92:AA92))</f>
        <v/>
      </c>
      <c r="X92" s="37" t="n"/>
      <c r="Y92" s="37" t="n"/>
      <c r="Z92" s="37" t="n"/>
      <c r="AA92" s="37" t="n"/>
    </row>
    <row r="93">
      <c r="A93" s="11" t="n">
        <v>45195</v>
      </c>
      <c r="B93" s="127">
        <f>IF(C93="","",SUM(C93:F93))</f>
        <v/>
      </c>
      <c r="C93" s="172" t="n"/>
      <c r="D93" s="172" t="n"/>
      <c r="E93" s="172" t="n"/>
      <c r="F93" s="172" t="n"/>
      <c r="H93" s="11">
        <f>A93</f>
        <v/>
      </c>
      <c r="I93" s="127">
        <f>IF(J93="","",SUM(J93:M93))</f>
        <v/>
      </c>
      <c r="J93" s="127" t="n"/>
      <c r="K93" s="127" t="n"/>
      <c r="L93" s="127" t="n"/>
      <c r="M93" s="127" t="n"/>
      <c r="O93" s="11">
        <f>H93</f>
        <v/>
      </c>
      <c r="P93" s="31">
        <f>IF(I93="","",I93/消费汇总!I94)</f>
        <v/>
      </c>
      <c r="Q93" s="31">
        <f>IF(J93="","",J93/二级地市消费汇总!C95)</f>
        <v/>
      </c>
      <c r="R93" s="31">
        <f>IF(K93="","",新单数据!K93/二级地市消费汇总!M95)</f>
        <v/>
      </c>
      <c r="S93" s="31">
        <f>IF(L93="","",L93/二级地市消费汇总!W95)</f>
        <v/>
      </c>
      <c r="T93" s="31">
        <f>IF(M93="","",M93/二级地市消费汇总!AG95)</f>
        <v/>
      </c>
      <c r="V93" s="11">
        <f>O93</f>
        <v/>
      </c>
      <c r="W93" s="173">
        <f>IF(X93="","",SUM(X93:AA93))</f>
        <v/>
      </c>
      <c r="X93" s="37" t="n"/>
      <c r="Y93" s="37" t="n"/>
      <c r="Z93" s="37" t="n"/>
      <c r="AA93" s="37" t="n"/>
    </row>
    <row r="94">
      <c r="A94" s="11" t="n">
        <v>45196</v>
      </c>
      <c r="B94" s="127">
        <f>IF(C94="","",SUM(C94:F94))</f>
        <v/>
      </c>
      <c r="C94" s="172" t="n"/>
      <c r="D94" s="172" t="n"/>
      <c r="E94" s="172" t="n"/>
      <c r="F94" s="172" t="n"/>
      <c r="H94" s="11">
        <f>A94</f>
        <v/>
      </c>
      <c r="I94" s="127">
        <f>IF(J94="","",SUM(J94:M94))</f>
        <v/>
      </c>
      <c r="J94" s="127" t="n"/>
      <c r="K94" s="127" t="n"/>
      <c r="L94" s="127" t="n"/>
      <c r="M94" s="127" t="n"/>
      <c r="O94" s="11">
        <f>H94</f>
        <v/>
      </c>
      <c r="P94" s="31">
        <f>IF(I94="","",I94/消费汇总!I95)</f>
        <v/>
      </c>
      <c r="Q94" s="31">
        <f>IF(J94="","",J94/二级地市消费汇总!C96)</f>
        <v/>
      </c>
      <c r="R94" s="31">
        <f>IF(K94="","",新单数据!K94/二级地市消费汇总!M96)</f>
        <v/>
      </c>
      <c r="S94" s="31">
        <f>IF(L94="","",L94/二级地市消费汇总!W96)</f>
        <v/>
      </c>
      <c r="T94" s="31">
        <f>IF(M94="","",M94/二级地市消费汇总!AG96)</f>
        <v/>
      </c>
      <c r="V94" s="11">
        <f>O94</f>
        <v/>
      </c>
      <c r="W94" s="173">
        <f>IF(X94="","",SUM(X94:AA94))</f>
        <v/>
      </c>
      <c r="X94" s="37" t="n"/>
      <c r="Y94" s="37" t="n"/>
      <c r="Z94" s="37" t="n"/>
      <c r="AA94" s="37" t="n"/>
    </row>
    <row r="95">
      <c r="A95" s="11" t="n">
        <v>45197</v>
      </c>
      <c r="B95" s="127">
        <f>IF(C95="","",SUM(C95:F95))</f>
        <v/>
      </c>
      <c r="C95" s="172" t="n"/>
      <c r="D95" s="172" t="n"/>
      <c r="E95" s="172" t="n"/>
      <c r="F95" s="172" t="n"/>
      <c r="H95" s="11">
        <f>A95</f>
        <v/>
      </c>
      <c r="I95" s="127">
        <f>IF(J95="","",SUM(J95:M95))</f>
        <v/>
      </c>
      <c r="J95" s="127" t="n"/>
      <c r="K95" s="127" t="n"/>
      <c r="L95" s="127" t="n"/>
      <c r="M95" s="127" t="n"/>
      <c r="O95" s="11">
        <f>H95</f>
        <v/>
      </c>
      <c r="P95" s="31">
        <f>IF(I95="","",I95/消费汇总!I96)</f>
        <v/>
      </c>
      <c r="Q95" s="31">
        <f>IF(J95="","",J95/二级地市消费汇总!C97)</f>
        <v/>
      </c>
      <c r="R95" s="31">
        <f>IF(K95="","",新单数据!K95/二级地市消费汇总!M97)</f>
        <v/>
      </c>
      <c r="S95" s="31">
        <f>IF(L95="","",L95/二级地市消费汇总!W97)</f>
        <v/>
      </c>
      <c r="T95" s="31">
        <f>IF(M95="","",M95/二级地市消费汇总!AG97)</f>
        <v/>
      </c>
      <c r="V95" s="11">
        <f>O95</f>
        <v/>
      </c>
      <c r="W95" s="173">
        <f>IF(X95="","",SUM(X95:AA95))</f>
        <v/>
      </c>
      <c r="X95" s="37" t="n"/>
      <c r="Y95" s="37" t="n"/>
      <c r="Z95" s="37" t="n"/>
      <c r="AA95" s="37" t="n"/>
    </row>
    <row r="96">
      <c r="A96" s="11" t="n">
        <v>45198</v>
      </c>
      <c r="B96" s="127">
        <f>IF(C96="","",SUM(C96:F96))</f>
        <v/>
      </c>
      <c r="C96" s="172" t="n"/>
      <c r="D96" s="172" t="n"/>
      <c r="E96" s="172" t="n"/>
      <c r="F96" s="172" t="n"/>
      <c r="H96" s="11">
        <f>A96</f>
        <v/>
      </c>
      <c r="I96" s="127">
        <f>IF(J96="","",SUM(J96:M96))</f>
        <v/>
      </c>
      <c r="J96" s="127" t="n"/>
      <c r="K96" s="127" t="n"/>
      <c r="L96" s="127" t="n"/>
      <c r="M96" s="127" t="n"/>
      <c r="O96" s="11">
        <f>H96</f>
        <v/>
      </c>
      <c r="P96" s="31">
        <f>IF(I96="","",I96/消费汇总!I97)</f>
        <v/>
      </c>
      <c r="Q96" s="31">
        <f>IF(J96="","",J96/二级地市消费汇总!C98)</f>
        <v/>
      </c>
      <c r="R96" s="31">
        <f>IF(K96="","",新单数据!K96/二级地市消费汇总!M98)</f>
        <v/>
      </c>
      <c r="S96" s="31">
        <f>IF(L96="","",L96/二级地市消费汇总!W98)</f>
        <v/>
      </c>
      <c r="T96" s="31">
        <f>IF(M96="","",M96/二级地市消费汇总!AG98)</f>
        <v/>
      </c>
      <c r="V96" s="11">
        <f>O96</f>
        <v/>
      </c>
      <c r="W96" s="173">
        <f>IF(X96="","",SUM(X96:AA96))</f>
        <v/>
      </c>
      <c r="X96" s="37" t="n"/>
      <c r="Y96" s="37" t="n"/>
      <c r="Z96" s="37" t="n"/>
      <c r="AA96" s="37" t="n"/>
    </row>
    <row r="97">
      <c r="A97" s="11" t="n">
        <v>45199</v>
      </c>
      <c r="B97" s="127">
        <f>IF(C97="","",SUM(C97:F97))</f>
        <v/>
      </c>
      <c r="C97" s="172" t="n"/>
      <c r="D97" s="172" t="n"/>
      <c r="E97" s="172" t="n"/>
      <c r="F97" s="172" t="n"/>
      <c r="H97" s="11">
        <f>A97</f>
        <v/>
      </c>
      <c r="I97" s="127">
        <f>IF(J97="","",SUM(J97:M97))</f>
        <v/>
      </c>
      <c r="J97" s="127" t="n"/>
      <c r="K97" s="127" t="n"/>
      <c r="L97" s="127" t="n"/>
      <c r="M97" s="127" t="n"/>
      <c r="O97" s="11">
        <f>H97</f>
        <v/>
      </c>
      <c r="P97" s="31">
        <f>IF(I97="","",I97/消费汇总!I98)</f>
        <v/>
      </c>
      <c r="Q97" s="31">
        <f>IF(J97="","",J97/二级地市消费汇总!C99)</f>
        <v/>
      </c>
      <c r="R97" s="31">
        <f>IF(K97="","",新单数据!K97/二级地市消费汇总!M99)</f>
        <v/>
      </c>
      <c r="S97" s="31">
        <f>IF(L97="","",L97/二级地市消费汇总!W99)</f>
        <v/>
      </c>
      <c r="T97" s="31">
        <f>IF(M97="","",M97/二级地市消费汇总!AG99)</f>
        <v/>
      </c>
      <c r="V97" s="11">
        <f>O97</f>
        <v/>
      </c>
      <c r="W97" s="173">
        <f>IF(X97="","",SUM(X97:AA97))</f>
        <v/>
      </c>
      <c r="X97" s="37" t="n"/>
      <c r="Y97" s="37" t="n"/>
      <c r="Z97" s="37" t="n"/>
      <c r="AA97" s="37" t="n"/>
    </row>
  </sheetData>
  <conditionalFormatting sqref="H17">
    <cfRule dxfId="10" priority="4" type="expression">
      <formula>OR(WEEKDAY(H17)=1,WEEKDAY(H17)=7)</formula>
    </cfRule>
  </conditionalFormatting>
  <conditionalFormatting sqref="H19">
    <cfRule dxfId="10" priority="3" type="expression">
      <formula>OR(WEEKDAY(H19)=1,WEEKDAY(H19)=7)</formula>
    </cfRule>
  </conditionalFormatting>
  <conditionalFormatting sqref="H24:H25">
    <cfRule dxfId="10" priority="2" type="expression">
      <formula>OR(WEEKDAY(H24)=1,WEEKDAY(H24)=7)</formula>
    </cfRule>
  </conditionalFormatting>
  <conditionalFormatting sqref="H26:H32">
    <cfRule dxfId="10" priority="1" type="expression">
      <formula>OR(WEEKDAY(H26)=1,WEEKDAY(H26)=7)</formula>
    </cfRule>
  </conditionalFormatting>
  <conditionalFormatting sqref="A6:A97 H6:H16 H18 H20:H23 H33:H97 O6:O97 V6:V97">
    <cfRule dxfId="10" priority="18" type="expression">
      <formula>OR(WEEKDAY(A6)=1,WEEKDAY(A6)=7)</formula>
    </cfRule>
  </conditionalFormatting>
  <pageMargins bottom="0.75" footer="0.3" header="0.3" left="0.699305555555556" right="0.699305555555556" top="0.75"/>
  <pageSetup orientation="portrait" paperSize="9"/>
</worksheet>
</file>

<file path=xl/worksheets/sheet5.xml><?xml version="1.0" encoding="utf-8"?>
<worksheet xmlns="http://schemas.openxmlformats.org/spreadsheetml/2006/main">
  <sheetPr>
    <tabColor rgb="FF002060"/>
    <outlinePr summaryBelow="1" summaryRight="1"/>
    <pageSetUpPr/>
  </sheetPr>
  <dimension ref="A1:J98"/>
  <sheetViews>
    <sheetView showGridLines="0" workbookViewId="0">
      <pane activePane="bottomLeft" state="frozen" topLeftCell="A45" ySplit="6"/>
      <selection activeCell="A1" sqref="A1"/>
      <selection activeCell="B51" pane="bottomLeft" sqref="B51:H51"/>
    </sheetView>
  </sheetViews>
  <sheetFormatPr baseColWidth="8" defaultColWidth="9" defaultRowHeight="13.5"/>
  <cols>
    <col customWidth="1" max="3" min="2" style="152" width="12.7583333333333"/>
    <col customWidth="1" max="4" min="4" style="152" width="10.2583333333333"/>
    <col customWidth="1" max="5" min="5" style="152" width="10.5"/>
    <col customWidth="1" max="6" min="6" style="152" width="12.7583333333333"/>
    <col customWidth="1" max="8" min="7" style="152" width="11.125"/>
  </cols>
  <sheetData>
    <row customHeight="1" ht="17.25" r="1" s="40">
      <c r="A1" s="3" t="inlineStr">
        <is>
          <t>潜力行业</t>
        </is>
      </c>
      <c r="B1" s="4" t="n"/>
      <c r="C1" s="4" t="n"/>
      <c r="D1" s="4" t="n"/>
      <c r="E1" s="4" t="n"/>
      <c r="F1" s="4" t="n"/>
      <c r="G1" s="4" t="n"/>
      <c r="H1" s="4" t="n"/>
    </row>
    <row customFormat="1" customHeight="1" ht="16.5" r="2" s="1">
      <c r="A2" s="5" t="n"/>
      <c r="B2" s="180" t="inlineStr">
        <is>
          <t>整体消费</t>
        </is>
      </c>
      <c r="C2" s="180" t="inlineStr">
        <is>
          <t>整形美容</t>
        </is>
      </c>
      <c r="D2" s="180" t="inlineStr">
        <is>
          <t>口腔科</t>
        </is>
      </c>
      <c r="E2" s="180" t="inlineStr">
        <is>
          <t>眼科</t>
        </is>
      </c>
      <c r="F2" s="180" t="inlineStr">
        <is>
          <t>职业培训</t>
        </is>
      </c>
      <c r="G2" s="180" t="inlineStr">
        <is>
          <t>房地产开发商</t>
        </is>
      </c>
      <c r="H2" s="180" t="inlineStr">
        <is>
          <t>房产中介</t>
        </is>
      </c>
    </row>
    <row customFormat="1" customHeight="1" ht="16.5" r="3" s="1">
      <c r="A3" s="181" t="inlineStr">
        <is>
          <t>2023Q3</t>
        </is>
      </c>
      <c r="B3" s="182">
        <f>IF(B4="","",SUM(B4:B6))</f>
        <v/>
      </c>
      <c r="C3" s="182">
        <f>IF(C4="","",SUM(C4:C6))</f>
        <v/>
      </c>
      <c r="D3" s="182">
        <f>IF(D4="","",SUM(D4:D6))</f>
        <v/>
      </c>
      <c r="E3" s="182">
        <f>IF(E4="","",SUM(E4:E6))</f>
        <v/>
      </c>
      <c r="F3" s="182">
        <f>IF(F4="","",SUM(F4:F6))</f>
        <v/>
      </c>
      <c r="G3" s="182">
        <f>IF(G4="","",SUM(G4:G6))</f>
        <v/>
      </c>
      <c r="H3" s="182">
        <f>IF(H4="","",SUM(H4:H6))</f>
        <v/>
      </c>
    </row>
    <row customFormat="1" customHeight="1" ht="16.5" r="4" s="1">
      <c r="A4" s="9" t="inlineStr">
        <is>
          <t>7月份</t>
        </is>
      </c>
      <c r="B4" s="163">
        <f>IF(B7="","",SUM(B7:B37))</f>
        <v/>
      </c>
      <c r="C4" s="163">
        <f>IF(C7="","",SUM(C7:C37))</f>
        <v/>
      </c>
      <c r="D4" s="163">
        <f>IF(D7="","",SUM(D7:D37))</f>
        <v/>
      </c>
      <c r="E4" s="163">
        <f>IF(E7="","",SUM(E7:E37))</f>
        <v/>
      </c>
      <c r="F4" s="163">
        <f>IF(F7="","",SUM(F7:F37))</f>
        <v/>
      </c>
      <c r="G4" s="163">
        <f>IF(G7="","",SUM(G7:G37))</f>
        <v/>
      </c>
      <c r="H4" s="163">
        <f>IF(H7="","",SUM(H7:H37))</f>
        <v/>
      </c>
    </row>
    <row customFormat="1" customHeight="1" ht="16.5" r="5" s="1">
      <c r="A5" s="9" t="inlineStr">
        <is>
          <t>8月份</t>
        </is>
      </c>
      <c r="B5" s="163">
        <f>IF(B38="","",SUM(B38:B68))</f>
        <v/>
      </c>
      <c r="C5" s="163">
        <f>IF(C38="","",SUM(C38:C68))</f>
        <v/>
      </c>
      <c r="D5" s="163">
        <f>IF(D38="","",SUM(D38:D68))</f>
        <v/>
      </c>
      <c r="E5" s="163">
        <f>IF(E38="","",SUM(E38:E68))</f>
        <v/>
      </c>
      <c r="F5" s="163">
        <f>IF(F38="","",SUM(F38:F68))</f>
        <v/>
      </c>
      <c r="G5" s="163">
        <f>IF(G38="","",SUM(G38:G68))</f>
        <v/>
      </c>
      <c r="H5" s="163">
        <f>IF(H38="","",SUM(H38:H68))</f>
        <v/>
      </c>
    </row>
    <row customHeight="1" ht="16.5" r="6" s="40">
      <c r="A6" s="9" t="inlineStr">
        <is>
          <t>9月份</t>
        </is>
      </c>
      <c r="B6" s="163">
        <f>IF(B69="","",SUM(B69:B98))</f>
        <v/>
      </c>
      <c r="C6" s="163">
        <f>IF(C69="","",SUM(C69:C98))</f>
        <v/>
      </c>
      <c r="D6" s="163">
        <f>IF(D69="","",SUM(D69:D98))</f>
        <v/>
      </c>
      <c r="E6" s="163">
        <f>IF(E69="","",SUM(E69:E98))</f>
        <v/>
      </c>
      <c r="F6" s="163">
        <f>IF(F69="","",SUM(F69:F98))</f>
        <v/>
      </c>
      <c r="G6" s="163">
        <f>IF(G69="","",SUM(G69:G98))</f>
        <v/>
      </c>
      <c r="H6" s="163">
        <f>IF(H69="","",SUM(H69:H98))</f>
        <v/>
      </c>
    </row>
    <row customHeight="1" ht="16.5" r="7" s="40">
      <c r="A7" s="11" t="n">
        <v>45108</v>
      </c>
      <c r="B7" s="183" t="n">
        <v>299480.54</v>
      </c>
      <c r="C7" s="183" t="n">
        <v>183638.17</v>
      </c>
      <c r="D7" s="183" t="n">
        <v>0</v>
      </c>
      <c r="E7" s="183" t="n">
        <v>71682.67999999999</v>
      </c>
      <c r="F7" s="183" t="n">
        <v>30741.31</v>
      </c>
      <c r="G7" s="183" t="n">
        <v>544.7</v>
      </c>
      <c r="H7" s="183" t="n">
        <v>12873.68</v>
      </c>
    </row>
    <row customHeight="1" ht="16.5" r="8" s="40">
      <c r="A8" s="11" t="n">
        <v>45109</v>
      </c>
      <c r="B8" s="183" t="n">
        <v>326981.54</v>
      </c>
      <c r="C8" s="183" t="n">
        <v>216569.09</v>
      </c>
      <c r="D8" s="183" t="n">
        <v>0</v>
      </c>
      <c r="E8" s="183" t="n">
        <v>69604.17</v>
      </c>
      <c r="F8" s="183" t="n">
        <v>27514.77</v>
      </c>
      <c r="G8" s="183" t="n">
        <v>141.96</v>
      </c>
      <c r="H8" s="183" t="n">
        <v>13151.55</v>
      </c>
    </row>
    <row customHeight="1" ht="16.5" r="9" s="40">
      <c r="A9" s="11" t="n">
        <v>45110</v>
      </c>
      <c r="B9" s="183" t="n">
        <v>332108.76</v>
      </c>
      <c r="C9" s="183" t="n">
        <v>209568.59</v>
      </c>
      <c r="D9" s="183" t="n">
        <v>0</v>
      </c>
      <c r="E9" s="183" t="n">
        <v>68598.74000000001</v>
      </c>
      <c r="F9" s="183" t="n">
        <v>41661.66</v>
      </c>
      <c r="G9" s="183" t="n">
        <v>429.44</v>
      </c>
      <c r="H9" s="183" t="n">
        <v>11850.33</v>
      </c>
    </row>
    <row customHeight="1" ht="16.5" r="10" s="40">
      <c r="A10" s="11" t="n">
        <v>45111</v>
      </c>
      <c r="B10" s="183" t="n">
        <v>357191.58</v>
      </c>
      <c r="C10" s="183" t="n">
        <v>240195.71</v>
      </c>
      <c r="D10" s="183" t="n">
        <v>0</v>
      </c>
      <c r="E10" s="183" t="n">
        <v>65038.57</v>
      </c>
      <c r="F10" s="183" t="n">
        <v>38517.72</v>
      </c>
      <c r="G10" s="183" t="n">
        <v>477.6</v>
      </c>
      <c r="H10" s="183" t="n">
        <v>12961.98</v>
      </c>
    </row>
    <row customHeight="1" ht="16.5" r="11" s="40">
      <c r="A11" s="11" t="n">
        <v>45112</v>
      </c>
      <c r="B11" s="183" t="n">
        <v>331304.2</v>
      </c>
      <c r="C11" s="183" t="n">
        <v>215017.15</v>
      </c>
      <c r="D11" s="183" t="n">
        <v>0</v>
      </c>
      <c r="E11" s="183" t="n">
        <v>67017.47</v>
      </c>
      <c r="F11" s="183" t="n">
        <v>36132.52</v>
      </c>
      <c r="G11" s="183" t="n">
        <v>485.41</v>
      </c>
      <c r="H11" s="183" t="n">
        <v>12651.65</v>
      </c>
    </row>
    <row customHeight="1" ht="16.5" r="12" s="40">
      <c r="A12" s="11" t="n">
        <v>45113</v>
      </c>
      <c r="B12" s="183" t="n">
        <v>342133.46</v>
      </c>
      <c r="C12" s="183" t="n">
        <v>232613.34</v>
      </c>
      <c r="D12" s="183" t="n">
        <v>0</v>
      </c>
      <c r="E12" s="183" t="n">
        <v>67834.05</v>
      </c>
      <c r="F12" s="183" t="n">
        <v>32325.63</v>
      </c>
      <c r="G12" s="183" t="n">
        <v>479.35</v>
      </c>
      <c r="H12" s="183" t="n">
        <v>8881.09</v>
      </c>
    </row>
    <row customHeight="1" ht="16.5" r="13" s="40">
      <c r="A13" s="11" t="n">
        <v>45114</v>
      </c>
      <c r="B13" s="183" t="n">
        <v>333231.44</v>
      </c>
      <c r="C13" s="183" t="n">
        <v>228571.07</v>
      </c>
      <c r="D13" s="183" t="n">
        <v>0</v>
      </c>
      <c r="E13" s="183" t="n">
        <v>61598.89</v>
      </c>
      <c r="F13" s="183" t="n">
        <v>31637.57</v>
      </c>
      <c r="G13" s="183" t="n">
        <v>493.42</v>
      </c>
      <c r="H13" s="183" t="n">
        <v>10930.49</v>
      </c>
    </row>
    <row customHeight="1" ht="16.5" r="14" s="40">
      <c r="A14" s="11" t="n">
        <v>45115</v>
      </c>
      <c r="B14" s="183" t="n">
        <v>339131.52</v>
      </c>
      <c r="C14" s="183" t="n">
        <v>243478.1</v>
      </c>
      <c r="D14" s="183" t="n">
        <v>0</v>
      </c>
      <c r="E14" s="183" t="n">
        <v>56105.49</v>
      </c>
      <c r="F14" s="183" t="n">
        <v>23906.33</v>
      </c>
      <c r="G14" s="183" t="n">
        <v>439.7</v>
      </c>
      <c r="H14" s="183" t="n">
        <v>15201.9</v>
      </c>
    </row>
    <row customHeight="1" ht="16.5" r="15" s="40">
      <c r="A15" s="11" t="n">
        <v>45116</v>
      </c>
      <c r="B15" s="183" t="n">
        <v>342249.49</v>
      </c>
      <c r="C15" s="183" t="n">
        <v>252160.84</v>
      </c>
      <c r="D15" s="183" t="n">
        <v>0</v>
      </c>
      <c r="E15" s="183" t="n">
        <v>57419.49</v>
      </c>
      <c r="F15" s="183" t="n">
        <v>19353.09</v>
      </c>
      <c r="G15" s="183" t="n">
        <v>439.7</v>
      </c>
      <c r="H15" s="183" t="n">
        <v>12876.37</v>
      </c>
    </row>
    <row customHeight="1" ht="16.5" r="16" s="40">
      <c r="A16" s="11" t="n">
        <v>45117</v>
      </c>
      <c r="B16" s="183" t="n">
        <v>339666.48</v>
      </c>
      <c r="C16" s="183" t="n">
        <v>234515.41</v>
      </c>
      <c r="D16" s="183" t="n">
        <v>0</v>
      </c>
      <c r="E16" s="183" t="n">
        <v>60648.19</v>
      </c>
      <c r="F16" s="183" t="n">
        <v>35111.05</v>
      </c>
      <c r="G16" s="183" t="n">
        <v>531.1</v>
      </c>
      <c r="H16" s="183" t="n">
        <v>8860.73</v>
      </c>
    </row>
    <row customHeight="1" ht="16.5" r="17" s="40">
      <c r="A17" s="11" t="n">
        <v>45118</v>
      </c>
      <c r="B17" s="183" t="n">
        <v>341326.69</v>
      </c>
      <c r="C17" s="183" t="n">
        <v>235929.51</v>
      </c>
      <c r="D17" s="183" t="n">
        <v>0</v>
      </c>
      <c r="E17" s="183" t="n">
        <v>57976.13</v>
      </c>
      <c r="F17" s="183" t="n">
        <v>36917.95</v>
      </c>
      <c r="G17" s="183" t="n">
        <v>509.42</v>
      </c>
      <c r="H17" s="183" t="n">
        <v>9993.68</v>
      </c>
    </row>
    <row customHeight="1" ht="16.5" r="18" s="40">
      <c r="A18" s="11" t="n">
        <v>45119</v>
      </c>
      <c r="B18" s="183" t="n">
        <v>344467.6</v>
      </c>
      <c r="C18" s="183" t="n">
        <v>233407.27</v>
      </c>
      <c r="D18" s="183" t="n">
        <v>0</v>
      </c>
      <c r="E18" s="183" t="n">
        <v>58863.02</v>
      </c>
      <c r="F18" s="183" t="n">
        <v>39647.44</v>
      </c>
      <c r="G18" s="183" t="n">
        <v>449.09</v>
      </c>
      <c r="H18" s="183" t="n">
        <v>12100.78</v>
      </c>
    </row>
    <row customHeight="1" ht="16.5" r="19" s="40">
      <c r="A19" s="11" t="n">
        <v>45120</v>
      </c>
      <c r="B19" s="183" t="n">
        <v>332900.71</v>
      </c>
      <c r="C19" s="183" t="n">
        <v>225646.02</v>
      </c>
      <c r="D19" s="183" t="n">
        <v>0</v>
      </c>
      <c r="E19" s="183" t="n">
        <v>53068.85</v>
      </c>
      <c r="F19" s="183" t="n">
        <v>42231.79</v>
      </c>
      <c r="G19" s="183" t="n">
        <v>418.74</v>
      </c>
      <c r="H19" s="183" t="n">
        <v>11535.31</v>
      </c>
    </row>
    <row customHeight="1" ht="16.5" r="20" s="40">
      <c r="A20" s="11" t="n">
        <v>45121</v>
      </c>
      <c r="B20" s="183" t="n">
        <v>370086.29</v>
      </c>
      <c r="C20" s="183" t="n">
        <v>268121.16</v>
      </c>
      <c r="D20" s="183" t="n">
        <v>0</v>
      </c>
      <c r="E20" s="183" t="n">
        <v>54227.52</v>
      </c>
      <c r="F20" s="183" t="n">
        <v>34951.88</v>
      </c>
      <c r="G20" s="183" t="n">
        <v>507.42</v>
      </c>
      <c r="H20" s="183" t="n">
        <v>12278.31</v>
      </c>
    </row>
    <row customHeight="1" ht="16.5" r="21" s="40">
      <c r="A21" s="11" t="n">
        <v>45122</v>
      </c>
      <c r="B21" s="183" t="n">
        <v>393676.37</v>
      </c>
      <c r="C21" s="183" t="n">
        <v>301957.51</v>
      </c>
      <c r="D21" s="183" t="n">
        <v>0</v>
      </c>
      <c r="E21" s="183" t="n">
        <v>53717.82</v>
      </c>
      <c r="F21" s="183" t="n">
        <v>24398.08</v>
      </c>
      <c r="G21" s="183" t="n">
        <v>380.06</v>
      </c>
      <c r="H21" s="183" t="n">
        <v>13222.9</v>
      </c>
    </row>
    <row customHeight="1" ht="16.5" r="22" s="40">
      <c r="A22" s="11" t="n">
        <v>45123</v>
      </c>
      <c r="B22" s="183" t="n">
        <v>409755.75</v>
      </c>
      <c r="C22" s="183" t="n">
        <v>317846.2</v>
      </c>
      <c r="D22" s="183" t="n">
        <v>0</v>
      </c>
      <c r="E22" s="183" t="n">
        <v>55895.59</v>
      </c>
      <c r="F22" s="183" t="n">
        <v>20368.44</v>
      </c>
      <c r="G22" s="183" t="n">
        <v>474.55</v>
      </c>
      <c r="H22" s="183" t="n">
        <v>15170.97</v>
      </c>
    </row>
    <row customHeight="1" ht="16.5" r="23" s="40">
      <c r="A23" s="11" t="n">
        <v>45124</v>
      </c>
      <c r="B23" s="183" t="n">
        <v>364733.56</v>
      </c>
      <c r="C23" s="183" t="n">
        <v>260127.18</v>
      </c>
      <c r="D23" s="183" t="n">
        <v>0</v>
      </c>
      <c r="E23" s="183" t="n">
        <v>56198.2</v>
      </c>
      <c r="F23" s="183" t="n">
        <v>34196.29</v>
      </c>
      <c r="G23" s="183" t="n">
        <v>289.18</v>
      </c>
      <c r="H23" s="183" t="n">
        <v>13922.71</v>
      </c>
    </row>
    <row customHeight="1" ht="16.5" r="24" s="40">
      <c r="A24" s="11" t="n">
        <v>45125</v>
      </c>
      <c r="B24" s="183" t="n">
        <v>355602.11</v>
      </c>
      <c r="C24" s="183" t="n">
        <v>247747.09</v>
      </c>
      <c r="D24" s="183" t="n">
        <v>0</v>
      </c>
      <c r="E24" s="183" t="n">
        <v>57410.58</v>
      </c>
      <c r="F24" s="183" t="n">
        <v>35777.88</v>
      </c>
      <c r="G24" s="183" t="n">
        <v>174.18</v>
      </c>
      <c r="H24" s="183" t="n">
        <v>14492.38</v>
      </c>
    </row>
    <row customHeight="1" ht="16.5" r="25" s="40">
      <c r="A25" s="11" t="n">
        <v>45126</v>
      </c>
      <c r="B25" s="183" t="n">
        <v>356984.37</v>
      </c>
      <c r="C25" s="183" t="n">
        <v>249333.81</v>
      </c>
      <c r="D25" s="183" t="n">
        <v>0</v>
      </c>
      <c r="E25" s="183" t="n">
        <v>59170.79</v>
      </c>
      <c r="F25" s="183" t="n">
        <v>35801.97</v>
      </c>
      <c r="G25" s="183" t="n">
        <v>310.8</v>
      </c>
      <c r="H25" s="183" t="n">
        <v>12367</v>
      </c>
    </row>
    <row customHeight="1" ht="16.5" r="26" s="40">
      <c r="A26" s="11" t="n">
        <v>45127</v>
      </c>
      <c r="B26" s="183" t="n">
        <v>338644.34</v>
      </c>
      <c r="C26" s="183" t="n">
        <v>229808.48</v>
      </c>
      <c r="D26" s="183" t="n">
        <v>0</v>
      </c>
      <c r="E26" s="183" t="n">
        <v>56248.76</v>
      </c>
      <c r="F26" s="183" t="n">
        <v>40019.71</v>
      </c>
      <c r="G26" s="183" t="n">
        <v>201.93</v>
      </c>
      <c r="H26" s="183" t="n">
        <v>12365.46</v>
      </c>
    </row>
    <row customHeight="1" ht="16.5" r="27" s="40">
      <c r="A27" s="11" t="n">
        <v>45128</v>
      </c>
      <c r="B27" s="183" t="n">
        <v>337311.43</v>
      </c>
      <c r="C27" s="183" t="n">
        <v>226430.77</v>
      </c>
      <c r="D27" s="183" t="n">
        <v>0</v>
      </c>
      <c r="E27" s="183" t="n">
        <v>54986.72</v>
      </c>
      <c r="F27" s="183" t="n">
        <v>42043.79</v>
      </c>
      <c r="G27" s="183" t="n">
        <v>562.76</v>
      </c>
      <c r="H27" s="183" t="n">
        <v>13287.39</v>
      </c>
    </row>
    <row customHeight="1" ht="16.5" r="28" s="40">
      <c r="A28" s="11" t="n">
        <v>45129</v>
      </c>
      <c r="B28" s="183" t="n">
        <v>375543.96</v>
      </c>
      <c r="C28" s="183" t="n">
        <v>273831.49</v>
      </c>
      <c r="D28" s="183" t="n">
        <v>0</v>
      </c>
      <c r="E28" s="183" t="n">
        <v>54389.2</v>
      </c>
      <c r="F28" s="183" t="n">
        <v>34056.52</v>
      </c>
      <c r="G28" s="183" t="n">
        <v>583.87</v>
      </c>
      <c r="H28" s="183" t="n">
        <v>12682.88</v>
      </c>
    </row>
    <row customHeight="1" ht="16.5" r="29" s="40">
      <c r="A29" s="11" t="n">
        <v>45130</v>
      </c>
      <c r="B29" s="183" t="n">
        <v>388907.72</v>
      </c>
      <c r="C29" s="183" t="n">
        <v>291488.07</v>
      </c>
      <c r="D29" s="183" t="n">
        <v>0</v>
      </c>
      <c r="E29" s="183" t="n">
        <v>57830.34</v>
      </c>
      <c r="F29" s="183" t="n">
        <v>24403.33</v>
      </c>
      <c r="G29" s="183" t="n">
        <v>577.98</v>
      </c>
      <c r="H29" s="183" t="n">
        <v>14608</v>
      </c>
    </row>
    <row customHeight="1" ht="16.5" r="30" s="40">
      <c r="A30" s="11" t="n">
        <v>45131</v>
      </c>
      <c r="B30" s="183" t="n">
        <v>393173.37</v>
      </c>
      <c r="C30" s="183" t="n">
        <v>275189.84</v>
      </c>
      <c r="D30" s="183" t="n">
        <v>0</v>
      </c>
      <c r="E30" s="183" t="n">
        <v>60501.23</v>
      </c>
      <c r="F30" s="183" t="n">
        <v>42685.49</v>
      </c>
      <c r="G30" s="183" t="n">
        <v>807.17</v>
      </c>
      <c r="H30" s="183" t="n">
        <v>13989.64</v>
      </c>
    </row>
    <row customHeight="1" ht="16.5" r="31" s="40">
      <c r="A31" s="11" t="n">
        <v>45132</v>
      </c>
      <c r="B31" s="183" t="n">
        <v>376792.68</v>
      </c>
      <c r="C31" s="183" t="n">
        <v>262987.53</v>
      </c>
      <c r="D31" s="183" t="n">
        <v>0</v>
      </c>
      <c r="E31" s="183" t="n">
        <v>57073.64</v>
      </c>
      <c r="F31" s="183" t="n">
        <v>42183.99</v>
      </c>
      <c r="G31" s="183" t="n">
        <v>639.23</v>
      </c>
      <c r="H31" s="183" t="n">
        <v>13908.29</v>
      </c>
    </row>
    <row customHeight="1" ht="16.5" r="32" s="40">
      <c r="A32" s="11" t="n">
        <v>45133</v>
      </c>
      <c r="B32" s="183" t="n">
        <v>386912.97</v>
      </c>
      <c r="C32" s="183" t="n">
        <v>276980.88</v>
      </c>
      <c r="D32" s="183" t="n">
        <v>0</v>
      </c>
      <c r="E32" s="183" t="n">
        <v>54787.87</v>
      </c>
      <c r="F32" s="183" t="n">
        <v>39099.87</v>
      </c>
      <c r="G32" s="183" t="n">
        <v>367.21</v>
      </c>
      <c r="H32" s="183" t="n">
        <v>15677.14</v>
      </c>
    </row>
    <row customHeight="1" ht="16.5" r="33" s="40">
      <c r="A33" s="11" t="n">
        <v>45134</v>
      </c>
      <c r="B33" s="183" t="n">
        <v>336224.51</v>
      </c>
      <c r="C33" s="183" t="n">
        <v>238422.62</v>
      </c>
      <c r="D33" s="183" t="n">
        <v>0</v>
      </c>
      <c r="E33" s="183" t="n">
        <v>40634.88</v>
      </c>
      <c r="F33" s="183" t="n">
        <v>39621.83</v>
      </c>
      <c r="G33" s="183" t="n">
        <v>317.04</v>
      </c>
      <c r="H33" s="183" t="n">
        <v>17228.14</v>
      </c>
    </row>
    <row customHeight="1" ht="16.5" r="34" s="40">
      <c r="A34" s="11" t="n">
        <v>45135</v>
      </c>
      <c r="B34" s="183" t="n">
        <v>359675.81</v>
      </c>
      <c r="C34" s="183" t="n">
        <v>271951.68</v>
      </c>
      <c r="D34" s="183" t="n">
        <v>0</v>
      </c>
      <c r="E34" s="183" t="n">
        <v>34818.25</v>
      </c>
      <c r="F34" s="183" t="n">
        <v>34754.16</v>
      </c>
      <c r="G34" s="183" t="n">
        <v>210.57</v>
      </c>
      <c r="H34" s="183" t="n">
        <v>17941.15</v>
      </c>
    </row>
    <row customHeight="1" ht="16.5" r="35" s="40">
      <c r="A35" s="11" t="n">
        <v>45136</v>
      </c>
      <c r="B35" s="183" t="n">
        <v>362939.72</v>
      </c>
      <c r="C35" s="183" t="n">
        <v>254148.41</v>
      </c>
      <c r="D35" s="183" t="n">
        <v>0</v>
      </c>
      <c r="E35" s="183" t="n">
        <v>53077.58</v>
      </c>
      <c r="F35" s="183" t="n">
        <v>32923.79</v>
      </c>
      <c r="G35" s="183" t="n">
        <v>332.6</v>
      </c>
      <c r="H35" s="183" t="n">
        <v>22457.34</v>
      </c>
    </row>
    <row customHeight="1" ht="16.5" r="36" s="40">
      <c r="A36" s="11" t="n">
        <v>45137</v>
      </c>
      <c r="B36" s="183" t="n">
        <v>422081.75</v>
      </c>
      <c r="C36" s="183" t="n">
        <v>318092.6</v>
      </c>
      <c r="D36" s="183" t="n">
        <v>0</v>
      </c>
      <c r="E36" s="183" t="n">
        <v>52969.67</v>
      </c>
      <c r="F36" s="183" t="n">
        <v>30269.93</v>
      </c>
      <c r="G36" s="183" t="n">
        <v>451.6</v>
      </c>
      <c r="H36" s="183" t="n">
        <v>20297.95</v>
      </c>
    </row>
    <row customHeight="1" ht="16.5" r="37" s="40">
      <c r="A37" s="11" t="n">
        <v>45138</v>
      </c>
      <c r="B37" s="183" t="n">
        <v>415370.71</v>
      </c>
      <c r="C37" s="183" t="n">
        <v>302613.19</v>
      </c>
      <c r="D37" s="183" t="n">
        <v>0</v>
      </c>
      <c r="E37" s="183" t="n">
        <v>57999.19</v>
      </c>
      <c r="F37" s="183" t="n">
        <v>40725.44</v>
      </c>
      <c r="G37" s="183" t="n">
        <v>365.47</v>
      </c>
      <c r="H37" s="183" t="n">
        <v>13667.42</v>
      </c>
    </row>
    <row customHeight="1" ht="16.5" r="38" s="40">
      <c r="A38" s="13" t="n">
        <v>45139</v>
      </c>
      <c r="B38" s="183" t="n">
        <v>401826.42</v>
      </c>
      <c r="C38" s="183" t="n">
        <v>286996.71</v>
      </c>
      <c r="D38" s="183" t="n">
        <v>0</v>
      </c>
      <c r="E38" s="183" t="n">
        <v>61477.97</v>
      </c>
      <c r="F38" s="183" t="n">
        <v>39145.51</v>
      </c>
      <c r="G38" s="183" t="n">
        <v>489</v>
      </c>
      <c r="H38" s="183" t="n">
        <v>13717.23</v>
      </c>
    </row>
    <row customHeight="1" ht="16.5" r="39" s="40">
      <c r="A39" s="13" t="n">
        <v>45140</v>
      </c>
      <c r="B39" s="183" t="n">
        <v>409243.49</v>
      </c>
      <c r="C39" s="183" t="n">
        <v>287852.51</v>
      </c>
      <c r="D39" s="183" t="n">
        <v>0</v>
      </c>
      <c r="E39" s="183" t="n">
        <v>62946.59</v>
      </c>
      <c r="F39" s="183" t="n">
        <v>45453.52</v>
      </c>
      <c r="G39" s="183" t="n">
        <v>420.44</v>
      </c>
      <c r="H39" s="183" t="n">
        <v>12570.43</v>
      </c>
      <c r="I39" s="184" t="n"/>
      <c r="J39" s="184" t="n"/>
    </row>
    <row customHeight="1" ht="16.5" r="40" s="40">
      <c r="A40" s="11" t="n">
        <v>45141</v>
      </c>
      <c r="B40" s="183" t="n">
        <v>411742.25</v>
      </c>
      <c r="C40" s="183" t="n">
        <v>291490.49</v>
      </c>
      <c r="D40" s="183" t="n">
        <v>0</v>
      </c>
      <c r="E40" s="183" t="n">
        <v>61976.47</v>
      </c>
      <c r="F40" s="183" t="n">
        <v>46493.04</v>
      </c>
      <c r="G40" s="183" t="n">
        <v>407.67</v>
      </c>
      <c r="H40" s="183" t="n">
        <v>11374.58</v>
      </c>
    </row>
    <row customHeight="1" ht="16.5" r="41" s="40">
      <c r="A41" s="11" t="n">
        <v>45142</v>
      </c>
      <c r="B41" s="183" t="n">
        <v>402064.5</v>
      </c>
      <c r="C41" s="183" t="n">
        <v>282151.4</v>
      </c>
      <c r="D41" s="183" t="n">
        <v>0</v>
      </c>
      <c r="E41" s="183" t="n">
        <v>61997.96</v>
      </c>
      <c r="F41" s="183" t="n">
        <v>44760.76</v>
      </c>
      <c r="G41" s="183" t="n">
        <v>553.55</v>
      </c>
      <c r="H41" s="183" t="n">
        <v>12600.83</v>
      </c>
    </row>
    <row customHeight="1" ht="16.5" r="42" s="40">
      <c r="A42" s="11" t="n">
        <v>45143</v>
      </c>
      <c r="B42" s="183" t="n">
        <v>429711.06</v>
      </c>
      <c r="C42" s="183" t="n">
        <v>315699.22</v>
      </c>
      <c r="D42" s="183" t="n">
        <v>0</v>
      </c>
      <c r="E42" s="183" t="n">
        <v>63009.66</v>
      </c>
      <c r="F42" s="183" t="n">
        <v>37553.19</v>
      </c>
      <c r="G42" s="183" t="n">
        <v>305.93</v>
      </c>
      <c r="H42" s="183" t="n">
        <v>13143.06</v>
      </c>
    </row>
    <row customHeight="1" ht="16.5" r="43" s="40">
      <c r="A43" s="11" t="n">
        <v>45144</v>
      </c>
      <c r="B43" s="183" t="n">
        <v>408008.66</v>
      </c>
      <c r="C43" s="183" t="n">
        <v>311020.97</v>
      </c>
      <c r="D43" s="183" t="n">
        <v>0</v>
      </c>
      <c r="E43" s="183" t="n">
        <v>59037.95</v>
      </c>
      <c r="F43" s="183" t="n">
        <v>23960.51</v>
      </c>
      <c r="G43" s="183" t="n">
        <v>382.83</v>
      </c>
      <c r="H43" s="183" t="n">
        <v>13606.4</v>
      </c>
    </row>
    <row customHeight="1" ht="16.5" r="44" s="40">
      <c r="A44" s="11" t="n">
        <v>45145</v>
      </c>
      <c r="B44" s="183" t="n">
        <v>428050.29</v>
      </c>
      <c r="C44" s="183" t="n">
        <v>303253.97</v>
      </c>
      <c r="D44" s="183" t="n">
        <v>0</v>
      </c>
      <c r="E44" s="183" t="n">
        <v>62254.29</v>
      </c>
      <c r="F44" s="183" t="n">
        <v>48308.09</v>
      </c>
      <c r="G44" s="183" t="n">
        <v>431.7</v>
      </c>
      <c r="H44" s="183" t="n">
        <v>13802.24</v>
      </c>
    </row>
    <row customHeight="1" ht="16.5" r="45" s="40">
      <c r="A45" s="11" t="n">
        <v>45146</v>
      </c>
      <c r="B45" s="183" t="n">
        <v>388003.51</v>
      </c>
      <c r="C45" s="183" t="n">
        <v>278702.52</v>
      </c>
      <c r="D45" s="183" t="n">
        <v>0</v>
      </c>
      <c r="E45" s="183" t="n">
        <v>59252.54</v>
      </c>
      <c r="F45" s="183" t="n">
        <v>39020.89</v>
      </c>
      <c r="G45" s="183" t="n">
        <v>321.56</v>
      </c>
      <c r="H45" s="183" t="n">
        <v>10706</v>
      </c>
    </row>
    <row customHeight="1" ht="16.5" r="46" s="40">
      <c r="A46" s="11" t="n">
        <v>45147</v>
      </c>
      <c r="B46" s="183" t="n">
        <v>397494.19</v>
      </c>
      <c r="C46" s="183" t="n">
        <v>284073.79</v>
      </c>
      <c r="D46" s="183" t="n">
        <v>0</v>
      </c>
      <c r="E46" s="183" t="n">
        <v>60674.74</v>
      </c>
      <c r="F46" s="183" t="n">
        <v>39403.03</v>
      </c>
      <c r="G46" s="183" t="n">
        <v>516.95</v>
      </c>
      <c r="H46" s="183" t="n">
        <v>12825.68</v>
      </c>
    </row>
    <row customHeight="1" ht="16.5" r="47" s="40">
      <c r="A47" s="11" t="n">
        <v>45148</v>
      </c>
      <c r="B47" s="183" t="n">
        <v>411840.6</v>
      </c>
      <c r="C47" s="183" t="n">
        <v>304697.4</v>
      </c>
      <c r="D47" s="183" t="n">
        <v>0</v>
      </c>
      <c r="E47" s="183" t="n">
        <v>60871.12</v>
      </c>
      <c r="F47" s="183" t="n">
        <v>32234.5</v>
      </c>
      <c r="G47" s="183" t="n">
        <v>257.51</v>
      </c>
      <c r="H47" s="183" t="n">
        <v>13780.07</v>
      </c>
    </row>
    <row customHeight="1" ht="16.5" r="48" s="40">
      <c r="A48" s="11" t="n">
        <v>45149</v>
      </c>
      <c r="B48" s="183" t="n">
        <v>441579.52</v>
      </c>
      <c r="C48" s="183" t="n">
        <v>332925.88</v>
      </c>
      <c r="D48" s="183" t="n">
        <v>0</v>
      </c>
      <c r="E48" s="183" t="n">
        <v>62402.15</v>
      </c>
      <c r="F48" s="183" t="n">
        <v>29809.53</v>
      </c>
      <c r="G48" s="183" t="n">
        <v>334.31</v>
      </c>
      <c r="H48" s="183" t="n">
        <v>16107.65</v>
      </c>
    </row>
    <row customHeight="1" ht="16.5" r="49" s="40">
      <c r="A49" s="11" t="n">
        <v>45150</v>
      </c>
      <c r="B49" s="183" t="n">
        <v>459916.47</v>
      </c>
      <c r="C49" s="183" t="n">
        <v>348927.26</v>
      </c>
      <c r="D49" s="183" t="n">
        <v>0</v>
      </c>
      <c r="E49" s="183" t="n">
        <v>63136.28</v>
      </c>
      <c r="F49" s="183" t="n">
        <v>25626.8</v>
      </c>
      <c r="G49" s="183" t="n">
        <v>275.7</v>
      </c>
      <c r="H49" s="183" t="n">
        <v>21950.43</v>
      </c>
    </row>
    <row customHeight="1" ht="16.5" r="50" s="40">
      <c r="A50" s="11" t="n">
        <v>45151</v>
      </c>
      <c r="B50" s="183" t="n">
        <v>416086.39</v>
      </c>
      <c r="C50" s="183" t="n">
        <v>310944.56</v>
      </c>
      <c r="D50" s="183" t="n">
        <v>0</v>
      </c>
      <c r="E50" s="183" t="n">
        <v>64026.97</v>
      </c>
      <c r="F50" s="183" t="n">
        <v>21094.84</v>
      </c>
      <c r="G50" s="183" t="n">
        <v>267.2</v>
      </c>
      <c r="H50" s="183" t="n">
        <v>19752.82</v>
      </c>
    </row>
    <row customHeight="1" ht="16.5" r="51" s="40">
      <c r="A51" s="11" t="n">
        <v>45152</v>
      </c>
      <c r="B51" s="183" t="n">
        <v>405755.75</v>
      </c>
      <c r="C51" s="183" t="n">
        <v>289494.47</v>
      </c>
      <c r="D51" s="183" t="n">
        <v>0</v>
      </c>
      <c r="E51" s="183" t="n">
        <v>66490.10000000001</v>
      </c>
      <c r="F51" s="183" t="n">
        <v>32703.94</v>
      </c>
      <c r="G51" s="183" t="n">
        <v>219.11</v>
      </c>
      <c r="H51" s="183" t="n">
        <v>16848.13</v>
      </c>
    </row>
    <row customHeight="1" ht="16.5" r="52" s="40">
      <c r="A52" s="11" t="n">
        <v>45153</v>
      </c>
      <c r="B52" s="183" t="n">
        <v>429172.74</v>
      </c>
      <c r="C52" s="183" t="n">
        <v>317400.79</v>
      </c>
      <c r="D52" s="183" t="n">
        <v>0</v>
      </c>
      <c r="E52" s="183" t="n">
        <v>58943.99000000001</v>
      </c>
      <c r="F52" s="183" t="n">
        <v>35520.68</v>
      </c>
      <c r="G52" s="183" t="n">
        <v>233.76</v>
      </c>
      <c r="H52" s="183" t="n">
        <v>17073.52</v>
      </c>
    </row>
    <row customHeight="1" ht="16.5" r="53" s="40">
      <c r="A53" s="11" t="n">
        <v>45154</v>
      </c>
      <c r="B53" s="183" t="n"/>
      <c r="C53" s="183" t="n"/>
      <c r="D53" s="183" t="n"/>
      <c r="E53" s="183" t="n"/>
      <c r="F53" s="183" t="n"/>
      <c r="G53" s="183" t="n"/>
      <c r="H53" s="183" t="n"/>
    </row>
    <row customHeight="1" ht="16.5" r="54" s="40">
      <c r="A54" s="11" t="n">
        <v>45155</v>
      </c>
      <c r="B54" s="183" t="n"/>
      <c r="C54" s="183" t="n"/>
      <c r="D54" s="183" t="n"/>
      <c r="E54" s="183" t="n"/>
      <c r="F54" s="183" t="n"/>
      <c r="G54" s="183" t="n"/>
      <c r="H54" s="183" t="n"/>
    </row>
    <row customHeight="1" ht="16.5" r="55" s="40">
      <c r="A55" s="11" t="n">
        <v>45156</v>
      </c>
      <c r="B55" s="183" t="n"/>
      <c r="C55" s="183" t="n"/>
      <c r="D55" s="183" t="n"/>
      <c r="E55" s="183" t="n"/>
      <c r="F55" s="183" t="n"/>
      <c r="G55" s="183" t="n"/>
      <c r="H55" s="183" t="n"/>
    </row>
    <row customHeight="1" ht="16.5" r="56" s="40">
      <c r="A56" s="11" t="n">
        <v>45157</v>
      </c>
      <c r="B56" s="183" t="n"/>
      <c r="C56" s="183" t="n"/>
      <c r="D56" s="183" t="n"/>
      <c r="E56" s="183" t="n"/>
      <c r="F56" s="183" t="n"/>
      <c r="G56" s="183" t="n"/>
      <c r="H56" s="183" t="n"/>
    </row>
    <row customHeight="1" ht="16.5" r="57" s="40">
      <c r="A57" s="11" t="n">
        <v>45158</v>
      </c>
      <c r="B57" s="183" t="n"/>
      <c r="C57" s="183" t="n"/>
      <c r="D57" s="183" t="n"/>
      <c r="E57" s="183" t="n"/>
      <c r="F57" s="183" t="n"/>
      <c r="G57" s="183" t="n"/>
      <c r="H57" s="183" t="n"/>
    </row>
    <row customHeight="1" ht="16.5" r="58" s="40">
      <c r="A58" s="11" t="n">
        <v>45159</v>
      </c>
      <c r="B58" s="183" t="n"/>
      <c r="C58" s="183" t="n"/>
      <c r="D58" s="183" t="n"/>
      <c r="E58" s="183" t="n"/>
      <c r="F58" s="183" t="n"/>
      <c r="G58" s="183" t="n"/>
      <c r="H58" s="183" t="n"/>
    </row>
    <row customHeight="1" ht="16.5" r="59" s="40">
      <c r="A59" s="11" t="n">
        <v>45160</v>
      </c>
      <c r="B59" s="183" t="n"/>
      <c r="C59" s="183" t="n"/>
      <c r="D59" s="183" t="n"/>
      <c r="E59" s="183" t="n"/>
      <c r="F59" s="183" t="n"/>
      <c r="G59" s="183" t="n"/>
      <c r="H59" s="183" t="n"/>
    </row>
    <row customHeight="1" ht="16.5" r="60" s="40">
      <c r="A60" s="11" t="n">
        <v>45161</v>
      </c>
      <c r="B60" s="183" t="n"/>
      <c r="C60" s="183" t="n"/>
      <c r="D60" s="183" t="n"/>
      <c r="E60" s="183" t="n"/>
      <c r="F60" s="183" t="n"/>
      <c r="G60" s="183" t="n"/>
      <c r="H60" s="183" t="n"/>
    </row>
    <row customHeight="1" ht="16.5" r="61" s="40">
      <c r="A61" s="11" t="n">
        <v>45162</v>
      </c>
      <c r="B61" s="183" t="n"/>
      <c r="C61" s="183" t="n"/>
      <c r="D61" s="183" t="n"/>
      <c r="E61" s="183" t="n"/>
      <c r="F61" s="183" t="n"/>
      <c r="G61" s="183" t="n"/>
      <c r="H61" s="183" t="n"/>
    </row>
    <row customHeight="1" ht="16.5" r="62" s="40">
      <c r="A62" s="11" t="n">
        <v>45163</v>
      </c>
      <c r="B62" s="183" t="n"/>
      <c r="C62" s="183" t="n"/>
      <c r="D62" s="183" t="n"/>
      <c r="E62" s="183" t="n"/>
      <c r="F62" s="183" t="n"/>
      <c r="G62" s="183" t="n"/>
      <c r="H62" s="183" t="n"/>
    </row>
    <row customHeight="1" ht="16.5" r="63" s="40">
      <c r="A63" s="11" t="n">
        <v>45164</v>
      </c>
      <c r="B63" s="183" t="n"/>
      <c r="C63" s="183" t="n"/>
      <c r="D63" s="183" t="n"/>
      <c r="E63" s="183" t="n"/>
      <c r="F63" s="183" t="n"/>
      <c r="G63" s="183" t="n"/>
      <c r="H63" s="183" t="n"/>
    </row>
    <row customHeight="1" ht="16.5" r="64" s="40">
      <c r="A64" s="11" t="n">
        <v>45165</v>
      </c>
      <c r="B64" s="183" t="n"/>
      <c r="C64" s="183" t="n"/>
      <c r="D64" s="183" t="n"/>
      <c r="E64" s="183" t="n"/>
      <c r="F64" s="183" t="n"/>
      <c r="G64" s="183" t="n"/>
      <c r="H64" s="183" t="n"/>
    </row>
    <row customHeight="1" ht="16.5" r="65" s="40">
      <c r="A65" s="11" t="n">
        <v>45166</v>
      </c>
      <c r="B65" s="183" t="n"/>
      <c r="C65" s="183" t="n"/>
      <c r="D65" s="183" t="n"/>
      <c r="E65" s="183" t="n"/>
      <c r="F65" s="183" t="n"/>
      <c r="G65" s="183" t="n"/>
      <c r="H65" s="183" t="n"/>
    </row>
    <row customHeight="1" ht="16.5" r="66" s="40">
      <c r="A66" s="11" t="n">
        <v>45167</v>
      </c>
      <c r="B66" s="183" t="n"/>
      <c r="C66" s="183" t="n"/>
      <c r="D66" s="183" t="n"/>
      <c r="E66" s="183" t="n"/>
      <c r="F66" s="183" t="n"/>
      <c r="G66" s="183" t="n"/>
      <c r="H66" s="183" t="n"/>
    </row>
    <row customHeight="1" ht="16.5" r="67" s="40">
      <c r="A67" s="11" t="n">
        <v>45168</v>
      </c>
      <c r="B67" s="183" t="n"/>
      <c r="C67" s="183" t="n"/>
      <c r="D67" s="183" t="n"/>
      <c r="E67" s="183" t="n"/>
      <c r="F67" s="183" t="n"/>
      <c r="G67" s="183" t="n"/>
      <c r="H67" s="183" t="n"/>
    </row>
    <row customHeight="1" ht="16.5" r="68" s="40">
      <c r="A68" s="11" t="n">
        <v>45169</v>
      </c>
      <c r="B68" s="183" t="n"/>
      <c r="C68" s="183" t="n"/>
      <c r="D68" s="183" t="n"/>
      <c r="E68" s="183" t="n"/>
      <c r="F68" s="183" t="n"/>
      <c r="G68" s="183" t="n"/>
      <c r="H68" s="183" t="n"/>
    </row>
    <row customHeight="1" ht="16.5" r="69" s="40">
      <c r="A69" s="11" t="n">
        <v>45170</v>
      </c>
      <c r="B69" s="183" t="n"/>
      <c r="C69" s="183" t="n"/>
      <c r="D69" s="183" t="n"/>
      <c r="E69" s="183" t="n"/>
      <c r="F69" s="183" t="n"/>
      <c r="G69" s="183" t="n"/>
      <c r="H69" s="183" t="n"/>
    </row>
    <row customHeight="1" ht="16.5" r="70" s="40">
      <c r="A70" s="11" t="n">
        <v>45171</v>
      </c>
      <c r="B70" s="183" t="n"/>
      <c r="C70" s="183" t="n"/>
      <c r="D70" s="183" t="n"/>
      <c r="E70" s="183" t="n"/>
      <c r="F70" s="183" t="n"/>
      <c r="G70" s="183" t="n"/>
      <c r="H70" s="183" t="n"/>
    </row>
    <row customHeight="1" ht="16.5" r="71" s="40">
      <c r="A71" s="11" t="n">
        <v>45172</v>
      </c>
      <c r="B71" s="183" t="n"/>
      <c r="C71" s="183" t="n"/>
      <c r="D71" s="183" t="n"/>
      <c r="E71" s="183" t="n"/>
      <c r="F71" s="183" t="n"/>
      <c r="G71" s="183" t="n"/>
      <c r="H71" s="183" t="n"/>
    </row>
    <row customHeight="1" ht="16.5" r="72" s="40">
      <c r="A72" s="11" t="n">
        <v>45173</v>
      </c>
      <c r="B72" s="183" t="n"/>
      <c r="C72" s="183" t="n"/>
      <c r="D72" s="183" t="n"/>
      <c r="E72" s="183" t="n"/>
      <c r="F72" s="183" t="n"/>
      <c r="G72" s="183" t="n"/>
      <c r="H72" s="183" t="n"/>
    </row>
    <row customHeight="1" ht="16.5" r="73" s="40">
      <c r="A73" s="11" t="n">
        <v>45174</v>
      </c>
      <c r="B73" s="183" t="n"/>
      <c r="C73" s="183" t="n"/>
      <c r="D73" s="183" t="n"/>
      <c r="E73" s="183" t="n"/>
      <c r="F73" s="183" t="n"/>
      <c r="G73" s="183" t="n"/>
      <c r="H73" s="183" t="n"/>
    </row>
    <row customHeight="1" ht="16.5" r="74" s="40">
      <c r="A74" s="11" t="n">
        <v>45175</v>
      </c>
      <c r="B74" s="183" t="n"/>
      <c r="C74" s="183" t="n"/>
      <c r="D74" s="183" t="n"/>
      <c r="E74" s="183" t="n"/>
      <c r="F74" s="183" t="n"/>
      <c r="G74" s="183" t="n"/>
      <c r="H74" s="183" t="n"/>
    </row>
    <row customHeight="1" ht="16.5" r="75" s="40">
      <c r="A75" s="11" t="n">
        <v>45176</v>
      </c>
      <c r="B75" s="183" t="n"/>
      <c r="C75" s="183" t="n"/>
      <c r="D75" s="183" t="n"/>
      <c r="E75" s="183" t="n"/>
      <c r="F75" s="183" t="n"/>
      <c r="G75" s="183" t="n"/>
      <c r="H75" s="183" t="n"/>
    </row>
    <row customHeight="1" ht="16.5" r="76" s="40">
      <c r="A76" s="11" t="n">
        <v>45177</v>
      </c>
      <c r="B76" s="183" t="n"/>
      <c r="C76" s="183" t="n"/>
      <c r="D76" s="183" t="n"/>
      <c r="E76" s="183" t="n"/>
      <c r="F76" s="183" t="n"/>
      <c r="G76" s="183" t="n"/>
      <c r="H76" s="183" t="n"/>
    </row>
    <row customHeight="1" ht="16.5" r="77" s="40">
      <c r="A77" s="11" t="n">
        <v>45178</v>
      </c>
      <c r="B77" s="183" t="n"/>
      <c r="C77" s="183" t="n"/>
      <c r="D77" s="183" t="n"/>
      <c r="E77" s="183" t="n"/>
      <c r="F77" s="183" t="n"/>
      <c r="G77" s="183" t="n"/>
      <c r="H77" s="183" t="n"/>
    </row>
    <row customHeight="1" ht="16.5" r="78" s="40">
      <c r="A78" s="11" t="n">
        <v>45179</v>
      </c>
      <c r="B78" s="183" t="n"/>
      <c r="C78" s="183" t="n"/>
      <c r="D78" s="183" t="n"/>
      <c r="E78" s="183" t="n"/>
      <c r="F78" s="183" t="n"/>
      <c r="G78" s="183" t="n"/>
      <c r="H78" s="183" t="n"/>
    </row>
    <row customHeight="1" ht="16.5" r="79" s="40">
      <c r="A79" s="11" t="n">
        <v>45180</v>
      </c>
      <c r="B79" s="183" t="n"/>
      <c r="C79" s="183" t="n"/>
      <c r="D79" s="183" t="n"/>
      <c r="E79" s="183" t="n"/>
      <c r="F79" s="183" t="n"/>
      <c r="G79" s="183" t="n"/>
      <c r="H79" s="183" t="n"/>
    </row>
    <row customHeight="1" ht="16.5" r="80" s="40">
      <c r="A80" s="11" t="n">
        <v>45181</v>
      </c>
      <c r="B80" s="183" t="n"/>
      <c r="C80" s="183" t="n"/>
      <c r="D80" s="183" t="n"/>
      <c r="E80" s="183" t="n"/>
      <c r="F80" s="183" t="n"/>
      <c r="G80" s="183" t="n"/>
      <c r="H80" s="183" t="n"/>
    </row>
    <row customHeight="1" ht="16.5" r="81" s="40">
      <c r="A81" s="11" t="n">
        <v>45182</v>
      </c>
      <c r="B81" s="183" t="n"/>
      <c r="C81" s="183" t="n"/>
      <c r="D81" s="183" t="n"/>
      <c r="E81" s="183" t="n"/>
      <c r="F81" s="183" t="n"/>
      <c r="G81" s="183" t="n"/>
      <c r="H81" s="183" t="n"/>
    </row>
    <row customHeight="1" ht="16.5" r="82" s="40">
      <c r="A82" s="11" t="n">
        <v>45183</v>
      </c>
      <c r="B82" s="183" t="n"/>
      <c r="C82" s="183" t="n"/>
      <c r="D82" s="183" t="n"/>
      <c r="E82" s="183" t="n"/>
      <c r="F82" s="183" t="n"/>
      <c r="G82" s="183" t="n"/>
      <c r="H82" s="183" t="n"/>
    </row>
    <row customHeight="1" ht="16.5" r="83" s="40">
      <c r="A83" s="11" t="n">
        <v>45184</v>
      </c>
      <c r="B83" s="183" t="n"/>
      <c r="C83" s="183" t="n"/>
      <c r="D83" s="183" t="n"/>
      <c r="E83" s="183" t="n"/>
      <c r="F83" s="183" t="n"/>
      <c r="G83" s="183" t="n"/>
      <c r="H83" s="183" t="n"/>
    </row>
    <row customHeight="1" ht="16.5" r="84" s="40">
      <c r="A84" s="11" t="n">
        <v>45185</v>
      </c>
      <c r="B84" s="183" t="n"/>
      <c r="C84" s="183" t="n"/>
      <c r="D84" s="183" t="n"/>
      <c r="E84" s="183" t="n"/>
      <c r="F84" s="183" t="n"/>
      <c r="G84" s="183" t="n"/>
      <c r="H84" s="183" t="n"/>
    </row>
    <row customHeight="1" ht="16.5" r="85" s="40">
      <c r="A85" s="11" t="n">
        <v>45186</v>
      </c>
      <c r="B85" s="183" t="n"/>
      <c r="C85" s="183" t="n"/>
      <c r="D85" s="183" t="n"/>
      <c r="E85" s="183" t="n"/>
      <c r="F85" s="183" t="n"/>
      <c r="G85" s="183" t="n"/>
      <c r="H85" s="183" t="n"/>
    </row>
    <row customHeight="1" ht="16.5" r="86" s="40">
      <c r="A86" s="11" t="n">
        <v>45187</v>
      </c>
      <c r="B86" s="183" t="n"/>
      <c r="C86" s="183" t="n"/>
      <c r="D86" s="183" t="n"/>
      <c r="E86" s="183" t="n"/>
      <c r="F86" s="183" t="n"/>
      <c r="G86" s="183" t="n"/>
      <c r="H86" s="183" t="n"/>
    </row>
    <row customHeight="1" ht="16.5" r="87" s="40">
      <c r="A87" s="11" t="n">
        <v>45188</v>
      </c>
      <c r="B87" s="183" t="n"/>
      <c r="C87" s="183" t="n"/>
      <c r="D87" s="183" t="n"/>
      <c r="E87" s="183" t="n"/>
      <c r="F87" s="183" t="n"/>
      <c r="G87" s="183" t="n"/>
      <c r="H87" s="183" t="n"/>
    </row>
    <row customHeight="1" ht="16.5" r="88" s="40">
      <c r="A88" s="11" t="n">
        <v>45189</v>
      </c>
      <c r="B88" s="183" t="n"/>
      <c r="C88" s="183" t="n"/>
      <c r="D88" s="183" t="n"/>
      <c r="E88" s="183" t="n"/>
      <c r="F88" s="183" t="n"/>
      <c r="G88" s="183" t="n"/>
      <c r="H88" s="183" t="n"/>
    </row>
    <row customHeight="1" ht="16.5" r="89" s="40">
      <c r="A89" s="11" t="n">
        <v>45190</v>
      </c>
      <c r="B89" s="183" t="n"/>
      <c r="C89" s="183" t="n"/>
      <c r="D89" s="183" t="n"/>
      <c r="E89" s="183" t="n"/>
      <c r="F89" s="183" t="n"/>
      <c r="G89" s="183" t="n"/>
      <c r="H89" s="183" t="n"/>
    </row>
    <row customHeight="1" ht="16.5" r="90" s="40">
      <c r="A90" s="11" t="n">
        <v>45191</v>
      </c>
      <c r="B90" s="183" t="n"/>
      <c r="C90" s="183" t="n"/>
      <c r="D90" s="183" t="n"/>
      <c r="E90" s="183" t="n"/>
      <c r="F90" s="183" t="n"/>
      <c r="G90" s="183" t="n"/>
      <c r="H90" s="183" t="n"/>
    </row>
    <row customHeight="1" ht="16.5" r="91" s="40">
      <c r="A91" s="11" t="n">
        <v>45192</v>
      </c>
      <c r="B91" s="183" t="n"/>
      <c r="C91" s="183" t="n"/>
      <c r="D91" s="183" t="n"/>
      <c r="E91" s="183" t="n"/>
      <c r="F91" s="183" t="n"/>
      <c r="G91" s="183" t="n"/>
      <c r="H91" s="183" t="n"/>
    </row>
    <row customHeight="1" ht="16.5" r="92" s="40">
      <c r="A92" s="11" t="n">
        <v>45193</v>
      </c>
      <c r="B92" s="183" t="n"/>
      <c r="C92" s="183" t="n"/>
      <c r="D92" s="183" t="n"/>
      <c r="E92" s="183" t="n"/>
      <c r="F92" s="183" t="n"/>
      <c r="G92" s="183" t="n"/>
      <c r="H92" s="183" t="n"/>
    </row>
    <row customHeight="1" ht="16.5" r="93" s="40">
      <c r="A93" s="11" t="n">
        <v>45194</v>
      </c>
      <c r="B93" s="183" t="n"/>
      <c r="C93" s="183" t="n"/>
      <c r="D93" s="183" t="n"/>
      <c r="E93" s="183" t="n"/>
      <c r="F93" s="183" t="n"/>
      <c r="G93" s="183" t="n"/>
      <c r="H93" s="183" t="n"/>
    </row>
    <row customHeight="1" ht="16.5" r="94" s="40">
      <c r="A94" s="11" t="n">
        <v>45195</v>
      </c>
      <c r="B94" s="183" t="n"/>
      <c r="C94" s="183" t="n"/>
      <c r="D94" s="183" t="n"/>
      <c r="E94" s="183" t="n"/>
      <c r="F94" s="183" t="n"/>
      <c r="G94" s="183" t="n"/>
      <c r="H94" s="183" t="n"/>
    </row>
    <row customHeight="1" ht="16.5" r="95" s="40">
      <c r="A95" s="11" t="n">
        <v>45196</v>
      </c>
      <c r="B95" s="183" t="n"/>
      <c r="C95" s="183" t="n"/>
      <c r="D95" s="183" t="n"/>
      <c r="E95" s="183" t="n"/>
      <c r="F95" s="183" t="n"/>
      <c r="G95" s="183" t="n"/>
      <c r="H95" s="183" t="n"/>
    </row>
    <row customHeight="1" ht="16.5" r="96" s="40">
      <c r="A96" s="11" t="n">
        <v>45197</v>
      </c>
      <c r="B96" s="183" t="n"/>
      <c r="C96" s="183" t="n"/>
      <c r="D96" s="183" t="n"/>
      <c r="E96" s="183" t="n"/>
      <c r="F96" s="183" t="n"/>
      <c r="G96" s="183" t="n"/>
      <c r="H96" s="183" t="n"/>
    </row>
    <row customHeight="1" ht="16.5" r="97" s="40">
      <c r="A97" s="11" t="n">
        <v>45198</v>
      </c>
      <c r="B97" s="183" t="n"/>
      <c r="C97" s="183" t="n"/>
      <c r="D97" s="183" t="n"/>
      <c r="E97" s="183" t="n"/>
      <c r="F97" s="183" t="n"/>
      <c r="G97" s="183" t="n"/>
      <c r="H97" s="183" t="n"/>
    </row>
    <row customHeight="1" ht="16.5" r="98" s="40">
      <c r="A98" s="11" t="n">
        <v>45199</v>
      </c>
      <c r="B98" s="183" t="n"/>
      <c r="C98" s="183" t="n"/>
      <c r="D98" s="183" t="n"/>
      <c r="E98" s="183" t="n"/>
      <c r="F98" s="183" t="n"/>
      <c r="G98" s="183" t="n"/>
      <c r="H98" s="183" t="n"/>
    </row>
  </sheetData>
  <mergeCells count="1">
    <mergeCell ref="A1:H1"/>
  </mergeCells>
  <conditionalFormatting sqref="A7:A98">
    <cfRule dxfId="10" priority="3" type="expression">
      <formula>OR(WEEKDAY(A7,2)=6,WEEKDAY(A7,2)=7)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licc</dc:creator>
  <dcterms:created xsi:type="dcterms:W3CDTF">2006-09-13T11:21:00Z</dcterms:created>
  <dcterms:modified xsi:type="dcterms:W3CDTF">2023-08-16T06:48:02Z</dcterms:modified>
  <cp:lastModifiedBy>user</cp:lastModifiedBy>
  <cp:lastPrinted>2021-09-23T01:55:00Z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20F6232DEB794E35BD925F244B02463D_13</vt:lpwstr>
  </property>
  <property fmtid="{D5CDD505-2E9C-101B-9397-08002B2CF9AE}" name="KSOProductBuildVer" pid="3">
    <vt:lpwstr>2052-11.8.2.8053</vt:lpwstr>
  </property>
</Properties>
</file>