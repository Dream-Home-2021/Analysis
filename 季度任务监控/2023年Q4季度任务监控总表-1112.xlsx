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0490" windowHeight="8010" tabRatio="553" firstSheet="0" activeTab="0" autoFilterDateGrouping="1"/>
  </bookViews>
  <sheets>
    <sheet xmlns:r="http://schemas.openxmlformats.org/officeDocument/2006/relationships" name="Q3任务监控表" sheetId="1" state="visible" r:id="rId1"/>
    <sheet xmlns:r="http://schemas.openxmlformats.org/officeDocument/2006/relationships" name="消费汇总" sheetId="2" state="visible" r:id="rId2"/>
    <sheet xmlns:r="http://schemas.openxmlformats.org/officeDocument/2006/relationships" name="二级地市消费汇总" sheetId="3" state="visible" r:id="rId3"/>
    <sheet xmlns:r="http://schemas.openxmlformats.org/officeDocument/2006/relationships" name="新单数据" sheetId="4" state="visible" r:id="rId4"/>
    <sheet xmlns:r="http://schemas.openxmlformats.org/officeDocument/2006/relationships" name="潜力行业" sheetId="5" state="visible" r:id="rId5"/>
  </sheets>
  <definedNames/>
  <calcPr calcId="144525" fullCalcOnLoad="1"/>
</workbook>
</file>

<file path=xl/styles.xml><?xml version="1.0" encoding="utf-8"?>
<styleSheet xmlns="http://schemas.openxmlformats.org/spreadsheetml/2006/main">
  <numFmts count="8">
    <numFmt numFmtId="164" formatCode="#,##0_);[Red]\(#,##0\)"/>
    <numFmt numFmtId="165" formatCode="_ * #,##0_ ;_ * \-#,##0_ ;_ * &quot;-&quot;??_ ;_ @_ "/>
    <numFmt numFmtId="166" formatCode="#,##0;[Red]#,##0"/>
    <numFmt numFmtId="167" formatCode="#,##0_ "/>
    <numFmt numFmtId="168" formatCode="_ * #,##0.00_ ;_ * \-#,##0.00_ ;_ * &quot;-&quot;??_ ;_ @_ "/>
    <numFmt numFmtId="169" formatCode="0.00_ "/>
    <numFmt numFmtId="170" formatCode="0.0_);[Red]\(0.0\)"/>
    <numFmt numFmtId="171" formatCode="_-* #,##0_-;\-* #,##0_-;_-* &quot;-&quot;_-;_-@_-"/>
  </numFmts>
  <fonts count="36">
    <font>
      <name val="宋体"/>
      <charset val="134"/>
      <color indexed="8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0"/>
    </font>
    <font>
      <name val="微软雅黑"/>
      <charset val="134"/>
      <b val="1"/>
      <color theme="1"/>
      <sz val="10"/>
    </font>
    <font>
      <name val="微软雅黑"/>
      <charset val="134"/>
      <color theme="1"/>
      <sz val="10"/>
    </font>
    <font>
      <name val="微软雅黑"/>
      <charset val="134"/>
      <color indexed="8"/>
      <sz val="10"/>
    </font>
    <font>
      <name val="微软雅黑"/>
      <charset val="134"/>
      <b val="1"/>
      <color indexed="8"/>
      <sz val="10"/>
    </font>
    <font>
      <name val="微软雅黑"/>
      <charset val="134"/>
      <sz val="10"/>
    </font>
    <font>
      <name val="宋体"/>
      <charset val="134"/>
      <color indexed="8"/>
      <sz val="10"/>
    </font>
    <font>
      <name val="宋体"/>
      <charset val="134"/>
      <b val="1"/>
      <color theme="1"/>
      <sz val="10"/>
    </font>
    <font>
      <name val="微软雅黑"/>
      <charset val="134"/>
      <b val="1"/>
      <color theme="0" tint="-0.0499893185216834"/>
      <sz val="10"/>
    </font>
    <font>
      <name val="宋体"/>
      <charset val="134"/>
      <color theme="0" tint="-0.0499893185216834"/>
      <sz val="11"/>
    </font>
    <font>
      <name val="微软雅黑"/>
      <charset val="134"/>
      <color theme="0" tint="-0.0499893185216834"/>
      <sz val="10"/>
    </font>
    <font>
      <name val="宋体"/>
      <charset val="134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134"/>
      <color theme="3"/>
      <sz val="18"/>
      <scheme val="major"/>
    </font>
    <font>
      <name val="宋体"/>
      <charset val="0"/>
      <color rgb="FF0000FF"/>
      <sz val="11"/>
      <u val="single"/>
      <scheme val="minor"/>
    </font>
    <font>
      <name val="宋体"/>
      <charset val="0"/>
      <b val="1"/>
      <color rgb="FFFA7D00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A7D00"/>
      <sz val="11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9C65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134"/>
      <b val="1"/>
      <color theme="3"/>
      <sz val="18"/>
      <scheme val="major"/>
    </font>
    <font>
      <name val="宋体"/>
      <charset val="134"/>
      <sz val="12"/>
    </font>
  </fonts>
  <fills count="4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0DC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2CD2D"/>
        <bgColor indexed="64"/>
      </patternFill>
    </fill>
    <fill>
      <patternFill patternType="solid">
        <fgColor rgb="FFF1FFAB"/>
        <bgColor indexed="64"/>
      </patternFill>
    </fill>
    <fill>
      <patternFill patternType="solid">
        <fgColor rgb="FFEBEFB7"/>
        <bgColor indexed="64"/>
      </patternFill>
    </fill>
    <fill>
      <patternFill patternType="solid">
        <fgColor rgb="FFDCE381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60">
    <xf numFmtId="0" fontId="0" fillId="0" borderId="0" applyAlignment="1">
      <alignment vertical="center"/>
    </xf>
    <xf numFmtId="42" fontId="13" fillId="0" borderId="0" applyAlignment="1">
      <alignment vertical="center"/>
    </xf>
    <xf numFmtId="0" fontId="15" fillId="34" borderId="0" applyAlignment="1">
      <alignment vertical="center"/>
    </xf>
    <xf numFmtId="0" fontId="18" fillId="35" borderId="15" applyAlignment="1">
      <alignment vertical="center"/>
    </xf>
    <xf numFmtId="44" fontId="13" fillId="0" borderId="0" applyAlignment="1">
      <alignment vertical="center"/>
    </xf>
    <xf numFmtId="0" fontId="13" fillId="31" borderId="0" applyAlignment="1">
      <alignment vertical="center"/>
    </xf>
    <xf numFmtId="41" fontId="13" fillId="0" borderId="0" applyAlignment="1">
      <alignment vertical="center"/>
    </xf>
    <xf numFmtId="0" fontId="13" fillId="27" borderId="0" applyAlignment="1">
      <alignment vertical="center"/>
    </xf>
    <xf numFmtId="0" fontId="15" fillId="23" borderId="0" applyAlignment="1">
      <alignment vertical="center"/>
    </xf>
    <xf numFmtId="0" fontId="19" fillId="36" borderId="0" applyAlignment="1">
      <alignment vertical="center"/>
    </xf>
    <xf numFmtId="43" fontId="0" fillId="0" borderId="0" applyAlignment="1">
      <alignment vertical="center"/>
    </xf>
    <xf numFmtId="0" fontId="20" fillId="0" borderId="0" applyAlignment="1">
      <alignment vertical="center"/>
    </xf>
    <xf numFmtId="0" fontId="14" fillId="39" borderId="0" applyAlignment="1">
      <alignment vertical="center"/>
    </xf>
    <xf numFmtId="0" fontId="21" fillId="0" borderId="0" applyAlignment="1">
      <alignment vertical="center"/>
    </xf>
    <xf numFmtId="9" fontId="0" fillId="0" borderId="0" applyAlignment="1">
      <alignment vertical="center"/>
    </xf>
    <xf numFmtId="0" fontId="24" fillId="0" borderId="0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9" fontId="13" fillId="0" borderId="0" applyAlignment="1">
      <alignment vertical="center"/>
    </xf>
    <xf numFmtId="0" fontId="17" fillId="0" borderId="0" applyAlignment="1">
      <alignment vertical="center"/>
    </xf>
    <xf numFmtId="0" fontId="13" fillId="26" borderId="14" applyAlignment="1">
      <alignment vertical="center"/>
    </xf>
    <xf numFmtId="0" fontId="14" fillId="33" borderId="0" applyAlignment="1">
      <alignment vertical="center"/>
    </xf>
    <xf numFmtId="0" fontId="26" fillId="0" borderId="0" applyAlignment="1">
      <alignment vertical="center"/>
    </xf>
    <xf numFmtId="0" fontId="16" fillId="0" borderId="0" applyAlignment="1">
      <alignment vertical="center"/>
    </xf>
    <xf numFmtId="0" fontId="27" fillId="0" borderId="0" applyAlignment="1">
      <alignment vertical="center"/>
    </xf>
    <xf numFmtId="0" fontId="23" fillId="0" borderId="16" applyAlignment="1">
      <alignment vertical="center"/>
    </xf>
    <xf numFmtId="0" fontId="13" fillId="23" borderId="0" applyAlignment="1">
      <alignment vertical="center"/>
    </xf>
    <xf numFmtId="0" fontId="29" fillId="0" borderId="16" applyAlignment="1">
      <alignment vertical="center"/>
    </xf>
    <xf numFmtId="0" fontId="14" fillId="10" borderId="0" applyAlignment="1">
      <alignment vertical="center"/>
    </xf>
    <xf numFmtId="0" fontId="26" fillId="0" borderId="18" applyAlignment="1">
      <alignment vertical="center"/>
    </xf>
    <xf numFmtId="0" fontId="30" fillId="40" borderId="19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4" fillId="22" borderId="0" applyAlignment="1">
      <alignment vertical="center"/>
    </xf>
    <xf numFmtId="0" fontId="13" fillId="42" borderId="0" applyAlignment="1">
      <alignment vertical="center"/>
    </xf>
    <xf numFmtId="0" fontId="22" fillId="40" borderId="15" applyAlignment="1">
      <alignment vertical="center"/>
    </xf>
    <xf numFmtId="0" fontId="33" fillId="45" borderId="21" applyAlignment="1">
      <alignment vertical="center"/>
    </xf>
    <xf numFmtId="0" fontId="13" fillId="11" borderId="0" applyAlignment="1">
      <alignment vertical="center"/>
    </xf>
    <xf numFmtId="0" fontId="25" fillId="0" borderId="17" applyAlignment="1">
      <alignment vertical="center"/>
    </xf>
    <xf numFmtId="0" fontId="13" fillId="26" borderId="14" applyAlignment="1">
      <alignment vertical="center"/>
    </xf>
    <xf numFmtId="0" fontId="13" fillId="25" borderId="0" applyAlignment="1">
      <alignment vertical="center"/>
    </xf>
    <xf numFmtId="0" fontId="15" fillId="31" borderId="0" applyAlignment="1">
      <alignment vertical="center"/>
    </xf>
    <xf numFmtId="0" fontId="14" fillId="41" borderId="0" applyAlignment="1">
      <alignment vertical="center"/>
    </xf>
    <xf numFmtId="0" fontId="32" fillId="0" borderId="20" applyAlignment="1">
      <alignment vertical="center"/>
    </xf>
    <xf numFmtId="0" fontId="31" fillId="44" borderId="0" applyAlignment="1">
      <alignment vertical="center"/>
    </xf>
    <xf numFmtId="0" fontId="28" fillId="43" borderId="0" applyAlignment="1">
      <alignment vertical="center"/>
    </xf>
    <xf numFmtId="0" fontId="15" fillId="38" borderId="0" applyAlignment="1">
      <alignment vertical="center"/>
    </xf>
    <xf numFmtId="0" fontId="14" fillId="15" borderId="0" applyAlignment="1">
      <alignment vertical="center"/>
    </xf>
    <xf numFmtId="0" fontId="13" fillId="30" borderId="0" applyAlignment="1">
      <alignment vertical="center"/>
    </xf>
    <xf numFmtId="0" fontId="15" fillId="11" borderId="0" applyAlignment="1">
      <alignment vertical="center"/>
    </xf>
    <xf numFmtId="0" fontId="15" fillId="3" borderId="0" applyAlignment="1">
      <alignment vertical="center"/>
    </xf>
    <xf numFmtId="0" fontId="15" fillId="30" borderId="0" applyAlignment="1">
      <alignment vertical="center"/>
    </xf>
    <xf numFmtId="0" fontId="15" fillId="42" borderId="0" applyAlignment="1">
      <alignment vertical="center"/>
    </xf>
    <xf numFmtId="0" fontId="14" fillId="29" borderId="0" applyAlignment="1">
      <alignment vertical="center"/>
    </xf>
    <xf numFmtId="171" fontId="0" fillId="0" borderId="0" applyAlignment="1">
      <alignment vertical="center"/>
    </xf>
    <xf numFmtId="0" fontId="14" fillId="37" borderId="0" applyAlignment="1">
      <alignment vertical="center"/>
    </xf>
    <xf numFmtId="0" fontId="15" fillId="21" borderId="0" applyAlignment="1">
      <alignment vertical="center"/>
    </xf>
    <xf numFmtId="0" fontId="15" fillId="27" borderId="0" applyAlignment="1">
      <alignment vertical="center"/>
    </xf>
    <xf numFmtId="0" fontId="14" fillId="20" borderId="0" applyAlignment="1">
      <alignment vertical="center"/>
    </xf>
    <xf numFmtId="0" fontId="15" fillId="25" borderId="0" applyAlignment="1">
      <alignment vertical="center"/>
    </xf>
    <xf numFmtId="0" fontId="14" fillId="28" borderId="0" applyAlignment="1">
      <alignment vertical="center"/>
    </xf>
    <xf numFmtId="0" fontId="14" fillId="16" borderId="0" applyAlignment="1">
      <alignment vertical="center"/>
    </xf>
    <xf numFmtId="0" fontId="15" fillId="32" borderId="0" applyAlignment="1">
      <alignment vertical="center"/>
    </xf>
    <xf numFmtId="0" fontId="13" fillId="34" borderId="0" applyAlignment="1">
      <alignment vertical="center"/>
    </xf>
    <xf numFmtId="0" fontId="14" fillId="24" borderId="0" applyAlignment="1">
      <alignment vertical="center"/>
    </xf>
    <xf numFmtId="0" fontId="13" fillId="21" borderId="0" applyAlignment="1">
      <alignment vertical="center"/>
    </xf>
    <xf numFmtId="0" fontId="13" fillId="38" borderId="0" applyAlignment="1">
      <alignment vertical="center"/>
    </xf>
    <xf numFmtId="0" fontId="13" fillId="26" borderId="14" applyAlignment="1">
      <alignment vertical="center"/>
    </xf>
    <xf numFmtId="0" fontId="13" fillId="3" borderId="0" applyAlignment="1">
      <alignment vertical="center"/>
    </xf>
    <xf numFmtId="0" fontId="13" fillId="32" borderId="0" applyAlignment="1">
      <alignment vertical="center"/>
    </xf>
    <xf numFmtId="0" fontId="34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26" borderId="14" applyAlignment="1">
      <alignment vertical="center"/>
    </xf>
    <xf numFmtId="0" fontId="13" fillId="0" borderId="0" applyAlignment="1">
      <alignment vertical="center"/>
    </xf>
    <xf numFmtId="0" fontId="13" fillId="26" borderId="14" applyAlignment="1">
      <alignment vertical="center"/>
    </xf>
    <xf numFmtId="0" fontId="35" fillId="0" borderId="0"/>
    <xf numFmtId="43" fontId="13" fillId="0" borderId="0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  <xf numFmtId="0" fontId="13" fillId="26" borderId="14" applyAlignment="1">
      <alignment vertical="center"/>
    </xf>
  </cellStyleXfs>
  <cellXfs count="17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5" fontId="3" fillId="3" borderId="4" applyAlignment="1" pivotButton="0" quotePrefix="0" xfId="0">
      <alignment horizontal="center" vertical="center"/>
    </xf>
    <xf numFmtId="164" fontId="3" fillId="3" borderId="5" applyAlignment="1" pivotButton="0" quotePrefix="0" xfId="0">
      <alignment horizontal="center" vertical="center"/>
    </xf>
    <xf numFmtId="0" fontId="3" fillId="4" borderId="5" applyAlignment="1" pivotButton="0" quotePrefix="0" xfId="76">
      <alignment horizontal="center" vertical="center" wrapText="1"/>
    </xf>
    <xf numFmtId="164" fontId="3" fillId="4" borderId="5" applyAlignment="1" pivotButton="0" quotePrefix="0" xfId="76">
      <alignment horizontal="center" vertical="center" wrapText="1"/>
    </xf>
    <xf numFmtId="58" fontId="4" fillId="0" borderId="5" applyAlignment="1" pivotButton="0" quotePrefix="0" xfId="0">
      <alignment horizontal="center" vertical="center"/>
    </xf>
    <xf numFmtId="164" fontId="5" fillId="5" borderId="5" applyAlignment="1" pivotButton="0" quotePrefix="0" xfId="10">
      <alignment horizontal="center" vertical="center"/>
    </xf>
    <xf numFmtId="0" fontId="5" fillId="0" borderId="0" applyAlignment="1" pivotButton="0" quotePrefix="0" xfId="0">
      <alignment vertical="center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164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164" fontId="5" fillId="7" borderId="5" applyAlignment="1" pivotButton="0" quotePrefix="0" xfId="10">
      <alignment horizontal="center" vertical="center"/>
    </xf>
    <xf numFmtId="0" fontId="6" fillId="8" borderId="5" applyAlignment="1" pivotButton="0" quotePrefix="0" xfId="0">
      <alignment horizontal="center" vertical="center"/>
    </xf>
    <xf numFmtId="164" fontId="5" fillId="0" borderId="5" applyAlignment="1" pivotButton="0" quotePrefix="0" xfId="10">
      <alignment horizontal="center" vertical="center"/>
    </xf>
    <xf numFmtId="164" fontId="4" fillId="0" borderId="5" applyAlignment="1" pivotButton="0" quotePrefix="0" xfId="0">
      <alignment horizontal="center" vertical="center"/>
    </xf>
    <xf numFmtId="166" fontId="7" fillId="5" borderId="6" applyAlignment="1" pivotButton="0" quotePrefix="0" xfId="74">
      <alignment horizontal="center" vertical="center"/>
    </xf>
    <xf numFmtId="164" fontId="5" fillId="0" borderId="5" applyAlignment="1" pivotButton="0" quotePrefix="0" xfId="0">
      <alignment horizontal="center" vertical="center"/>
    </xf>
    <xf numFmtId="164" fontId="7" fillId="0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 shrinkToFit="1"/>
    </xf>
    <xf numFmtId="10" fontId="5" fillId="9" borderId="5" applyAlignment="1" pivotButton="0" quotePrefix="0" xfId="14">
      <alignment horizontal="center" vertical="center"/>
    </xf>
    <xf numFmtId="10" fontId="5" fillId="0" borderId="5" applyAlignment="1" pivotButton="0" quotePrefix="0" xfId="14">
      <alignment horizontal="center" vertical="center"/>
    </xf>
    <xf numFmtId="0" fontId="5" fillId="7" borderId="5" applyAlignment="1" pivotButton="0" quotePrefix="0" xfId="10">
      <alignment horizontal="center" vertical="center"/>
    </xf>
    <xf numFmtId="164" fontId="8" fillId="7" borderId="5" applyAlignment="1" pivotButton="0" quotePrefix="0" xfId="10">
      <alignment horizontal="center" vertical="center"/>
    </xf>
    <xf numFmtId="165" fontId="5" fillId="0" borderId="5" applyAlignment="1" pivotButton="0" quotePrefix="0" xfId="10">
      <alignment horizontal="center" vertical="center"/>
    </xf>
    <xf numFmtId="0" fontId="5" fillId="0" borderId="5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applyAlignment="1" pivotButton="0" quotePrefix="0" xfId="10">
      <alignment vertical="center"/>
    </xf>
    <xf numFmtId="0" fontId="2" fillId="2" borderId="8" applyAlignment="1" pivotButton="0" quotePrefix="0" xfId="76">
      <alignment horizontal="center" vertical="center" wrapText="1"/>
    </xf>
    <xf numFmtId="164" fontId="2" fillId="2" borderId="5" applyAlignment="1" pivotButton="0" quotePrefix="0" xfId="10">
      <alignment horizontal="center" vertical="center"/>
    </xf>
    <xf numFmtId="0" fontId="0" fillId="0" borderId="9" pivotButton="0" quotePrefix="0" xfId="0"/>
    <xf numFmtId="0" fontId="0" fillId="0" borderId="4" pivotButton="0" quotePrefix="0" xfId="0"/>
    <xf numFmtId="164" fontId="2" fillId="2" borderId="5" applyAlignment="1" pivotButton="0" quotePrefix="0" xfId="10">
      <alignment horizontal="center" vertical="center" wrapText="1"/>
    </xf>
    <xf numFmtId="164" fontId="2" fillId="2" borderId="10" applyAlignment="1" pivotButton="0" quotePrefix="0" xfId="10">
      <alignment horizontal="center" vertical="center"/>
    </xf>
    <xf numFmtId="0" fontId="0" fillId="0" borderId="8" pivotButton="0" quotePrefix="0" xfId="0"/>
    <xf numFmtId="0" fontId="0" fillId="0" borderId="6" pivotButton="0" quotePrefix="0" xfId="0"/>
    <xf numFmtId="164" fontId="2" fillId="2" borderId="7" applyAlignment="1" pivotButton="0" quotePrefix="0" xfId="10">
      <alignment horizontal="center" vertical="center" wrapText="1"/>
    </xf>
    <xf numFmtId="164" fontId="2" fillId="2" borderId="5" applyAlignment="1" pivotButton="0" quotePrefix="0" xfId="76">
      <alignment horizontal="center" vertical="center" wrapText="1"/>
    </xf>
    <xf numFmtId="164" fontId="2" fillId="2" borderId="10" applyAlignment="1" pivotButton="0" quotePrefix="0" xfId="76">
      <alignment horizontal="center" vertical="center" wrapText="1"/>
    </xf>
    <xf numFmtId="0" fontId="3" fillId="10" borderId="5" applyAlignment="1" pivotButton="0" quotePrefix="0" xfId="76">
      <alignment horizontal="center" vertical="center" wrapText="1"/>
    </xf>
    <xf numFmtId="164" fontId="3" fillId="10" borderId="5" applyAlignment="1" pivotButton="0" quotePrefix="0" xfId="10">
      <alignment horizontal="center" vertical="center" wrapText="1"/>
    </xf>
    <xf numFmtId="164" fontId="3" fillId="4" borderId="5" applyAlignment="1" pivotButton="0" quotePrefix="0" xfId="10">
      <alignment horizontal="center" vertical="center" wrapText="1"/>
    </xf>
    <xf numFmtId="164" fontId="7" fillId="11" borderId="5" applyAlignment="1" pivotButton="0" quotePrefix="0" xfId="10">
      <alignment horizontal="center" vertical="center"/>
    </xf>
    <xf numFmtId="164" fontId="7" fillId="11" borderId="6" applyAlignment="1" pivotButton="0" quotePrefix="0" xfId="10">
      <alignment horizontal="center" vertical="center"/>
    </xf>
    <xf numFmtId="0" fontId="0" fillId="0" borderId="7" pivotButton="0" quotePrefix="0" xfId="0"/>
    <xf numFmtId="164" fontId="2" fillId="2" borderId="8" applyAlignment="1" pivotButton="0" quotePrefix="0" xfId="76">
      <alignment horizontal="center" vertical="center" wrapText="1"/>
    </xf>
    <xf numFmtId="164" fontId="1" fillId="0" borderId="0" applyAlignment="1" pivotButton="0" quotePrefix="0" xfId="0">
      <alignment vertical="center"/>
    </xf>
    <xf numFmtId="164" fontId="3" fillId="10" borderId="5" applyAlignment="1" pivotButton="0" quotePrefix="0" xfId="76">
      <alignment horizontal="center" vertical="center" wrapText="1"/>
    </xf>
    <xf numFmtId="164" fontId="9" fillId="4" borderId="5" applyAlignment="1" pivotButton="0" quotePrefix="0" xfId="10">
      <alignment horizontal="center" vertical="center" wrapText="1"/>
    </xf>
    <xf numFmtId="164" fontId="0" fillId="0" borderId="0" applyAlignment="1" pivotButton="0" quotePrefix="0" xfId="14">
      <alignment vertical="center"/>
    </xf>
    <xf numFmtId="0" fontId="0" fillId="5" borderId="0" applyAlignment="1" pivotButton="0" quotePrefix="0" xfId="0">
      <alignment vertical="center"/>
    </xf>
    <xf numFmtId="165" fontId="0" fillId="0" borderId="0" applyAlignment="1" pivotButton="0" quotePrefix="0" xfId="10">
      <alignment vertical="center"/>
    </xf>
    <xf numFmtId="165" fontId="0" fillId="5" borderId="0" applyAlignment="1" pivotButton="0" quotePrefix="0" xfId="10">
      <alignment vertical="center"/>
    </xf>
    <xf numFmtId="0" fontId="10" fillId="2" borderId="5" applyAlignment="1" pivotButton="0" quotePrefix="0" xfId="0">
      <alignment horizontal="center" vertical="center" wrapText="1"/>
    </xf>
    <xf numFmtId="165" fontId="10" fillId="2" borderId="5" applyAlignment="1" pivotButton="0" quotePrefix="0" xfId="10">
      <alignment horizontal="center" vertical="center" wrapText="1"/>
    </xf>
    <xf numFmtId="165" fontId="10" fillId="2" borderId="5" applyAlignment="1" pivotButton="0" quotePrefix="0" xfId="10">
      <alignment horizontal="center" vertical="center"/>
    </xf>
    <xf numFmtId="0" fontId="11" fillId="5" borderId="0" applyAlignment="1" pivotButton="0" quotePrefix="0" xfId="0">
      <alignment vertical="center"/>
    </xf>
    <xf numFmtId="0" fontId="10" fillId="2" borderId="11" applyAlignment="1" pivotButton="0" quotePrefix="0" xfId="0">
      <alignment horizontal="center" vertical="center"/>
    </xf>
    <xf numFmtId="0" fontId="0" fillId="0" borderId="11" pivotButton="0" quotePrefix="0" xfId="0"/>
    <xf numFmtId="0" fontId="3" fillId="12" borderId="5" applyAlignment="1" pivotButton="0" quotePrefix="0" xfId="0">
      <alignment horizontal="center" vertical="center"/>
    </xf>
    <xf numFmtId="166" fontId="4" fillId="12" borderId="5" applyAlignment="1" pivotButton="0" quotePrefix="0" xfId="0">
      <alignment horizontal="center" vertical="center"/>
    </xf>
    <xf numFmtId="0" fontId="3" fillId="13" borderId="5" applyAlignment="1" pivotButton="0" quotePrefix="0" xfId="0">
      <alignment horizontal="center" vertical="center"/>
    </xf>
    <xf numFmtId="166" fontId="4" fillId="13" borderId="5" applyAlignment="1" pivotButton="0" quotePrefix="0" xfId="0">
      <alignment horizontal="center" vertical="center"/>
    </xf>
    <xf numFmtId="0" fontId="3" fillId="13" borderId="12" applyAlignment="1" pivotButton="0" quotePrefix="0" xfId="0">
      <alignment horizontal="center" vertical="center"/>
    </xf>
    <xf numFmtId="166" fontId="4" fillId="13" borderId="12" applyAlignment="1" pivotButton="0" quotePrefix="0" xfId="0">
      <alignment horizontal="center" vertical="center"/>
    </xf>
    <xf numFmtId="58" fontId="7" fillId="0" borderId="5" applyAlignment="1" pivotButton="0" quotePrefix="0" xfId="0">
      <alignment horizontal="center" vertical="center"/>
    </xf>
    <xf numFmtId="166" fontId="7" fillId="0" borderId="6" applyAlignment="1" pivotButton="0" quotePrefix="0" xfId="0">
      <alignment horizontal="center" vertical="center"/>
    </xf>
    <xf numFmtId="58" fontId="7" fillId="0" borderId="10" applyAlignment="1" pivotButton="0" quotePrefix="0" xfId="0">
      <alignment horizontal="center" vertical="center"/>
    </xf>
    <xf numFmtId="166" fontId="7" fillId="12" borderId="5" applyAlignment="1" pivotButton="0" quotePrefix="0" xfId="0">
      <alignment horizontal="center" vertical="center"/>
    </xf>
    <xf numFmtId="166" fontId="7" fillId="5" borderId="6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5" fontId="11" fillId="5" borderId="0" applyAlignment="1" pivotButton="0" quotePrefix="0" xfId="10">
      <alignment vertical="center"/>
    </xf>
    <xf numFmtId="166" fontId="12" fillId="5" borderId="0" applyAlignment="1" pivotButton="0" quotePrefix="0" xfId="0">
      <alignment horizontal="center" vertical="center"/>
    </xf>
    <xf numFmtId="166" fontId="7" fillId="5" borderId="0" applyAlignment="1" pivotButton="0" quotePrefix="0" xfId="0">
      <alignment horizontal="center" vertical="center"/>
    </xf>
    <xf numFmtId="166" fontId="7" fillId="13" borderId="5" applyAlignment="1" pivotButton="0" quotePrefix="0" xfId="0">
      <alignment horizontal="center" vertical="center"/>
    </xf>
    <xf numFmtId="166" fontId="7" fillId="13" borderId="12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6" fillId="14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5" fillId="15" borderId="5" applyAlignment="1" pivotButton="0" quotePrefix="0" xfId="0">
      <alignment horizontal="center" vertical="center"/>
    </xf>
    <xf numFmtId="0" fontId="5" fillId="16" borderId="5" applyAlignment="1" pivotButton="0" quotePrefix="0" xfId="0">
      <alignment horizontal="center" vertical="center"/>
    </xf>
    <xf numFmtId="0" fontId="6" fillId="14" borderId="12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5" fillId="17" borderId="12" applyAlignment="1" pivotButton="0" quotePrefix="0" xfId="0">
      <alignment horizontal="center" vertical="center"/>
    </xf>
    <xf numFmtId="0" fontId="5" fillId="18" borderId="12" applyAlignment="1" pivotButton="0" quotePrefix="0" xfId="0">
      <alignment horizontal="center" vertical="center"/>
    </xf>
    <xf numFmtId="0" fontId="6" fillId="14" borderId="6" applyAlignment="1" pivotButton="0" quotePrefix="0" xfId="0">
      <alignment horizontal="center" vertical="center"/>
    </xf>
    <xf numFmtId="0" fontId="6" fillId="19" borderId="5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/>
    </xf>
    <xf numFmtId="167" fontId="5" fillId="0" borderId="5" applyAlignment="1" pivotButton="0" quotePrefix="0" xfId="10">
      <alignment horizontal="center" vertical="center"/>
    </xf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167" fontId="5" fillId="0" borderId="0" applyAlignment="1" pivotButton="0" quotePrefix="0" xfId="10">
      <alignment horizontal="center" vertical="center"/>
    </xf>
    <xf numFmtId="10" fontId="5" fillId="0" borderId="0" applyAlignment="1" pivotButton="0" quotePrefix="0" xfId="14">
      <alignment horizontal="center" vertical="center"/>
    </xf>
    <xf numFmtId="168" fontId="5" fillId="0" borderId="5" applyAlignment="1" pivotButton="0" quotePrefix="0" xfId="10">
      <alignment horizontal="center" vertical="center"/>
    </xf>
    <xf numFmtId="169" fontId="5" fillId="0" borderId="5" applyAlignment="1" pivotButton="0" quotePrefix="0" xfId="10">
      <alignment horizontal="center" vertical="center"/>
    </xf>
    <xf numFmtId="170" fontId="5" fillId="0" borderId="5" applyAlignment="1" pivotButton="0" quotePrefix="0" xfId="10">
      <alignment horizontal="center" vertical="center"/>
    </xf>
    <xf numFmtId="10" fontId="5" fillId="0" borderId="5" applyAlignment="1" pivotButton="0" quotePrefix="0" xfId="14">
      <alignment horizontal="center"/>
    </xf>
    <xf numFmtId="10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0" fontId="5" fillId="0" borderId="0" applyAlignment="1" pivotButton="0" quotePrefix="0" xfId="14">
      <alignment horizontal="center"/>
    </xf>
    <xf numFmtId="168" fontId="0" fillId="0" borderId="0" pivotButton="0" quotePrefix="0" xfId="0"/>
    <xf numFmtId="167" fontId="0" fillId="0" borderId="0" pivotButton="0" quotePrefix="0" xfId="0"/>
    <xf numFmtId="0" fontId="5" fillId="0" borderId="5" applyAlignment="1" pivotButton="0" quotePrefix="0" xfId="10">
      <alignment horizontal="center" vertical="center"/>
    </xf>
    <xf numFmtId="168" fontId="5" fillId="0" borderId="5" applyAlignment="1" pivotButton="0" quotePrefix="0" xfId="10">
      <alignment horizontal="center"/>
    </xf>
    <xf numFmtId="166" fontId="7" fillId="12" borderId="5" applyAlignment="1" pivotButton="0" quotePrefix="1" xfId="0">
      <alignment horizontal="center" vertical="center"/>
    </xf>
    <xf numFmtId="166" fontId="4" fillId="13" borderId="5" applyAlignment="1" pivotButton="0" quotePrefix="1" xfId="0">
      <alignment horizontal="center" vertical="center"/>
    </xf>
    <xf numFmtId="166" fontId="4" fillId="13" borderId="12" applyAlignment="1" pivotButton="0" quotePrefix="1" xfId="0">
      <alignment horizontal="center" vertical="center"/>
    </xf>
    <xf numFmtId="167" fontId="5" fillId="0" borderId="5" applyAlignment="1" pivotButton="0" quotePrefix="0" xfId="10">
      <alignment horizontal="center" vertical="center"/>
    </xf>
    <xf numFmtId="167" fontId="0" fillId="0" borderId="0" applyAlignment="1" pivotButton="0" quotePrefix="0" xfId="0">
      <alignment vertical="center"/>
    </xf>
    <xf numFmtId="167" fontId="5" fillId="0" borderId="0" applyAlignment="1" pivotButton="0" quotePrefix="0" xfId="10">
      <alignment horizontal="center" vertical="center"/>
    </xf>
    <xf numFmtId="168" fontId="0" fillId="0" borderId="0" pivotButton="0" quotePrefix="0" xfId="0"/>
    <xf numFmtId="167" fontId="0" fillId="0" borderId="0" pivotButton="0" quotePrefix="0" xfId="0"/>
    <xf numFmtId="164" fontId="5" fillId="0" borderId="5" applyAlignment="1" pivotButton="0" quotePrefix="0" xfId="10">
      <alignment horizontal="center" vertical="center"/>
    </xf>
    <xf numFmtId="168" fontId="5" fillId="0" borderId="5" applyAlignment="1" pivotButton="0" quotePrefix="0" xfId="10">
      <alignment horizontal="center" vertical="center"/>
    </xf>
    <xf numFmtId="168" fontId="5" fillId="0" borderId="5" applyAlignment="1" pivotButton="0" quotePrefix="0" xfId="10">
      <alignment horizontal="center"/>
    </xf>
    <xf numFmtId="169" fontId="5" fillId="0" borderId="5" applyAlignment="1" pivotButton="0" quotePrefix="0" xfId="10">
      <alignment horizontal="center" vertical="center"/>
    </xf>
    <xf numFmtId="170" fontId="5" fillId="0" borderId="5" applyAlignment="1" pivotButton="0" quotePrefix="0" xfId="10">
      <alignment horizontal="center" vertical="center"/>
    </xf>
    <xf numFmtId="165" fontId="0" fillId="0" borderId="0" applyAlignment="1" pivotButton="0" quotePrefix="0" xfId="10">
      <alignment vertical="center"/>
    </xf>
    <xf numFmtId="165" fontId="0" fillId="5" borderId="0" applyAlignment="1" pivotButton="0" quotePrefix="0" xfId="10">
      <alignment vertical="center"/>
    </xf>
    <xf numFmtId="165" fontId="10" fillId="2" borderId="5" applyAlignment="1" pivotButton="0" quotePrefix="0" xfId="10">
      <alignment horizontal="center" vertical="center" wrapText="1"/>
    </xf>
    <xf numFmtId="165" fontId="10" fillId="2" borderId="5" applyAlignment="1" pivotButton="0" quotePrefix="0" xfId="10">
      <alignment horizontal="center" vertical="center"/>
    </xf>
    <xf numFmtId="165" fontId="11" fillId="5" borderId="0" applyAlignment="1" pivotButton="0" quotePrefix="0" xfId="10">
      <alignment vertical="center"/>
    </xf>
    <xf numFmtId="166" fontId="12" fillId="5" borderId="0" applyAlignment="1" pivotButton="0" quotePrefix="0" xfId="0">
      <alignment horizontal="center" vertical="center"/>
    </xf>
    <xf numFmtId="166" fontId="4" fillId="12" borderId="5" applyAlignment="1" pivotButton="0" quotePrefix="0" xfId="0">
      <alignment horizontal="center" vertical="center"/>
    </xf>
    <xf numFmtId="166" fontId="7" fillId="12" borderId="5" applyAlignment="1" pivotButton="0" quotePrefix="1" xfId="0">
      <alignment horizontal="center" vertical="center"/>
    </xf>
    <xf numFmtId="166" fontId="7" fillId="12" borderId="5" applyAlignment="1" pivotButton="0" quotePrefix="0" xfId="0">
      <alignment horizontal="center" vertical="center"/>
    </xf>
    <xf numFmtId="166" fontId="7" fillId="5" borderId="0" applyAlignment="1" pivotButton="0" quotePrefix="0" xfId="0">
      <alignment horizontal="center" vertical="center"/>
    </xf>
    <xf numFmtId="166" fontId="4" fillId="13" borderId="5" applyAlignment="1" pivotButton="0" quotePrefix="0" xfId="0">
      <alignment horizontal="center" vertical="center"/>
    </xf>
    <xf numFmtId="166" fontId="4" fillId="13" borderId="5" applyAlignment="1" pivotButton="0" quotePrefix="1" xfId="0">
      <alignment horizontal="center" vertical="center"/>
    </xf>
    <xf numFmtId="166" fontId="7" fillId="13" borderId="5" applyAlignment="1" pivotButton="0" quotePrefix="0" xfId="0">
      <alignment horizontal="center" vertical="center"/>
    </xf>
    <xf numFmtId="166" fontId="4" fillId="13" borderId="12" applyAlignment="1" pivotButton="0" quotePrefix="0" xfId="0">
      <alignment horizontal="center" vertical="center"/>
    </xf>
    <xf numFmtId="166" fontId="4" fillId="13" borderId="12" applyAlignment="1" pivotButton="0" quotePrefix="1" xfId="0">
      <alignment horizontal="center" vertical="center"/>
    </xf>
    <xf numFmtId="166" fontId="7" fillId="13" borderId="12" applyAlignment="1" pivotButton="0" quotePrefix="0" xfId="0">
      <alignment horizontal="center" vertical="center"/>
    </xf>
    <xf numFmtId="166" fontId="7" fillId="0" borderId="6" applyAlignment="1" pivotButton="0" quotePrefix="0" xfId="0">
      <alignment horizontal="center" vertical="center"/>
    </xf>
    <xf numFmtId="166" fontId="7" fillId="5" borderId="6" applyAlignment="1" pivotButton="0" quotePrefix="0" xfId="0">
      <alignment horizontal="center" vertical="center"/>
    </xf>
    <xf numFmtId="166" fontId="7" fillId="5" borderId="5" applyAlignment="1" pivotButton="0" quotePrefix="0" xfId="0">
      <alignment horizontal="center" vertical="center"/>
    </xf>
    <xf numFmtId="164" fontId="0" fillId="0" borderId="0" applyAlignment="1" pivotButton="0" quotePrefix="0" xfId="10">
      <alignment vertical="center"/>
    </xf>
    <xf numFmtId="164" fontId="0" fillId="0" borderId="0" applyAlignment="1" pivotButton="0" quotePrefix="0" xfId="0">
      <alignment vertical="center"/>
    </xf>
    <xf numFmtId="164" fontId="2" fillId="2" borderId="5" applyAlignment="1" pivotButton="0" quotePrefix="0" xfId="10">
      <alignment horizontal="center" vertical="center"/>
    </xf>
    <xf numFmtId="164" fontId="2" fillId="2" borderId="8" applyAlignment="1" pivotButton="0" quotePrefix="0" xfId="76">
      <alignment horizontal="center" vertical="center" wrapText="1"/>
    </xf>
    <xf numFmtId="164" fontId="2" fillId="2" borderId="5" applyAlignment="1" pivotButton="0" quotePrefix="0" xfId="10">
      <alignment horizontal="center" vertical="center" wrapText="1"/>
    </xf>
    <xf numFmtId="164" fontId="2" fillId="2" borderId="10" applyAlignment="1" pivotButton="0" quotePrefix="0" xfId="10">
      <alignment horizontal="center" vertical="center"/>
    </xf>
    <xf numFmtId="164" fontId="2" fillId="2" borderId="7" applyAlignment="1" pivotButton="0" quotePrefix="0" xfId="10">
      <alignment horizontal="center" vertical="center" wrapText="1"/>
    </xf>
    <xf numFmtId="164" fontId="2" fillId="2" borderId="5" applyAlignment="1" pivotButton="0" quotePrefix="0" xfId="76">
      <alignment horizontal="center" vertical="center" wrapText="1"/>
    </xf>
    <xf numFmtId="164" fontId="2" fillId="2" borderId="10" applyAlignment="1" pivotButton="0" quotePrefix="0" xfId="76">
      <alignment horizontal="center" vertical="center" wrapText="1"/>
    </xf>
    <xf numFmtId="164" fontId="3" fillId="10" borderId="5" applyAlignment="1" pivotButton="0" quotePrefix="0" xfId="10">
      <alignment horizontal="center" vertical="center" wrapText="1"/>
    </xf>
    <xf numFmtId="164" fontId="1" fillId="0" borderId="0" applyAlignment="1" pivotButton="0" quotePrefix="0" xfId="0">
      <alignment vertical="center"/>
    </xf>
    <xf numFmtId="164" fontId="3" fillId="10" borderId="5" applyAlignment="1" pivotButton="0" quotePrefix="0" xfId="76">
      <alignment horizontal="center" vertical="center" wrapText="1"/>
    </xf>
    <xf numFmtId="164" fontId="3" fillId="4" borderId="5" applyAlignment="1" pivotButton="0" quotePrefix="0" xfId="76">
      <alignment horizontal="center" vertical="center" wrapText="1"/>
    </xf>
    <xf numFmtId="164" fontId="3" fillId="4" borderId="5" applyAlignment="1" pivotButton="0" quotePrefix="0" xfId="10">
      <alignment horizontal="center" vertical="center" wrapText="1"/>
    </xf>
    <xf numFmtId="164" fontId="9" fillId="4" borderId="5" applyAlignment="1" pivotButton="0" quotePrefix="0" xfId="10">
      <alignment horizontal="center" vertical="center" wrapText="1"/>
    </xf>
    <xf numFmtId="164" fontId="7" fillId="11" borderId="5" applyAlignment="1" pivotButton="0" quotePrefix="0" xfId="10">
      <alignment horizontal="center" vertical="center"/>
    </xf>
    <xf numFmtId="164" fontId="7" fillId="11" borderId="6" applyAlignment="1" pivotButton="0" quotePrefix="0" xfId="10">
      <alignment horizontal="center" vertical="center"/>
    </xf>
    <xf numFmtId="164" fontId="0" fillId="0" borderId="0" applyAlignment="1" pivotButton="0" quotePrefix="0" xfId="14">
      <alignment vertical="center"/>
    </xf>
    <xf numFmtId="164" fontId="5" fillId="0" borderId="0" applyAlignment="1" pivotButton="0" quotePrefix="0" xfId="0">
      <alignment horizontal="center" vertical="center"/>
    </xf>
    <xf numFmtId="164" fontId="6" fillId="6" borderId="5" applyAlignment="1" pivotButton="0" quotePrefix="0" xfId="0">
      <alignment horizontal="center" vertical="center"/>
    </xf>
    <xf numFmtId="164" fontId="5" fillId="7" borderId="5" applyAlignment="1" pivotButton="0" quotePrefix="0" xfId="10">
      <alignment horizontal="center" vertical="center"/>
    </xf>
    <xf numFmtId="164" fontId="8" fillId="7" borderId="5" applyAlignment="1" pivotButton="0" quotePrefix="0" xfId="10">
      <alignment horizontal="center" vertical="center"/>
    </xf>
    <xf numFmtId="164" fontId="4" fillId="0" borderId="5" applyAlignment="1" pivotButton="0" quotePrefix="0" xfId="0">
      <alignment horizontal="center" vertical="center"/>
    </xf>
    <xf numFmtId="165" fontId="5" fillId="0" borderId="5" applyAlignment="1" pivotButton="0" quotePrefix="0" xfId="10">
      <alignment horizontal="center" vertical="center"/>
    </xf>
    <xf numFmtId="166" fontId="7" fillId="5" borderId="6" applyAlignment="1" pivotButton="0" quotePrefix="0" xfId="74">
      <alignment horizontal="center" vertical="center"/>
    </xf>
    <xf numFmtId="164" fontId="5" fillId="0" borderId="5" applyAlignment="1" pivotButton="0" quotePrefix="0" xfId="0">
      <alignment horizontal="center" vertical="center"/>
    </xf>
    <xf numFmtId="164" fontId="7" fillId="0" borderId="5" applyAlignment="1" pivotButton="0" quotePrefix="0" xfId="0">
      <alignment horizontal="center" vertical="center"/>
    </xf>
    <xf numFmtId="164" fontId="4" fillId="0" borderId="7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165" fontId="3" fillId="3" borderId="4" applyAlignment="1" pivotButton="0" quotePrefix="0" xfId="0">
      <alignment horizontal="center" vertical="center"/>
    </xf>
    <xf numFmtId="164" fontId="3" fillId="3" borderId="5" applyAlignment="1" pivotButton="0" quotePrefix="0" xfId="0">
      <alignment horizontal="center" vertical="center"/>
    </xf>
    <xf numFmtId="164" fontId="5" fillId="5" borderId="5" applyAlignment="1" pivotButton="0" quotePrefix="0" xfId="10">
      <alignment horizontal="center" vertical="center"/>
    </xf>
  </cellXfs>
  <cellStyles count="16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20% - 着色 6 2" xfId="5"/>
    <cellStyle name="千位分隔[0]" xfId="6" builtinId="6"/>
    <cellStyle name="40% - 着色 4 2" xfId="7"/>
    <cellStyle name="40% - 强调文字颜色 3" xfId="8" builtinId="39"/>
    <cellStyle name="差" xfId="9" builtinId="27"/>
    <cellStyle name="千位分隔" xfId="10" builtinId="3"/>
    <cellStyle name="标题 5" xfId="11"/>
    <cellStyle name="60% - 强调文字颜色 3" xfId="12" builtinId="40"/>
    <cellStyle name="超链接" xfId="13" builtinId="8"/>
    <cellStyle name="百分比" xfId="14" builtinId="5"/>
    <cellStyle name="已访问的超链接" xfId="15" builtinId="9"/>
    <cellStyle name="注释" xfId="16" builtinId="10"/>
    <cellStyle name="注释 13" xfId="17"/>
    <cellStyle name="百分比 2" xfId="18"/>
    <cellStyle name="警告文本" xfId="19" builtinId="11"/>
    <cellStyle name="注释 5" xfId="20"/>
    <cellStyle name="60% - 强调文字颜色 2" xfId="21" builtinId="36"/>
    <cellStyle name="标题 4" xfId="22" builtinId="19"/>
    <cellStyle name="标题" xfId="23" builtinId="15"/>
    <cellStyle name="解释性文本" xfId="24" builtinId="53"/>
    <cellStyle name="标题 1" xfId="25" builtinId="16"/>
    <cellStyle name="40% - 着色 3 2" xfId="26"/>
    <cellStyle name="标题 2" xfId="27" builtinId="17"/>
    <cellStyle name="60% - 强调文字颜色 1" xfId="28" builtinId="32"/>
    <cellStyle name="标题 3" xfId="29" builtinId="18"/>
    <cellStyle name="输出" xfId="30" builtinId="21"/>
    <cellStyle name="注释 2 41" xfId="31"/>
    <cellStyle name="注释 2 36" xfId="32"/>
    <cellStyle name="60% - 强调文字颜色 4" xfId="33" builtinId="44"/>
    <cellStyle name="40% - 着色 2 2" xfId="34"/>
    <cellStyle name="计算" xfId="35" builtinId="22"/>
    <cellStyle name="检查单元格" xfId="36" builtinId="23"/>
    <cellStyle name="20% - 着色 1 2" xfId="37"/>
    <cellStyle name="链接单元格" xfId="38" builtinId="24"/>
    <cellStyle name="注释 2 3" xfId="39"/>
    <cellStyle name="40% - 着色 5 2" xfId="40"/>
    <cellStyle name="20% - 强调文字颜色 6" xfId="41" builtinId="50"/>
    <cellStyle name="强调文字颜色 2" xfId="42" builtinId="33"/>
    <cellStyle name="汇总" xfId="43" builtinId="25"/>
    <cellStyle name="好" xfId="44" builtinId="26"/>
    <cellStyle name="适中" xfId="45" builtinId="28"/>
    <cellStyle name="20% - 强调文字颜色 5" xfId="46" builtinId="46"/>
    <cellStyle name="强调文字颜色 1" xfId="47" builtinId="29"/>
    <cellStyle name="20% - 着色 2 2" xfId="48"/>
    <cellStyle name="20% - 强调文字颜色 1" xfId="49" builtinId="30"/>
    <cellStyle name="40% - 强调文字颜色 1" xfId="50" builtinId="31"/>
    <cellStyle name="20% - 强调文字颜色 2" xfId="51" builtinId="34"/>
    <cellStyle name="40% - 强调文字颜色 2" xfId="52" builtinId="35"/>
    <cellStyle name="强调文字颜色 3" xfId="53" builtinId="37"/>
    <cellStyle name="千位分隔[0] 2" xfId="54"/>
    <cellStyle name="强调文字颜色 4" xfId="55" builtinId="41"/>
    <cellStyle name="20% - 强调文字颜色 4" xfId="56" builtinId="42"/>
    <cellStyle name="40% - 强调文字颜色 4" xfId="57" builtinId="43"/>
    <cellStyle name="强调文字颜色 5" xfId="58" builtinId="45"/>
    <cellStyle name="40% - 强调文字颜色 5" xfId="59" builtinId="47"/>
    <cellStyle name="60% - 强调文字颜色 5" xfId="60" builtinId="48"/>
    <cellStyle name="强调文字颜色 6" xfId="61" builtinId="49"/>
    <cellStyle name="40% - 强调文字颜色 6" xfId="62" builtinId="51"/>
    <cellStyle name="20% - 着色 3 2" xfId="63"/>
    <cellStyle name="60% - 强调文字颜色 6" xfId="64" builtinId="52"/>
    <cellStyle name="20% - 着色 4 2" xfId="65"/>
    <cellStyle name="20% - 着色 5 2" xfId="66"/>
    <cellStyle name="注释 2 14" xfId="67"/>
    <cellStyle name="40% - 着色 1 2" xfId="68"/>
    <cellStyle name="40% - 着色 6 2" xfId="69"/>
    <cellStyle name="标题 5 2" xfId="70"/>
    <cellStyle name="常规 2" xfId="71"/>
    <cellStyle name="常规 3" xfId="72"/>
    <cellStyle name="注释 10" xfId="73"/>
    <cellStyle name="常规 4" xfId="74"/>
    <cellStyle name="注释 11" xfId="75"/>
    <cellStyle name="常规_消费统计" xfId="76"/>
    <cellStyle name="千位分隔 2" xfId="77"/>
    <cellStyle name="注释 12" xfId="78"/>
    <cellStyle name="注释 14" xfId="79"/>
    <cellStyle name="注释 15" xfId="80"/>
    <cellStyle name="注释 20" xfId="81"/>
    <cellStyle name="注释 16" xfId="82"/>
    <cellStyle name="注释 21" xfId="83"/>
    <cellStyle name="注释 17" xfId="84"/>
    <cellStyle name="注释 22" xfId="85"/>
    <cellStyle name="注释 18" xfId="86"/>
    <cellStyle name="注释 23" xfId="87"/>
    <cellStyle name="注释 19" xfId="88"/>
    <cellStyle name="注释 24" xfId="89"/>
    <cellStyle name="注释 2" xfId="90"/>
    <cellStyle name="注释 2 10" xfId="91"/>
    <cellStyle name="注释 2 11" xfId="92"/>
    <cellStyle name="注释 2 12" xfId="93"/>
    <cellStyle name="注释 2 13" xfId="94"/>
    <cellStyle name="注释 2 15" xfId="95"/>
    <cellStyle name="注释 2 20" xfId="96"/>
    <cellStyle name="注释 2 16" xfId="97"/>
    <cellStyle name="注释 2 21" xfId="98"/>
    <cellStyle name="注释 2 17" xfId="99"/>
    <cellStyle name="注释 2 22" xfId="100"/>
    <cellStyle name="注释 2 18" xfId="101"/>
    <cellStyle name="注释 2 23" xfId="102"/>
    <cellStyle name="注释 2 19" xfId="103"/>
    <cellStyle name="注释 2 24" xfId="104"/>
    <cellStyle name="注释 2 2" xfId="105"/>
    <cellStyle name="注释 2 25" xfId="106"/>
    <cellStyle name="注释 2 30" xfId="107"/>
    <cellStyle name="注释 2 26" xfId="108"/>
    <cellStyle name="注释 2 31" xfId="109"/>
    <cellStyle name="注释 2 27" xfId="110"/>
    <cellStyle name="注释 2 32" xfId="111"/>
    <cellStyle name="注释 2 28" xfId="112"/>
    <cellStyle name="注释 2 33" xfId="113"/>
    <cellStyle name="注释 2 29" xfId="114"/>
    <cellStyle name="注释 2 34" xfId="115"/>
    <cellStyle name="注释 2 35" xfId="116"/>
    <cellStyle name="注释 2 40" xfId="117"/>
    <cellStyle name="注释 2 37" xfId="118"/>
    <cellStyle name="注释 2 42" xfId="119"/>
    <cellStyle name="注释 2 38" xfId="120"/>
    <cellStyle name="注释 2 43" xfId="121"/>
    <cellStyle name="注释 2 39" xfId="122"/>
    <cellStyle name="注释 2 44" xfId="123"/>
    <cellStyle name="注释 2 4" xfId="124"/>
    <cellStyle name="注释 2 45" xfId="125"/>
    <cellStyle name="注释 2 5" xfId="126"/>
    <cellStyle name="注释 2 6" xfId="127"/>
    <cellStyle name="注释 2 7" xfId="128"/>
    <cellStyle name="注释 2 8" xfId="129"/>
    <cellStyle name="注释 2 9" xfId="130"/>
    <cellStyle name="注释 25" xfId="131"/>
    <cellStyle name="注释 30" xfId="132"/>
    <cellStyle name="注释 26" xfId="133"/>
    <cellStyle name="注释 31" xfId="134"/>
    <cellStyle name="注释 27" xfId="135"/>
    <cellStyle name="注释 32" xfId="136"/>
    <cellStyle name="注释 28" xfId="137"/>
    <cellStyle name="注释 33" xfId="138"/>
    <cellStyle name="注释 29" xfId="139"/>
    <cellStyle name="注释 34" xfId="140"/>
    <cellStyle name="注释 3" xfId="141"/>
    <cellStyle name="注释 35" xfId="142"/>
    <cellStyle name="注释 40" xfId="143"/>
    <cellStyle name="注释 36" xfId="144"/>
    <cellStyle name="注释 41" xfId="145"/>
    <cellStyle name="注释 37" xfId="146"/>
    <cellStyle name="注释 42" xfId="147"/>
    <cellStyle name="注释 38" xfId="148"/>
    <cellStyle name="注释 43" xfId="149"/>
    <cellStyle name="注释 39" xfId="150"/>
    <cellStyle name="注释 44" xfId="151"/>
    <cellStyle name="注释 4" xfId="152"/>
    <cellStyle name="注释 45" xfId="153"/>
    <cellStyle name="注释 46" xfId="154"/>
    <cellStyle name="注释 47" xfId="155"/>
    <cellStyle name="注释 6" xfId="156"/>
    <cellStyle name="注释 7" xfId="157"/>
    <cellStyle name="注释 8" xfId="158"/>
    <cellStyle name="注释 9" xfId="159"/>
  </cellStyles>
  <dxfs count="11">
    <dxf>
      <fill>
        <patternFill patternType="solid"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9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fgColor theme="7"/>
          <bgColor theme="7"/>
        </patternFill>
      </fill>
    </dxf>
    <dxf>
      <fill>
        <patternFill patternType="solid">
          <fgColor theme="4"/>
          <bgColor theme="4"/>
        </patternFill>
      </fill>
    </dxf>
    <dxf>
      <font>
        <color rgb="FF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user</author>
  </authors>
  <commentList>
    <comment ref="C2" authorId="0" shapeId="0">
      <text>
        <t>user:
含口腔科</t>
      </text>
    </comment>
    <comment ref="D2" authorId="0" shapeId="0">
      <text>
        <t>user:
含眼科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S27"/>
  <sheetViews>
    <sheetView showGridLines="0" tabSelected="1" workbookViewId="0">
      <pane ySplit="3" topLeftCell="A4" activePane="bottomLeft" state="frozen"/>
      <selection activeCell="A1" sqref="A1"/>
      <selection pane="bottomLeft" activeCell="C12" sqref="C12"/>
    </sheetView>
  </sheetViews>
  <sheetFormatPr baseColWidth="8" defaultColWidth="9" defaultRowHeight="13.5"/>
  <cols>
    <col width="9.625" customWidth="1" style="34" min="1" max="1"/>
    <col width="14.25" customWidth="1" style="34" min="2" max="2"/>
    <col width="13.125" customWidth="1" style="34" min="3" max="3"/>
    <col width="11.25" customWidth="1" style="34" min="4" max="4"/>
    <col width="10" customWidth="1" style="34" min="5" max="5"/>
    <col width="11.375" customWidth="1" style="34" min="6" max="6"/>
    <col width="12.875" customWidth="1" style="34" min="7" max="7"/>
    <col width="10.125" customWidth="1" style="34" min="8" max="9"/>
    <col width="1.5" customWidth="1" style="34" min="10" max="10"/>
    <col width="9.375" customWidth="1" style="34" min="11" max="11"/>
    <col width="19.75" customWidth="1" style="34" min="12" max="12"/>
    <col width="12.875" customWidth="1" style="34" min="13" max="13"/>
    <col width="10.125" customWidth="1" style="34" min="14" max="14"/>
    <col width="10" customWidth="1" style="34" min="15" max="15"/>
    <col width="9.625" customWidth="1" style="34" min="16" max="16"/>
    <col width="13.375" customWidth="1" style="34" min="17" max="17"/>
    <col width="9.625" customWidth="1" style="34" min="18" max="19"/>
  </cols>
  <sheetData>
    <row r="1" ht="16.5" customHeight="1" s="34">
      <c r="A1" s="86" t="inlineStr">
        <is>
          <t>本季度天数</t>
        </is>
      </c>
      <c r="B1" s="87" t="n">
        <v>92</v>
      </c>
      <c r="C1" s="87" t="inlineStr">
        <is>
          <t>时间进度差</t>
        </is>
      </c>
      <c r="D1" s="87" t="inlineStr">
        <is>
          <t>预警颜色</t>
        </is>
      </c>
      <c r="E1" s="87" t="inlineStr">
        <is>
          <t>时间进度差</t>
        </is>
      </c>
      <c r="F1" s="87" t="inlineStr">
        <is>
          <t>预警颜色</t>
        </is>
      </c>
    </row>
    <row r="2" ht="16.5" customHeight="1" s="34">
      <c r="A2" s="86" t="inlineStr">
        <is>
          <t>已过天数</t>
        </is>
      </c>
      <c r="B2" s="87">
        <f>COUNTIFS(消费汇总!B7:B96,"&gt;0")</f>
        <v/>
      </c>
      <c r="C2" s="87" t="inlineStr">
        <is>
          <t>0%-10%</t>
        </is>
      </c>
      <c r="D2" s="88" t="n"/>
      <c r="E2" s="87" t="inlineStr">
        <is>
          <t>20%-30%</t>
        </is>
      </c>
      <c r="F2" s="89" t="n"/>
    </row>
    <row r="3" ht="17.25" customFormat="1" customHeight="1" s="85">
      <c r="A3" s="90" t="inlineStr">
        <is>
          <t>剩余天数</t>
        </is>
      </c>
      <c r="B3" s="91">
        <f>B1-B2</f>
        <v/>
      </c>
      <c r="C3" s="91" t="inlineStr">
        <is>
          <t>10%-20%</t>
        </is>
      </c>
      <c r="D3" s="92" t="n"/>
      <c r="E3" s="91" t="inlineStr">
        <is>
          <t>&gt;30%</t>
        </is>
      </c>
      <c r="F3" s="93" t="n"/>
    </row>
    <row r="4" ht="16.5" customHeight="1" s="34">
      <c r="A4" s="94" t="inlineStr">
        <is>
          <t>地区</t>
        </is>
      </c>
      <c r="B4" s="94" t="inlineStr">
        <is>
          <t>考核指标</t>
        </is>
      </c>
      <c r="C4" s="94" t="inlineStr">
        <is>
          <t>季度任务值</t>
        </is>
      </c>
      <c r="D4" s="94" t="inlineStr">
        <is>
          <t>QTD完成</t>
        </is>
      </c>
      <c r="E4" s="94" t="inlineStr">
        <is>
          <t>QTD完成率</t>
        </is>
      </c>
      <c r="F4" s="94" t="inlineStr">
        <is>
          <t>近七天日均</t>
        </is>
      </c>
      <c r="G4" s="94" t="inlineStr">
        <is>
          <t>日均差额</t>
        </is>
      </c>
      <c r="H4" s="94" t="inlineStr">
        <is>
          <t>预估完成率</t>
        </is>
      </c>
      <c r="I4" s="94" t="inlineStr">
        <is>
          <t>时间进度差</t>
        </is>
      </c>
    </row>
    <row r="5" ht="16.5" customHeight="1" s="34">
      <c r="A5" s="95" t="inlineStr">
        <is>
          <t>易尔通</t>
        </is>
      </c>
      <c r="B5" s="96" t="inlineStr">
        <is>
          <t>总包消费</t>
        </is>
      </c>
      <c r="C5" s="116" t="n"/>
      <c r="D5" s="116">
        <f>消费汇总!B3</f>
        <v/>
      </c>
      <c r="E5" s="28">
        <f>IF(C5="","-",D5/C5)</f>
        <v/>
      </c>
      <c r="F5" s="116">
        <f>SUM(OFFSET(消费汇总!B7,COUNT(消费汇总!B7:B96,"&gt;=0")-1,,-7,))/7</f>
        <v/>
      </c>
      <c r="G5" s="116">
        <f>IF(C5="","",(C5-D5)/$B$3-F5)</f>
        <v/>
      </c>
      <c r="H5" s="28">
        <f>IF(C5="","-",(F5*$B$3+D5)/C5)</f>
        <v/>
      </c>
      <c r="I5" s="105">
        <f>IF(C5="","",E5-$B$2/$B$1)</f>
        <v/>
      </c>
    </row>
    <row r="6" ht="16.5" customHeight="1" s="34">
      <c r="A6" s="98" t="n"/>
      <c r="B6" s="96" t="inlineStr">
        <is>
          <t>大搜消费</t>
        </is>
      </c>
      <c r="C6" s="116" t="n"/>
      <c r="D6" s="116">
        <f>消费汇总!C3</f>
        <v/>
      </c>
      <c r="E6" s="28">
        <f>IF(C6="","-",D6/C6)</f>
        <v/>
      </c>
      <c r="F6" s="116">
        <f>SUM(OFFSET(消费汇总!C7,COUNT(消费汇总!C7:C96,"&gt;=0")-1,,-7,))/7</f>
        <v/>
      </c>
      <c r="G6" s="116">
        <f>IF(C6="","",(C6-D6)/$B$3-F6)</f>
        <v/>
      </c>
      <c r="H6" s="28">
        <f>IF(C6="","-",(F6*$B$3+D6)/C6)</f>
        <v/>
      </c>
      <c r="I6" s="105">
        <f>IF(C6="","",E6-$B$2/$B$1)</f>
        <v/>
      </c>
    </row>
    <row r="7" ht="16.5" customHeight="1" s="34">
      <c r="A7" s="98" t="n"/>
      <c r="B7" s="96" t="inlineStr">
        <is>
          <t>信息流消费</t>
        </is>
      </c>
      <c r="C7" s="116" t="n"/>
      <c r="D7" s="116">
        <f>消费汇总!D3</f>
        <v/>
      </c>
      <c r="E7" s="28">
        <f>IF(C7="","-",D7/C7)</f>
        <v/>
      </c>
      <c r="F7" s="116">
        <f>SUM(OFFSET(消费汇总!D7,COUNT(消费汇总!D7:D96,"&gt;=0")-1,,-7,))/7</f>
        <v/>
      </c>
      <c r="G7" s="116">
        <f>IF(C7="","",(C7-D7)/$B$3-F7)</f>
        <v/>
      </c>
      <c r="H7" s="28">
        <f>IF(C7="","-",(F7*$B$3+D7)/C7)</f>
        <v/>
      </c>
      <c r="I7" s="105">
        <f>IF(C7="","",E7-$B$2/$B$1)</f>
        <v/>
      </c>
    </row>
    <row r="8" ht="16.5" customHeight="1" s="34">
      <c r="A8" s="98" t="n"/>
      <c r="B8" s="96" t="inlineStr">
        <is>
          <t>潜力行业消费</t>
        </is>
      </c>
      <c r="C8" s="116" t="n"/>
      <c r="D8" s="116">
        <f>潜力行业!B3</f>
        <v/>
      </c>
      <c r="E8" s="28">
        <f>IF(C8="","-",D8/C8)</f>
        <v/>
      </c>
      <c r="F8" s="116">
        <f>SUM(OFFSET(潜力行业!B7,COUNT(潜力行业!B7:B96,"&gt;=0")-1,,-7,))/7</f>
        <v/>
      </c>
      <c r="G8" s="116">
        <f>IF(C8="","",(C8-D8)/$B$3-F8)</f>
        <v/>
      </c>
      <c r="H8" s="28">
        <f>IF(C8="","-",(F8*$B$3+D8)/C8)</f>
        <v/>
      </c>
      <c r="I8" s="105">
        <f>IF(C8="","",E8-$B$2/$B$1)</f>
        <v/>
      </c>
    </row>
    <row r="9" ht="18" customHeight="1" s="34">
      <c r="A9" s="98" t="n"/>
      <c r="B9" s="96" t="inlineStr">
        <is>
          <t>二级地市消费-整体</t>
        </is>
      </c>
      <c r="C9" s="116" t="n"/>
      <c r="D9" s="116">
        <f>SUM(D10:D12)</f>
        <v/>
      </c>
      <c r="E9" s="28">
        <f>IF(C9="","-",D9/C9)</f>
        <v/>
      </c>
      <c r="F9" s="116">
        <f>SUM(F10:F12)</f>
        <v/>
      </c>
      <c r="G9" s="116">
        <f>IF(C9="","",(C9-D9)/$B$3-F9)</f>
        <v/>
      </c>
      <c r="H9" s="28">
        <f>IF(C9="","-",(F9*$B$3+D9)/C9)</f>
        <v/>
      </c>
      <c r="I9" s="105">
        <f>IF(C9="","",E9-$B$2/$B$1)</f>
        <v/>
      </c>
      <c r="L9" s="106" t="n"/>
    </row>
    <row r="10" ht="16.5" customHeight="1" s="34">
      <c r="A10" s="98" t="n"/>
      <c r="B10" s="96" t="inlineStr">
        <is>
          <t>泉州市</t>
        </is>
      </c>
      <c r="C10" s="116" t="n"/>
      <c r="D10" s="116">
        <f>二级地市消费汇总!L4</f>
        <v/>
      </c>
      <c r="E10" s="28">
        <f>IF(C10="","-",D10/C10)</f>
        <v/>
      </c>
      <c r="F10" s="116">
        <f>SUM(OFFSET(二级地市消费汇总!L8,COUNT(二级地市消费汇总!L8:L97,"&gt;=0")-1,,-7,))/7</f>
        <v/>
      </c>
      <c r="G10" s="116">
        <f>IF(C10="","",(C10-D10)/$B$3-F10)</f>
        <v/>
      </c>
      <c r="H10" s="28">
        <f>IF(C10="","-",(F10*$B$3+D10)/C10)</f>
        <v/>
      </c>
      <c r="I10" s="105">
        <f>IF(C10="","",E10-$B$2/$B$1)</f>
        <v/>
      </c>
    </row>
    <row r="11" ht="16.5" customHeight="1" s="34">
      <c r="A11" s="98" t="n"/>
      <c r="B11" s="96" t="inlineStr">
        <is>
          <t>漳州市</t>
        </is>
      </c>
      <c r="C11" s="116" t="n"/>
      <c r="D11" s="116">
        <f>二级地市消费汇总!V4</f>
        <v/>
      </c>
      <c r="E11" s="28">
        <f>IF(C11="","-",D11/C11)</f>
        <v/>
      </c>
      <c r="F11" s="116">
        <f>SUM(OFFSET(二级地市消费汇总!V8,COUNT(二级地市消费汇总!V8:V97,"&gt;=0")-1,,-7,))/7</f>
        <v/>
      </c>
      <c r="G11" s="116">
        <f>IF(C11="","",(C11-D11)/$B$3-F11)</f>
        <v/>
      </c>
      <c r="H11" s="28">
        <f>IF(C11="","-",(F11*$B$3+D11)/C11)</f>
        <v/>
      </c>
      <c r="I11" s="105">
        <f>IF(C11="","",E11-$B$2/$B$1)</f>
        <v/>
      </c>
      <c r="L11" s="117" t="n"/>
    </row>
    <row r="12" ht="16.5" customHeight="1" s="34">
      <c r="A12" s="43" t="n"/>
      <c r="B12" s="96" t="inlineStr">
        <is>
          <t>龙岩市</t>
        </is>
      </c>
      <c r="C12" s="116" t="n"/>
      <c r="D12" s="116">
        <f>二级地市消费汇总!AF4</f>
        <v/>
      </c>
      <c r="E12" s="28">
        <f>IF(C12="","-",D12/C12)</f>
        <v/>
      </c>
      <c r="F12" s="116">
        <f>SUM(OFFSET(二级地市消费汇总!AF8,COUNT(二级地市消费汇总!AF8:AF97,"&gt;=0")-1,,-7,))/7</f>
        <v/>
      </c>
      <c r="G12" s="116">
        <f>IF(C12="","",(C12-D12)/$B$3-F12)</f>
        <v/>
      </c>
      <c r="H12" s="28">
        <f>IF(C12="","-",(F12*$B$3+D12)/C12)</f>
        <v/>
      </c>
      <c r="I12" s="105">
        <f>IF(C12="","",E12-$B$2/$B$1)</f>
        <v/>
      </c>
    </row>
    <row r="13" ht="18" customHeight="1" s="34">
      <c r="B13" s="99" t="n"/>
      <c r="C13" s="118" t="n"/>
      <c r="D13" s="118" t="n"/>
      <c r="E13" s="101" t="n"/>
      <c r="F13" s="118" t="n"/>
      <c r="G13" s="118" t="n"/>
      <c r="H13" s="101" t="n"/>
      <c r="I13" s="108" t="n"/>
      <c r="J13" s="119" t="n"/>
      <c r="L13" s="117" t="n"/>
    </row>
    <row r="14" ht="18" customHeight="1" s="34">
      <c r="L14" s="120" t="n"/>
    </row>
    <row r="15" ht="16.5" customHeight="1" s="34">
      <c r="A15" s="86" t="inlineStr">
        <is>
          <t>地区</t>
        </is>
      </c>
      <c r="B15" s="86" t="inlineStr">
        <is>
          <t>考核指标</t>
        </is>
      </c>
      <c r="C15" s="86" t="inlineStr">
        <is>
          <t>季度任务值</t>
        </is>
      </c>
      <c r="D15" s="86" t="inlineStr">
        <is>
          <t>QTD完成</t>
        </is>
      </c>
      <c r="E15" s="86" t="inlineStr">
        <is>
          <t>QTD完成率</t>
        </is>
      </c>
      <c r="F15" s="86" t="inlineStr">
        <is>
          <t>近七天日均</t>
        </is>
      </c>
      <c r="G15" s="86" t="inlineStr">
        <is>
          <t>日均差额</t>
        </is>
      </c>
      <c r="H15" s="86" t="inlineStr">
        <is>
          <t>预估完成率</t>
        </is>
      </c>
      <c r="I15" s="86" t="inlineStr">
        <is>
          <t>时间进度差</t>
        </is>
      </c>
      <c r="K15" s="86" t="inlineStr">
        <is>
          <t>地区</t>
        </is>
      </c>
      <c r="L15" s="86" t="inlineStr">
        <is>
          <t>考核指标</t>
        </is>
      </c>
      <c r="M15" s="86" t="inlineStr">
        <is>
          <t>季度任务值</t>
        </is>
      </c>
      <c r="N15" s="86" t="inlineStr">
        <is>
          <t>QTD完成</t>
        </is>
      </c>
      <c r="O15" s="86" t="inlineStr">
        <is>
          <t>QTD完成率</t>
        </is>
      </c>
      <c r="P15" s="86" t="inlineStr">
        <is>
          <t>近七天日均</t>
        </is>
      </c>
      <c r="Q15" s="86" t="inlineStr">
        <is>
          <t>日均差额</t>
        </is>
      </c>
      <c r="R15" s="86" t="inlineStr">
        <is>
          <t>预估完成率</t>
        </is>
      </c>
      <c r="S15" s="86" t="inlineStr">
        <is>
          <t>时间进度差</t>
        </is>
      </c>
    </row>
    <row r="16" ht="16.5" customHeight="1" s="34">
      <c r="A16" s="95" t="inlineStr">
        <is>
          <t>厦门(企业)</t>
        </is>
      </c>
      <c r="B16" s="96" t="inlineStr">
        <is>
          <t>总包消费</t>
        </is>
      </c>
      <c r="C16" s="116" t="n"/>
      <c r="D16" s="116">
        <f>二级地市消费汇总!C4</f>
        <v/>
      </c>
      <c r="E16" s="28">
        <f>IF(C16="","-",D16/C16)</f>
        <v/>
      </c>
      <c r="F16" s="121">
        <f>SUM(OFFSET(二级地市消费汇总!C8,COUNTIF(二级地市消费汇总!C8:C97,"&gt;0")-1,0,-7,1))/7</f>
        <v/>
      </c>
      <c r="G16" s="122">
        <f>IF(C16="","",(C16-D16)/$B$3-F16)</f>
        <v/>
      </c>
      <c r="H16" s="28">
        <f>IF(C16="","-",(F16*$B$3+D16)/C16)</f>
        <v/>
      </c>
      <c r="I16" s="105">
        <f>IF(C16="","",E16-$B$2/$B$1)</f>
        <v/>
      </c>
      <c r="K16" s="95" t="inlineStr">
        <is>
          <t>泉州(企业)</t>
        </is>
      </c>
      <c r="L16" s="96" t="inlineStr">
        <is>
          <t>总包消费</t>
        </is>
      </c>
      <c r="M16" s="116" t="n"/>
      <c r="N16" s="116">
        <f>二级地市消费汇总!M4</f>
        <v/>
      </c>
      <c r="O16" s="28">
        <f>IF(M16="","-",N16/M16)</f>
        <v/>
      </c>
      <c r="P16" s="121">
        <f>SUM(OFFSET(二级地市消费汇总!M8,COUNTIF(二级地市消费汇总!M8:M97,"&gt;0")-1,0,-7,1))/7</f>
        <v/>
      </c>
      <c r="Q16" s="123">
        <f>IF(M16="","",(M16-N16)/$B$3-P16)</f>
        <v/>
      </c>
      <c r="R16" s="28">
        <f>IF(M16="","-",(P16*$B$3+N16)/M16)</f>
        <v/>
      </c>
      <c r="S16" s="105">
        <f>IF(M16="","",O16-$B$2/$B$1)</f>
        <v/>
      </c>
    </row>
    <row r="17" ht="16.5" customHeight="1" s="34">
      <c r="A17" s="98" t="n"/>
      <c r="B17" s="96" t="inlineStr">
        <is>
          <t>大搜消费</t>
        </is>
      </c>
      <c r="C17" s="116" t="n"/>
      <c r="D17" s="116">
        <f>二级地市消费汇总!D4</f>
        <v/>
      </c>
      <c r="E17" s="28">
        <f>IF(C17="","-",D17/C17)</f>
        <v/>
      </c>
      <c r="F17" s="121">
        <f>SUM(OFFSET(二级地市消费汇总!D8,COUNT(二级地市消费汇总!D8:D97,"&gt;=0")-1,,-7,))/7</f>
        <v/>
      </c>
      <c r="G17" s="124">
        <f>IF(C17="","",(C17-D17)/$B$3-F17)</f>
        <v/>
      </c>
      <c r="H17" s="28">
        <f>IF(C17="","-",(F17*$B$3+D17)/C17)</f>
        <v/>
      </c>
      <c r="I17" s="105">
        <f>IF(C17="","",E17-$B$2/$B$1)</f>
        <v/>
      </c>
      <c r="K17" s="98" t="n"/>
      <c r="L17" s="96" t="inlineStr">
        <is>
          <t>大搜消费</t>
        </is>
      </c>
      <c r="M17" s="116" t="n"/>
      <c r="N17" s="111">
        <f>二级地市消费汇总!N4</f>
        <v/>
      </c>
      <c r="O17" s="28">
        <f>IF(M17="","-",N17/M17)</f>
        <v/>
      </c>
      <c r="P17" s="121">
        <f>SUM(OFFSET(二级地市消费汇总!N8,COUNT(二级地市消费汇总!N8:N97,"&gt;=0")-1,,-7,))/7</f>
        <v/>
      </c>
      <c r="Q17" s="125">
        <f>IF(M17="","",(M17-N17)/$B$3-P17)</f>
        <v/>
      </c>
      <c r="R17" s="28">
        <f>IF(M17="","-",(P17*$B$3+N17)/M17)</f>
        <v/>
      </c>
      <c r="S17" s="105">
        <f>IF(M17="","",O17-$B$2/$B$1)</f>
        <v/>
      </c>
    </row>
    <row r="18" ht="16.5" customHeight="1" s="34">
      <c r="A18" s="98" t="n"/>
      <c r="B18" s="96" t="inlineStr">
        <is>
          <t>信息流消费</t>
        </is>
      </c>
      <c r="C18" s="116" t="n"/>
      <c r="D18" s="116">
        <f>二级地市消费汇总!E4</f>
        <v/>
      </c>
      <c r="E18" s="28">
        <f>IF(C18="","-",D18/C18)</f>
        <v/>
      </c>
      <c r="F18" s="121">
        <f>SUM(OFFSET(二级地市消费汇总!E8,COUNTIF(二级地市消费汇总!E8:E97,"&gt;0")-1,0,-7,1))/7</f>
        <v/>
      </c>
      <c r="G18" s="122">
        <f>IF(C18="","",(C18-D18)/$B$3-F18)</f>
        <v/>
      </c>
      <c r="H18" s="28">
        <f>IF(C18="","-",(F18*$B$3+D18)/C18)</f>
        <v/>
      </c>
      <c r="I18" s="105">
        <f>IF(C18="","",E18-$B$2/$B$1)</f>
        <v/>
      </c>
      <c r="K18" s="98" t="n"/>
      <c r="L18" s="96" t="inlineStr">
        <is>
          <t>信息流消费</t>
        </is>
      </c>
      <c r="M18" s="116" t="n"/>
      <c r="N18" s="116">
        <f>二级地市消费汇总!O4</f>
        <v/>
      </c>
      <c r="O18" s="28">
        <f>IF(M18="","-",N18/M18)</f>
        <v/>
      </c>
      <c r="P18" s="121">
        <f>SUM(OFFSET(二级地市消费汇总!O8,COUNTIF(二级地市消费汇总!O8:O97,"&gt;0")-1,0,-7,1))/7</f>
        <v/>
      </c>
      <c r="Q18" s="122">
        <f>IF(M18="","",(M18-N18)/$B$3-P18)</f>
        <v/>
      </c>
      <c r="R18" s="28">
        <f>IF(M18="","-",(P18*$B$3+N18)/M18)</f>
        <v/>
      </c>
      <c r="S18" s="105">
        <f>IF(M18="","",O18-$B$2/$B$1)</f>
        <v/>
      </c>
    </row>
    <row r="19" ht="16.5" customHeight="1" s="34">
      <c r="A19" s="98" t="n"/>
      <c r="B19" s="96" t="inlineStr">
        <is>
          <t>非医疗消费</t>
        </is>
      </c>
      <c r="C19" s="116" t="n"/>
      <c r="D19" s="116">
        <f>二级地市消费汇总!F4</f>
        <v/>
      </c>
      <c r="E19" s="28">
        <f>IF(C19="","-",D19/C19)</f>
        <v/>
      </c>
      <c r="F19" s="121">
        <f>SUM(OFFSET(二级地市消费汇总!F8,COUNTIF(二级地市消费汇总!F8:F97,"&gt;0")-1,0,-7,1))/7</f>
        <v/>
      </c>
      <c r="G19" s="122">
        <f>IF(C19="","",(C19-D19)/$B$3-F19)</f>
        <v/>
      </c>
      <c r="H19" s="28">
        <f>IF(C19="","-",(F19*$B$3+D19)/C19)</f>
        <v/>
      </c>
      <c r="I19" s="105">
        <f>IF(C19="","",E19-$B$2/$B$1)</f>
        <v/>
      </c>
      <c r="K19" s="98" t="n"/>
      <c r="L19" s="96" t="inlineStr">
        <is>
          <t>非医疗消费</t>
        </is>
      </c>
      <c r="M19" s="116" t="n"/>
      <c r="N19" s="116">
        <f>二级地市消费汇总!P4</f>
        <v/>
      </c>
      <c r="O19" s="28">
        <f>IF(M19="","-",N19/M19)</f>
        <v/>
      </c>
      <c r="P19" s="121">
        <f>SUM(OFFSET(二级地市消费汇总!P8,COUNTIF(二级地市消费汇总!P8:P97,"&gt;0")-1,0,-7,1))/7</f>
        <v/>
      </c>
      <c r="Q19" s="122">
        <f>IF(M19="","",(M19-N19)/$B$3-P19)</f>
        <v/>
      </c>
      <c r="R19" s="28">
        <f>IF(M19="","-",(P19*$B$3+N19)/M19)</f>
        <v/>
      </c>
      <c r="S19" s="105">
        <f>IF(M19="","",O19-$B$2/$B$1)</f>
        <v/>
      </c>
    </row>
    <row r="20" ht="16.5" customHeight="1" s="34">
      <c r="A20" s="43" t="n"/>
      <c r="B20" s="96" t="inlineStr">
        <is>
          <t>医疗消费</t>
        </is>
      </c>
      <c r="C20" s="116" t="n"/>
      <c r="D20" s="116">
        <f>二级地市消费汇总!G4</f>
        <v/>
      </c>
      <c r="E20" s="28">
        <f>IF(C20="","-",D20/C20)</f>
        <v/>
      </c>
      <c r="F20" s="121">
        <f>SUM(OFFSET(二级地市消费汇总!G8,COUNTIF(二级地市消费汇总!G8:G97,"&gt;0")-1,0,-7,1))/7</f>
        <v/>
      </c>
      <c r="G20" s="125">
        <f>IF(C20="","",(C20-D20)/$B$3-F20)</f>
        <v/>
      </c>
      <c r="H20" s="28">
        <f>IF(C20="","-",(F20*$B$3+D20)/C20)</f>
        <v/>
      </c>
      <c r="I20" s="105">
        <f>IF(C20="","",E20-$B$2/$B$1)</f>
        <v/>
      </c>
      <c r="K20" s="43" t="n"/>
      <c r="L20" s="96" t="inlineStr">
        <is>
          <t>医疗消费</t>
        </is>
      </c>
      <c r="M20" s="116" t="n"/>
      <c r="N20" s="116">
        <f>二级地市消费汇总!Q4</f>
        <v/>
      </c>
      <c r="O20" s="28">
        <f>IF(M20="","-",N20/M20)</f>
        <v/>
      </c>
      <c r="P20" s="121">
        <f>SUM(OFFSET(二级地市消费汇总!Q8,COUNTIF(二级地市消费汇总!Q8:Q97,"&gt;0")-1,0,-7,1))/7</f>
        <v/>
      </c>
      <c r="Q20" s="125">
        <f>IF(M20="","",(M20-N20)/$B$3-P20)</f>
        <v/>
      </c>
      <c r="R20" s="28">
        <f>IF(M20="","-",(P20*$B$3+N20)/M20)</f>
        <v/>
      </c>
      <c r="S20" s="105">
        <f>IF(M20="","",O20-$B$2/$B$1)</f>
        <v/>
      </c>
    </row>
    <row r="22" ht="16.5" customHeight="1" s="34">
      <c r="A22" s="86" t="inlineStr">
        <is>
          <t>地区</t>
        </is>
      </c>
      <c r="B22" s="86" t="inlineStr">
        <is>
          <t>考核指标</t>
        </is>
      </c>
      <c r="C22" s="86" t="inlineStr">
        <is>
          <t>季度任务值</t>
        </is>
      </c>
      <c r="D22" s="86" t="inlineStr">
        <is>
          <t>QTD完成</t>
        </is>
      </c>
      <c r="E22" s="86" t="inlineStr">
        <is>
          <t>QTD完成率</t>
        </is>
      </c>
      <c r="F22" s="86" t="inlineStr">
        <is>
          <t>近七天日均</t>
        </is>
      </c>
      <c r="G22" s="86" t="inlineStr">
        <is>
          <t>日均差额</t>
        </is>
      </c>
      <c r="H22" s="86" t="inlineStr">
        <is>
          <t>预估完成率</t>
        </is>
      </c>
      <c r="I22" s="86" t="inlineStr">
        <is>
          <t>时间进度差</t>
        </is>
      </c>
      <c r="K22" s="86" t="inlineStr">
        <is>
          <t>地区</t>
        </is>
      </c>
      <c r="L22" s="86" t="inlineStr">
        <is>
          <t>考核指标</t>
        </is>
      </c>
      <c r="M22" s="86" t="inlineStr">
        <is>
          <t>季度任务值</t>
        </is>
      </c>
      <c r="N22" s="86" t="inlineStr">
        <is>
          <t>QTD完成</t>
        </is>
      </c>
      <c r="O22" s="86" t="inlineStr">
        <is>
          <t>QTD完成率</t>
        </is>
      </c>
      <c r="P22" s="86" t="inlineStr">
        <is>
          <t>近七天日均</t>
        </is>
      </c>
      <c r="Q22" s="86" t="inlineStr">
        <is>
          <t>日均差额</t>
        </is>
      </c>
      <c r="R22" s="86" t="inlineStr">
        <is>
          <t>预估完成率</t>
        </is>
      </c>
      <c r="S22" s="86" t="inlineStr">
        <is>
          <t>时间进度差</t>
        </is>
      </c>
    </row>
    <row r="23" ht="16.5" customHeight="1" s="34">
      <c r="A23" s="95" t="inlineStr">
        <is>
          <t>漳州(企业)</t>
        </is>
      </c>
      <c r="B23" s="96" t="inlineStr">
        <is>
          <t>总包消费</t>
        </is>
      </c>
      <c r="C23" s="116" t="n"/>
      <c r="D23" s="116">
        <f>二级地市消费汇总!W4</f>
        <v/>
      </c>
      <c r="E23" s="28">
        <f>IF(C23="","-",D23/C23)</f>
        <v/>
      </c>
      <c r="F23" s="121">
        <f>SUM(OFFSET(二级地市消费汇总!W8,COUNTIF(二级地市消费汇总!W8:W97,"&gt;0")-1,0,-7,1))/7</f>
        <v/>
      </c>
      <c r="G23" s="122">
        <f>IF(C23="","",(C23-D23)/$B$3-F23)</f>
        <v/>
      </c>
      <c r="H23" s="28">
        <f>IF(C23="","-",(F23*$B$3+D23)/C23)</f>
        <v/>
      </c>
      <c r="I23" s="105">
        <f>IF(C23="","",E23-$B$2/$B$1)</f>
        <v/>
      </c>
      <c r="K23" s="95" t="inlineStr">
        <is>
          <t>龙岩(企业)</t>
        </is>
      </c>
      <c r="L23" s="96" t="inlineStr">
        <is>
          <t>总包消费</t>
        </is>
      </c>
      <c r="M23" s="116" t="n"/>
      <c r="N23" s="116">
        <f>二级地市消费汇总!AG4</f>
        <v/>
      </c>
      <c r="O23" s="28">
        <f>IF(M23="","-",N23/M23)</f>
        <v/>
      </c>
      <c r="P23" s="121">
        <f>SUM(OFFSET(二级地市消费汇总!AG8,COUNTIF(二级地市消费汇总!AF8:AF97,"&gt;0")-1,0,-7,1))/7</f>
        <v/>
      </c>
      <c r="Q23" s="122">
        <f>IF(M23="","",(M23-N23)/$B$3-P23)</f>
        <v/>
      </c>
      <c r="R23" s="28">
        <f>IF(M23="","-",(P23*$B$3+N23)/M23)</f>
        <v/>
      </c>
      <c r="S23" s="105">
        <f>IF(M23="","",O23-$B$2/$B$1)</f>
        <v/>
      </c>
    </row>
    <row r="24" ht="16.5" customHeight="1" s="34">
      <c r="A24" s="98" t="n"/>
      <c r="B24" s="96" t="inlineStr">
        <is>
          <t>大搜消费</t>
        </is>
      </c>
      <c r="C24" s="116" t="n"/>
      <c r="D24" s="116">
        <f>二级地市消费汇总!X4</f>
        <v/>
      </c>
      <c r="E24" s="28">
        <f>IF(C24="","-",D24/C24)</f>
        <v/>
      </c>
      <c r="F24" s="121">
        <f>SUM(OFFSET(二级地市消费汇总!X8,COUNT(二级地市消费汇总!X8:X97,"&gt;0")-1,,-7,))/7</f>
        <v/>
      </c>
      <c r="G24" s="125">
        <f>IF(C24="","",(C24-D24)/$B$3-F24)</f>
        <v/>
      </c>
      <c r="H24" s="28">
        <f>IF(C24="","-",(F24*$B$3+D24)/C24)</f>
        <v/>
      </c>
      <c r="I24" s="105">
        <f>IF(C24="","",E24-$B$2/$B$1)</f>
        <v/>
      </c>
      <c r="K24" s="98" t="n"/>
      <c r="L24" s="96" t="inlineStr">
        <is>
          <t>大搜消费</t>
        </is>
      </c>
      <c r="M24" s="116" t="n"/>
      <c r="N24" s="116">
        <f>二级地市消费汇总!AH4</f>
        <v/>
      </c>
      <c r="O24" s="28">
        <f>IF(M24="","-",N24/M24)</f>
        <v/>
      </c>
      <c r="P24" s="121">
        <f>SUM(OFFSET(二级地市消费汇总!AH8,COUNT(二级地市消费汇总!AH8:AH97,"&gt;=0")-1,,-7,))/7</f>
        <v/>
      </c>
      <c r="Q24" s="125">
        <f>IF(M24="","",(M24-N24)/$B$3-P24)</f>
        <v/>
      </c>
      <c r="R24" s="28">
        <f>IF(M24="","-",(P24*$B$3+N24)/M24)</f>
        <v/>
      </c>
      <c r="S24" s="105">
        <f>IF(M24="","",O24-$B$2/$B$1)</f>
        <v/>
      </c>
    </row>
    <row r="25" ht="16.5" customHeight="1" s="34">
      <c r="A25" s="98" t="n"/>
      <c r="B25" s="96" t="inlineStr">
        <is>
          <t>信息流消费</t>
        </is>
      </c>
      <c r="C25" s="116" t="n"/>
      <c r="D25" s="116">
        <f>二级地市消费汇总!Y4</f>
        <v/>
      </c>
      <c r="E25" s="28">
        <f>IF(C25="","-",D25/C25)</f>
        <v/>
      </c>
      <c r="F25" s="121">
        <f>SUM(OFFSET(二级地市消费汇总!Y8,COUNTIF(二级地市消费汇总!Y8:Y97,"&gt;0")-1,0,-7,1))/7</f>
        <v/>
      </c>
      <c r="G25" s="122">
        <f>IF(C25="","",(C25-D25)/$B$3-F25)</f>
        <v/>
      </c>
      <c r="H25" s="28">
        <f>IF(C25="","-",(F25*$B$3+D25)/C25)</f>
        <v/>
      </c>
      <c r="I25" s="105">
        <f>IF(C25="","",E25-$B$2/$B$1)</f>
        <v/>
      </c>
      <c r="K25" s="98" t="n"/>
      <c r="L25" s="96" t="inlineStr">
        <is>
          <t>信息流消费</t>
        </is>
      </c>
      <c r="M25" s="116" t="n"/>
      <c r="N25" s="116">
        <f>二级地市消费汇总!AI4</f>
        <v/>
      </c>
      <c r="O25" s="28">
        <f>IF(M25="","-",N25/M25)</f>
        <v/>
      </c>
      <c r="P25" s="121">
        <f>SUM(OFFSET(二级地市消费汇总!AI8,COUNTIF(二级地市消费汇总!AI8:AI97,"&gt;0")-1,0,-7,1))/7</f>
        <v/>
      </c>
      <c r="Q25" s="122">
        <f>IF(M25="","",(M25-N25)/$B$3-P25)</f>
        <v/>
      </c>
      <c r="R25" s="28">
        <f>IF(M25="","-",(P25*$B$3+N25)/M25)</f>
        <v/>
      </c>
      <c r="S25" s="105">
        <f>IF(M25="","",O25-$B$2/$B$1)</f>
        <v/>
      </c>
    </row>
    <row r="26" ht="16.5" customHeight="1" s="34">
      <c r="A26" s="98" t="n"/>
      <c r="B26" s="96" t="inlineStr">
        <is>
          <t>非医疗消费</t>
        </is>
      </c>
      <c r="C26" s="116" t="n"/>
      <c r="D26" s="116">
        <f>二级地市消费汇总!Z5</f>
        <v/>
      </c>
      <c r="E26" s="28">
        <f>IF(C26="","-",D26/C26)</f>
        <v/>
      </c>
      <c r="F26" s="121">
        <f>SUM(OFFSET(二级地市消费汇总!Z8,COUNTIF(二级地市消费汇总!Z8:Z97,"&gt;0")-1,0,-7,1))/7</f>
        <v/>
      </c>
      <c r="G26" s="122">
        <f>IF(C26="","",(C26-D26)/$B$3-F26)</f>
        <v/>
      </c>
      <c r="H26" s="28">
        <f>IF(C26="","-",(F26*$B$3+D26)/C26)</f>
        <v/>
      </c>
      <c r="I26" s="105">
        <f>IF(C26="","",E26-$B$2/$B$1)</f>
        <v/>
      </c>
      <c r="K26" s="98" t="n"/>
      <c r="L26" s="96" t="inlineStr">
        <is>
          <t>非医疗消费</t>
        </is>
      </c>
      <c r="M26" s="116" t="n"/>
      <c r="N26" s="116">
        <f>二级地市消费汇总!AJ4</f>
        <v/>
      </c>
      <c r="O26" s="28">
        <f>IF(M26="","-",N26/M26)</f>
        <v/>
      </c>
      <c r="P26" s="121">
        <f>SUM(OFFSET(二级地市消费汇总!AJ8,COUNTIF(二级地市消费汇总!AJ8:AJ97,"&gt;0")-1,0,-7,1))/7</f>
        <v/>
      </c>
      <c r="Q26" s="122">
        <f>IF(M26="","",(M26-N26)/$B$3-P26)</f>
        <v/>
      </c>
      <c r="R26" s="28">
        <f>IF(M26="","-",(P26*$B$3+N26)/M26)</f>
        <v/>
      </c>
      <c r="S26" s="105">
        <f>IF(M26="","",O26-$B$2/$B$1)</f>
        <v/>
      </c>
    </row>
    <row r="27" ht="16.5" customHeight="1" s="34">
      <c r="A27" s="43" t="n"/>
      <c r="B27" s="96" t="inlineStr">
        <is>
          <t>医疗消费</t>
        </is>
      </c>
      <c r="C27" s="116" t="n"/>
      <c r="D27" s="116">
        <f>二级地市消费汇总!AA4</f>
        <v/>
      </c>
      <c r="E27" s="28">
        <f>IF(C27="","-",D27/C27)</f>
        <v/>
      </c>
      <c r="F27" s="121">
        <f>SUM(OFFSET(二级地市消费汇总!AA8,COUNTIF(二级地市消费汇总!AA8:AA97,"&gt;0")-1,0,-7,1))/7</f>
        <v/>
      </c>
      <c r="G27" s="125">
        <f>IF(C27="","",(C27-D27)/$B$3-F27)</f>
        <v/>
      </c>
      <c r="H27" s="28">
        <f>IF(C27="","-",(F27*$B$3+D27)/C27)</f>
        <v/>
      </c>
      <c r="I27" s="105">
        <f>IF(C27="","",E27-$B$2/$B$1)</f>
        <v/>
      </c>
      <c r="K27" s="43" t="n"/>
      <c r="L27" s="96" t="inlineStr">
        <is>
          <t>医疗消费</t>
        </is>
      </c>
      <c r="M27" s="116" t="n"/>
      <c r="N27" s="116">
        <f>二级地市消费汇总!AK4</f>
        <v/>
      </c>
      <c r="O27" s="28">
        <f>IF(M27="","-",N27/M27)</f>
        <v/>
      </c>
      <c r="P27" s="121">
        <f>SUM(OFFSET(二级地市消费汇总!AK8,COUNTIF(二级地市消费汇总!AK8:AK97,"&gt;0")-1,0,-7,1))/7</f>
        <v/>
      </c>
      <c r="Q27" s="125">
        <f>IF(M27="","",(M27-N27)/$B$3-P27)</f>
        <v/>
      </c>
      <c r="R27" s="28">
        <f>IF(M27="","-",(P27*$B$3+N27)/M27)</f>
        <v/>
      </c>
      <c r="S27" s="105">
        <f>IF(M27="","",O27-$B$2/$B$1)</f>
        <v/>
      </c>
    </row>
  </sheetData>
  <mergeCells count="5">
    <mergeCell ref="A16:A20"/>
    <mergeCell ref="K23:K27"/>
    <mergeCell ref="A5:A12"/>
    <mergeCell ref="A23:A27"/>
    <mergeCell ref="K16:K20"/>
  </mergeCells>
  <conditionalFormatting sqref="I5:I13 I16:I20 I23:I27 S16:S20 S23:S27">
    <cfRule type="cellIs" priority="457" operator="greaterThanOrEqual" dxfId="0">
      <formula>0</formula>
    </cfRule>
    <cfRule type="cellIs" priority="459" operator="between" dxfId="1">
      <formula>-0.3</formula>
      <formula>-1</formula>
    </cfRule>
    <cfRule type="cellIs" priority="460" operator="between" dxfId="2">
      <formula>-0.2</formula>
      <formula>-0.3</formula>
    </cfRule>
    <cfRule type="cellIs" priority="461" operator="between" dxfId="3">
      <formula>-0.1</formula>
      <formula>-0.2</formula>
    </cfRule>
    <cfRule type="cellIs" priority="462" operator="between" dxfId="4">
      <formula>0</formula>
      <formula>-0.1</formula>
    </cfRule>
    <cfRule type="cellIs" priority="463" operator="equal" dxfId="0">
      <formula>0</formula>
    </cfRule>
    <cfRule type="cellIs" priority="529" operator="between" dxfId="1">
      <formula>0.3</formula>
      <formula>1</formula>
    </cfRule>
    <cfRule type="cellIs" priority="530" operator="between">
      <formula>0.3</formula>
      <formula>1</formula>
    </cfRule>
    <cfRule type="cellIs" priority="531" operator="between" dxfId="2">
      <formula>0.2</formula>
      <formula>0.3</formula>
    </cfRule>
    <cfRule type="cellIs" priority="532" operator="between" dxfId="3">
      <formula>0.1</formula>
      <formula>0.2</formula>
    </cfRule>
    <cfRule type="cellIs" priority="533" operator="between" dxfId="4">
      <formula>0</formula>
      <formula>0.1</formula>
    </cfRule>
    <cfRule type="cellIs" priority="726" operator="between" dxfId="4">
      <formula>0</formula>
      <formula>0.1</formula>
    </cfRule>
    <cfRule type="cellIs" priority="734" operator="between" dxfId="5">
      <formula>0.21</formula>
      <formula>0.3</formula>
    </cfRule>
    <cfRule type="cellIs" priority="735" operator="between" dxfId="3">
      <formula>0.11</formula>
      <formula>0.2</formula>
    </cfRule>
    <cfRule type="cellIs" priority="736" operator="between" dxfId="6">
      <formula>0.31</formula>
      <formula>1</formula>
    </cfRule>
    <cfRule type="cellIs" priority="737" operator="between" dxfId="7">
      <formula>0.21</formula>
      <formula>0.3</formula>
    </cfRule>
    <cfRule type="cellIs" priority="738" operator="between" dxfId="8">
      <formula>0.1</formula>
      <formula>0.2</formula>
    </cfRule>
    <cfRule type="cellIs" priority="739" operator="between">
      <formula>0.1</formula>
      <formula>0.2</formula>
    </cfRule>
    <cfRule type="cellIs" priority="740" operator="between" dxfId="9">
      <formula>0</formula>
      <formula>0.1</formula>
    </cfRule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AC98"/>
  <sheetViews>
    <sheetView workbookViewId="0">
      <pane ySplit="6" topLeftCell="A31" activePane="bottomLeft" state="frozen"/>
      <selection activeCell="A1" sqref="A1"/>
      <selection pane="bottomLeft" activeCell="AB5" sqref="AB5"/>
    </sheetView>
  </sheetViews>
  <sheetFormatPr baseColWidth="8" defaultColWidth="9" defaultRowHeight="13.5"/>
  <cols>
    <col width="15.375" customWidth="1" style="34" min="1" max="1"/>
    <col width="12.875" customWidth="1" style="34" min="2" max="2"/>
    <col width="13.875" customWidth="1" style="34" min="3" max="3"/>
    <col width="13.125" customWidth="1" style="34" min="4" max="4"/>
    <col width="10.25" customWidth="1" style="34" min="5" max="5"/>
    <col width="10.625" customWidth="1" style="34" min="6" max="6"/>
    <col width="1.25" customWidth="1" style="58" min="7" max="7"/>
    <col width="8" customWidth="1" style="34" min="8" max="8"/>
    <col width="11.375" customWidth="1" style="34" min="9" max="9"/>
    <col width="10.625" customWidth="1" style="126" min="10" max="20"/>
    <col hidden="1" width="9.25" customWidth="1" style="34" min="21" max="21"/>
    <col hidden="1" width="12.125" customWidth="1" style="34" min="22" max="22"/>
    <col width="1.5" customWidth="1" style="127" min="23" max="23"/>
    <col width="8.875" customWidth="1" style="34" min="24" max="24"/>
    <col width="10.5" customWidth="1" style="34" min="25" max="25"/>
    <col width="11.375" customWidth="1" style="126" min="26" max="26"/>
    <col width="10.625" customWidth="1" style="126" min="27" max="29"/>
  </cols>
  <sheetData>
    <row r="1" ht="16.5" customHeight="1" s="34">
      <c r="A1" s="61" t="inlineStr">
        <is>
          <t>汇总（企业+框架）</t>
        </is>
      </c>
      <c r="B1" s="61" t="inlineStr">
        <is>
          <t>总包</t>
        </is>
      </c>
      <c r="C1" s="128" t="inlineStr">
        <is>
          <t>大搜消费</t>
        </is>
      </c>
      <c r="D1" s="129" t="inlineStr">
        <is>
          <t>信息流消费</t>
        </is>
      </c>
      <c r="E1" s="129" t="inlineStr">
        <is>
          <t>医疗</t>
        </is>
      </c>
      <c r="F1" s="129" t="inlineStr">
        <is>
          <t>非医疗</t>
        </is>
      </c>
      <c r="G1" s="64" t="n"/>
      <c r="H1" s="65" t="inlineStr">
        <is>
          <t>企业汇总</t>
        </is>
      </c>
      <c r="I1" s="61" t="inlineStr">
        <is>
          <t>总包</t>
        </is>
      </c>
      <c r="J1" s="52" t="n"/>
      <c r="K1" s="61" t="inlineStr">
        <is>
          <t>大搜</t>
        </is>
      </c>
      <c r="L1" s="52" t="n"/>
      <c r="M1" s="61" t="inlineStr">
        <is>
          <t>信息流</t>
        </is>
      </c>
      <c r="N1" s="52" t="n"/>
      <c r="O1" s="61" t="inlineStr">
        <is>
          <t>医疗</t>
        </is>
      </c>
      <c r="P1" s="52" t="n"/>
      <c r="Q1" s="61" t="inlineStr">
        <is>
          <t>非医疗</t>
        </is>
      </c>
      <c r="R1" s="52" t="n"/>
      <c r="S1" s="61" t="inlineStr">
        <is>
          <t>品牌展示</t>
        </is>
      </c>
      <c r="T1" s="52" t="n"/>
      <c r="U1" s="61" t="inlineStr">
        <is>
          <t>中小客户数QTD完成</t>
        </is>
      </c>
      <c r="V1" s="61" t="inlineStr">
        <is>
          <t>中小消费QTD完成</t>
        </is>
      </c>
      <c r="W1" s="130" t="n"/>
      <c r="X1" s="61" t="inlineStr">
        <is>
          <t>框架汇总</t>
        </is>
      </c>
      <c r="Y1" s="61" t="inlineStr">
        <is>
          <t>总包</t>
        </is>
      </c>
      <c r="Z1" s="128" t="inlineStr">
        <is>
          <t>大搜消费</t>
        </is>
      </c>
      <c r="AA1" s="129" t="inlineStr">
        <is>
          <t>信息流消费</t>
        </is>
      </c>
      <c r="AB1" s="129" t="inlineStr">
        <is>
          <t>医疗</t>
        </is>
      </c>
      <c r="AC1" s="129" t="inlineStr">
        <is>
          <t>非医疗</t>
        </is>
      </c>
    </row>
    <row r="2" ht="12" customHeight="1" s="34">
      <c r="A2" s="43" t="n"/>
      <c r="B2" s="43" t="n"/>
      <c r="C2" s="43" t="n"/>
      <c r="D2" s="43" t="n"/>
      <c r="E2" s="43" t="n"/>
      <c r="F2" s="43" t="n"/>
      <c r="G2" s="64" t="n"/>
      <c r="H2" s="66" t="n"/>
      <c r="I2" s="61" t="inlineStr">
        <is>
          <t>消费</t>
        </is>
      </c>
      <c r="J2" s="129" t="inlineStr">
        <is>
          <t>有消费客户数</t>
        </is>
      </c>
      <c r="K2" s="61" t="inlineStr">
        <is>
          <t>消费</t>
        </is>
      </c>
      <c r="L2" s="129" t="inlineStr">
        <is>
          <t>有消费客户数</t>
        </is>
      </c>
      <c r="M2" s="61" t="inlineStr">
        <is>
          <t>消费</t>
        </is>
      </c>
      <c r="N2" s="129" t="inlineStr">
        <is>
          <t>有消费客户数</t>
        </is>
      </c>
      <c r="O2" s="61" t="inlineStr">
        <is>
          <t>消费</t>
        </is>
      </c>
      <c r="P2" s="129" t="inlineStr">
        <is>
          <t>有消费客户数</t>
        </is>
      </c>
      <c r="Q2" s="61" t="inlineStr">
        <is>
          <t>消费</t>
        </is>
      </c>
      <c r="R2" s="129" t="inlineStr">
        <is>
          <t>有消费客户数</t>
        </is>
      </c>
      <c r="S2" s="61" t="inlineStr">
        <is>
          <t>消费</t>
        </is>
      </c>
      <c r="T2" s="129" t="inlineStr">
        <is>
          <t>有消费客户数</t>
        </is>
      </c>
      <c r="U2" s="43" t="n"/>
      <c r="V2" s="43" t="n"/>
      <c r="W2" s="131" t="n"/>
      <c r="X2" s="43" t="n"/>
      <c r="Y2" s="43" t="n"/>
      <c r="Z2" s="43" t="n"/>
      <c r="AA2" s="43" t="n"/>
      <c r="AB2" s="43" t="n"/>
      <c r="AC2" s="43" t="n"/>
    </row>
    <row r="3" ht="16.5" customHeight="1" s="34">
      <c r="A3" s="67" t="inlineStr">
        <is>
          <t>2023Q4</t>
        </is>
      </c>
      <c r="B3" s="132">
        <f>IF(B4="","",SUM(B4:B6))</f>
        <v/>
      </c>
      <c r="C3" s="132">
        <f>IF(C4="","",SUM(C4:C6))</f>
        <v/>
      </c>
      <c r="D3" s="132">
        <f>IF(D4="","",SUM(D4:D6))</f>
        <v/>
      </c>
      <c r="E3" s="132">
        <f>IF(E4="","",SUM(E4:E6))</f>
        <v/>
      </c>
      <c r="F3" s="132">
        <f>IF(F4="","",SUM(F4:F6))</f>
        <v/>
      </c>
      <c r="H3" s="67" t="inlineStr">
        <is>
          <t>2023Q4</t>
        </is>
      </c>
      <c r="I3" s="132">
        <f>IF(I4="","",SUM(I4:I6))</f>
        <v/>
      </c>
      <c r="J3" s="133" t="inlineStr">
        <is>
          <t>-</t>
        </is>
      </c>
      <c r="K3" s="134">
        <f>IF(K4="","",SUM(K4:K6))</f>
        <v/>
      </c>
      <c r="L3" s="133" t="inlineStr">
        <is>
          <t>-</t>
        </is>
      </c>
      <c r="M3" s="134">
        <f>IF(M4="","",SUM(M4:M6))</f>
        <v/>
      </c>
      <c r="N3" s="133" t="inlineStr">
        <is>
          <t>-</t>
        </is>
      </c>
      <c r="O3" s="134">
        <f>IF(O4="","",SUM(O4:O6))</f>
        <v/>
      </c>
      <c r="P3" s="133" t="inlineStr">
        <is>
          <t>-</t>
        </is>
      </c>
      <c r="Q3" s="134">
        <f>IF(Q4="","",SUM(Q4:Q6))</f>
        <v/>
      </c>
      <c r="R3" s="133" t="inlineStr">
        <is>
          <t>-</t>
        </is>
      </c>
      <c r="S3" s="134">
        <f>IF(S4="","",SUM(S4:S6))</f>
        <v/>
      </c>
      <c r="T3" s="133" t="inlineStr">
        <is>
          <t>-</t>
        </is>
      </c>
      <c r="U3" s="134">
        <f>MAX(U7:U96)</f>
        <v/>
      </c>
      <c r="V3" s="134">
        <f>MAX(V7:V96)</f>
        <v/>
      </c>
      <c r="W3" s="135" t="n"/>
      <c r="X3" s="67" t="inlineStr">
        <is>
          <t>2023Q4</t>
        </is>
      </c>
      <c r="Y3" s="132">
        <f>IF(Y4="","",SUM(Y4:Y6))</f>
        <v/>
      </c>
      <c r="Z3" s="132">
        <f>IF(Z4="","",SUM(Z4:Z6))</f>
        <v/>
      </c>
      <c r="AA3" s="132">
        <f>IF(AA4="","",SUM(AA4:AA6))</f>
        <v/>
      </c>
      <c r="AB3" s="132">
        <f>IF(AB4="","",SUM(AB4:AB6))</f>
        <v/>
      </c>
      <c r="AC3" s="132">
        <f>IF(AC4="","",SUM(AC4:AC6))</f>
        <v/>
      </c>
    </row>
    <row r="4" ht="16.5" customHeight="1" s="34">
      <c r="A4" s="69" t="inlineStr">
        <is>
          <t>10月份</t>
        </is>
      </c>
      <c r="B4" s="136">
        <f>IF(B7="","",SUM(B7:B37))</f>
        <v/>
      </c>
      <c r="C4" s="136">
        <f>IF(C7="","",SUM(C7:C37))</f>
        <v/>
      </c>
      <c r="D4" s="136">
        <f>IF(D7="","",SUM(D7:D37))</f>
        <v/>
      </c>
      <c r="E4" s="136">
        <f>IF(E7="","",SUM(E7:E37))</f>
        <v/>
      </c>
      <c r="F4" s="136">
        <f>IF(F7="","",SUM(F7:F37))</f>
        <v/>
      </c>
      <c r="G4" s="136" t="n"/>
      <c r="H4" s="69" t="inlineStr">
        <is>
          <t>10月份</t>
        </is>
      </c>
      <c r="I4" s="136">
        <f>IF(I7="","",SUM(I7:I37))</f>
        <v/>
      </c>
      <c r="J4" s="137" t="inlineStr">
        <is>
          <t>-</t>
        </is>
      </c>
      <c r="K4" s="136">
        <f>IF(K7="","",SUM(K7:K37))</f>
        <v/>
      </c>
      <c r="L4" s="137" t="inlineStr">
        <is>
          <t>-</t>
        </is>
      </c>
      <c r="M4" s="136">
        <f>IF(M7="","",SUM(M7:M37))</f>
        <v/>
      </c>
      <c r="N4" s="137" t="inlineStr">
        <is>
          <t>-</t>
        </is>
      </c>
      <c r="O4" s="136">
        <f>IF(O7="","",SUM(O7:O37))</f>
        <v/>
      </c>
      <c r="P4" s="137" t="inlineStr">
        <is>
          <t>-</t>
        </is>
      </c>
      <c r="Q4" s="136">
        <f>IF(Q7="","",SUM(Q7:Q37))</f>
        <v/>
      </c>
      <c r="R4" s="137" t="inlineStr">
        <is>
          <t>-</t>
        </is>
      </c>
      <c r="S4" s="136">
        <f>IF(S7="","",SUM(S7:S37))</f>
        <v/>
      </c>
      <c r="T4" s="137" t="inlineStr">
        <is>
          <t>-</t>
        </is>
      </c>
      <c r="U4" s="138">
        <f>IF(U7="","",MAX(U7:U37))</f>
        <v/>
      </c>
      <c r="V4" s="138">
        <f>IF(V7="","",MAX(V7:V37))</f>
        <v/>
      </c>
      <c r="W4" s="135" t="n"/>
      <c r="X4" s="69" t="inlineStr">
        <is>
          <t>10月份</t>
        </is>
      </c>
      <c r="Y4" s="136">
        <f>IF(Y7="","",SUM(Y7:Y37))</f>
        <v/>
      </c>
      <c r="Z4" s="136">
        <f>IF(Z7="","",SUM(Z7:Z37))</f>
        <v/>
      </c>
      <c r="AA4" s="136">
        <f>IF(AA7="","",SUM(AA7:AA37))</f>
        <v/>
      </c>
      <c r="AB4" s="136">
        <f>IF(AB7="","",SUM(AB7:AB37))</f>
        <v/>
      </c>
      <c r="AC4" s="136">
        <f>IF(AC7="","",SUM(AC7:AC37))</f>
        <v/>
      </c>
    </row>
    <row r="5" ht="16.5" customHeight="1" s="34">
      <c r="A5" s="69" t="inlineStr">
        <is>
          <t>11月份</t>
        </is>
      </c>
      <c r="B5" s="136">
        <f>IF(B38="","",SUM(B38:B67))</f>
        <v/>
      </c>
      <c r="C5" s="136">
        <f>IF(C38="","",SUM(C38:C67))</f>
        <v/>
      </c>
      <c r="D5" s="136">
        <f>IF(D38="","",SUM(D38:D67))</f>
        <v/>
      </c>
      <c r="E5" s="136">
        <f>IF(E38="","",SUM(E38:E67))</f>
        <v/>
      </c>
      <c r="F5" s="136">
        <f>IF(F38="","",SUM(F38:F67))</f>
        <v/>
      </c>
      <c r="G5" s="136" t="n"/>
      <c r="H5" s="69" t="inlineStr">
        <is>
          <t>11月份</t>
        </is>
      </c>
      <c r="I5" s="136">
        <f>IF(I38="","",SUM(I38:I67))</f>
        <v/>
      </c>
      <c r="J5" s="137" t="inlineStr">
        <is>
          <t>-</t>
        </is>
      </c>
      <c r="K5" s="136">
        <f>IF(K38="","",SUM(K38:K67))</f>
        <v/>
      </c>
      <c r="L5" s="137" t="inlineStr">
        <is>
          <t>-</t>
        </is>
      </c>
      <c r="M5" s="136">
        <f>IF(M38="","",SUM(M38:M67))</f>
        <v/>
      </c>
      <c r="N5" s="137" t="inlineStr">
        <is>
          <t>-</t>
        </is>
      </c>
      <c r="O5" s="136">
        <f>IF(O38="","",SUM(O38:O67))</f>
        <v/>
      </c>
      <c r="P5" s="137" t="inlineStr">
        <is>
          <t>-</t>
        </is>
      </c>
      <c r="Q5" s="136">
        <f>IF(Q38="","",SUM(Q38:Q67))</f>
        <v/>
      </c>
      <c r="R5" s="137" t="inlineStr">
        <is>
          <t>-</t>
        </is>
      </c>
      <c r="S5" s="136">
        <f>IF(S38="","",SUM(S38:S67))</f>
        <v/>
      </c>
      <c r="T5" s="137" t="inlineStr">
        <is>
          <t>-</t>
        </is>
      </c>
      <c r="U5" s="138">
        <f>IF(U38="","",MAX(U38:U65))</f>
        <v/>
      </c>
      <c r="V5" s="138">
        <f>IF(V38="","",MAX(V38:V65))</f>
        <v/>
      </c>
      <c r="W5" s="135" t="n"/>
      <c r="X5" s="69" t="inlineStr">
        <is>
          <t>11月份</t>
        </is>
      </c>
      <c r="Y5" s="136">
        <f>IF(Y38="","",SUM(Y38:Y67))</f>
        <v/>
      </c>
      <c r="Z5" s="136">
        <f>IF(Z38="","",SUM(Z38:Z67))</f>
        <v/>
      </c>
      <c r="AA5" s="136">
        <f>IF(AA38="","",SUM(AA38:AA67))</f>
        <v/>
      </c>
      <c r="AB5" s="136">
        <f>IF(AB38="","",SUM(AB38:AB67))</f>
        <v/>
      </c>
      <c r="AC5" s="136">
        <f>IF(AC38="","",SUM(AC38:AC67))</f>
        <v/>
      </c>
    </row>
    <row r="6" ht="17.25" customHeight="1" s="34">
      <c r="A6" s="71" t="inlineStr">
        <is>
          <t>12月份</t>
        </is>
      </c>
      <c r="B6" s="139">
        <f>IF(B68="","",SUM(B68:B97))</f>
        <v/>
      </c>
      <c r="C6" s="139">
        <f>IF(C68="","",SUM(C68:C97))</f>
        <v/>
      </c>
      <c r="D6" s="139">
        <f>IF(D68="","",SUM(D68:D97))</f>
        <v/>
      </c>
      <c r="E6" s="139">
        <f>IF(E68="","",SUM(E68:E97))</f>
        <v/>
      </c>
      <c r="F6" s="139">
        <f>IF(F68="","",SUM(F68:F97))</f>
        <v/>
      </c>
      <c r="G6" s="139" t="n"/>
      <c r="H6" s="71" t="inlineStr">
        <is>
          <t>12月份</t>
        </is>
      </c>
      <c r="I6" s="139">
        <f>IF(I68="","",SUM(I68:I97))</f>
        <v/>
      </c>
      <c r="J6" s="140" t="inlineStr">
        <is>
          <t>-</t>
        </is>
      </c>
      <c r="K6" s="139">
        <f>IF(K68="","",SUM(K68:K97))</f>
        <v/>
      </c>
      <c r="L6" s="140" t="inlineStr">
        <is>
          <t>-</t>
        </is>
      </c>
      <c r="M6" s="139">
        <f>IF(M68="","",SUM(M68:M97))</f>
        <v/>
      </c>
      <c r="N6" s="140" t="inlineStr">
        <is>
          <t>-</t>
        </is>
      </c>
      <c r="O6" s="139">
        <f>IF(O68="","",SUM(O68:O97))</f>
        <v/>
      </c>
      <c r="P6" s="140" t="inlineStr">
        <is>
          <t>-</t>
        </is>
      </c>
      <c r="Q6" s="139">
        <f>IF(Q68="","",SUM(Q68:Q97))</f>
        <v/>
      </c>
      <c r="R6" s="140" t="inlineStr">
        <is>
          <t>-</t>
        </is>
      </c>
      <c r="S6" s="139">
        <f>IF(S68="","",SUM(S68:S97))</f>
        <v/>
      </c>
      <c r="T6" s="140" t="inlineStr">
        <is>
          <t>-</t>
        </is>
      </c>
      <c r="U6" s="141">
        <f>IF(U66="","",MAX(U66:U96))</f>
        <v/>
      </c>
      <c r="V6" s="141">
        <f>IF(V66="","",MAX(V66:V96))</f>
        <v/>
      </c>
      <c r="W6" s="135" t="n"/>
      <c r="X6" s="71" t="inlineStr">
        <is>
          <t>12月份</t>
        </is>
      </c>
      <c r="Y6" s="139">
        <f>IF(Y68="","",SUM(Y68:Y97))</f>
        <v/>
      </c>
      <c r="Z6" s="139">
        <f>IF(Z68="","",SUM(Z68:Z97))</f>
        <v/>
      </c>
      <c r="AA6" s="139">
        <f>IF(AA68="","",SUM(AA68:AA97))</f>
        <v/>
      </c>
      <c r="AB6" s="139">
        <f>IF(AB68="","",SUM(AB68:AB97))</f>
        <v/>
      </c>
      <c r="AC6" s="139">
        <f>IF(AC68="","",SUM(AC68:AC97))</f>
        <v/>
      </c>
    </row>
    <row r="7" ht="16.5" customHeight="1" s="34">
      <c r="A7" s="73" t="n">
        <v>45200</v>
      </c>
      <c r="B7" s="142" t="n">
        <v>2379800.96</v>
      </c>
      <c r="C7" s="142" t="n">
        <v>1908924.54</v>
      </c>
      <c r="D7" s="142" t="n">
        <v>470876.42</v>
      </c>
      <c r="E7" s="142" t="n">
        <v>995061.789999999</v>
      </c>
      <c r="F7" s="142" t="n">
        <v>1384739.17</v>
      </c>
      <c r="H7" s="75">
        <f>A7</f>
        <v/>
      </c>
      <c r="I7" s="143" t="n">
        <v>905966.26</v>
      </c>
      <c r="J7" s="143" t="n">
        <v>988</v>
      </c>
      <c r="K7" s="143" t="n">
        <v>860631.58</v>
      </c>
      <c r="L7" s="143" t="n">
        <v>973</v>
      </c>
      <c r="M7" s="143" t="n">
        <v>45334.68</v>
      </c>
      <c r="N7" s="143" t="n">
        <v>50</v>
      </c>
      <c r="O7" s="143" t="n">
        <v>691136.919999999</v>
      </c>
      <c r="P7" s="143" t="n">
        <v>111</v>
      </c>
      <c r="Q7" s="143" t="n">
        <v>214829.34</v>
      </c>
      <c r="R7" s="143" t="n">
        <v>876</v>
      </c>
      <c r="S7" s="143" t="n">
        <v>28110.7</v>
      </c>
      <c r="T7" s="143" t="n">
        <v>56</v>
      </c>
      <c r="U7" s="143" t="n"/>
      <c r="V7" s="143" t="n"/>
      <c r="W7" s="135" t="n"/>
      <c r="X7" s="73">
        <f>H7</f>
        <v/>
      </c>
      <c r="Y7" s="143" t="n">
        <v>1473834.7</v>
      </c>
      <c r="Z7" s="143" t="n">
        <v>1048292.96</v>
      </c>
      <c r="AA7" s="143" t="n">
        <v>425541.74</v>
      </c>
      <c r="AB7" s="143" t="n">
        <v>303924.87</v>
      </c>
      <c r="AC7" s="143" t="n">
        <v>1169909.83</v>
      </c>
    </row>
    <row r="8" ht="16.5" customHeight="1" s="34">
      <c r="A8" s="73" t="n">
        <v>45201</v>
      </c>
      <c r="B8" s="142" t="n">
        <v>2465142.18</v>
      </c>
      <c r="C8" s="142" t="n">
        <v>1944574.82</v>
      </c>
      <c r="D8" s="142" t="n">
        <v>520567.36</v>
      </c>
      <c r="E8" s="142" t="n">
        <v>1057426.51</v>
      </c>
      <c r="F8" s="142" t="n">
        <v>1407715.67</v>
      </c>
      <c r="H8" s="75">
        <f>A8</f>
        <v/>
      </c>
      <c r="I8" s="144" t="n">
        <v>945828.25</v>
      </c>
      <c r="J8" s="144" t="n">
        <v>1078</v>
      </c>
      <c r="K8" s="144" t="n">
        <v>903153.660000001</v>
      </c>
      <c r="L8" s="144" t="n">
        <v>1061</v>
      </c>
      <c r="M8" s="144" t="n">
        <v>42674.59</v>
      </c>
      <c r="N8" s="144" t="n">
        <v>53</v>
      </c>
      <c r="O8" s="144" t="n">
        <v>725174.66</v>
      </c>
      <c r="P8" s="144" t="n">
        <v>112</v>
      </c>
      <c r="Q8" s="144" t="n">
        <v>220653.59</v>
      </c>
      <c r="R8" s="144" t="n">
        <v>965</v>
      </c>
      <c r="S8" s="144" t="n">
        <v>29384.65</v>
      </c>
      <c r="T8" s="144" t="n">
        <v>68</v>
      </c>
      <c r="U8" s="144" t="n"/>
      <c r="V8" s="144" t="n"/>
      <c r="W8" s="135" t="n"/>
      <c r="X8" s="73">
        <f>H8</f>
        <v/>
      </c>
      <c r="Y8" s="143" t="n">
        <v>1519313.93</v>
      </c>
      <c r="Z8" s="143" t="n">
        <v>1041421.16</v>
      </c>
      <c r="AA8" s="143" t="n">
        <v>477892.77</v>
      </c>
      <c r="AB8" s="143" t="n">
        <v>332251.85</v>
      </c>
      <c r="AC8" s="143" t="n">
        <v>1187062.08</v>
      </c>
    </row>
    <row r="9" ht="16.5" customHeight="1" s="34">
      <c r="A9" s="73" t="n">
        <v>45202</v>
      </c>
      <c r="B9" s="142" t="n">
        <v>2586198.41</v>
      </c>
      <c r="C9" s="142" t="n">
        <v>2067191.22</v>
      </c>
      <c r="D9" s="142" t="n">
        <v>519007.19</v>
      </c>
      <c r="E9" s="142" t="n">
        <v>1074914.6</v>
      </c>
      <c r="F9" s="142" t="n">
        <v>1511283.81</v>
      </c>
      <c r="H9" s="75">
        <f>A9</f>
        <v/>
      </c>
      <c r="I9" s="144" t="n">
        <v>997455.819999999</v>
      </c>
      <c r="J9" s="144" t="n">
        <v>1090</v>
      </c>
      <c r="K9" s="144" t="n">
        <v>944531.529999999</v>
      </c>
      <c r="L9" s="144" t="n">
        <v>1072</v>
      </c>
      <c r="M9" s="144" t="n">
        <v>52924.29</v>
      </c>
      <c r="N9" s="144" t="n">
        <v>55</v>
      </c>
      <c r="O9" s="144" t="n">
        <v>758152.67</v>
      </c>
      <c r="P9" s="144" t="n">
        <v>113</v>
      </c>
      <c r="Q9" s="144" t="n">
        <v>239303.15</v>
      </c>
      <c r="R9" s="144" t="n">
        <v>976</v>
      </c>
      <c r="S9" s="144" t="n">
        <v>29391.57</v>
      </c>
      <c r="T9" s="144" t="n">
        <v>74</v>
      </c>
      <c r="U9" s="144" t="n"/>
      <c r="V9" s="144" t="n"/>
      <c r="W9" s="135" t="n"/>
      <c r="X9" s="73">
        <f>H9</f>
        <v/>
      </c>
      <c r="Y9" s="143" t="n">
        <v>1588742.59</v>
      </c>
      <c r="Z9" s="143" t="n">
        <v>1122659.69</v>
      </c>
      <c r="AA9" s="143" t="n">
        <v>466082.9</v>
      </c>
      <c r="AB9" s="143" t="n">
        <v>316761.93</v>
      </c>
      <c r="AC9" s="143" t="n">
        <v>1271980.66</v>
      </c>
    </row>
    <row r="10" ht="16.5" customHeight="1" s="34">
      <c r="A10" s="73" t="n">
        <v>45203</v>
      </c>
      <c r="B10" s="142" t="n">
        <v>2574445.39000001</v>
      </c>
      <c r="C10" s="142" t="n">
        <v>2059904.46</v>
      </c>
      <c r="D10" s="142" t="n">
        <v>514540.93</v>
      </c>
      <c r="E10" s="142" t="n">
        <v>1040473.03</v>
      </c>
      <c r="F10" s="142" t="n">
        <v>1533972.36</v>
      </c>
      <c r="H10" s="75">
        <f>A10</f>
        <v/>
      </c>
      <c r="I10" s="144" t="n">
        <v>995806.2399999989</v>
      </c>
      <c r="J10" s="144" t="n">
        <v>1087</v>
      </c>
      <c r="K10" s="144" t="n">
        <v>935706.949999999</v>
      </c>
      <c r="L10" s="144" t="n">
        <v>1068</v>
      </c>
      <c r="M10" s="144" t="n">
        <v>60099.29</v>
      </c>
      <c r="N10" s="144" t="n">
        <v>52</v>
      </c>
      <c r="O10" s="144" t="n">
        <v>750809.6</v>
      </c>
      <c r="P10" s="144" t="n">
        <v>112</v>
      </c>
      <c r="Q10" s="144" t="n">
        <v>244996.64</v>
      </c>
      <c r="R10" s="144" t="n">
        <v>974</v>
      </c>
      <c r="S10" s="144" t="n">
        <v>29415.69</v>
      </c>
      <c r="T10" s="144" t="n">
        <v>67</v>
      </c>
      <c r="U10" s="144" t="n"/>
      <c r="V10" s="144" t="n"/>
      <c r="W10" s="135" t="n"/>
      <c r="X10" s="73">
        <f>H10</f>
        <v/>
      </c>
      <c r="Y10" s="143" t="n">
        <v>1578639.15</v>
      </c>
      <c r="Z10" s="143" t="n">
        <v>1124197.51</v>
      </c>
      <c r="AA10" s="143" t="n">
        <v>454441.64</v>
      </c>
      <c r="AB10" s="143" t="n">
        <v>289663.43</v>
      </c>
      <c r="AC10" s="143" t="n">
        <v>1288975.72</v>
      </c>
    </row>
    <row r="11" ht="16.5" customHeight="1" s="34">
      <c r="A11" s="73" t="n">
        <v>45204</v>
      </c>
      <c r="B11" s="142" t="n">
        <v>2504960.3</v>
      </c>
      <c r="C11" s="142" t="n">
        <v>2050965.7</v>
      </c>
      <c r="D11" s="142" t="n">
        <v>453994.6</v>
      </c>
      <c r="E11" s="142" t="n">
        <v>949043.7</v>
      </c>
      <c r="F11" s="142" t="n">
        <v>1555916.6</v>
      </c>
      <c r="H11" s="75">
        <f>A11</f>
        <v/>
      </c>
      <c r="I11" s="144" t="n">
        <v>957916.459999999</v>
      </c>
      <c r="J11" s="144" t="n">
        <v>1091</v>
      </c>
      <c r="K11" s="144" t="n">
        <v>899426.6199999989</v>
      </c>
      <c r="L11" s="144" t="n">
        <v>1073</v>
      </c>
      <c r="M11" s="144" t="n">
        <v>58489.84</v>
      </c>
      <c r="N11" s="144" t="n">
        <v>49</v>
      </c>
      <c r="O11" s="144" t="n">
        <v>702062.85</v>
      </c>
      <c r="P11" s="144" t="n">
        <v>112</v>
      </c>
      <c r="Q11" s="144" t="n">
        <v>255853.61</v>
      </c>
      <c r="R11" s="144" t="n">
        <v>978</v>
      </c>
      <c r="S11" s="144" t="n">
        <v>29534.35</v>
      </c>
      <c r="T11" s="144" t="n">
        <v>68</v>
      </c>
      <c r="U11" s="144" t="n"/>
      <c r="V11" s="144" t="n"/>
      <c r="W11" s="135" t="n"/>
      <c r="X11" s="73">
        <f>H11</f>
        <v/>
      </c>
      <c r="Y11" s="143" t="n">
        <v>1547043.84</v>
      </c>
      <c r="Z11" s="143" t="n">
        <v>1151539.08</v>
      </c>
      <c r="AA11" s="143" t="n">
        <v>395504.76</v>
      </c>
      <c r="AB11" s="143" t="n">
        <v>246980.85</v>
      </c>
      <c r="AC11" s="143" t="n">
        <v>1300062.99</v>
      </c>
    </row>
    <row r="12" ht="16.5" customHeight="1" s="34">
      <c r="A12" s="73" t="n">
        <v>45205</v>
      </c>
      <c r="B12" s="142" t="n">
        <v>2610741.85</v>
      </c>
      <c r="C12" s="142" t="n">
        <v>2107076.43</v>
      </c>
      <c r="D12" s="142" t="n">
        <v>503665.42</v>
      </c>
      <c r="E12" s="142" t="n">
        <v>993450.999999999</v>
      </c>
      <c r="F12" s="142" t="n">
        <v>1617290.84999999</v>
      </c>
      <c r="H12" s="75">
        <f>A12</f>
        <v/>
      </c>
      <c r="I12" s="144" t="n">
        <v>980405.499999999</v>
      </c>
      <c r="J12" s="144" t="n">
        <v>1110</v>
      </c>
      <c r="K12" s="144" t="n">
        <v>917380.209999998</v>
      </c>
      <c r="L12" s="144" t="n">
        <v>1091</v>
      </c>
      <c r="M12" s="144" t="n">
        <v>63025.29</v>
      </c>
      <c r="N12" s="144" t="n">
        <v>54</v>
      </c>
      <c r="O12" s="144" t="n">
        <v>713261.86</v>
      </c>
      <c r="P12" s="144" t="n">
        <v>114</v>
      </c>
      <c r="Q12" s="144" t="n">
        <v>267143.64</v>
      </c>
      <c r="R12" s="144" t="n">
        <v>995</v>
      </c>
      <c r="S12" s="144" t="n">
        <v>29448.68</v>
      </c>
      <c r="T12" s="144" t="n">
        <v>67</v>
      </c>
      <c r="U12" s="144" t="n"/>
      <c r="V12" s="144" t="n"/>
      <c r="W12" s="135" t="n"/>
      <c r="X12" s="73">
        <f>H12</f>
        <v/>
      </c>
      <c r="Y12" s="143" t="n">
        <v>1630336.35</v>
      </c>
      <c r="Z12" s="143" t="n">
        <v>1189696.22</v>
      </c>
      <c r="AA12" s="143" t="n">
        <v>440640.13</v>
      </c>
      <c r="AB12" s="143" t="n">
        <v>280189.14</v>
      </c>
      <c r="AC12" s="143" t="n">
        <v>1350147.21</v>
      </c>
    </row>
    <row r="13" ht="16.5" customHeight="1" s="34">
      <c r="A13" s="73" t="n">
        <v>45206</v>
      </c>
      <c r="B13" s="142" t="n">
        <v>2708978.72</v>
      </c>
      <c r="C13" s="142" t="n">
        <v>2247196.03</v>
      </c>
      <c r="D13" s="142" t="n">
        <v>461782.69</v>
      </c>
      <c r="E13" s="142" t="n">
        <v>964713.96</v>
      </c>
      <c r="F13" s="142" t="n">
        <v>1744264.76</v>
      </c>
      <c r="H13" s="75">
        <f>A13</f>
        <v/>
      </c>
      <c r="I13" s="144" t="n">
        <v>1065630.23</v>
      </c>
      <c r="J13" s="144" t="n">
        <v>1184</v>
      </c>
      <c r="K13" s="144" t="n">
        <v>1008247.47</v>
      </c>
      <c r="L13" s="144" t="n">
        <v>1163</v>
      </c>
      <c r="M13" s="144" t="n">
        <v>57382.76</v>
      </c>
      <c r="N13" s="144" t="n">
        <v>54</v>
      </c>
      <c r="O13" s="144" t="n">
        <v>724496.45</v>
      </c>
      <c r="P13" s="144" t="n">
        <v>119</v>
      </c>
      <c r="Q13" s="144" t="n">
        <v>341133.78</v>
      </c>
      <c r="R13" s="144" t="n">
        <v>1064</v>
      </c>
      <c r="S13" s="144" t="n">
        <v>29180.2</v>
      </c>
      <c r="T13" s="144" t="n">
        <v>62</v>
      </c>
      <c r="U13" s="144" t="n"/>
      <c r="V13" s="144" t="n"/>
      <c r="W13" s="135" t="n"/>
      <c r="X13" s="73">
        <f>H13</f>
        <v/>
      </c>
      <c r="Y13" s="143" t="n">
        <v>1643348.49</v>
      </c>
      <c r="Z13" s="143" t="n">
        <v>1238948.56</v>
      </c>
      <c r="AA13" s="143" t="n">
        <v>404399.93</v>
      </c>
      <c r="AB13" s="143" t="n">
        <v>240217.51</v>
      </c>
      <c r="AC13" s="143" t="n">
        <v>1403130.98</v>
      </c>
    </row>
    <row r="14" ht="16.5" customHeight="1" s="34">
      <c r="A14" s="73" t="n">
        <v>45207</v>
      </c>
      <c r="B14" s="142" t="n">
        <v>2671099.48</v>
      </c>
      <c r="C14" s="142" t="n">
        <v>2213283.96</v>
      </c>
      <c r="D14" s="142" t="n">
        <v>457815.52</v>
      </c>
      <c r="E14" s="142" t="n">
        <v>946343.620000002</v>
      </c>
      <c r="F14" s="142" t="n">
        <v>1724755.86000001</v>
      </c>
      <c r="H14" s="75">
        <f>A14</f>
        <v/>
      </c>
      <c r="I14" s="144" t="n">
        <v>1057440.94</v>
      </c>
      <c r="J14" s="144" t="n">
        <v>1152</v>
      </c>
      <c r="K14" s="144" t="n">
        <v>999335.170000001</v>
      </c>
      <c r="L14" s="144" t="n">
        <v>1133</v>
      </c>
      <c r="M14" s="144" t="n">
        <v>58105.77</v>
      </c>
      <c r="N14" s="144" t="n">
        <v>53</v>
      </c>
      <c r="O14" s="144" t="n">
        <v>717228.700000001</v>
      </c>
      <c r="P14" s="144" t="n">
        <v>117</v>
      </c>
      <c r="Q14" s="144" t="n">
        <v>340212.24</v>
      </c>
      <c r="R14" s="144" t="n">
        <v>1034</v>
      </c>
      <c r="S14" s="144" t="n">
        <v>28982.48</v>
      </c>
      <c r="T14" s="144" t="n">
        <v>65</v>
      </c>
      <c r="U14" s="144" t="n"/>
      <c r="V14" s="144" t="n"/>
      <c r="W14" s="135" t="n"/>
      <c r="X14" s="73">
        <f>H14</f>
        <v/>
      </c>
      <c r="Y14" s="143" t="n">
        <v>1613658.54000001</v>
      </c>
      <c r="Z14" s="143" t="n">
        <v>1213948.79</v>
      </c>
      <c r="AA14" s="143" t="n">
        <v>399709.75</v>
      </c>
      <c r="AB14" s="143" t="n">
        <v>229114.92</v>
      </c>
      <c r="AC14" s="143" t="n">
        <v>1384543.62</v>
      </c>
    </row>
    <row r="15" ht="16.5" customHeight="1" s="34">
      <c r="A15" s="73" t="n">
        <v>45208</v>
      </c>
      <c r="B15" s="142" t="n">
        <v>2704117.59</v>
      </c>
      <c r="C15" s="142" t="n">
        <v>2250012.18</v>
      </c>
      <c r="D15" s="142" t="n">
        <v>454105.409999999</v>
      </c>
      <c r="E15" s="142" t="n">
        <v>945773.480000001</v>
      </c>
      <c r="F15" s="142" t="n">
        <v>1758344.11</v>
      </c>
      <c r="H15" s="75">
        <f>A15</f>
        <v/>
      </c>
      <c r="I15" s="144" t="n">
        <v>1064326.64</v>
      </c>
      <c r="J15" s="144" t="n">
        <v>1331</v>
      </c>
      <c r="K15" s="144" t="n">
        <v>1015302.96</v>
      </c>
      <c r="L15" s="144" t="n">
        <v>1307</v>
      </c>
      <c r="M15" s="144" t="n">
        <v>49023.68</v>
      </c>
      <c r="N15" s="144" t="n">
        <v>58</v>
      </c>
      <c r="O15" s="144" t="n">
        <v>699479.63</v>
      </c>
      <c r="P15" s="144" t="n">
        <v>115</v>
      </c>
      <c r="Q15" s="144" t="n">
        <v>364847.01</v>
      </c>
      <c r="R15" s="144" t="n">
        <v>1215</v>
      </c>
      <c r="S15" s="144" t="n">
        <v>29751.64</v>
      </c>
      <c r="T15" s="144" t="n">
        <v>71</v>
      </c>
      <c r="U15" s="144" t="n"/>
      <c r="V15" s="144" t="n"/>
      <c r="W15" s="135" t="n"/>
      <c r="X15" s="73">
        <f>H15</f>
        <v/>
      </c>
      <c r="Y15" s="143" t="n">
        <v>1639790.95</v>
      </c>
      <c r="Z15" s="143" t="n">
        <v>1234709.22</v>
      </c>
      <c r="AA15" s="143" t="n">
        <v>405081.73</v>
      </c>
      <c r="AB15" s="143" t="n">
        <v>246293.85</v>
      </c>
      <c r="AC15" s="143" t="n">
        <v>1393497.1</v>
      </c>
    </row>
    <row r="16" ht="16.5" customHeight="1" s="34">
      <c r="A16" s="73" t="n">
        <v>45209</v>
      </c>
      <c r="B16" s="142" t="n">
        <v>2672535.49</v>
      </c>
      <c r="C16" s="142" t="n">
        <v>2231354.8</v>
      </c>
      <c r="D16" s="142" t="n">
        <v>441180.69</v>
      </c>
      <c r="E16" s="142" t="n">
        <v>916099.47</v>
      </c>
      <c r="F16" s="142" t="n">
        <v>1756436.02</v>
      </c>
      <c r="H16" s="75">
        <f>A16</f>
        <v/>
      </c>
      <c r="I16" s="144" t="n">
        <v>1063849.59</v>
      </c>
      <c r="J16" s="144" t="n">
        <v>1351</v>
      </c>
      <c r="K16" s="144" t="n">
        <v>1011091.61</v>
      </c>
      <c r="L16" s="144" t="n">
        <v>1325</v>
      </c>
      <c r="M16" s="144" t="n">
        <v>52757.98</v>
      </c>
      <c r="N16" s="144" t="n">
        <v>61</v>
      </c>
      <c r="O16" s="144" t="n">
        <v>690835.64</v>
      </c>
      <c r="P16" s="144" t="n">
        <v>117</v>
      </c>
      <c r="Q16" s="144" t="n">
        <v>373013.95</v>
      </c>
      <c r="R16" s="144" t="n">
        <v>1233</v>
      </c>
      <c r="S16" s="144" t="n">
        <v>31435.35</v>
      </c>
      <c r="T16" s="144" t="n">
        <v>74</v>
      </c>
      <c r="U16" s="84" t="n"/>
      <c r="V16" s="144" t="n"/>
      <c r="W16" s="135" t="n"/>
      <c r="X16" s="73">
        <f>H16</f>
        <v/>
      </c>
      <c r="Y16" s="143" t="n">
        <v>1608685.9</v>
      </c>
      <c r="Z16" s="143" t="n">
        <v>1220263.19</v>
      </c>
      <c r="AA16" s="143" t="n">
        <v>388422.71</v>
      </c>
      <c r="AB16" s="143" t="n">
        <v>225263.83</v>
      </c>
      <c r="AC16" s="143" t="n">
        <v>1383422.07</v>
      </c>
    </row>
    <row r="17" ht="16.5" customHeight="1" s="34">
      <c r="A17" s="73" t="n">
        <v>45210</v>
      </c>
      <c r="B17" s="142" t="n">
        <v>2717235.17999998</v>
      </c>
      <c r="C17" s="142" t="n">
        <v>2281811.12999999</v>
      </c>
      <c r="D17" s="142" t="n">
        <v>435424.05</v>
      </c>
      <c r="E17" s="142" t="n">
        <v>915303.3800000011</v>
      </c>
      <c r="F17" s="142" t="n">
        <v>1801931.8</v>
      </c>
      <c r="H17" s="75">
        <f>A17</f>
        <v/>
      </c>
      <c r="I17" s="144" t="n">
        <v>1063097.24</v>
      </c>
      <c r="J17" s="144" t="n">
        <v>1348</v>
      </c>
      <c r="K17" s="144" t="n">
        <v>1010847.91</v>
      </c>
      <c r="L17" s="144" t="n">
        <v>1322</v>
      </c>
      <c r="M17" s="144" t="n">
        <v>52249.33</v>
      </c>
      <c r="N17" s="144" t="n">
        <v>63</v>
      </c>
      <c r="O17" s="144" t="n">
        <v>699986.04</v>
      </c>
      <c r="P17" s="144" t="n">
        <v>119</v>
      </c>
      <c r="Q17" s="144" t="n">
        <v>363111.2</v>
      </c>
      <c r="R17" s="144" t="n">
        <v>1228</v>
      </c>
      <c r="S17" s="144" t="n">
        <v>31336.36</v>
      </c>
      <c r="T17" s="144" t="n">
        <v>74</v>
      </c>
      <c r="U17" s="144" t="n"/>
      <c r="V17" s="144" t="n"/>
      <c r="W17" s="135" t="n"/>
      <c r="X17" s="73">
        <f>H17</f>
        <v/>
      </c>
      <c r="Y17" s="143" t="n">
        <v>1654137.94</v>
      </c>
      <c r="Z17" s="143" t="n">
        <v>1270963.22</v>
      </c>
      <c r="AA17" s="143" t="n">
        <v>383174.72</v>
      </c>
      <c r="AB17" s="143" t="n">
        <v>215317.34</v>
      </c>
      <c r="AC17" s="143" t="n">
        <v>1438820.6</v>
      </c>
    </row>
    <row r="18" ht="16.5" customHeight="1" s="34">
      <c r="A18" s="73" t="n">
        <v>45211</v>
      </c>
      <c r="B18" s="142" t="n">
        <v>2790364.77999999</v>
      </c>
      <c r="C18" s="142" t="n">
        <v>2337850.10999999</v>
      </c>
      <c r="D18" s="142" t="n">
        <v>452514.67</v>
      </c>
      <c r="E18" s="142" t="n">
        <v>936330.36</v>
      </c>
      <c r="F18" s="142" t="n">
        <v>1854034.42</v>
      </c>
      <c r="H18" s="75">
        <f>A18</f>
        <v/>
      </c>
      <c r="I18" s="144" t="n">
        <v>1094602.88</v>
      </c>
      <c r="J18" s="144" t="n">
        <v>1371</v>
      </c>
      <c r="K18" s="144" t="n">
        <v>1038889</v>
      </c>
      <c r="L18" s="144" t="n">
        <v>1344</v>
      </c>
      <c r="M18" s="144" t="n">
        <v>55713.88</v>
      </c>
      <c r="N18" s="144" t="n">
        <v>65</v>
      </c>
      <c r="O18" s="144" t="n">
        <v>711519.160000001</v>
      </c>
      <c r="P18" s="144" t="n">
        <v>119</v>
      </c>
      <c r="Q18" s="144" t="n">
        <v>383083.72</v>
      </c>
      <c r="R18" s="144" t="n">
        <v>1251</v>
      </c>
      <c r="S18" s="144" t="n">
        <v>31411.76</v>
      </c>
      <c r="T18" s="144" t="n">
        <v>75</v>
      </c>
      <c r="U18" s="144" t="n"/>
      <c r="V18" s="144" t="n"/>
      <c r="W18" s="135" t="n"/>
      <c r="X18" s="73">
        <f>H18</f>
        <v/>
      </c>
      <c r="Y18" s="143" t="n">
        <v>1695761.9</v>
      </c>
      <c r="Z18" s="143" t="n">
        <v>1298961.11</v>
      </c>
      <c r="AA18" s="143" t="n">
        <v>396800.79</v>
      </c>
      <c r="AB18" s="143" t="n">
        <v>224811.2</v>
      </c>
      <c r="AC18" s="143" t="n">
        <v>1470950.7</v>
      </c>
    </row>
    <row r="19" ht="16.5" customHeight="1" s="34">
      <c r="A19" s="73" t="n">
        <v>45212</v>
      </c>
      <c r="B19" s="142" t="n">
        <v>2765159.19</v>
      </c>
      <c r="C19" s="142" t="n">
        <v>2297121.64</v>
      </c>
      <c r="D19" s="142" t="n">
        <v>468037.55</v>
      </c>
      <c r="E19" s="142" t="n">
        <v>988693.090000001</v>
      </c>
      <c r="F19" s="142" t="n">
        <v>1776466.1</v>
      </c>
      <c r="H19" s="75">
        <f>A19</f>
        <v/>
      </c>
      <c r="I19" s="144" t="n">
        <v>1095885.93</v>
      </c>
      <c r="J19" s="144" t="n">
        <v>1384</v>
      </c>
      <c r="K19" s="144" t="n">
        <v>1043108.66</v>
      </c>
      <c r="L19" s="144" t="n">
        <v>1360</v>
      </c>
      <c r="M19" s="144" t="n">
        <v>52777.27</v>
      </c>
      <c r="N19" s="144" t="n">
        <v>64</v>
      </c>
      <c r="O19" s="144" t="n">
        <v>726957.96</v>
      </c>
      <c r="P19" s="144" t="n">
        <v>119</v>
      </c>
      <c r="Q19" s="144" t="n">
        <v>368927.97</v>
      </c>
      <c r="R19" s="144" t="n">
        <v>1264</v>
      </c>
      <c r="S19" s="144" t="n">
        <v>31443.26</v>
      </c>
      <c r="T19" s="144" t="n">
        <v>75</v>
      </c>
      <c r="U19" s="144" t="n"/>
      <c r="V19" s="144" t="n"/>
      <c r="W19" s="135" t="n"/>
      <c r="X19" s="73">
        <f>H19</f>
        <v/>
      </c>
      <c r="Y19" s="143" t="n">
        <v>1669273.26</v>
      </c>
      <c r="Z19" s="143" t="n">
        <v>1254012.98</v>
      </c>
      <c r="AA19" s="143" t="n">
        <v>415260.28</v>
      </c>
      <c r="AB19" s="143" t="n">
        <v>261735.13</v>
      </c>
      <c r="AC19" s="143" t="n">
        <v>1407538.13</v>
      </c>
    </row>
    <row r="20" ht="16.5" customHeight="1" s="34">
      <c r="A20" s="73" t="n">
        <v>45213</v>
      </c>
      <c r="B20" s="142" t="n">
        <v>2680093.38</v>
      </c>
      <c r="C20" s="142" t="n">
        <v>2195584.27</v>
      </c>
      <c r="D20" s="142" t="n">
        <v>484509.11</v>
      </c>
      <c r="E20" s="142" t="n">
        <v>1023857.07</v>
      </c>
      <c r="F20" s="142" t="n">
        <v>1656236.31</v>
      </c>
      <c r="H20" s="75">
        <f>A20</f>
        <v/>
      </c>
      <c r="I20" s="144" t="n">
        <v>1055139</v>
      </c>
      <c r="J20" s="144" t="n">
        <v>1245</v>
      </c>
      <c r="K20" s="144" t="n">
        <v>998437.190000001</v>
      </c>
      <c r="L20" s="144" t="n">
        <v>1223</v>
      </c>
      <c r="M20" s="144" t="n">
        <v>56701.81</v>
      </c>
      <c r="N20" s="144" t="n">
        <v>60</v>
      </c>
      <c r="O20" s="144" t="n">
        <v>753894.52</v>
      </c>
      <c r="P20" s="144" t="n">
        <v>115</v>
      </c>
      <c r="Q20" s="144" t="n">
        <v>301244.48</v>
      </c>
      <c r="R20" s="144" t="n">
        <v>1129</v>
      </c>
      <c r="S20" s="144" t="n">
        <v>31152.67</v>
      </c>
      <c r="T20" s="144" t="n">
        <v>67</v>
      </c>
      <c r="U20" s="144" t="n"/>
      <c r="V20" s="144" t="n"/>
      <c r="W20" s="135" t="n"/>
      <c r="X20" s="73">
        <f>H20</f>
        <v/>
      </c>
      <c r="Y20" s="143" t="n">
        <v>1624954.38</v>
      </c>
      <c r="Z20" s="143" t="n">
        <v>1197147.08</v>
      </c>
      <c r="AA20" s="143" t="n">
        <v>427807.3</v>
      </c>
      <c r="AB20" s="143" t="n">
        <v>269962.55</v>
      </c>
      <c r="AC20" s="143" t="n">
        <v>1354991.83</v>
      </c>
    </row>
    <row r="21" ht="16.5" customHeight="1" s="34">
      <c r="A21" s="73" t="n">
        <v>45214</v>
      </c>
      <c r="B21" s="142" t="n">
        <v>2709247.08</v>
      </c>
      <c r="C21" s="142" t="n">
        <v>2213209.48</v>
      </c>
      <c r="D21" s="142" t="n">
        <v>496037.6</v>
      </c>
      <c r="E21" s="142" t="n">
        <v>1017071.75</v>
      </c>
      <c r="F21" s="142" t="n">
        <v>1692175.33</v>
      </c>
      <c r="H21" s="75">
        <f>A21</f>
        <v/>
      </c>
      <c r="I21" s="144" t="n">
        <v>1060417.8</v>
      </c>
      <c r="J21" s="144" t="n">
        <v>1156</v>
      </c>
      <c r="K21" s="144" t="n">
        <v>1005238.72</v>
      </c>
      <c r="L21" s="144" t="n">
        <v>1137</v>
      </c>
      <c r="M21" s="144" t="n">
        <v>55179.08</v>
      </c>
      <c r="N21" s="144" t="n">
        <v>56</v>
      </c>
      <c r="O21" s="144" t="n">
        <v>767765.11</v>
      </c>
      <c r="P21" s="144" t="n">
        <v>114</v>
      </c>
      <c r="Q21" s="144" t="n">
        <v>292652.69</v>
      </c>
      <c r="R21" s="144" t="n">
        <v>1041</v>
      </c>
      <c r="S21" s="144" t="n">
        <v>31019.99</v>
      </c>
      <c r="T21" s="144" t="n">
        <v>65</v>
      </c>
      <c r="U21" s="144" t="n"/>
      <c r="V21" s="144" t="n"/>
      <c r="W21" s="135" t="n"/>
      <c r="X21" s="73">
        <f>H21</f>
        <v/>
      </c>
      <c r="Y21" s="143" t="n">
        <v>1648829.28</v>
      </c>
      <c r="Z21" s="143" t="n">
        <v>1207970.76</v>
      </c>
      <c r="AA21" s="143" t="n">
        <v>440858.52</v>
      </c>
      <c r="AB21" s="143" t="n">
        <v>249306.64</v>
      </c>
      <c r="AC21" s="143" t="n">
        <v>1399522.64</v>
      </c>
    </row>
    <row r="22" ht="16.5" customHeight="1" s="34">
      <c r="A22" s="73" t="n">
        <v>45215</v>
      </c>
      <c r="B22" s="142" t="n">
        <v>2808211.18000001</v>
      </c>
      <c r="C22" s="142" t="n">
        <v>2315983.31</v>
      </c>
      <c r="D22" s="142" t="n">
        <v>492227.87</v>
      </c>
      <c r="E22" s="142" t="n">
        <v>979445.24</v>
      </c>
      <c r="F22" s="142" t="n">
        <v>1828765.94</v>
      </c>
      <c r="H22" s="75">
        <f>A22</f>
        <v/>
      </c>
      <c r="I22" s="144" t="n">
        <v>1109396.87</v>
      </c>
      <c r="J22" s="144" t="n">
        <v>1375</v>
      </c>
      <c r="K22" s="144" t="n">
        <v>1057905.77</v>
      </c>
      <c r="L22" s="144" t="n">
        <v>1357</v>
      </c>
      <c r="M22" s="144" t="n">
        <v>51491.1</v>
      </c>
      <c r="N22" s="144" t="n">
        <v>61</v>
      </c>
      <c r="O22" s="144" t="n">
        <v>732132.04</v>
      </c>
      <c r="P22" s="144" t="n">
        <v>117</v>
      </c>
      <c r="Q22" s="144" t="n">
        <v>377264.829999999</v>
      </c>
      <c r="R22" s="144" t="n">
        <v>1257</v>
      </c>
      <c r="S22" s="144" t="n">
        <v>30328.54</v>
      </c>
      <c r="T22" s="144" t="n">
        <v>69</v>
      </c>
      <c r="U22" s="144" t="n"/>
      <c r="V22" s="144" t="n"/>
      <c r="W22" s="135" t="n"/>
      <c r="X22" s="73">
        <f>H22</f>
        <v/>
      </c>
      <c r="Y22" s="143" t="n">
        <v>1698814.31</v>
      </c>
      <c r="Z22" s="143" t="n">
        <v>1258077.54</v>
      </c>
      <c r="AA22" s="143" t="n">
        <v>440736.77</v>
      </c>
      <c r="AB22" s="143" t="n">
        <v>247313.2</v>
      </c>
      <c r="AC22" s="143" t="n">
        <v>1451501.11</v>
      </c>
    </row>
    <row r="23" ht="16.5" customHeight="1" s="34">
      <c r="A23" s="73" t="n">
        <v>45216</v>
      </c>
      <c r="B23" s="142" t="n">
        <v>2741931.26</v>
      </c>
      <c r="C23" s="142" t="n">
        <v>2267877.82</v>
      </c>
      <c r="D23" s="142" t="n">
        <v>474053.44</v>
      </c>
      <c r="E23" s="142" t="n">
        <v>953398.659999999</v>
      </c>
      <c r="F23" s="142" t="n">
        <v>1788532.6</v>
      </c>
      <c r="H23" s="75">
        <f>A23</f>
        <v/>
      </c>
      <c r="I23" s="144" t="n">
        <v>1100902.68</v>
      </c>
      <c r="J23" s="144" t="n">
        <v>1368</v>
      </c>
      <c r="K23" s="144" t="n">
        <v>1046588.56</v>
      </c>
      <c r="L23" s="144" t="n">
        <v>1351</v>
      </c>
      <c r="M23" s="144" t="n">
        <v>54314.12</v>
      </c>
      <c r="N23" s="144" t="n">
        <v>64</v>
      </c>
      <c r="O23" s="144" t="n">
        <v>718209.539999999</v>
      </c>
      <c r="P23" s="144" t="n">
        <v>117</v>
      </c>
      <c r="Q23" s="144" t="n">
        <v>382693.14</v>
      </c>
      <c r="R23" s="144" t="n">
        <v>1250</v>
      </c>
      <c r="S23" s="144" t="n">
        <v>30423.74</v>
      </c>
      <c r="T23" s="144" t="n">
        <v>68</v>
      </c>
      <c r="U23" s="144" t="n"/>
      <c r="V23" s="144" t="n"/>
      <c r="W23" s="135" t="n"/>
      <c r="X23" s="73">
        <f>H23</f>
        <v/>
      </c>
      <c r="Y23" s="143" t="n">
        <v>1641028.58</v>
      </c>
      <c r="Z23" s="143" t="n">
        <v>1221289.26</v>
      </c>
      <c r="AA23" s="143" t="n">
        <v>419739.32</v>
      </c>
      <c r="AB23" s="143" t="n">
        <v>235189.12</v>
      </c>
      <c r="AC23" s="143" t="n">
        <v>1405839.46</v>
      </c>
    </row>
    <row r="24" ht="16.5" customHeight="1" s="34">
      <c r="A24" s="73" t="n">
        <v>45217</v>
      </c>
      <c r="B24" s="142" t="n">
        <v>2798505.08</v>
      </c>
      <c r="C24" s="142" t="n">
        <v>2294052.41000001</v>
      </c>
      <c r="D24" s="142" t="n">
        <v>504452.67</v>
      </c>
      <c r="E24" s="142" t="n">
        <v>953492</v>
      </c>
      <c r="F24" s="142" t="n">
        <v>1845013.08000001</v>
      </c>
      <c r="H24" s="75">
        <f>A24</f>
        <v/>
      </c>
      <c r="I24" s="144" t="n">
        <v>1104978.06</v>
      </c>
      <c r="J24" s="144" t="n">
        <v>1385</v>
      </c>
      <c r="K24" s="144" t="n">
        <v>1042798.07</v>
      </c>
      <c r="L24" s="144" t="n">
        <v>1368</v>
      </c>
      <c r="M24" s="144" t="n">
        <v>62179.99</v>
      </c>
      <c r="N24" s="144" t="n">
        <v>66</v>
      </c>
      <c r="O24" s="144" t="n">
        <v>710099.669999999</v>
      </c>
      <c r="P24" s="144" t="n">
        <v>120</v>
      </c>
      <c r="Q24" s="144" t="n">
        <v>394878.39</v>
      </c>
      <c r="R24" s="144" t="n">
        <v>1265</v>
      </c>
      <c r="S24" s="144" t="n">
        <v>30430.53</v>
      </c>
      <c r="T24" s="144" t="n">
        <v>68</v>
      </c>
      <c r="U24" s="144" t="n"/>
      <c r="V24" s="144" t="n"/>
      <c r="W24" s="135" t="n"/>
      <c r="X24" s="73">
        <f>H24</f>
        <v/>
      </c>
      <c r="Y24" s="143" t="n">
        <v>1693527.02</v>
      </c>
      <c r="Z24" s="143" t="n">
        <v>1251254.34</v>
      </c>
      <c r="AA24" s="143" t="n">
        <v>442272.68</v>
      </c>
      <c r="AB24" s="143" t="n">
        <v>243392.33</v>
      </c>
      <c r="AC24" s="143" t="n">
        <v>1450134.69</v>
      </c>
    </row>
    <row r="25" ht="16.5" customHeight="1" s="34">
      <c r="A25" s="73" t="n">
        <v>45218</v>
      </c>
      <c r="B25" s="142" t="n">
        <v>2811699.34</v>
      </c>
      <c r="C25" s="142" t="n">
        <v>2273780.43</v>
      </c>
      <c r="D25" s="142" t="n">
        <v>537918.91</v>
      </c>
      <c r="E25" s="142" t="n">
        <v>993384.6</v>
      </c>
      <c r="F25" s="142" t="n">
        <v>1818314.74</v>
      </c>
      <c r="H25" s="75">
        <f>A25</f>
        <v/>
      </c>
      <c r="I25" s="144" t="n">
        <v>1119218.75</v>
      </c>
      <c r="J25" s="144" t="n">
        <v>1380</v>
      </c>
      <c r="K25" s="144" t="n">
        <v>1059484.09</v>
      </c>
      <c r="L25" s="144" t="n">
        <v>1363</v>
      </c>
      <c r="M25" s="144" t="n">
        <v>59734.66</v>
      </c>
      <c r="N25" s="144" t="n">
        <v>66</v>
      </c>
      <c r="O25" s="144" t="n">
        <v>728419.1899999999</v>
      </c>
      <c r="P25" s="144" t="n">
        <v>121</v>
      </c>
      <c r="Q25" s="144" t="n">
        <v>390799.56</v>
      </c>
      <c r="R25" s="144" t="n">
        <v>1259</v>
      </c>
      <c r="S25" s="144" t="n">
        <v>30538.8</v>
      </c>
      <c r="T25" s="144" t="n">
        <v>72</v>
      </c>
      <c r="U25" s="144" t="n"/>
      <c r="V25" s="144" t="n"/>
      <c r="W25" s="135" t="n"/>
      <c r="X25" s="73">
        <f>H25</f>
        <v/>
      </c>
      <c r="Y25" s="143" t="n">
        <v>1692480.59</v>
      </c>
      <c r="Z25" s="143" t="n">
        <v>1214296.34</v>
      </c>
      <c r="AA25" s="143" t="n">
        <v>478184.25</v>
      </c>
      <c r="AB25" s="143" t="n">
        <v>264965.41</v>
      </c>
      <c r="AC25" s="143" t="n">
        <v>1427515.18</v>
      </c>
    </row>
    <row r="26" ht="16.5" customHeight="1" s="34">
      <c r="A26" s="73" t="n">
        <v>45219</v>
      </c>
      <c r="B26" s="142" t="n">
        <v>2659341.96</v>
      </c>
      <c r="C26" s="142" t="n">
        <v>2172511.63</v>
      </c>
      <c r="D26" s="142" t="n">
        <v>486830.33</v>
      </c>
      <c r="E26" s="142" t="n">
        <v>942375.1800000001</v>
      </c>
      <c r="F26" s="142" t="n">
        <v>1716966.78</v>
      </c>
      <c r="H26" s="75">
        <f>A26</f>
        <v/>
      </c>
      <c r="I26" s="144" t="n">
        <v>1073799.94</v>
      </c>
      <c r="J26" s="144" t="n">
        <v>1378</v>
      </c>
      <c r="K26" s="144" t="n">
        <v>1019022.92</v>
      </c>
      <c r="L26" s="144" t="n">
        <v>1366</v>
      </c>
      <c r="M26" s="144" t="n">
        <v>54777.02</v>
      </c>
      <c r="N26" s="144" t="n">
        <v>64</v>
      </c>
      <c r="O26" s="144" t="n">
        <v>700407.98</v>
      </c>
      <c r="P26" s="144" t="n">
        <v>118</v>
      </c>
      <c r="Q26" s="144" t="n">
        <v>373391.96</v>
      </c>
      <c r="R26" s="144" t="n">
        <v>1260</v>
      </c>
      <c r="S26" s="144" t="n">
        <v>30372.8</v>
      </c>
      <c r="T26" s="144" t="n">
        <v>73</v>
      </c>
      <c r="U26" s="144" t="n"/>
      <c r="V26" s="144" t="n"/>
      <c r="W26" s="135" t="n"/>
      <c r="X26" s="73">
        <f>H26</f>
        <v/>
      </c>
      <c r="Y26" s="143" t="n">
        <v>1585542.02</v>
      </c>
      <c r="Z26" s="143" t="n">
        <v>1153488.71</v>
      </c>
      <c r="AA26" s="143" t="n">
        <v>432053.31</v>
      </c>
      <c r="AB26" s="143" t="n">
        <v>241967.2</v>
      </c>
      <c r="AC26" s="143" t="n">
        <v>1343574.82</v>
      </c>
    </row>
    <row r="27" ht="16.5" customHeight="1" s="34">
      <c r="A27" s="73" t="n">
        <v>45220</v>
      </c>
      <c r="B27" s="142" t="n">
        <v>2449352.24999999</v>
      </c>
      <c r="C27" s="142" t="n">
        <v>1954063.6</v>
      </c>
      <c r="D27" s="142" t="n">
        <v>495288.65</v>
      </c>
      <c r="E27" s="142" t="n">
        <v>954987.150000001</v>
      </c>
      <c r="F27" s="142" t="n">
        <v>1494365.1</v>
      </c>
      <c r="H27" s="75">
        <f>A27</f>
        <v/>
      </c>
      <c r="I27" s="144" t="n">
        <v>1003380.13</v>
      </c>
      <c r="J27" s="144" t="n">
        <v>1238</v>
      </c>
      <c r="K27" s="144" t="n">
        <v>943281.98</v>
      </c>
      <c r="L27" s="144" t="n">
        <v>1225</v>
      </c>
      <c r="M27" s="144" t="n">
        <v>60098.15</v>
      </c>
      <c r="N27" s="144" t="n">
        <v>60</v>
      </c>
      <c r="O27" s="144" t="n">
        <v>718020.080000001</v>
      </c>
      <c r="P27" s="144" t="n">
        <v>119</v>
      </c>
      <c r="Q27" s="144" t="n">
        <v>285360.05</v>
      </c>
      <c r="R27" s="144" t="n">
        <v>1119</v>
      </c>
      <c r="S27" s="144" t="n">
        <v>28397.22</v>
      </c>
      <c r="T27" s="144" t="n">
        <v>63</v>
      </c>
      <c r="U27" s="144" t="n"/>
      <c r="V27" s="144" t="n"/>
      <c r="W27" s="135" t="n"/>
      <c r="X27" s="73">
        <f>H27</f>
        <v/>
      </c>
      <c r="Y27" s="143" t="n">
        <v>1445972.12</v>
      </c>
      <c r="Z27" s="143" t="n">
        <v>1010781.62</v>
      </c>
      <c r="AA27" s="143" t="n">
        <v>435190.5</v>
      </c>
      <c r="AB27" s="143" t="n">
        <v>236967.07</v>
      </c>
      <c r="AC27" s="143" t="n">
        <v>1209005.05</v>
      </c>
    </row>
    <row r="28" ht="16.5" customHeight="1" s="34">
      <c r="A28" s="73" t="n">
        <v>45221</v>
      </c>
      <c r="B28" s="142" t="n">
        <v>2462538.07</v>
      </c>
      <c r="C28" s="142" t="n">
        <v>1968023.46</v>
      </c>
      <c r="D28" s="142" t="n">
        <v>494514.61</v>
      </c>
      <c r="E28" s="142" t="n">
        <v>996906.919999999</v>
      </c>
      <c r="F28" s="142" t="n">
        <v>1465631.15</v>
      </c>
      <c r="H28" s="75">
        <f>A28</f>
        <v/>
      </c>
      <c r="I28" s="144" t="n">
        <v>1027505.5</v>
      </c>
      <c r="J28" s="144" t="n">
        <v>1166</v>
      </c>
      <c r="K28" s="144" t="n">
        <v>970654.299999997</v>
      </c>
      <c r="L28" s="144" t="n">
        <v>1152</v>
      </c>
      <c r="M28" s="144" t="n">
        <v>56851.2</v>
      </c>
      <c r="N28" s="144" t="n">
        <v>60</v>
      </c>
      <c r="O28" s="144" t="n">
        <v>754276.459999999</v>
      </c>
      <c r="P28" s="144" t="n">
        <v>114</v>
      </c>
      <c r="Q28" s="144" t="n">
        <v>273229.04</v>
      </c>
      <c r="R28" s="144" t="n">
        <v>1052</v>
      </c>
      <c r="S28" s="144" t="n">
        <v>28226.22</v>
      </c>
      <c r="T28" s="144" t="n">
        <v>59</v>
      </c>
      <c r="U28" s="144" t="n"/>
      <c r="V28" s="144" t="n"/>
      <c r="W28" s="135" t="n"/>
      <c r="X28" s="73">
        <f>H28</f>
        <v/>
      </c>
      <c r="Y28" s="143" t="n">
        <v>1435032.57</v>
      </c>
      <c r="Z28" s="143" t="n">
        <v>997369.16</v>
      </c>
      <c r="AA28" s="143" t="n">
        <v>437663.41</v>
      </c>
      <c r="AB28" s="143" t="n">
        <v>242630.46</v>
      </c>
      <c r="AC28" s="143" t="n">
        <v>1192402.11</v>
      </c>
    </row>
    <row r="29" ht="16.5" customHeight="1" s="34">
      <c r="A29" s="73" t="n">
        <v>45222</v>
      </c>
      <c r="B29" s="142" t="n">
        <v>2721071.53</v>
      </c>
      <c r="C29" s="142" t="n">
        <v>2246246.44</v>
      </c>
      <c r="D29" s="142" t="n">
        <v>474825.09</v>
      </c>
      <c r="E29" s="142" t="n">
        <v>996030.1</v>
      </c>
      <c r="F29" s="142" t="n">
        <v>1725041.43</v>
      </c>
      <c r="H29" s="75">
        <f>A29</f>
        <v/>
      </c>
      <c r="I29" s="144" t="n">
        <v>1130755.73</v>
      </c>
      <c r="J29" s="144" t="n">
        <v>1367</v>
      </c>
      <c r="K29" s="144" t="n">
        <v>1071239.17</v>
      </c>
      <c r="L29" s="144" t="n">
        <v>1354</v>
      </c>
      <c r="M29" s="144" t="n">
        <v>59516.56</v>
      </c>
      <c r="N29" s="144" t="n">
        <v>60</v>
      </c>
      <c r="O29" s="144" t="n">
        <v>754818.919999999</v>
      </c>
      <c r="P29" s="144" t="n">
        <v>118</v>
      </c>
      <c r="Q29" s="144" t="n">
        <v>375936.81</v>
      </c>
      <c r="R29" s="144" t="n">
        <v>1249</v>
      </c>
      <c r="S29" s="144" t="n">
        <v>26133.49</v>
      </c>
      <c r="T29" s="144" t="n">
        <v>66</v>
      </c>
      <c r="U29" s="144" t="n"/>
      <c r="V29" s="144" t="n"/>
      <c r="W29" s="135" t="n"/>
      <c r="X29" s="73">
        <f>H29</f>
        <v/>
      </c>
      <c r="Y29" s="143" t="n">
        <v>1590315.8</v>
      </c>
      <c r="Z29" s="143" t="n">
        <v>1175007.27</v>
      </c>
      <c r="AA29" s="143" t="n">
        <v>415308.53</v>
      </c>
      <c r="AB29" s="143" t="n">
        <v>241211.18</v>
      </c>
      <c r="AC29" s="143" t="n">
        <v>1349104.62</v>
      </c>
    </row>
    <row r="30" ht="16.5" customHeight="1" s="34">
      <c r="A30" s="73" t="n">
        <v>45223</v>
      </c>
      <c r="B30" s="142" t="n">
        <v>2725302.69</v>
      </c>
      <c r="C30" s="142" t="n">
        <v>2236770.08</v>
      </c>
      <c r="D30" s="142" t="n">
        <v>488532.610000001</v>
      </c>
      <c r="E30" s="142" t="n">
        <v>1014318.84</v>
      </c>
      <c r="F30" s="142" t="n">
        <v>1710983.85</v>
      </c>
      <c r="H30" s="75">
        <f>A30</f>
        <v/>
      </c>
      <c r="I30" s="144" t="n">
        <v>1109639.96</v>
      </c>
      <c r="J30" s="144" t="n">
        <v>1379</v>
      </c>
      <c r="K30" s="144" t="n">
        <v>1049667.88</v>
      </c>
      <c r="L30" s="144" t="n">
        <v>1367</v>
      </c>
      <c r="M30" s="144" t="n">
        <v>59972.08</v>
      </c>
      <c r="N30" s="144" t="n">
        <v>59</v>
      </c>
      <c r="O30" s="144" t="n">
        <v>742359.39</v>
      </c>
      <c r="P30" s="144" t="n">
        <v>120</v>
      </c>
      <c r="Q30" s="144" t="n">
        <v>367280.57</v>
      </c>
      <c r="R30" s="144" t="n">
        <v>1259</v>
      </c>
      <c r="S30" s="144" t="n">
        <v>26011.51</v>
      </c>
      <c r="T30" s="144" t="n">
        <v>67</v>
      </c>
      <c r="U30" s="144" t="n"/>
      <c r="V30" s="144" t="n"/>
      <c r="W30" s="135" t="n"/>
      <c r="X30" s="73">
        <f>H30</f>
        <v/>
      </c>
      <c r="Y30" s="143" t="n">
        <v>1615532.73</v>
      </c>
      <c r="Z30" s="143" t="n">
        <v>1186972.2</v>
      </c>
      <c r="AA30" s="143" t="n">
        <v>428560.53</v>
      </c>
      <c r="AB30" s="143" t="n">
        <v>271959.45</v>
      </c>
      <c r="AC30" s="143" t="n">
        <v>1343573.28</v>
      </c>
    </row>
    <row r="31" ht="16.5" customHeight="1" s="34">
      <c r="A31" s="73" t="n">
        <v>45224</v>
      </c>
      <c r="B31" s="142" t="n">
        <v>2650791.72</v>
      </c>
      <c r="C31" s="142" t="n">
        <v>2223896.46</v>
      </c>
      <c r="D31" s="142" t="n">
        <v>426895.26</v>
      </c>
      <c r="E31" s="142" t="n">
        <v>944015.079999999</v>
      </c>
      <c r="F31" s="142" t="n">
        <v>1706776.64</v>
      </c>
      <c r="H31" s="75">
        <f>A31</f>
        <v/>
      </c>
      <c r="I31" s="144" t="n">
        <v>1095661.01</v>
      </c>
      <c r="J31" s="144" t="n">
        <v>1393</v>
      </c>
      <c r="K31" s="144" t="n">
        <v>1039007.05</v>
      </c>
      <c r="L31" s="144" t="n">
        <v>1381</v>
      </c>
      <c r="M31" s="144" t="n">
        <v>56653.96</v>
      </c>
      <c r="N31" s="144" t="n">
        <v>62</v>
      </c>
      <c r="O31" s="144" t="n">
        <v>728742.029999999</v>
      </c>
      <c r="P31" s="144" t="n">
        <v>117</v>
      </c>
      <c r="Q31" s="144" t="n">
        <v>366918.979999999</v>
      </c>
      <c r="R31" s="144" t="n">
        <v>1276</v>
      </c>
      <c r="S31" s="144" t="n">
        <v>26239.86</v>
      </c>
      <c r="T31" s="144" t="n">
        <v>74</v>
      </c>
      <c r="U31" s="144" t="n"/>
      <c r="V31" s="144" t="n"/>
      <c r="W31" s="135" t="n"/>
      <c r="X31" s="73">
        <f>H31</f>
        <v/>
      </c>
      <c r="Y31" s="143" t="n">
        <v>1554870.71</v>
      </c>
      <c r="Z31" s="143" t="n">
        <v>1184629.41</v>
      </c>
      <c r="AA31" s="143" t="n">
        <v>370241.3</v>
      </c>
      <c r="AB31" s="143" t="n">
        <v>215273.05</v>
      </c>
      <c r="AC31" s="143" t="n">
        <v>1339597.66</v>
      </c>
    </row>
    <row r="32" ht="16.5" customHeight="1" s="34">
      <c r="A32" s="73" t="n">
        <v>45225</v>
      </c>
      <c r="B32" s="142" t="n">
        <v>2695817.10000001</v>
      </c>
      <c r="C32" s="142" t="n">
        <v>2235998.67</v>
      </c>
      <c r="D32" s="142" t="n">
        <v>459818.43</v>
      </c>
      <c r="E32" s="142" t="n">
        <v>999932.28</v>
      </c>
      <c r="F32" s="142" t="n">
        <v>1695884.82</v>
      </c>
      <c r="H32" s="75">
        <f>A32</f>
        <v/>
      </c>
      <c r="I32" s="144" t="n">
        <v>1124461.75</v>
      </c>
      <c r="J32" s="144" t="n">
        <v>1397</v>
      </c>
      <c r="K32" s="144" t="n">
        <v>1068809.86</v>
      </c>
      <c r="L32" s="144" t="n">
        <v>1384</v>
      </c>
      <c r="M32" s="144" t="n">
        <v>55651.89</v>
      </c>
      <c r="N32" s="144" t="n">
        <v>64</v>
      </c>
      <c r="O32" s="144" t="n">
        <v>757131.25</v>
      </c>
      <c r="P32" s="144" t="n">
        <v>122</v>
      </c>
      <c r="Q32" s="144" t="n">
        <v>367330.499999999</v>
      </c>
      <c r="R32" s="144" t="n">
        <v>1275</v>
      </c>
      <c r="S32" s="144" t="n">
        <v>27254.8</v>
      </c>
      <c r="T32" s="144" t="n">
        <v>73</v>
      </c>
      <c r="U32" s="144" t="n"/>
      <c r="V32" s="144" t="n"/>
      <c r="W32" s="135" t="n"/>
      <c r="X32" s="73">
        <f>H32</f>
        <v/>
      </c>
      <c r="Y32" s="143" t="n">
        <v>1571355.35</v>
      </c>
      <c r="Z32" s="143" t="n">
        <v>1167188.81</v>
      </c>
      <c r="AA32" s="143" t="n">
        <v>404166.54</v>
      </c>
      <c r="AB32" s="143" t="n">
        <v>242801.03</v>
      </c>
      <c r="AC32" s="143" t="n">
        <v>1328554.32</v>
      </c>
    </row>
    <row r="33" ht="16.5" customHeight="1" s="34">
      <c r="A33" s="73" t="n">
        <v>45226</v>
      </c>
      <c r="B33" s="142" t="n">
        <v>2655316.25</v>
      </c>
      <c r="C33" s="142" t="n">
        <v>2182598.14999999</v>
      </c>
      <c r="D33" s="142" t="n">
        <v>472718.1</v>
      </c>
      <c r="E33" s="142" t="n">
        <v>992144.289999999</v>
      </c>
      <c r="F33" s="142" t="n">
        <v>1663171.96</v>
      </c>
      <c r="H33" s="75">
        <f>A33</f>
        <v/>
      </c>
      <c r="I33" s="144" t="n">
        <v>1097606.02</v>
      </c>
      <c r="J33" s="144" t="n">
        <v>1393</v>
      </c>
      <c r="K33" s="144" t="n">
        <v>1033369.45</v>
      </c>
      <c r="L33" s="144" t="n">
        <v>1379</v>
      </c>
      <c r="M33" s="144" t="n">
        <v>64236.57</v>
      </c>
      <c r="N33" s="144" t="n">
        <v>68</v>
      </c>
      <c r="O33" s="144" t="n">
        <v>742217.6199999989</v>
      </c>
      <c r="P33" s="144" t="n">
        <v>120</v>
      </c>
      <c r="Q33" s="144" t="n">
        <v>355388.4</v>
      </c>
      <c r="R33" s="144" t="n">
        <v>1273</v>
      </c>
      <c r="S33" s="144" t="n">
        <v>26476.39</v>
      </c>
      <c r="T33" s="144" t="n">
        <v>71</v>
      </c>
      <c r="U33" s="144" t="n"/>
      <c r="V33" s="144" t="n"/>
      <c r="W33" s="135" t="n"/>
      <c r="X33" s="73">
        <f>H33</f>
        <v/>
      </c>
      <c r="Y33" s="143" t="n">
        <v>1557710.23</v>
      </c>
      <c r="Z33" s="143" t="n">
        <v>1149228.7</v>
      </c>
      <c r="AA33" s="143" t="n">
        <v>408481.53</v>
      </c>
      <c r="AB33" s="143" t="n">
        <v>249926.67</v>
      </c>
      <c r="AC33" s="143" t="n">
        <v>1307783.56</v>
      </c>
    </row>
    <row r="34" ht="16.5" customHeight="1" s="34">
      <c r="A34" s="73" t="n">
        <v>45227</v>
      </c>
      <c r="B34" s="142" t="n">
        <v>2558939.49</v>
      </c>
      <c r="C34" s="142" t="n">
        <v>2029686.13</v>
      </c>
      <c r="D34" s="142" t="n">
        <v>529253.36</v>
      </c>
      <c r="E34" s="142" t="n">
        <v>1019769.75</v>
      </c>
      <c r="F34" s="142" t="n">
        <v>1539169.74</v>
      </c>
      <c r="H34" s="75">
        <f>A34</f>
        <v/>
      </c>
      <c r="I34" s="144" t="n">
        <v>1002771.46</v>
      </c>
      <c r="J34" s="144" t="n">
        <v>1266</v>
      </c>
      <c r="K34" s="144" t="n">
        <v>937527.780000001</v>
      </c>
      <c r="L34" s="144" t="n">
        <v>1251</v>
      </c>
      <c r="M34" s="144" t="n">
        <v>65243.68</v>
      </c>
      <c r="N34" s="144" t="n">
        <v>65</v>
      </c>
      <c r="O34" s="144" t="n">
        <v>716812.14</v>
      </c>
      <c r="P34" s="144" t="n">
        <v>117</v>
      </c>
      <c r="Q34" s="144" t="n">
        <v>285959.32</v>
      </c>
      <c r="R34" s="144" t="n">
        <v>1149</v>
      </c>
      <c r="S34" s="144" t="n">
        <v>26455.34</v>
      </c>
      <c r="T34" s="144" t="n">
        <v>63</v>
      </c>
      <c r="U34" s="144" t="n"/>
      <c r="V34" s="144" t="n"/>
      <c r="W34" s="135" t="n"/>
      <c r="X34" s="73">
        <f>H34</f>
        <v/>
      </c>
      <c r="Y34" s="143" t="n">
        <v>1556168.03</v>
      </c>
      <c r="Z34" s="143" t="n">
        <v>1092158.35</v>
      </c>
      <c r="AA34" s="143" t="n">
        <v>464009.68</v>
      </c>
      <c r="AB34" s="143" t="n">
        <v>302957.61</v>
      </c>
      <c r="AC34" s="143" t="n">
        <v>1253210.42</v>
      </c>
    </row>
    <row r="35" ht="16.5" customHeight="1" s="34">
      <c r="A35" s="73" t="n">
        <v>45228</v>
      </c>
      <c r="B35" s="142" t="n">
        <v>2547797.88</v>
      </c>
      <c r="C35" s="142" t="n">
        <v>2037020.66</v>
      </c>
      <c r="D35" s="142" t="n">
        <v>510777.22</v>
      </c>
      <c r="E35" s="142" t="n">
        <v>1040543.96</v>
      </c>
      <c r="F35" s="142" t="n">
        <v>1507253.92</v>
      </c>
      <c r="H35" s="75">
        <f>A35</f>
        <v/>
      </c>
      <c r="I35" s="144" t="n">
        <v>1033069.06</v>
      </c>
      <c r="J35" s="144" t="n">
        <v>1173</v>
      </c>
      <c r="K35" s="144" t="n">
        <v>969330.899999998</v>
      </c>
      <c r="L35" s="144" t="n">
        <v>1157</v>
      </c>
      <c r="M35" s="144" t="n">
        <v>63738.16</v>
      </c>
      <c r="N35" s="144" t="n">
        <v>63</v>
      </c>
      <c r="O35" s="144" t="n">
        <v>765347.28</v>
      </c>
      <c r="P35" s="144" t="n">
        <v>113</v>
      </c>
      <c r="Q35" s="144" t="n">
        <v>267721.78</v>
      </c>
      <c r="R35" s="144" t="n">
        <v>1060</v>
      </c>
      <c r="S35" s="144" t="n">
        <v>28155.31</v>
      </c>
      <c r="T35" s="144" t="n">
        <v>61</v>
      </c>
      <c r="U35" s="144" t="n"/>
      <c r="V35" s="144" t="n"/>
      <c r="W35" s="135" t="n"/>
      <c r="X35" s="73">
        <f>H35</f>
        <v/>
      </c>
      <c r="Y35" s="143" t="n">
        <v>1514728.82</v>
      </c>
      <c r="Z35" s="143" t="n">
        <v>1067689.76</v>
      </c>
      <c r="AA35" s="143" t="n">
        <v>447039.06</v>
      </c>
      <c r="AB35" s="143" t="n">
        <v>275196.68</v>
      </c>
      <c r="AC35" s="143" t="n">
        <v>1239532.14</v>
      </c>
    </row>
    <row r="36" ht="16.5" customHeight="1" s="34">
      <c r="A36" s="73" t="n">
        <v>45229</v>
      </c>
      <c r="B36" s="142" t="n">
        <v>2640737.7</v>
      </c>
      <c r="C36" s="142" t="n">
        <v>2169801.77</v>
      </c>
      <c r="D36" s="142" t="n">
        <v>470935.93</v>
      </c>
      <c r="E36" s="142" t="n">
        <v>987219.779999999</v>
      </c>
      <c r="F36" s="142" t="n">
        <v>1653517.92000001</v>
      </c>
      <c r="H36" s="75">
        <f>A36</f>
        <v/>
      </c>
      <c r="I36" s="144" t="n">
        <v>1090391.46</v>
      </c>
      <c r="J36" s="144" t="n">
        <v>1387</v>
      </c>
      <c r="K36" s="144" t="n">
        <v>1040266.42</v>
      </c>
      <c r="L36" s="144" t="n">
        <v>1372</v>
      </c>
      <c r="M36" s="144" t="n">
        <v>50125.04</v>
      </c>
      <c r="N36" s="144" t="n">
        <v>69</v>
      </c>
      <c r="O36" s="144" t="n">
        <v>744429.87</v>
      </c>
      <c r="P36" s="144" t="n">
        <v>118</v>
      </c>
      <c r="Q36" s="144" t="n">
        <v>345961.59</v>
      </c>
      <c r="R36" s="144" t="n">
        <v>1269</v>
      </c>
      <c r="S36" s="144" t="n">
        <v>29447.57</v>
      </c>
      <c r="T36" s="144" t="n">
        <v>75</v>
      </c>
      <c r="U36" s="144" t="n"/>
      <c r="V36" s="144" t="n"/>
      <c r="W36" s="135" t="n"/>
      <c r="X36" s="73">
        <f>H36</f>
        <v/>
      </c>
      <c r="Y36" s="143" t="n">
        <v>1550346.24</v>
      </c>
      <c r="Z36" s="143" t="n">
        <v>1129535.35</v>
      </c>
      <c r="AA36" s="143" t="n">
        <v>420810.89</v>
      </c>
      <c r="AB36" s="143" t="n">
        <v>242789.91</v>
      </c>
      <c r="AC36" s="143" t="n">
        <v>1307556.33</v>
      </c>
    </row>
    <row r="37" ht="16.5" customHeight="1" s="34">
      <c r="A37" s="73" t="n">
        <v>45230</v>
      </c>
      <c r="B37" s="142" t="n">
        <v>2568986.05</v>
      </c>
      <c r="C37" s="142" t="n">
        <v>2095212.44</v>
      </c>
      <c r="D37" s="142" t="n">
        <v>473773.61</v>
      </c>
      <c r="E37" s="142" t="n">
        <v>936538.0100000011</v>
      </c>
      <c r="F37" s="142" t="n">
        <v>1632448.04</v>
      </c>
      <c r="H37" s="75">
        <f>A37</f>
        <v/>
      </c>
      <c r="I37" s="144" t="n">
        <v>1046428.06</v>
      </c>
      <c r="J37" s="144" t="n">
        <v>1395</v>
      </c>
      <c r="K37" s="144" t="n">
        <v>996248.0600000001</v>
      </c>
      <c r="L37" s="144" t="n">
        <v>1380</v>
      </c>
      <c r="M37" s="144" t="n">
        <v>50180</v>
      </c>
      <c r="N37" s="144" t="n">
        <v>67</v>
      </c>
      <c r="O37" s="144" t="n">
        <v>703332.35</v>
      </c>
      <c r="P37" s="144" t="n">
        <v>117</v>
      </c>
      <c r="Q37" s="144" t="n">
        <v>343095.71</v>
      </c>
      <c r="R37" s="144" t="n">
        <v>1278</v>
      </c>
      <c r="S37" s="144" t="n">
        <v>29266.02</v>
      </c>
      <c r="T37" s="144" t="n">
        <v>75</v>
      </c>
      <c r="U37" s="144" t="n"/>
      <c r="V37" s="144" t="n"/>
      <c r="W37" s="135" t="n"/>
      <c r="X37" s="73">
        <f>H37</f>
        <v/>
      </c>
      <c r="Y37" s="143" t="n">
        <v>1522557.99</v>
      </c>
      <c r="Z37" s="143" t="n">
        <v>1098964.38</v>
      </c>
      <c r="AA37" s="143" t="n">
        <v>423593.61</v>
      </c>
      <c r="AB37" s="143" t="n">
        <v>233205.66</v>
      </c>
      <c r="AC37" s="143" t="n">
        <v>1289352.33</v>
      </c>
    </row>
    <row r="38" ht="16.5" customHeight="1" s="34">
      <c r="A38" s="73" t="n">
        <v>45231</v>
      </c>
      <c r="B38" s="142" t="n">
        <v>2573613.880000005</v>
      </c>
      <c r="C38" s="142" t="n">
        <v>2100790.25</v>
      </c>
      <c r="D38" s="142" t="n">
        <v>472823.6299999999</v>
      </c>
      <c r="E38" s="142" t="n">
        <v>940647.0499999996</v>
      </c>
      <c r="F38" s="142" t="n">
        <v>1632966.829999995</v>
      </c>
      <c r="H38" s="75">
        <f>A38</f>
        <v/>
      </c>
      <c r="I38" s="144" t="n">
        <v>1045463.420000001</v>
      </c>
      <c r="J38" s="144" t="n">
        <v>1391</v>
      </c>
      <c r="K38" s="144" t="n">
        <v>990141.9300000005</v>
      </c>
      <c r="L38" s="144" t="n">
        <v>1377</v>
      </c>
      <c r="M38" s="144" t="n">
        <v>55321.49</v>
      </c>
      <c r="N38" s="144" t="n">
        <v>64</v>
      </c>
      <c r="O38" s="144" t="n">
        <v>700641.5499999998</v>
      </c>
      <c r="P38" s="144" t="n">
        <v>116</v>
      </c>
      <c r="Q38" s="144" t="n">
        <v>344821.8699999993</v>
      </c>
      <c r="R38" s="144" t="n">
        <v>1275</v>
      </c>
      <c r="S38" s="144" t="n">
        <v>29309.88999999999</v>
      </c>
      <c r="T38" s="144" t="n">
        <v>72</v>
      </c>
      <c r="U38" s="144" t="n"/>
      <c r="V38" s="144" t="n"/>
      <c r="W38" s="135" t="n"/>
      <c r="X38" s="73">
        <f>H38</f>
        <v/>
      </c>
      <c r="Y38" s="143" t="n">
        <v>1528150.46</v>
      </c>
      <c r="Z38" s="143" t="n">
        <v>1110648.320000001</v>
      </c>
      <c r="AA38" s="143" t="n">
        <v>417502.1399999999</v>
      </c>
      <c r="AB38" s="143" t="n">
        <v>240005.5</v>
      </c>
      <c r="AC38" s="143" t="n">
        <v>1288144.960000002</v>
      </c>
    </row>
    <row r="39" ht="16.5" customHeight="1" s="34">
      <c r="A39" s="73" t="n">
        <v>45232</v>
      </c>
      <c r="B39" s="142" t="n">
        <v>2642390.399999997</v>
      </c>
      <c r="C39" s="142" t="n">
        <v>2194131.809999997</v>
      </c>
      <c r="D39" s="142" t="n">
        <v>448258.5900000007</v>
      </c>
      <c r="E39" s="142" t="n">
        <v>948018.8800000002</v>
      </c>
      <c r="F39" s="142" t="n">
        <v>1694371.520000002</v>
      </c>
      <c r="H39" s="75">
        <f>A39</f>
        <v/>
      </c>
      <c r="I39" s="144" t="n">
        <v>1087241.720000001</v>
      </c>
      <c r="J39" s="144" t="n">
        <v>1391</v>
      </c>
      <c r="K39" s="144" t="n">
        <v>1022407.680000001</v>
      </c>
      <c r="L39" s="144" t="n">
        <v>1376</v>
      </c>
      <c r="M39" s="144" t="n">
        <v>64834.03999999999</v>
      </c>
      <c r="N39" s="144" t="n">
        <v>65</v>
      </c>
      <c r="O39" s="144" t="n">
        <v>724721.780000001</v>
      </c>
      <c r="P39" s="144" t="n">
        <v>118</v>
      </c>
      <c r="Q39" s="144" t="n">
        <v>362519.9399999999</v>
      </c>
      <c r="R39" s="144" t="n">
        <v>1273</v>
      </c>
      <c r="S39" s="144" t="n">
        <v>29330.91</v>
      </c>
      <c r="T39" s="144" t="n">
        <v>69</v>
      </c>
      <c r="U39" s="144" t="n"/>
      <c r="V39" s="144" t="n"/>
      <c r="W39" s="135" t="n"/>
      <c r="X39" s="73">
        <f>H39</f>
        <v/>
      </c>
      <c r="Y39" s="143" t="n">
        <v>1555148.680000002</v>
      </c>
      <c r="Z39" s="143" t="n">
        <v>1171724.130000001</v>
      </c>
      <c r="AA39" s="143" t="n">
        <v>383424.5500000002</v>
      </c>
      <c r="AB39" s="143" t="n">
        <v>223297.0999999999</v>
      </c>
      <c r="AC39" s="143" t="n">
        <v>1331851.580000002</v>
      </c>
    </row>
    <row r="40" ht="16.5" customHeight="1" s="34">
      <c r="A40" s="73" t="n">
        <v>45233</v>
      </c>
      <c r="B40" s="142" t="n">
        <v>2622051.659999999</v>
      </c>
      <c r="C40" s="142" t="n">
        <v>2202573.970000003</v>
      </c>
      <c r="D40" s="142" t="n">
        <v>419477.6900000001</v>
      </c>
      <c r="E40" s="142" t="n">
        <v>928169.42</v>
      </c>
      <c r="F40" s="142" t="n">
        <v>1693882.24</v>
      </c>
      <c r="H40" s="75">
        <f>A40</f>
        <v/>
      </c>
      <c r="I40" s="144" t="n">
        <v>1079186.710000001</v>
      </c>
      <c r="J40" s="144" t="n">
        <v>1395</v>
      </c>
      <c r="K40" s="144" t="n">
        <v>1019698.040000001</v>
      </c>
      <c r="L40" s="144" t="n">
        <v>1379</v>
      </c>
      <c r="M40" s="144" t="n">
        <v>59488.66999999999</v>
      </c>
      <c r="N40" s="144" t="n">
        <v>71</v>
      </c>
      <c r="O40" s="144" t="n">
        <v>729968.9799999997</v>
      </c>
      <c r="P40" s="144" t="n">
        <v>119</v>
      </c>
      <c r="Q40" s="144" t="n">
        <v>349217.73</v>
      </c>
      <c r="R40" s="144" t="n">
        <v>1276</v>
      </c>
      <c r="S40" s="144" t="n">
        <v>28482.28</v>
      </c>
      <c r="T40" s="144" t="n">
        <v>74</v>
      </c>
      <c r="U40" s="144" t="n"/>
      <c r="V40" s="144" t="n"/>
      <c r="W40" s="135" t="n"/>
      <c r="X40" s="73">
        <f>H40</f>
        <v/>
      </c>
      <c r="Y40" s="143" t="n">
        <v>1542864.950000002</v>
      </c>
      <c r="Z40" s="143" t="n">
        <v>1182875.93</v>
      </c>
      <c r="AA40" s="143" t="n">
        <v>359989.0200000001</v>
      </c>
      <c r="AB40" s="143" t="n">
        <v>198200.4400000001</v>
      </c>
      <c r="AC40" s="143" t="n">
        <v>1344664.510000001</v>
      </c>
    </row>
    <row r="41" ht="16.5" customHeight="1" s="34">
      <c r="A41" s="73" t="n">
        <v>45234</v>
      </c>
      <c r="B41" s="142" t="n">
        <v>2444228.969999993</v>
      </c>
      <c r="C41" s="142" t="n">
        <v>2028717.910000001</v>
      </c>
      <c r="D41" s="142" t="n">
        <v>415511.0599999999</v>
      </c>
      <c r="E41" s="142" t="n">
        <v>959335.1099999995</v>
      </c>
      <c r="F41" s="142" t="n">
        <v>1484893.860000002</v>
      </c>
      <c r="H41" s="75">
        <f>A41</f>
        <v/>
      </c>
      <c r="I41" s="144" t="n">
        <v>1035140.63</v>
      </c>
      <c r="J41" s="144" t="n">
        <v>1260</v>
      </c>
      <c r="K41" s="144" t="n">
        <v>970965.25</v>
      </c>
      <c r="L41" s="144" t="n">
        <v>1244</v>
      </c>
      <c r="M41" s="144" t="n">
        <v>64175.38000000003</v>
      </c>
      <c r="N41" s="144" t="n">
        <v>63</v>
      </c>
      <c r="O41" s="144" t="n">
        <v>753386.3499999999</v>
      </c>
      <c r="P41" s="144" t="n">
        <v>116</v>
      </c>
      <c r="Q41" s="144" t="n">
        <v>281754.2800000003</v>
      </c>
      <c r="R41" s="144" t="n">
        <v>1144</v>
      </c>
      <c r="S41" s="144" t="n">
        <v>29013.11</v>
      </c>
      <c r="T41" s="144" t="n">
        <v>64</v>
      </c>
      <c r="U41" s="144" t="n"/>
      <c r="V41" s="144" t="n"/>
      <c r="W41" s="135" t="n"/>
      <c r="X41" s="73">
        <f>H41</f>
        <v/>
      </c>
      <c r="Y41" s="143" t="n">
        <v>1409088.34</v>
      </c>
      <c r="Z41" s="143" t="n">
        <v>1057752.660000001</v>
      </c>
      <c r="AA41" s="143" t="n">
        <v>351335.6800000002</v>
      </c>
      <c r="AB41" s="143" t="n">
        <v>205948.76</v>
      </c>
      <c r="AC41" s="143" t="n">
        <v>1203139.580000002</v>
      </c>
    </row>
    <row r="42" ht="16.5" customHeight="1" s="34">
      <c r="A42" s="73" t="n">
        <v>45235</v>
      </c>
      <c r="B42" s="142" t="n">
        <v>2434011.740000001</v>
      </c>
      <c r="C42" s="142" t="n">
        <v>1960342.110000001</v>
      </c>
      <c r="D42" s="142" t="n">
        <v>473669.6300000002</v>
      </c>
      <c r="E42" s="142" t="n">
        <v>978433.4100000006</v>
      </c>
      <c r="F42" s="142" t="n">
        <v>1455578.33</v>
      </c>
      <c r="H42" s="75">
        <f>A42</f>
        <v/>
      </c>
      <c r="I42" s="144" t="n">
        <v>1009128.630000001</v>
      </c>
      <c r="J42" s="144" t="n">
        <v>1169</v>
      </c>
      <c r="K42" s="144" t="n">
        <v>945527.6000000009</v>
      </c>
      <c r="L42" s="144" t="n">
        <v>1152</v>
      </c>
      <c r="M42" s="144" t="n">
        <v>63601.03</v>
      </c>
      <c r="N42" s="144" t="n">
        <v>60</v>
      </c>
      <c r="O42" s="144" t="n">
        <v>746813.4700000004</v>
      </c>
      <c r="P42" s="144" t="n">
        <v>116</v>
      </c>
      <c r="Q42" s="144" t="n">
        <v>262315.1600000002</v>
      </c>
      <c r="R42" s="144" t="n">
        <v>1053</v>
      </c>
      <c r="S42" s="144" t="n">
        <v>30561.07</v>
      </c>
      <c r="T42" s="144" t="n">
        <v>67</v>
      </c>
      <c r="U42" s="144" t="n"/>
      <c r="V42" s="144" t="n"/>
      <c r="W42" s="135" t="n"/>
      <c r="X42" s="73">
        <f>H42</f>
        <v/>
      </c>
      <c r="Y42" s="143" t="n">
        <v>1424883.11</v>
      </c>
      <c r="Z42" s="143" t="n">
        <v>1014814.509999999</v>
      </c>
      <c r="AA42" s="143" t="n">
        <v>410068.6000000001</v>
      </c>
      <c r="AB42" s="143" t="n">
        <v>231619.9399999999</v>
      </c>
      <c r="AC42" s="143" t="n">
        <v>1193263.169999998</v>
      </c>
    </row>
    <row r="43" ht="16.5" customHeight="1" s="34">
      <c r="A43" s="73" t="n">
        <v>45236</v>
      </c>
      <c r="B43" s="142" t="n">
        <v>2571777.279999994</v>
      </c>
      <c r="C43" s="142" t="n">
        <v>2166179.120000005</v>
      </c>
      <c r="D43" s="142" t="n">
        <v>405598.16</v>
      </c>
      <c r="E43" s="142" t="n">
        <v>921471.8800000004</v>
      </c>
      <c r="F43" s="142" t="n">
        <v>1650305.400000004</v>
      </c>
      <c r="H43" s="75">
        <f>A43</f>
        <v/>
      </c>
      <c r="I43" s="144" t="n">
        <v>1085248.99</v>
      </c>
      <c r="J43" s="144" t="n">
        <v>1389</v>
      </c>
      <c r="K43" s="144" t="n">
        <v>1025809.490000001</v>
      </c>
      <c r="L43" s="144" t="n">
        <v>1372</v>
      </c>
      <c r="M43" s="144" t="n">
        <v>59439.5</v>
      </c>
      <c r="N43" s="144" t="n">
        <v>65</v>
      </c>
      <c r="O43" s="144" t="n">
        <v>728693.9300000003</v>
      </c>
      <c r="P43" s="144" t="n">
        <v>117</v>
      </c>
      <c r="Q43" s="144" t="n">
        <v>356555.0599999999</v>
      </c>
      <c r="R43" s="144" t="n">
        <v>1272</v>
      </c>
      <c r="S43" s="144" t="n">
        <v>26781.81999999999</v>
      </c>
      <c r="T43" s="144" t="n">
        <v>75</v>
      </c>
      <c r="U43" s="144" t="n"/>
      <c r="V43" s="144" t="n"/>
      <c r="W43" s="135" t="n"/>
      <c r="X43" s="73">
        <f>H43</f>
        <v/>
      </c>
      <c r="Y43" s="143" t="n">
        <v>1486528.290000004</v>
      </c>
      <c r="Z43" s="143" t="n">
        <v>1140369.629999999</v>
      </c>
      <c r="AA43" s="143" t="n">
        <v>346158.6599999999</v>
      </c>
      <c r="AB43" s="143" t="n">
        <v>192777.95</v>
      </c>
      <c r="AC43" s="143" t="n">
        <v>1293750.340000003</v>
      </c>
    </row>
    <row r="44" ht="16.5" customHeight="1" s="34">
      <c r="A44" s="73" t="n">
        <v>45237</v>
      </c>
      <c r="B44" s="142" t="n">
        <v>2523265.350000006</v>
      </c>
      <c r="C44" s="142" t="n">
        <v>2129761.319999997</v>
      </c>
      <c r="D44" s="142" t="n">
        <v>393504.0300000002</v>
      </c>
      <c r="E44" s="142" t="n">
        <v>899041.4999999998</v>
      </c>
      <c r="F44" s="142" t="n">
        <v>1624223.849999999</v>
      </c>
      <c r="H44" s="75">
        <f>A44</f>
        <v/>
      </c>
      <c r="I44" s="144" t="n">
        <v>1045974.500000001</v>
      </c>
      <c r="J44" s="144" t="n">
        <v>1379</v>
      </c>
      <c r="K44" s="144" t="n">
        <v>992601.2600000007</v>
      </c>
      <c r="L44" s="144" t="n">
        <v>1364</v>
      </c>
      <c r="M44" s="144" t="n">
        <v>53373.23999999998</v>
      </c>
      <c r="N44" s="144" t="n">
        <v>64</v>
      </c>
      <c r="O44" s="144" t="n">
        <v>701394.38</v>
      </c>
      <c r="P44" s="144" t="n">
        <v>115</v>
      </c>
      <c r="Q44" s="144" t="n">
        <v>344580.1199999994</v>
      </c>
      <c r="R44" s="144" t="n">
        <v>1264</v>
      </c>
      <c r="S44" s="144" t="n">
        <v>26598.43</v>
      </c>
      <c r="T44" s="144" t="n">
        <v>70</v>
      </c>
      <c r="U44" s="144" t="n"/>
      <c r="V44" s="144" t="n"/>
      <c r="W44" s="135" t="n"/>
      <c r="X44" s="73">
        <f>H44</f>
        <v/>
      </c>
      <c r="Y44" s="143" t="n">
        <v>1477290.849999999</v>
      </c>
      <c r="Z44" s="143" t="n">
        <v>1137160.060000001</v>
      </c>
      <c r="AA44" s="143" t="n">
        <v>340130.7900000003</v>
      </c>
      <c r="AB44" s="143" t="n">
        <v>197647.12</v>
      </c>
      <c r="AC44" s="143" t="n">
        <v>1279643.73</v>
      </c>
    </row>
    <row r="45" ht="16.5" customHeight="1" s="34">
      <c r="A45" s="73" t="n">
        <v>45238</v>
      </c>
      <c r="B45" s="142" t="n">
        <v>2538799.560000001</v>
      </c>
      <c r="C45" s="142" t="n">
        <v>2121538.740000002</v>
      </c>
      <c r="D45" s="142" t="n">
        <v>417260.82</v>
      </c>
      <c r="E45" s="142" t="n">
        <v>919509.3300000003</v>
      </c>
      <c r="F45" s="142" t="n">
        <v>1619290.230000002</v>
      </c>
      <c r="H45" s="75">
        <f>A45</f>
        <v/>
      </c>
      <c r="I45" s="144" t="n">
        <v>1075624.12</v>
      </c>
      <c r="J45" s="144" t="n">
        <v>1384</v>
      </c>
      <c r="K45" s="144" t="n">
        <v>1017491.8</v>
      </c>
      <c r="L45" s="144" t="n">
        <v>1371</v>
      </c>
      <c r="M45" s="144" t="n">
        <v>58132.32</v>
      </c>
      <c r="N45" s="144" t="n">
        <v>60</v>
      </c>
      <c r="O45" s="144" t="n">
        <v>729242.2400000001</v>
      </c>
      <c r="P45" s="144" t="n">
        <v>115</v>
      </c>
      <c r="Q45" s="144" t="n">
        <v>346381.8799999996</v>
      </c>
      <c r="R45" s="144" t="n">
        <v>1269</v>
      </c>
      <c r="S45" s="144" t="n">
        <v>26559.68</v>
      </c>
      <c r="T45" s="144" t="n">
        <v>72</v>
      </c>
      <c r="U45" s="144" t="n"/>
      <c r="V45" s="144" t="n"/>
      <c r="W45" s="135" t="n"/>
      <c r="X45" s="73">
        <f>H45</f>
        <v/>
      </c>
      <c r="Y45" s="143" t="n">
        <v>1463175.439999998</v>
      </c>
      <c r="Z45" s="143" t="n">
        <v>1104046.939999998</v>
      </c>
      <c r="AA45" s="143" t="n">
        <v>359128.4999999999</v>
      </c>
      <c r="AB45" s="143" t="n">
        <v>190267.09</v>
      </c>
      <c r="AC45" s="143" t="n">
        <v>1272908.349999997</v>
      </c>
    </row>
    <row r="46" ht="16.5" customHeight="1" s="34">
      <c r="A46" s="73" t="n">
        <v>45239</v>
      </c>
      <c r="B46" s="142" t="n">
        <v>2668478.269999993</v>
      </c>
      <c r="C46" s="142" t="n">
        <v>2244523.350000001</v>
      </c>
      <c r="D46" s="142" t="n">
        <v>423954.92</v>
      </c>
      <c r="E46" s="142" t="n">
        <v>895348.8900000002</v>
      </c>
      <c r="F46" s="142" t="n">
        <v>1773129.380000003</v>
      </c>
      <c r="H46" s="75">
        <f>A46</f>
        <v/>
      </c>
      <c r="I46" s="144" t="n">
        <v>1048812.82</v>
      </c>
      <c r="J46" s="144" t="n">
        <v>1378</v>
      </c>
      <c r="K46" s="144" t="n">
        <v>987418.47</v>
      </c>
      <c r="L46" s="144" t="n">
        <v>1363</v>
      </c>
      <c r="M46" s="144" t="n">
        <v>61394.35000000001</v>
      </c>
      <c r="N46" s="144" t="n">
        <v>61</v>
      </c>
      <c r="O46" s="144" t="n">
        <v>695023.3599999999</v>
      </c>
      <c r="P46" s="144" t="n">
        <v>118</v>
      </c>
      <c r="Q46" s="144" t="n">
        <v>353789.4600000006</v>
      </c>
      <c r="R46" s="144" t="n">
        <v>1260</v>
      </c>
      <c r="S46" s="144" t="n">
        <v>26786.67</v>
      </c>
      <c r="T46" s="144" t="n">
        <v>70</v>
      </c>
      <c r="U46" s="144" t="n"/>
      <c r="V46" s="144" t="n"/>
      <c r="W46" s="135" t="n"/>
      <c r="X46" s="73">
        <f>H46</f>
        <v/>
      </c>
      <c r="Y46" s="143" t="n">
        <v>1459765.45</v>
      </c>
      <c r="Z46" s="143" t="n">
        <v>1097204.88</v>
      </c>
      <c r="AA46" s="143" t="n">
        <v>362560.57</v>
      </c>
      <c r="AB46" s="143" t="n">
        <v>200325.5300000001</v>
      </c>
      <c r="AC46" s="143" t="n">
        <v>1259439.92</v>
      </c>
    </row>
    <row r="47" ht="16.5" customHeight="1" s="34">
      <c r="A47" s="73" t="n">
        <v>45240</v>
      </c>
      <c r="B47" s="142" t="n">
        <v>5495317.869999988</v>
      </c>
      <c r="C47" s="142" t="n">
        <v>5073900.839999986</v>
      </c>
      <c r="D47" s="142" t="n">
        <v>421417.03</v>
      </c>
      <c r="E47" s="142" t="n">
        <v>901613.9299999996</v>
      </c>
      <c r="F47" s="142" t="n">
        <v>4593703.939999985</v>
      </c>
      <c r="H47" s="75">
        <f>A47</f>
        <v/>
      </c>
      <c r="I47" s="144" t="n">
        <v>1055194.87</v>
      </c>
      <c r="J47" s="144" t="n">
        <v>1377</v>
      </c>
      <c r="K47" s="144" t="n">
        <v>994013.6999999998</v>
      </c>
      <c r="L47" s="144" t="n">
        <v>1363</v>
      </c>
      <c r="M47" s="144" t="n">
        <v>61181.16999999999</v>
      </c>
      <c r="N47" s="144" t="n">
        <v>61</v>
      </c>
      <c r="O47" s="144" t="n">
        <v>715263.0099999998</v>
      </c>
      <c r="P47" s="144" t="n">
        <v>118</v>
      </c>
      <c r="Q47" s="144" t="n">
        <v>339931.86</v>
      </c>
      <c r="R47" s="144" t="n">
        <v>1259</v>
      </c>
      <c r="S47" s="144" t="n">
        <v>26948.88999999999</v>
      </c>
      <c r="T47" s="144" t="n">
        <v>73</v>
      </c>
      <c r="U47" s="144" t="n"/>
      <c r="V47" s="144" t="n"/>
      <c r="W47" s="135" t="n"/>
      <c r="X47" s="73">
        <f>H47</f>
        <v/>
      </c>
      <c r="Y47" s="143" t="n">
        <v>1409323.800000001</v>
      </c>
      <c r="Z47" s="143" t="n">
        <v>1049087.940000001</v>
      </c>
      <c r="AA47" s="143" t="n">
        <v>360235.86</v>
      </c>
      <c r="AB47" s="143" t="n">
        <v>186350.92</v>
      </c>
      <c r="AC47" s="143" t="n">
        <v>1222972.880000002</v>
      </c>
    </row>
    <row r="48" ht="16.5" customHeight="1" s="34">
      <c r="A48" s="73" t="n">
        <v>45241</v>
      </c>
      <c r="B48" s="142" t="n">
        <v>2329045.399999997</v>
      </c>
      <c r="C48" s="142" t="n">
        <v>1909785.430000003</v>
      </c>
      <c r="D48" s="142" t="n">
        <v>419259.9699999997</v>
      </c>
      <c r="E48" s="142" t="n">
        <v>898948.2299999996</v>
      </c>
      <c r="F48" s="142" t="n">
        <v>1430097.170000001</v>
      </c>
      <c r="H48" s="75">
        <f>A48</f>
        <v/>
      </c>
      <c r="I48" s="144" t="n">
        <v>979760.2600000005</v>
      </c>
      <c r="J48" s="144" t="n">
        <v>1230</v>
      </c>
      <c r="K48" s="144" t="n">
        <v>913851.1700000009</v>
      </c>
      <c r="L48" s="144" t="n">
        <v>1217</v>
      </c>
      <c r="M48" s="144" t="n">
        <v>65909.08999999998</v>
      </c>
      <c r="N48" s="144" t="n">
        <v>58</v>
      </c>
      <c r="O48" s="144" t="n">
        <v>709857.7000000002</v>
      </c>
      <c r="P48" s="144" t="n">
        <v>113</v>
      </c>
      <c r="Q48" s="144" t="n">
        <v>269902.5599999999</v>
      </c>
      <c r="R48" s="144" t="n">
        <v>1117</v>
      </c>
      <c r="S48" s="144" t="n">
        <v>26503.43</v>
      </c>
      <c r="T48" s="144" t="n">
        <v>67</v>
      </c>
      <c r="U48" s="144" t="n"/>
      <c r="V48" s="144" t="n"/>
      <c r="W48" s="135" t="n"/>
      <c r="X48" s="73">
        <f>H48</f>
        <v/>
      </c>
      <c r="Y48" s="143" t="n">
        <v>1349285.140000001</v>
      </c>
      <c r="Z48" s="143" t="n">
        <v>995934.2600000009</v>
      </c>
      <c r="AA48" s="143" t="n">
        <v>353350.8799999999</v>
      </c>
      <c r="AB48" s="143" t="n">
        <v>189090.53</v>
      </c>
      <c r="AC48" s="143" t="n">
        <v>1160194.610000001</v>
      </c>
    </row>
    <row r="49" ht="16.5" customHeight="1" s="34">
      <c r="A49" s="73" t="n">
        <v>45242</v>
      </c>
      <c r="B49" s="142" t="n">
        <v>4408221.770000005</v>
      </c>
      <c r="C49" s="142" t="n">
        <v>3956851.480000012</v>
      </c>
      <c r="D49" s="142" t="n">
        <v>451370.2899999999</v>
      </c>
      <c r="E49" s="142" t="n">
        <v>950325.0499999995</v>
      </c>
      <c r="F49" s="142" t="n">
        <v>3457896.720000012</v>
      </c>
      <c r="H49" s="75">
        <f>A49</f>
        <v/>
      </c>
      <c r="I49" s="144" t="n">
        <v>1443637.000000001</v>
      </c>
      <c r="J49" s="144" t="n">
        <v>1172</v>
      </c>
      <c r="K49" s="144" t="n">
        <v>1376316.92</v>
      </c>
      <c r="L49" s="144" t="n">
        <v>1159</v>
      </c>
      <c r="M49" s="144" t="n">
        <v>67320.08</v>
      </c>
      <c r="N49" s="144" t="n">
        <v>56</v>
      </c>
      <c r="O49" s="144" t="n">
        <v>736167.0199999997</v>
      </c>
      <c r="P49" s="144" t="n">
        <v>113</v>
      </c>
      <c r="Q49" s="144" t="n">
        <v>707469.9800000003</v>
      </c>
      <c r="R49" s="144" t="n">
        <v>1059</v>
      </c>
      <c r="S49" s="144" t="n">
        <v>473927.9399999998</v>
      </c>
      <c r="T49" s="144" t="n">
        <v>63</v>
      </c>
      <c r="U49" s="144" t="n"/>
      <c r="V49" s="144" t="n"/>
      <c r="W49" s="135" t="n"/>
      <c r="X49" s="73">
        <f>H49</f>
        <v/>
      </c>
      <c r="Y49" s="143" t="n">
        <v>1364685.17</v>
      </c>
      <c r="Z49" s="143" t="n">
        <v>980634.9600000003</v>
      </c>
      <c r="AA49" s="143" t="n">
        <v>384050.2099999997</v>
      </c>
      <c r="AB49" s="143" t="n">
        <v>214158.03</v>
      </c>
      <c r="AC49" s="143" t="n">
        <v>1150527.139999999</v>
      </c>
    </row>
    <row r="50" ht="16.5" customHeight="1" s="34">
      <c r="A50" s="73" t="n">
        <v>45243</v>
      </c>
      <c r="B50" s="142" t="n"/>
      <c r="C50" s="142" t="n"/>
      <c r="D50" s="142" t="n"/>
      <c r="E50" s="142" t="n"/>
      <c r="F50" s="142" t="n"/>
      <c r="H50" s="75">
        <f>A50</f>
        <v/>
      </c>
      <c r="I50" s="144" t="n"/>
      <c r="J50" s="144" t="n"/>
      <c r="K50" s="144" t="n"/>
      <c r="L50" s="144" t="n"/>
      <c r="M50" s="144" t="n"/>
      <c r="N50" s="144" t="n"/>
      <c r="O50" s="144" t="n"/>
      <c r="P50" s="144" t="n"/>
      <c r="Q50" s="144" t="n"/>
      <c r="R50" s="144" t="n"/>
      <c r="S50" s="144" t="n"/>
      <c r="T50" s="144" t="n"/>
      <c r="U50" s="144" t="n"/>
      <c r="V50" s="144" t="n"/>
      <c r="W50" s="135" t="n"/>
      <c r="X50" s="73">
        <f>H50</f>
        <v/>
      </c>
      <c r="Y50" s="143" t="n"/>
      <c r="Z50" s="143" t="n"/>
      <c r="AA50" s="143" t="n"/>
      <c r="AB50" s="143" t="n"/>
      <c r="AC50" s="143" t="n"/>
    </row>
    <row r="51" ht="16.5" customHeight="1" s="34">
      <c r="A51" s="73" t="n">
        <v>45244</v>
      </c>
      <c r="B51" s="142" t="n"/>
      <c r="C51" s="142" t="n"/>
      <c r="D51" s="142" t="n"/>
      <c r="E51" s="142" t="n"/>
      <c r="F51" s="142" t="n"/>
      <c r="H51" s="75">
        <f>A51</f>
        <v/>
      </c>
      <c r="I51" s="144" t="n"/>
      <c r="J51" s="144" t="n"/>
      <c r="K51" s="144" t="n"/>
      <c r="L51" s="144" t="n"/>
      <c r="M51" s="144" t="n"/>
      <c r="N51" s="144" t="n"/>
      <c r="O51" s="144" t="n"/>
      <c r="P51" s="144" t="n"/>
      <c r="Q51" s="144" t="n"/>
      <c r="R51" s="144" t="n"/>
      <c r="S51" s="144" t="n"/>
      <c r="T51" s="144" t="n"/>
      <c r="U51" s="144" t="n"/>
      <c r="V51" s="144" t="n"/>
      <c r="W51" s="135" t="n"/>
      <c r="X51" s="73">
        <f>H51</f>
        <v/>
      </c>
      <c r="Y51" s="143" t="n"/>
      <c r="Z51" s="143" t="n"/>
      <c r="AA51" s="143" t="n"/>
      <c r="AB51" s="143" t="n"/>
      <c r="AC51" s="143" t="n"/>
    </row>
    <row r="52" ht="16.5" customHeight="1" s="34">
      <c r="A52" s="73" t="n">
        <v>45245</v>
      </c>
      <c r="B52" s="142" t="n"/>
      <c r="C52" s="142" t="n"/>
      <c r="D52" s="142" t="n"/>
      <c r="E52" s="142" t="n"/>
      <c r="F52" s="142" t="n"/>
      <c r="H52" s="75">
        <f>A52</f>
        <v/>
      </c>
      <c r="I52" s="144" t="n"/>
      <c r="J52" s="144" t="n"/>
      <c r="K52" s="144" t="n"/>
      <c r="L52" s="144" t="n"/>
      <c r="M52" s="144" t="n"/>
      <c r="N52" s="144" t="n"/>
      <c r="O52" s="144" t="n"/>
      <c r="P52" s="144" t="n"/>
      <c r="Q52" s="144" t="n"/>
      <c r="R52" s="144" t="n"/>
      <c r="S52" s="144" t="n"/>
      <c r="T52" s="144" t="n"/>
      <c r="U52" s="144" t="n"/>
      <c r="V52" s="144" t="n"/>
      <c r="W52" s="135" t="n"/>
      <c r="X52" s="73">
        <f>H52</f>
        <v/>
      </c>
      <c r="Y52" s="143" t="n"/>
      <c r="Z52" s="143" t="n"/>
      <c r="AA52" s="143" t="n"/>
      <c r="AB52" s="143" t="n"/>
      <c r="AC52" s="143" t="n"/>
    </row>
    <row r="53" ht="16.5" customHeight="1" s="34">
      <c r="A53" s="73" t="n">
        <v>45246</v>
      </c>
      <c r="B53" s="142" t="n"/>
      <c r="C53" s="142" t="n"/>
      <c r="D53" s="142" t="n"/>
      <c r="E53" s="142" t="n"/>
      <c r="F53" s="142" t="n"/>
      <c r="H53" s="75">
        <f>A53</f>
        <v/>
      </c>
      <c r="I53" s="144" t="n"/>
      <c r="J53" s="144" t="n"/>
      <c r="K53" s="144" t="n"/>
      <c r="L53" s="144" t="n"/>
      <c r="M53" s="144" t="n"/>
      <c r="N53" s="144" t="n"/>
      <c r="O53" s="144" t="n"/>
      <c r="P53" s="144" t="n"/>
      <c r="Q53" s="144" t="n"/>
      <c r="R53" s="144" t="n"/>
      <c r="S53" s="144" t="n"/>
      <c r="T53" s="144" t="n"/>
      <c r="U53" s="144" t="n"/>
      <c r="V53" s="144" t="n"/>
      <c r="W53" s="135" t="n"/>
      <c r="X53" s="73">
        <f>H53</f>
        <v/>
      </c>
      <c r="Y53" s="143" t="n"/>
      <c r="Z53" s="143" t="n"/>
      <c r="AA53" s="143" t="n"/>
      <c r="AB53" s="143" t="n"/>
      <c r="AC53" s="143" t="n"/>
    </row>
    <row r="54" ht="16.5" customHeight="1" s="34">
      <c r="A54" s="73" t="n">
        <v>45247</v>
      </c>
      <c r="B54" s="142" t="n"/>
      <c r="C54" s="142" t="n"/>
      <c r="D54" s="142" t="n"/>
      <c r="E54" s="142" t="n"/>
      <c r="F54" s="142" t="n"/>
      <c r="H54" s="75">
        <f>A54</f>
        <v/>
      </c>
      <c r="I54" s="144" t="n"/>
      <c r="J54" s="144" t="n"/>
      <c r="K54" s="144" t="n"/>
      <c r="L54" s="144" t="n"/>
      <c r="M54" s="144" t="n"/>
      <c r="N54" s="144" t="n"/>
      <c r="O54" s="144" t="n"/>
      <c r="P54" s="144" t="n"/>
      <c r="Q54" s="144" t="n"/>
      <c r="R54" s="144" t="n"/>
      <c r="S54" s="144" t="n"/>
      <c r="T54" s="144" t="n"/>
      <c r="U54" s="144" t="n"/>
      <c r="V54" s="144" t="n"/>
      <c r="W54" s="135" t="n"/>
      <c r="X54" s="73">
        <f>H54</f>
        <v/>
      </c>
      <c r="Y54" s="143" t="n"/>
      <c r="Z54" s="143" t="n"/>
      <c r="AA54" s="143" t="n"/>
      <c r="AB54" s="143" t="n"/>
      <c r="AC54" s="143" t="n"/>
    </row>
    <row r="55" ht="16.5" customHeight="1" s="34">
      <c r="A55" s="73" t="n">
        <v>45248</v>
      </c>
      <c r="B55" s="142" t="n"/>
      <c r="C55" s="142" t="n"/>
      <c r="D55" s="142" t="n"/>
      <c r="E55" s="142" t="n"/>
      <c r="F55" s="142" t="n"/>
      <c r="H55" s="75">
        <f>A55</f>
        <v/>
      </c>
      <c r="I55" s="144" t="n"/>
      <c r="J55" s="144" t="n"/>
      <c r="K55" s="144" t="n"/>
      <c r="L55" s="144" t="n"/>
      <c r="M55" s="144" t="n"/>
      <c r="N55" s="144" t="n"/>
      <c r="O55" s="144" t="n"/>
      <c r="P55" s="144" t="n"/>
      <c r="Q55" s="144" t="n"/>
      <c r="R55" s="144" t="n"/>
      <c r="S55" s="144" t="n"/>
      <c r="T55" s="144" t="n"/>
      <c r="U55" s="144" t="n"/>
      <c r="V55" s="144" t="n"/>
      <c r="W55" s="135" t="n"/>
      <c r="X55" s="73">
        <f>H55</f>
        <v/>
      </c>
      <c r="Y55" s="143" t="n"/>
      <c r="Z55" s="143" t="n"/>
      <c r="AA55" s="143" t="n"/>
      <c r="AB55" s="143" t="n"/>
      <c r="AC55" s="143" t="n"/>
    </row>
    <row r="56" ht="16.5" customHeight="1" s="34">
      <c r="A56" s="73" t="n">
        <v>45249</v>
      </c>
      <c r="B56" s="142" t="n"/>
      <c r="C56" s="142" t="n"/>
      <c r="D56" s="142" t="n"/>
      <c r="E56" s="142" t="n"/>
      <c r="F56" s="142" t="n"/>
      <c r="H56" s="75">
        <f>A56</f>
        <v/>
      </c>
      <c r="I56" s="144" t="n"/>
      <c r="J56" s="144" t="n"/>
      <c r="K56" s="144" t="n"/>
      <c r="L56" s="144" t="n"/>
      <c r="M56" s="144" t="n"/>
      <c r="N56" s="144" t="n"/>
      <c r="O56" s="144" t="n"/>
      <c r="P56" s="144" t="n"/>
      <c r="Q56" s="144" t="n"/>
      <c r="R56" s="144" t="n"/>
      <c r="S56" s="144" t="n"/>
      <c r="T56" s="144" t="n"/>
      <c r="U56" s="144" t="n"/>
      <c r="V56" s="144" t="n"/>
      <c r="W56" s="135" t="n"/>
      <c r="X56" s="73">
        <f>H56</f>
        <v/>
      </c>
      <c r="Y56" s="143" t="n"/>
      <c r="Z56" s="143" t="n"/>
      <c r="AA56" s="143" t="n"/>
      <c r="AB56" s="143" t="n"/>
      <c r="AC56" s="143" t="n"/>
    </row>
    <row r="57" ht="16.5" customHeight="1" s="34">
      <c r="A57" s="73" t="n">
        <v>45250</v>
      </c>
      <c r="B57" s="142" t="n"/>
      <c r="C57" s="142" t="n"/>
      <c r="D57" s="142" t="n"/>
      <c r="E57" s="142" t="n"/>
      <c r="F57" s="142" t="n"/>
      <c r="H57" s="75">
        <f>A57</f>
        <v/>
      </c>
      <c r="I57" s="144" t="n"/>
      <c r="J57" s="144" t="n"/>
      <c r="K57" s="144" t="n"/>
      <c r="L57" s="144" t="n"/>
      <c r="M57" s="144" t="n"/>
      <c r="N57" s="144" t="n"/>
      <c r="O57" s="144" t="n"/>
      <c r="P57" s="144" t="n"/>
      <c r="Q57" s="144" t="n"/>
      <c r="R57" s="144" t="n"/>
      <c r="S57" s="144" t="n"/>
      <c r="T57" s="144" t="n"/>
      <c r="U57" s="144" t="n"/>
      <c r="V57" s="144" t="n"/>
      <c r="W57" s="135" t="n"/>
      <c r="X57" s="73">
        <f>H57</f>
        <v/>
      </c>
      <c r="Y57" s="143" t="n"/>
      <c r="Z57" s="143" t="n"/>
      <c r="AA57" s="143" t="n"/>
      <c r="AB57" s="143" t="n"/>
      <c r="AC57" s="143" t="n"/>
    </row>
    <row r="58" ht="16.5" customHeight="1" s="34">
      <c r="A58" s="73" t="n">
        <v>45251</v>
      </c>
      <c r="B58" s="142" t="n"/>
      <c r="C58" s="142" t="n"/>
      <c r="D58" s="142" t="n"/>
      <c r="E58" s="142" t="n"/>
      <c r="F58" s="142" t="n"/>
      <c r="H58" s="75">
        <f>A58</f>
        <v/>
      </c>
      <c r="I58" s="144" t="n"/>
      <c r="J58" s="144" t="n"/>
      <c r="K58" s="144" t="n"/>
      <c r="L58" s="144" t="n"/>
      <c r="M58" s="144" t="n"/>
      <c r="N58" s="144" t="n"/>
      <c r="O58" s="144" t="n"/>
      <c r="P58" s="144" t="n"/>
      <c r="Q58" s="144" t="n"/>
      <c r="R58" s="144" t="n"/>
      <c r="S58" s="144" t="n"/>
      <c r="T58" s="144" t="n"/>
      <c r="U58" s="144" t="n"/>
      <c r="V58" s="144" t="n"/>
      <c r="W58" s="135" t="n"/>
      <c r="X58" s="73">
        <f>H58</f>
        <v/>
      </c>
      <c r="Y58" s="143" t="n"/>
      <c r="Z58" s="143" t="n"/>
      <c r="AA58" s="143" t="n"/>
      <c r="AB58" s="143" t="n"/>
      <c r="AC58" s="143" t="n"/>
    </row>
    <row r="59" ht="16.5" customHeight="1" s="34">
      <c r="A59" s="73" t="n">
        <v>45252</v>
      </c>
      <c r="B59" s="142" t="n"/>
      <c r="C59" s="142" t="n"/>
      <c r="D59" s="142" t="n"/>
      <c r="E59" s="142" t="n"/>
      <c r="F59" s="142" t="n"/>
      <c r="H59" s="75">
        <f>A59</f>
        <v/>
      </c>
      <c r="I59" s="144" t="n"/>
      <c r="J59" s="144" t="n"/>
      <c r="K59" s="144" t="n"/>
      <c r="L59" s="144" t="n"/>
      <c r="M59" s="144" t="n"/>
      <c r="N59" s="144" t="n"/>
      <c r="O59" s="144" t="n"/>
      <c r="P59" s="144" t="n"/>
      <c r="Q59" s="144" t="n"/>
      <c r="R59" s="144" t="n"/>
      <c r="S59" s="144" t="n"/>
      <c r="T59" s="144" t="n"/>
      <c r="U59" s="144" t="n"/>
      <c r="V59" s="144" t="n"/>
      <c r="W59" s="135" t="n"/>
      <c r="X59" s="73">
        <f>H59</f>
        <v/>
      </c>
      <c r="Y59" s="143" t="n"/>
      <c r="Z59" s="143" t="n"/>
      <c r="AA59" s="143" t="n"/>
      <c r="AB59" s="143" t="n"/>
      <c r="AC59" s="143" t="n"/>
    </row>
    <row r="60" ht="16.5" customHeight="1" s="34">
      <c r="A60" s="73" t="n">
        <v>45253</v>
      </c>
      <c r="B60" s="142" t="n"/>
      <c r="C60" s="142" t="n"/>
      <c r="D60" s="142" t="n"/>
      <c r="E60" s="142" t="n"/>
      <c r="F60" s="142" t="n"/>
      <c r="H60" s="75">
        <f>A60</f>
        <v/>
      </c>
      <c r="I60" s="144" t="n"/>
      <c r="J60" s="144" t="n"/>
      <c r="K60" s="144" t="n"/>
      <c r="L60" s="144" t="n"/>
      <c r="M60" s="144" t="n"/>
      <c r="N60" s="144" t="n"/>
      <c r="O60" s="144" t="n"/>
      <c r="P60" s="144" t="n"/>
      <c r="Q60" s="144" t="n"/>
      <c r="R60" s="144" t="n"/>
      <c r="S60" s="144" t="n"/>
      <c r="T60" s="144" t="n"/>
      <c r="U60" s="144" t="n"/>
      <c r="V60" s="144" t="n"/>
      <c r="W60" s="135" t="n"/>
      <c r="X60" s="73">
        <f>H60</f>
        <v/>
      </c>
      <c r="Y60" s="143" t="n"/>
      <c r="Z60" s="143" t="n"/>
      <c r="AA60" s="143" t="n"/>
      <c r="AB60" s="143" t="n"/>
      <c r="AC60" s="143" t="n"/>
    </row>
    <row r="61" ht="16.5" customHeight="1" s="34">
      <c r="A61" s="73" t="n">
        <v>45254</v>
      </c>
      <c r="B61" s="142" t="n"/>
      <c r="C61" s="142" t="n"/>
      <c r="D61" s="142" t="n"/>
      <c r="E61" s="142" t="n"/>
      <c r="F61" s="142" t="n"/>
      <c r="H61" s="75">
        <f>A61</f>
        <v/>
      </c>
      <c r="I61" s="144" t="n"/>
      <c r="J61" s="144" t="n"/>
      <c r="K61" s="144" t="n"/>
      <c r="L61" s="144" t="n"/>
      <c r="M61" s="144" t="n"/>
      <c r="N61" s="144" t="n"/>
      <c r="O61" s="144" t="n"/>
      <c r="P61" s="144" t="n"/>
      <c r="Q61" s="144" t="n"/>
      <c r="R61" s="144" t="n"/>
      <c r="S61" s="144" t="n"/>
      <c r="T61" s="144" t="n"/>
      <c r="U61" s="144" t="n"/>
      <c r="V61" s="144" t="n"/>
      <c r="W61" s="135" t="n"/>
      <c r="X61" s="73">
        <f>H61</f>
        <v/>
      </c>
      <c r="Y61" s="143" t="n"/>
      <c r="Z61" s="143" t="n"/>
      <c r="AA61" s="143" t="n"/>
      <c r="AB61" s="143" t="n"/>
      <c r="AC61" s="143" t="n"/>
    </row>
    <row r="62" ht="16.5" customHeight="1" s="34">
      <c r="A62" s="73" t="n">
        <v>45255</v>
      </c>
      <c r="B62" s="142" t="n"/>
      <c r="C62" s="142" t="n"/>
      <c r="D62" s="142" t="n"/>
      <c r="E62" s="142" t="n"/>
      <c r="F62" s="142" t="n"/>
      <c r="H62" s="75">
        <f>A62</f>
        <v/>
      </c>
      <c r="I62" s="144" t="n"/>
      <c r="J62" s="144" t="n"/>
      <c r="K62" s="144" t="n"/>
      <c r="L62" s="144" t="n"/>
      <c r="M62" s="144" t="n"/>
      <c r="N62" s="144" t="n"/>
      <c r="O62" s="144" t="n"/>
      <c r="P62" s="144" t="n"/>
      <c r="Q62" s="144" t="n"/>
      <c r="R62" s="144" t="n"/>
      <c r="S62" s="144" t="n"/>
      <c r="T62" s="144" t="n"/>
      <c r="U62" s="144" t="n"/>
      <c r="V62" s="144" t="n"/>
      <c r="W62" s="135" t="n"/>
      <c r="X62" s="73">
        <f>H62</f>
        <v/>
      </c>
      <c r="Y62" s="143" t="n"/>
      <c r="Z62" s="143" t="n"/>
      <c r="AA62" s="143" t="n"/>
      <c r="AB62" s="143" t="n"/>
      <c r="AC62" s="143" t="n"/>
    </row>
    <row r="63" ht="16.5" customHeight="1" s="34">
      <c r="A63" s="73" t="n">
        <v>45256</v>
      </c>
      <c r="B63" s="142" t="n"/>
      <c r="C63" s="142" t="n"/>
      <c r="D63" s="142" t="n"/>
      <c r="E63" s="142" t="n"/>
      <c r="F63" s="142" t="n"/>
      <c r="H63" s="75">
        <f>A63</f>
        <v/>
      </c>
      <c r="I63" s="144" t="n"/>
      <c r="J63" s="144" t="n"/>
      <c r="K63" s="144" t="n"/>
      <c r="L63" s="144" t="n"/>
      <c r="M63" s="144" t="n"/>
      <c r="N63" s="144" t="n"/>
      <c r="O63" s="144" t="n"/>
      <c r="P63" s="144" t="n"/>
      <c r="Q63" s="144" t="n"/>
      <c r="R63" s="144" t="n"/>
      <c r="S63" s="144" t="n"/>
      <c r="T63" s="144" t="n"/>
      <c r="U63" s="144" t="n"/>
      <c r="V63" s="144" t="n"/>
      <c r="W63" s="135" t="n"/>
      <c r="X63" s="73">
        <f>H63</f>
        <v/>
      </c>
      <c r="Y63" s="143" t="n"/>
      <c r="Z63" s="143" t="n"/>
      <c r="AA63" s="143" t="n"/>
      <c r="AB63" s="143" t="n"/>
      <c r="AC63" s="143" t="n"/>
    </row>
    <row r="64" ht="16.5" customHeight="1" s="34">
      <c r="A64" s="73" t="n">
        <v>45257</v>
      </c>
      <c r="B64" s="142" t="n"/>
      <c r="C64" s="142" t="n"/>
      <c r="D64" s="142" t="n"/>
      <c r="E64" s="142" t="n"/>
      <c r="F64" s="142" t="n"/>
      <c r="H64" s="75">
        <f>A64</f>
        <v/>
      </c>
      <c r="I64" s="144" t="n"/>
      <c r="J64" s="144" t="n"/>
      <c r="K64" s="144" t="n"/>
      <c r="L64" s="144" t="n"/>
      <c r="M64" s="144" t="n"/>
      <c r="N64" s="144" t="n"/>
      <c r="O64" s="144" t="n"/>
      <c r="P64" s="144" t="n"/>
      <c r="Q64" s="144" t="n"/>
      <c r="R64" s="144" t="n"/>
      <c r="S64" s="144" t="n"/>
      <c r="T64" s="144" t="n"/>
      <c r="U64" s="144" t="n"/>
      <c r="V64" s="144" t="n"/>
      <c r="W64" s="135" t="n"/>
      <c r="X64" s="73">
        <f>H64</f>
        <v/>
      </c>
      <c r="Y64" s="143" t="n"/>
      <c r="Z64" s="143" t="n"/>
      <c r="AA64" s="143" t="n"/>
      <c r="AB64" s="143" t="n"/>
      <c r="AC64" s="143" t="n"/>
    </row>
    <row r="65" ht="16.5" customHeight="1" s="34">
      <c r="A65" s="73" t="n">
        <v>45258</v>
      </c>
      <c r="B65" s="142" t="n"/>
      <c r="C65" s="142" t="n"/>
      <c r="D65" s="142" t="n"/>
      <c r="E65" s="142" t="n"/>
      <c r="F65" s="142" t="n"/>
      <c r="H65" s="75">
        <f>A65</f>
        <v/>
      </c>
      <c r="I65" s="144" t="n"/>
      <c r="J65" s="144" t="n"/>
      <c r="K65" s="144" t="n"/>
      <c r="L65" s="144" t="n"/>
      <c r="M65" s="144" t="n"/>
      <c r="N65" s="144" t="n"/>
      <c r="O65" s="144" t="n"/>
      <c r="P65" s="144" t="n"/>
      <c r="Q65" s="144" t="n"/>
      <c r="R65" s="144" t="n"/>
      <c r="S65" s="144" t="n"/>
      <c r="T65" s="144" t="n"/>
      <c r="U65" s="144" t="n"/>
      <c r="V65" s="144" t="n"/>
      <c r="W65" s="135" t="n"/>
      <c r="X65" s="73">
        <f>H65</f>
        <v/>
      </c>
      <c r="Y65" s="143" t="n"/>
      <c r="Z65" s="143" t="n"/>
      <c r="AA65" s="143" t="n"/>
      <c r="AB65" s="143" t="n"/>
      <c r="AC65" s="143" t="n"/>
    </row>
    <row r="66" ht="16.5" customHeight="1" s="34">
      <c r="A66" s="73" t="n">
        <v>45259</v>
      </c>
      <c r="B66" s="142" t="n"/>
      <c r="C66" s="142" t="n"/>
      <c r="D66" s="142" t="n"/>
      <c r="E66" s="142" t="n"/>
      <c r="F66" s="142" t="n"/>
      <c r="H66" s="75">
        <f>A66</f>
        <v/>
      </c>
      <c r="I66" s="144" t="n"/>
      <c r="J66" s="144" t="n"/>
      <c r="K66" s="144" t="n"/>
      <c r="L66" s="144" t="n"/>
      <c r="M66" s="144" t="n"/>
      <c r="N66" s="144" t="n"/>
      <c r="O66" s="144" t="n"/>
      <c r="P66" s="144" t="n"/>
      <c r="Q66" s="144" t="n"/>
      <c r="R66" s="144" t="n"/>
      <c r="S66" s="144" t="n"/>
      <c r="T66" s="144" t="n"/>
      <c r="U66" s="144" t="n"/>
      <c r="V66" s="144" t="n"/>
      <c r="W66" s="135" t="n"/>
      <c r="X66" s="73">
        <f>H66</f>
        <v/>
      </c>
      <c r="Y66" s="143" t="n"/>
      <c r="Z66" s="143" t="n"/>
      <c r="AA66" s="143" t="n"/>
      <c r="AB66" s="143" t="n"/>
      <c r="AC66" s="143" t="n"/>
    </row>
    <row r="67" ht="16.5" customHeight="1" s="34">
      <c r="A67" s="73" t="n">
        <v>45260</v>
      </c>
      <c r="B67" s="142" t="n"/>
      <c r="C67" s="142" t="n"/>
      <c r="D67" s="142" t="n"/>
      <c r="E67" s="142" t="n"/>
      <c r="F67" s="142" t="n"/>
      <c r="H67" s="75">
        <f>A67</f>
        <v/>
      </c>
      <c r="I67" s="144" t="n"/>
      <c r="J67" s="144" t="n"/>
      <c r="K67" s="144" t="n"/>
      <c r="L67" s="144" t="n"/>
      <c r="M67" s="144" t="n"/>
      <c r="N67" s="144" t="n"/>
      <c r="O67" s="144" t="n"/>
      <c r="P67" s="144" t="n"/>
      <c r="Q67" s="144" t="n"/>
      <c r="R67" s="144" t="n"/>
      <c r="S67" s="144" t="n"/>
      <c r="T67" s="144" t="n"/>
      <c r="U67" s="144" t="n"/>
      <c r="V67" s="144" t="n"/>
      <c r="W67" s="135" t="n"/>
      <c r="X67" s="73">
        <f>H67</f>
        <v/>
      </c>
      <c r="Y67" s="143" t="n"/>
      <c r="Z67" s="143" t="n"/>
      <c r="AA67" s="143" t="n"/>
      <c r="AB67" s="143" t="n"/>
      <c r="AC67" s="143" t="n"/>
    </row>
    <row r="68" ht="16.5" customHeight="1" s="34">
      <c r="A68" s="73" t="n">
        <v>45261</v>
      </c>
      <c r="B68" s="142" t="n"/>
      <c r="C68" s="142" t="n"/>
      <c r="D68" s="142" t="n"/>
      <c r="E68" s="142" t="n"/>
      <c r="F68" s="142" t="n"/>
      <c r="H68" s="75">
        <f>A68</f>
        <v/>
      </c>
      <c r="I68" s="144" t="n"/>
      <c r="J68" s="144" t="n"/>
      <c r="K68" s="144" t="n"/>
      <c r="L68" s="144" t="n"/>
      <c r="M68" s="144" t="n"/>
      <c r="N68" s="144" t="n"/>
      <c r="O68" s="144" t="n"/>
      <c r="P68" s="144" t="n"/>
      <c r="Q68" s="144" t="n"/>
      <c r="R68" s="144" t="n"/>
      <c r="S68" s="144" t="n"/>
      <c r="T68" s="144" t="n"/>
      <c r="U68" s="144" t="n"/>
      <c r="V68" s="144" t="n"/>
      <c r="W68" s="135" t="n"/>
      <c r="X68" s="73">
        <f>H68</f>
        <v/>
      </c>
      <c r="Y68" s="143" t="n"/>
      <c r="Z68" s="143" t="n"/>
      <c r="AA68" s="143" t="n"/>
      <c r="AB68" s="143" t="n"/>
      <c r="AC68" s="143" t="n"/>
    </row>
    <row r="69" ht="16.5" customHeight="1" s="34">
      <c r="A69" s="73" t="n">
        <v>45262</v>
      </c>
      <c r="B69" s="142" t="n"/>
      <c r="C69" s="142" t="n"/>
      <c r="D69" s="142" t="n"/>
      <c r="E69" s="142" t="n"/>
      <c r="F69" s="142" t="n"/>
      <c r="H69" s="75">
        <f>A69</f>
        <v/>
      </c>
      <c r="I69" s="144" t="n"/>
      <c r="J69" s="144" t="n"/>
      <c r="K69" s="144" t="n"/>
      <c r="L69" s="144" t="n"/>
      <c r="M69" s="144" t="n"/>
      <c r="N69" s="144" t="n"/>
      <c r="O69" s="144" t="n"/>
      <c r="P69" s="144" t="n"/>
      <c r="Q69" s="144" t="n"/>
      <c r="R69" s="144" t="n"/>
      <c r="S69" s="144" t="n"/>
      <c r="T69" s="144" t="n"/>
      <c r="U69" s="144" t="n"/>
      <c r="V69" s="144" t="n"/>
      <c r="W69" s="135" t="n"/>
      <c r="X69" s="73">
        <f>H69</f>
        <v/>
      </c>
      <c r="Y69" s="143" t="n"/>
      <c r="Z69" s="143" t="n"/>
      <c r="AA69" s="143" t="n"/>
      <c r="AB69" s="143" t="n"/>
      <c r="AC69" s="143" t="n"/>
    </row>
    <row r="70" ht="16.5" customHeight="1" s="34">
      <c r="A70" s="73" t="n">
        <v>45263</v>
      </c>
      <c r="B70" s="142" t="n"/>
      <c r="C70" s="142" t="n"/>
      <c r="D70" s="142" t="n"/>
      <c r="E70" s="142" t="n"/>
      <c r="F70" s="142" t="n"/>
      <c r="H70" s="75">
        <f>A70</f>
        <v/>
      </c>
      <c r="I70" s="144" t="n"/>
      <c r="J70" s="144" t="n"/>
      <c r="K70" s="144" t="n"/>
      <c r="L70" s="144" t="n"/>
      <c r="M70" s="144" t="n"/>
      <c r="N70" s="144" t="n"/>
      <c r="O70" s="144" t="n"/>
      <c r="P70" s="144" t="n"/>
      <c r="Q70" s="144" t="n"/>
      <c r="R70" s="144" t="n"/>
      <c r="S70" s="144" t="n"/>
      <c r="T70" s="144" t="n"/>
      <c r="U70" s="144" t="n"/>
      <c r="V70" s="144" t="n"/>
      <c r="W70" s="135" t="n"/>
      <c r="X70" s="73">
        <f>H70</f>
        <v/>
      </c>
      <c r="Y70" s="143" t="n"/>
      <c r="Z70" s="143" t="n"/>
      <c r="AA70" s="143" t="n"/>
      <c r="AB70" s="143" t="n"/>
      <c r="AC70" s="143" t="n"/>
    </row>
    <row r="71" ht="16.5" customHeight="1" s="34">
      <c r="A71" s="73" t="n">
        <v>45264</v>
      </c>
      <c r="B71" s="142" t="n"/>
      <c r="C71" s="142" t="n"/>
      <c r="D71" s="142" t="n"/>
      <c r="E71" s="142" t="n"/>
      <c r="F71" s="142" t="n"/>
      <c r="H71" s="75">
        <f>A71</f>
        <v/>
      </c>
      <c r="I71" s="144" t="n"/>
      <c r="J71" s="144" t="n"/>
      <c r="K71" s="144" t="n"/>
      <c r="L71" s="144" t="n"/>
      <c r="M71" s="144" t="n"/>
      <c r="N71" s="144" t="n"/>
      <c r="O71" s="144" t="n"/>
      <c r="P71" s="144" t="n"/>
      <c r="Q71" s="144" t="n"/>
      <c r="R71" s="144" t="n"/>
      <c r="S71" s="144" t="n"/>
      <c r="T71" s="144" t="n"/>
      <c r="U71" s="144" t="n"/>
      <c r="V71" s="144" t="n"/>
      <c r="W71" s="135" t="n"/>
      <c r="X71" s="73">
        <f>H71</f>
        <v/>
      </c>
      <c r="Y71" s="143" t="n"/>
      <c r="Z71" s="143" t="n"/>
      <c r="AA71" s="143" t="n"/>
      <c r="AB71" s="143" t="n"/>
      <c r="AC71" s="143" t="n"/>
    </row>
    <row r="72" ht="16.5" customHeight="1" s="34">
      <c r="A72" s="73" t="n">
        <v>45265</v>
      </c>
      <c r="B72" s="142" t="n"/>
      <c r="C72" s="142" t="n"/>
      <c r="D72" s="142" t="n"/>
      <c r="E72" s="142" t="n"/>
      <c r="F72" s="142" t="n"/>
      <c r="H72" s="75">
        <f>A72</f>
        <v/>
      </c>
      <c r="I72" s="144" t="n"/>
      <c r="J72" s="144" t="n"/>
      <c r="K72" s="144" t="n"/>
      <c r="L72" s="144" t="n"/>
      <c r="M72" s="144" t="n"/>
      <c r="N72" s="144" t="n"/>
      <c r="O72" s="144" t="n"/>
      <c r="P72" s="144" t="n"/>
      <c r="Q72" s="144" t="n"/>
      <c r="R72" s="144" t="n"/>
      <c r="S72" s="144" t="n"/>
      <c r="T72" s="144" t="n"/>
      <c r="U72" s="144" t="n"/>
      <c r="V72" s="144" t="n"/>
      <c r="W72" s="135" t="n"/>
      <c r="X72" s="73">
        <f>H72</f>
        <v/>
      </c>
      <c r="Y72" s="143" t="n"/>
      <c r="Z72" s="143" t="n"/>
      <c r="AA72" s="143" t="n"/>
      <c r="AB72" s="143" t="n"/>
      <c r="AC72" s="143" t="n"/>
    </row>
    <row r="73" ht="16.5" customHeight="1" s="34">
      <c r="A73" s="73" t="n">
        <v>45266</v>
      </c>
      <c r="B73" s="142" t="n"/>
      <c r="C73" s="142" t="n"/>
      <c r="D73" s="142" t="n"/>
      <c r="E73" s="142" t="n"/>
      <c r="F73" s="142" t="n"/>
      <c r="H73" s="75">
        <f>A73</f>
        <v/>
      </c>
      <c r="I73" s="144" t="n"/>
      <c r="J73" s="144" t="n"/>
      <c r="K73" s="144" t="n"/>
      <c r="L73" s="144" t="n"/>
      <c r="M73" s="144" t="n"/>
      <c r="N73" s="144" t="n"/>
      <c r="O73" s="144" t="n"/>
      <c r="P73" s="144" t="n"/>
      <c r="Q73" s="144" t="n"/>
      <c r="R73" s="144" t="n"/>
      <c r="S73" s="144" t="n"/>
      <c r="T73" s="144" t="n"/>
      <c r="U73" s="144" t="n"/>
      <c r="V73" s="144" t="n"/>
      <c r="W73" s="135" t="n"/>
      <c r="X73" s="73">
        <f>H73</f>
        <v/>
      </c>
      <c r="Y73" s="143" t="n"/>
      <c r="Z73" s="143" t="n"/>
      <c r="AA73" s="143" t="n"/>
      <c r="AB73" s="143" t="n"/>
      <c r="AC73" s="143" t="n"/>
    </row>
    <row r="74" ht="16.5" customHeight="1" s="34">
      <c r="A74" s="73" t="n">
        <v>45267</v>
      </c>
      <c r="B74" s="142" t="n"/>
      <c r="C74" s="142" t="n"/>
      <c r="D74" s="142" t="n"/>
      <c r="E74" s="142" t="n"/>
      <c r="F74" s="142" t="n"/>
      <c r="H74" s="75">
        <f>A74</f>
        <v/>
      </c>
      <c r="I74" s="144" t="n"/>
      <c r="J74" s="144" t="n"/>
      <c r="K74" s="144" t="n"/>
      <c r="L74" s="144" t="n"/>
      <c r="M74" s="144" t="n"/>
      <c r="N74" s="144" t="n"/>
      <c r="O74" s="144" t="n"/>
      <c r="P74" s="144" t="n"/>
      <c r="Q74" s="144" t="n"/>
      <c r="R74" s="144" t="n"/>
      <c r="S74" s="144" t="n"/>
      <c r="T74" s="144" t="n"/>
      <c r="U74" s="144" t="n"/>
      <c r="V74" s="144" t="n"/>
      <c r="W74" s="135" t="n"/>
      <c r="X74" s="73">
        <f>H74</f>
        <v/>
      </c>
      <c r="Y74" s="143" t="n"/>
      <c r="Z74" s="143" t="n"/>
      <c r="AA74" s="143" t="n"/>
      <c r="AB74" s="143" t="n"/>
      <c r="AC74" s="143" t="n"/>
    </row>
    <row r="75" ht="16.5" customHeight="1" s="34">
      <c r="A75" s="73" t="n">
        <v>45268</v>
      </c>
      <c r="B75" s="142" t="n"/>
      <c r="C75" s="142" t="n"/>
      <c r="D75" s="142" t="n"/>
      <c r="E75" s="142" t="n"/>
      <c r="F75" s="142" t="n"/>
      <c r="H75" s="75">
        <f>A75</f>
        <v/>
      </c>
      <c r="I75" s="144" t="n"/>
      <c r="J75" s="144" t="n"/>
      <c r="K75" s="144" t="n"/>
      <c r="L75" s="144" t="n"/>
      <c r="M75" s="144" t="n"/>
      <c r="N75" s="144" t="n"/>
      <c r="O75" s="144" t="n"/>
      <c r="P75" s="144" t="n"/>
      <c r="Q75" s="144" t="n"/>
      <c r="R75" s="144" t="n"/>
      <c r="S75" s="144" t="n"/>
      <c r="T75" s="144" t="n"/>
      <c r="U75" s="144" t="n"/>
      <c r="V75" s="144" t="n"/>
      <c r="W75" s="135" t="n"/>
      <c r="X75" s="73">
        <f>H75</f>
        <v/>
      </c>
      <c r="Y75" s="143" t="n"/>
      <c r="Z75" s="143" t="n"/>
      <c r="AA75" s="143" t="n"/>
      <c r="AB75" s="143" t="n"/>
      <c r="AC75" s="143" t="n"/>
    </row>
    <row r="76" ht="16.5" customHeight="1" s="34">
      <c r="A76" s="73" t="n">
        <v>45269</v>
      </c>
      <c r="B76" s="142" t="n"/>
      <c r="C76" s="142" t="n"/>
      <c r="D76" s="142" t="n"/>
      <c r="E76" s="142" t="n"/>
      <c r="F76" s="142" t="n"/>
      <c r="H76" s="75">
        <f>A76</f>
        <v/>
      </c>
      <c r="I76" s="144" t="n"/>
      <c r="J76" s="144" t="n"/>
      <c r="K76" s="144" t="n"/>
      <c r="L76" s="144" t="n"/>
      <c r="M76" s="144" t="n"/>
      <c r="N76" s="144" t="n"/>
      <c r="O76" s="144" t="n"/>
      <c r="P76" s="144" t="n"/>
      <c r="Q76" s="144" t="n"/>
      <c r="R76" s="144" t="n"/>
      <c r="S76" s="144" t="n"/>
      <c r="T76" s="144" t="n"/>
      <c r="U76" s="144" t="n"/>
      <c r="V76" s="144" t="n"/>
      <c r="W76" s="135" t="n"/>
      <c r="X76" s="73">
        <f>H76</f>
        <v/>
      </c>
      <c r="Y76" s="143" t="n"/>
      <c r="Z76" s="143" t="n"/>
      <c r="AA76" s="143" t="n"/>
      <c r="AB76" s="143" t="n"/>
      <c r="AC76" s="143" t="n"/>
    </row>
    <row r="77" ht="16.5" customHeight="1" s="34">
      <c r="A77" s="73" t="n">
        <v>45270</v>
      </c>
      <c r="B77" s="142" t="n"/>
      <c r="C77" s="142" t="n"/>
      <c r="D77" s="142" t="n"/>
      <c r="E77" s="142" t="n"/>
      <c r="F77" s="142" t="n"/>
      <c r="H77" s="75">
        <f>A77</f>
        <v/>
      </c>
      <c r="I77" s="144" t="n"/>
      <c r="J77" s="144" t="n"/>
      <c r="K77" s="144" t="n"/>
      <c r="L77" s="144" t="n"/>
      <c r="M77" s="144" t="n"/>
      <c r="N77" s="144" t="n"/>
      <c r="O77" s="144" t="n"/>
      <c r="P77" s="144" t="n"/>
      <c r="Q77" s="144" t="n"/>
      <c r="R77" s="144" t="n"/>
      <c r="S77" s="144" t="n"/>
      <c r="T77" s="144" t="n"/>
      <c r="U77" s="144" t="n"/>
      <c r="V77" s="144" t="n"/>
      <c r="W77" s="135" t="n"/>
      <c r="X77" s="73">
        <f>H77</f>
        <v/>
      </c>
      <c r="Y77" s="143" t="n"/>
      <c r="Z77" s="143" t="n"/>
      <c r="AA77" s="143" t="n"/>
      <c r="AB77" s="143" t="n"/>
      <c r="AC77" s="143" t="n"/>
    </row>
    <row r="78" ht="16.5" customHeight="1" s="34">
      <c r="A78" s="73" t="n">
        <v>45271</v>
      </c>
      <c r="B78" s="142" t="n"/>
      <c r="C78" s="142" t="n"/>
      <c r="D78" s="142" t="n"/>
      <c r="E78" s="142" t="n"/>
      <c r="F78" s="142" t="n"/>
      <c r="H78" s="75">
        <f>A78</f>
        <v/>
      </c>
      <c r="I78" s="144" t="n"/>
      <c r="J78" s="144" t="n"/>
      <c r="K78" s="144" t="n"/>
      <c r="L78" s="144" t="n"/>
      <c r="M78" s="144" t="n"/>
      <c r="N78" s="144" t="n"/>
      <c r="O78" s="144" t="n"/>
      <c r="P78" s="144" t="n"/>
      <c r="Q78" s="144" t="n"/>
      <c r="R78" s="144" t="n"/>
      <c r="S78" s="144" t="n"/>
      <c r="T78" s="144" t="n"/>
      <c r="U78" s="144" t="n"/>
      <c r="V78" s="144" t="n"/>
      <c r="W78" s="135" t="n"/>
      <c r="X78" s="73">
        <f>H78</f>
        <v/>
      </c>
      <c r="Y78" s="143" t="n"/>
      <c r="Z78" s="143" t="n"/>
      <c r="AA78" s="143" t="n"/>
      <c r="AB78" s="143" t="n"/>
      <c r="AC78" s="143" t="n"/>
    </row>
    <row r="79" ht="16.5" customHeight="1" s="34">
      <c r="A79" s="73" t="n">
        <v>45272</v>
      </c>
      <c r="B79" s="142" t="n"/>
      <c r="C79" s="142" t="n"/>
      <c r="D79" s="142" t="n"/>
      <c r="E79" s="142" t="n"/>
      <c r="F79" s="142" t="n"/>
      <c r="H79" s="75">
        <f>A79</f>
        <v/>
      </c>
      <c r="I79" s="144" t="n"/>
      <c r="J79" s="144" t="n"/>
      <c r="K79" s="144" t="n"/>
      <c r="L79" s="144" t="n"/>
      <c r="M79" s="144" t="n"/>
      <c r="N79" s="144" t="n"/>
      <c r="O79" s="144" t="n"/>
      <c r="P79" s="144" t="n"/>
      <c r="Q79" s="144" t="n"/>
      <c r="R79" s="144" t="n"/>
      <c r="S79" s="144" t="n"/>
      <c r="T79" s="144" t="n"/>
      <c r="U79" s="144" t="n"/>
      <c r="V79" s="144" t="n"/>
      <c r="W79" s="135" t="n"/>
      <c r="X79" s="73">
        <f>H79</f>
        <v/>
      </c>
      <c r="Y79" s="143" t="n"/>
      <c r="Z79" s="143" t="n"/>
      <c r="AA79" s="143" t="n"/>
      <c r="AB79" s="143" t="n"/>
      <c r="AC79" s="143" t="n"/>
    </row>
    <row r="80" ht="16.5" customHeight="1" s="34">
      <c r="A80" s="73" t="n">
        <v>45273</v>
      </c>
      <c r="B80" s="142" t="n"/>
      <c r="C80" s="142" t="n"/>
      <c r="D80" s="142" t="n"/>
      <c r="E80" s="142" t="n"/>
      <c r="F80" s="142" t="n"/>
      <c r="H80" s="75">
        <f>A80</f>
        <v/>
      </c>
      <c r="I80" s="144" t="n"/>
      <c r="J80" s="144" t="n"/>
      <c r="K80" s="144" t="n"/>
      <c r="L80" s="144" t="n"/>
      <c r="M80" s="144" t="n"/>
      <c r="N80" s="144" t="n"/>
      <c r="O80" s="144" t="n"/>
      <c r="P80" s="144" t="n"/>
      <c r="Q80" s="144" t="n"/>
      <c r="R80" s="144" t="n"/>
      <c r="S80" s="144" t="n"/>
      <c r="T80" s="144" t="n"/>
      <c r="U80" s="144" t="n"/>
      <c r="V80" s="144" t="n"/>
      <c r="W80" s="135" t="n"/>
      <c r="X80" s="73">
        <f>H80</f>
        <v/>
      </c>
      <c r="Y80" s="143" t="n"/>
      <c r="Z80" s="143" t="n"/>
      <c r="AA80" s="143" t="n"/>
      <c r="AB80" s="143" t="n"/>
      <c r="AC80" s="143" t="n"/>
    </row>
    <row r="81" ht="16.5" customHeight="1" s="34">
      <c r="A81" s="73" t="n">
        <v>45274</v>
      </c>
      <c r="B81" s="142" t="n"/>
      <c r="C81" s="142" t="n"/>
      <c r="D81" s="142" t="n"/>
      <c r="E81" s="142" t="n"/>
      <c r="F81" s="142" t="n"/>
      <c r="H81" s="75">
        <f>A81</f>
        <v/>
      </c>
      <c r="I81" s="144" t="n"/>
      <c r="J81" s="144" t="n"/>
      <c r="K81" s="144" t="n"/>
      <c r="L81" s="144" t="n"/>
      <c r="M81" s="144" t="n"/>
      <c r="N81" s="144" t="n"/>
      <c r="O81" s="144" t="n"/>
      <c r="P81" s="144" t="n"/>
      <c r="Q81" s="144" t="n"/>
      <c r="R81" s="144" t="n"/>
      <c r="S81" s="144" t="n"/>
      <c r="T81" s="144" t="n"/>
      <c r="U81" s="144" t="n"/>
      <c r="V81" s="144" t="n"/>
      <c r="W81" s="135" t="n"/>
      <c r="X81" s="73">
        <f>H81</f>
        <v/>
      </c>
      <c r="Y81" s="143" t="n"/>
      <c r="Z81" s="143" t="n"/>
      <c r="AA81" s="143" t="n"/>
      <c r="AB81" s="143" t="n"/>
      <c r="AC81" s="143" t="n"/>
    </row>
    <row r="82" ht="16.5" customHeight="1" s="34">
      <c r="A82" s="73" t="n">
        <v>45275</v>
      </c>
      <c r="B82" s="142" t="n"/>
      <c r="C82" s="142" t="n"/>
      <c r="D82" s="142" t="n"/>
      <c r="E82" s="142" t="n"/>
      <c r="F82" s="142" t="n"/>
      <c r="H82" s="75">
        <f>A82</f>
        <v/>
      </c>
      <c r="I82" s="144" t="n"/>
      <c r="J82" s="144" t="n"/>
      <c r="K82" s="144" t="n"/>
      <c r="L82" s="144" t="n"/>
      <c r="M82" s="144" t="n"/>
      <c r="N82" s="144" t="n"/>
      <c r="O82" s="144" t="n"/>
      <c r="P82" s="144" t="n"/>
      <c r="Q82" s="144" t="n"/>
      <c r="R82" s="144" t="n"/>
      <c r="S82" s="144" t="n"/>
      <c r="T82" s="144" t="n"/>
      <c r="U82" s="144" t="n"/>
      <c r="V82" s="144" t="n"/>
      <c r="W82" s="135" t="n"/>
      <c r="X82" s="73">
        <f>H82</f>
        <v/>
      </c>
      <c r="Y82" s="143" t="n"/>
      <c r="Z82" s="143" t="n"/>
      <c r="AA82" s="143" t="n"/>
      <c r="AB82" s="143" t="n"/>
      <c r="AC82" s="143" t="n"/>
    </row>
    <row r="83" ht="16.5" customHeight="1" s="34">
      <c r="A83" s="73" t="n">
        <v>45276</v>
      </c>
      <c r="B83" s="142" t="n"/>
      <c r="C83" s="142" t="n"/>
      <c r="D83" s="142" t="n"/>
      <c r="E83" s="142" t="n"/>
      <c r="F83" s="142" t="n"/>
      <c r="H83" s="75">
        <f>A83</f>
        <v/>
      </c>
      <c r="I83" s="144" t="n"/>
      <c r="J83" s="144" t="n"/>
      <c r="K83" s="144" t="n"/>
      <c r="L83" s="144" t="n"/>
      <c r="M83" s="144" t="n"/>
      <c r="N83" s="144" t="n"/>
      <c r="O83" s="144" t="n"/>
      <c r="P83" s="144" t="n"/>
      <c r="Q83" s="144" t="n"/>
      <c r="R83" s="144" t="n"/>
      <c r="S83" s="144" t="n"/>
      <c r="T83" s="144" t="n"/>
      <c r="U83" s="144" t="n"/>
      <c r="V83" s="144" t="n"/>
      <c r="W83" s="135" t="n"/>
      <c r="X83" s="73">
        <f>H83</f>
        <v/>
      </c>
      <c r="Y83" s="143" t="n"/>
      <c r="Z83" s="143" t="n"/>
      <c r="AA83" s="143" t="n"/>
      <c r="AB83" s="143" t="n"/>
      <c r="AC83" s="143" t="n"/>
    </row>
    <row r="84" ht="16.5" customHeight="1" s="34">
      <c r="A84" s="73" t="n">
        <v>45277</v>
      </c>
      <c r="B84" s="142" t="n"/>
      <c r="C84" s="142" t="n"/>
      <c r="D84" s="142" t="n"/>
      <c r="E84" s="142" t="n"/>
      <c r="F84" s="142" t="n"/>
      <c r="H84" s="75">
        <f>A84</f>
        <v/>
      </c>
      <c r="I84" s="144" t="n"/>
      <c r="J84" s="144" t="n"/>
      <c r="K84" s="144" t="n"/>
      <c r="L84" s="144" t="n"/>
      <c r="M84" s="144" t="n"/>
      <c r="N84" s="144" t="n"/>
      <c r="O84" s="144" t="n"/>
      <c r="P84" s="144" t="n"/>
      <c r="Q84" s="144" t="n"/>
      <c r="R84" s="144" t="n"/>
      <c r="S84" s="144" t="n"/>
      <c r="T84" s="144" t="n"/>
      <c r="U84" s="144" t="n"/>
      <c r="V84" s="144" t="n"/>
      <c r="W84" s="135" t="n"/>
      <c r="X84" s="73">
        <f>H84</f>
        <v/>
      </c>
      <c r="Y84" s="143" t="n"/>
      <c r="Z84" s="143" t="n"/>
      <c r="AA84" s="143" t="n"/>
      <c r="AB84" s="143" t="n"/>
      <c r="AC84" s="143" t="n"/>
    </row>
    <row r="85" ht="16.5" customHeight="1" s="34">
      <c r="A85" s="73" t="n">
        <v>45278</v>
      </c>
      <c r="B85" s="142" t="n"/>
      <c r="C85" s="142" t="n"/>
      <c r="D85" s="142" t="n"/>
      <c r="E85" s="142" t="n"/>
      <c r="F85" s="142" t="n"/>
      <c r="H85" s="75">
        <f>A85</f>
        <v/>
      </c>
      <c r="I85" s="144" t="n"/>
      <c r="J85" s="144" t="n"/>
      <c r="K85" s="144" t="n"/>
      <c r="L85" s="144" t="n"/>
      <c r="M85" s="144" t="n"/>
      <c r="N85" s="144" t="n"/>
      <c r="O85" s="144" t="n"/>
      <c r="P85" s="144" t="n"/>
      <c r="Q85" s="144" t="n"/>
      <c r="R85" s="144" t="n"/>
      <c r="S85" s="144" t="n"/>
      <c r="T85" s="144" t="n"/>
      <c r="U85" s="144" t="n"/>
      <c r="V85" s="144" t="n"/>
      <c r="W85" s="135" t="n"/>
      <c r="X85" s="73">
        <f>H85</f>
        <v/>
      </c>
      <c r="Y85" s="143" t="n"/>
      <c r="Z85" s="143" t="n"/>
      <c r="AA85" s="143" t="n"/>
      <c r="AB85" s="143" t="n"/>
      <c r="AC85" s="143" t="n"/>
    </row>
    <row r="86" ht="16.5" customHeight="1" s="34">
      <c r="A86" s="73" t="n">
        <v>45279</v>
      </c>
      <c r="B86" s="142" t="n"/>
      <c r="C86" s="142" t="n"/>
      <c r="D86" s="142" t="n"/>
      <c r="E86" s="142" t="n"/>
      <c r="F86" s="142" t="n"/>
      <c r="H86" s="75">
        <f>A86</f>
        <v/>
      </c>
      <c r="I86" s="144" t="n"/>
      <c r="J86" s="144" t="n"/>
      <c r="K86" s="144" t="n"/>
      <c r="L86" s="144" t="n"/>
      <c r="M86" s="144" t="n"/>
      <c r="N86" s="144" t="n"/>
      <c r="O86" s="144" t="n"/>
      <c r="P86" s="144" t="n"/>
      <c r="Q86" s="144" t="n"/>
      <c r="R86" s="144" t="n"/>
      <c r="S86" s="144" t="n"/>
      <c r="T86" s="144" t="n"/>
      <c r="U86" s="144" t="n"/>
      <c r="V86" s="144" t="n"/>
      <c r="W86" s="135" t="n"/>
      <c r="X86" s="73">
        <f>H86</f>
        <v/>
      </c>
      <c r="Y86" s="143" t="n"/>
      <c r="Z86" s="143" t="n"/>
      <c r="AA86" s="143" t="n"/>
      <c r="AB86" s="143" t="n"/>
      <c r="AC86" s="143" t="n"/>
    </row>
    <row r="87" ht="16.5" customHeight="1" s="34">
      <c r="A87" s="73" t="n">
        <v>45280</v>
      </c>
      <c r="B87" s="142" t="n"/>
      <c r="C87" s="142" t="n"/>
      <c r="D87" s="142" t="n"/>
      <c r="E87" s="142" t="n"/>
      <c r="F87" s="142" t="n"/>
      <c r="H87" s="75">
        <f>A87</f>
        <v/>
      </c>
      <c r="I87" s="144" t="n"/>
      <c r="J87" s="144" t="n"/>
      <c r="K87" s="144" t="n"/>
      <c r="L87" s="144" t="n"/>
      <c r="M87" s="144" t="n"/>
      <c r="N87" s="144" t="n"/>
      <c r="O87" s="144" t="n"/>
      <c r="P87" s="144" t="n"/>
      <c r="Q87" s="144" t="n"/>
      <c r="R87" s="144" t="n"/>
      <c r="S87" s="144" t="n"/>
      <c r="T87" s="144" t="n"/>
      <c r="U87" s="144" t="n"/>
      <c r="V87" s="144" t="n"/>
      <c r="W87" s="135" t="n"/>
      <c r="X87" s="73">
        <f>H87</f>
        <v/>
      </c>
      <c r="Y87" s="143" t="n"/>
      <c r="Z87" s="143" t="n"/>
      <c r="AA87" s="143" t="n"/>
      <c r="AB87" s="143" t="n"/>
      <c r="AC87" s="143" t="n"/>
    </row>
    <row r="88" ht="16.5" customHeight="1" s="34">
      <c r="A88" s="73" t="n">
        <v>45281</v>
      </c>
      <c r="B88" s="142" t="n"/>
      <c r="C88" s="142" t="n"/>
      <c r="D88" s="142" t="n"/>
      <c r="E88" s="142" t="n"/>
      <c r="F88" s="142" t="n"/>
      <c r="H88" s="75">
        <f>A88</f>
        <v/>
      </c>
      <c r="I88" s="144" t="n"/>
      <c r="J88" s="144" t="n"/>
      <c r="K88" s="144" t="n"/>
      <c r="L88" s="144" t="n"/>
      <c r="M88" s="144" t="n"/>
      <c r="N88" s="144" t="n"/>
      <c r="O88" s="144" t="n"/>
      <c r="P88" s="144" t="n"/>
      <c r="Q88" s="144" t="n"/>
      <c r="R88" s="144" t="n"/>
      <c r="S88" s="144" t="n"/>
      <c r="T88" s="144" t="n"/>
      <c r="U88" s="144" t="n"/>
      <c r="V88" s="144" t="n"/>
      <c r="W88" s="135" t="n"/>
      <c r="X88" s="73">
        <f>H88</f>
        <v/>
      </c>
      <c r="Y88" s="143" t="n"/>
      <c r="Z88" s="143" t="n"/>
      <c r="AA88" s="143" t="n"/>
      <c r="AB88" s="143" t="n"/>
      <c r="AC88" s="143" t="n"/>
    </row>
    <row r="89" ht="16.5" customHeight="1" s="34">
      <c r="A89" s="73" t="n">
        <v>45282</v>
      </c>
      <c r="B89" s="142" t="n"/>
      <c r="C89" s="142" t="n"/>
      <c r="D89" s="142" t="n"/>
      <c r="E89" s="142" t="n"/>
      <c r="F89" s="142" t="n"/>
      <c r="H89" s="75">
        <f>A89</f>
        <v/>
      </c>
      <c r="I89" s="144" t="n"/>
      <c r="J89" s="144" t="n"/>
      <c r="K89" s="144" t="n"/>
      <c r="L89" s="144" t="n"/>
      <c r="M89" s="144" t="n"/>
      <c r="N89" s="144" t="n"/>
      <c r="O89" s="144" t="n"/>
      <c r="P89" s="144" t="n"/>
      <c r="Q89" s="144" t="n"/>
      <c r="R89" s="144" t="n"/>
      <c r="S89" s="144" t="n"/>
      <c r="T89" s="144" t="n"/>
      <c r="U89" s="144" t="n"/>
      <c r="V89" s="144" t="n"/>
      <c r="W89" s="135" t="n"/>
      <c r="X89" s="73">
        <f>H89</f>
        <v/>
      </c>
      <c r="Y89" s="143" t="n"/>
      <c r="Z89" s="143" t="n"/>
      <c r="AA89" s="143" t="n"/>
      <c r="AB89" s="143" t="n"/>
      <c r="AC89" s="143" t="n"/>
    </row>
    <row r="90" ht="16.5" customHeight="1" s="34">
      <c r="A90" s="73" t="n">
        <v>45283</v>
      </c>
      <c r="B90" s="142" t="n"/>
      <c r="C90" s="142" t="n"/>
      <c r="D90" s="142" t="n"/>
      <c r="E90" s="142" t="n"/>
      <c r="F90" s="142" t="n"/>
      <c r="H90" s="75">
        <f>A90</f>
        <v/>
      </c>
      <c r="I90" s="144" t="n"/>
      <c r="J90" s="144" t="n"/>
      <c r="K90" s="144" t="n"/>
      <c r="L90" s="144" t="n"/>
      <c r="M90" s="144" t="n"/>
      <c r="N90" s="144" t="n"/>
      <c r="O90" s="144" t="n"/>
      <c r="P90" s="144" t="n"/>
      <c r="Q90" s="144" t="n"/>
      <c r="R90" s="144" t="n"/>
      <c r="S90" s="144" t="n"/>
      <c r="T90" s="144" t="n"/>
      <c r="U90" s="144" t="n"/>
      <c r="V90" s="144" t="n"/>
      <c r="W90" s="135" t="n"/>
      <c r="X90" s="73">
        <f>H90</f>
        <v/>
      </c>
      <c r="Y90" s="143" t="n"/>
      <c r="Z90" s="143" t="n"/>
      <c r="AA90" s="143" t="n"/>
      <c r="AB90" s="143" t="n"/>
      <c r="AC90" s="143" t="n"/>
    </row>
    <row r="91" ht="16.5" customHeight="1" s="34">
      <c r="A91" s="73" t="n">
        <v>45284</v>
      </c>
      <c r="B91" s="142" t="n"/>
      <c r="C91" s="142" t="n"/>
      <c r="D91" s="142" t="n"/>
      <c r="E91" s="142" t="n"/>
      <c r="F91" s="142" t="n"/>
      <c r="H91" s="75">
        <f>A91</f>
        <v/>
      </c>
      <c r="I91" s="144" t="n"/>
      <c r="J91" s="144" t="n"/>
      <c r="K91" s="144" t="n"/>
      <c r="L91" s="144" t="n"/>
      <c r="M91" s="144" t="n"/>
      <c r="N91" s="144" t="n"/>
      <c r="O91" s="144" t="n"/>
      <c r="P91" s="144" t="n"/>
      <c r="Q91" s="144" t="n"/>
      <c r="R91" s="144" t="n"/>
      <c r="S91" s="144" t="n"/>
      <c r="T91" s="144" t="n"/>
      <c r="U91" s="144" t="n"/>
      <c r="V91" s="144" t="n"/>
      <c r="W91" s="135" t="n"/>
      <c r="X91" s="73">
        <f>H91</f>
        <v/>
      </c>
      <c r="Y91" s="143" t="n"/>
      <c r="Z91" s="143" t="n"/>
      <c r="AA91" s="143" t="n"/>
      <c r="AB91" s="143" t="n"/>
      <c r="AC91" s="143" t="n"/>
    </row>
    <row r="92" ht="16.5" customHeight="1" s="34">
      <c r="A92" s="73" t="n">
        <v>45285</v>
      </c>
      <c r="B92" s="142" t="n"/>
      <c r="C92" s="142" t="n"/>
      <c r="D92" s="142" t="n"/>
      <c r="E92" s="142" t="n"/>
      <c r="F92" s="142" t="n"/>
      <c r="H92" s="75">
        <f>A92</f>
        <v/>
      </c>
      <c r="I92" s="144" t="n"/>
      <c r="J92" s="144" t="n"/>
      <c r="K92" s="144" t="n"/>
      <c r="L92" s="144" t="n"/>
      <c r="M92" s="144" t="n"/>
      <c r="N92" s="144" t="n"/>
      <c r="O92" s="144" t="n"/>
      <c r="P92" s="144" t="n"/>
      <c r="Q92" s="144" t="n"/>
      <c r="R92" s="144" t="n"/>
      <c r="S92" s="144" t="n"/>
      <c r="T92" s="144" t="n"/>
      <c r="U92" s="144" t="n"/>
      <c r="V92" s="144" t="n"/>
      <c r="W92" s="135" t="n"/>
      <c r="X92" s="73">
        <f>H92</f>
        <v/>
      </c>
      <c r="Y92" s="143" t="n"/>
      <c r="Z92" s="143" t="n"/>
      <c r="AA92" s="143" t="n"/>
      <c r="AB92" s="143" t="n"/>
      <c r="AC92" s="143" t="n"/>
    </row>
    <row r="93" ht="16.5" customHeight="1" s="34">
      <c r="A93" s="73" t="n">
        <v>45286</v>
      </c>
      <c r="B93" s="142" t="n"/>
      <c r="C93" s="142" t="n"/>
      <c r="D93" s="142" t="n"/>
      <c r="E93" s="142" t="n"/>
      <c r="F93" s="142" t="n"/>
      <c r="H93" s="75">
        <f>A93</f>
        <v/>
      </c>
      <c r="I93" s="144" t="n"/>
      <c r="J93" s="144" t="n"/>
      <c r="K93" s="144" t="n"/>
      <c r="L93" s="144" t="n"/>
      <c r="M93" s="144" t="n"/>
      <c r="N93" s="144" t="n"/>
      <c r="O93" s="144" t="n"/>
      <c r="P93" s="144" t="n"/>
      <c r="Q93" s="144" t="n"/>
      <c r="R93" s="144" t="n"/>
      <c r="S93" s="144" t="n"/>
      <c r="T93" s="144" t="n"/>
      <c r="U93" s="144" t="n"/>
      <c r="V93" s="144" t="n"/>
      <c r="W93" s="135" t="n"/>
      <c r="X93" s="73">
        <f>H93</f>
        <v/>
      </c>
      <c r="Y93" s="143" t="n"/>
      <c r="Z93" s="143" t="n"/>
      <c r="AA93" s="143" t="n"/>
      <c r="AB93" s="143" t="n"/>
      <c r="AC93" s="143" t="n"/>
    </row>
    <row r="94" ht="16.5" customHeight="1" s="34">
      <c r="A94" s="73" t="n">
        <v>45287</v>
      </c>
      <c r="B94" s="142" t="n"/>
      <c r="C94" s="142" t="n"/>
      <c r="D94" s="142" t="n"/>
      <c r="E94" s="142" t="n"/>
      <c r="F94" s="142" t="n"/>
      <c r="H94" s="75">
        <f>A94</f>
        <v/>
      </c>
      <c r="I94" s="144" t="n"/>
      <c r="J94" s="144" t="n"/>
      <c r="K94" s="144" t="n"/>
      <c r="L94" s="144" t="n"/>
      <c r="M94" s="144" t="n"/>
      <c r="N94" s="144" t="n"/>
      <c r="O94" s="144" t="n"/>
      <c r="P94" s="144" t="n"/>
      <c r="Q94" s="144" t="n"/>
      <c r="R94" s="144" t="n"/>
      <c r="S94" s="144" t="n"/>
      <c r="T94" s="144" t="n"/>
      <c r="U94" s="144" t="n"/>
      <c r="V94" s="144" t="n"/>
      <c r="W94" s="135" t="n"/>
      <c r="X94" s="73">
        <f>H94</f>
        <v/>
      </c>
      <c r="Y94" s="143" t="n"/>
      <c r="Z94" s="143" t="n"/>
      <c r="AA94" s="143" t="n"/>
      <c r="AB94" s="143" t="n"/>
      <c r="AC94" s="143" t="n"/>
    </row>
    <row r="95" ht="16.5" customHeight="1" s="34">
      <c r="A95" s="73" t="n">
        <v>45288</v>
      </c>
      <c r="B95" s="142" t="n"/>
      <c r="C95" s="142" t="n"/>
      <c r="D95" s="142" t="n"/>
      <c r="E95" s="142" t="n"/>
      <c r="F95" s="142" t="n"/>
      <c r="H95" s="75">
        <f>A95</f>
        <v/>
      </c>
      <c r="I95" s="144" t="n"/>
      <c r="J95" s="144" t="n"/>
      <c r="K95" s="144" t="n"/>
      <c r="L95" s="144" t="n"/>
      <c r="M95" s="144" t="n"/>
      <c r="N95" s="144" t="n"/>
      <c r="O95" s="144" t="n"/>
      <c r="P95" s="144" t="n"/>
      <c r="Q95" s="144" t="n"/>
      <c r="R95" s="144" t="n"/>
      <c r="S95" s="144" t="n"/>
      <c r="T95" s="144" t="n"/>
      <c r="U95" s="144" t="n"/>
      <c r="V95" s="144" t="n"/>
      <c r="W95" s="135" t="n"/>
      <c r="X95" s="73">
        <f>H95</f>
        <v/>
      </c>
      <c r="Y95" s="143" t="n"/>
      <c r="Z95" s="143" t="n"/>
      <c r="AA95" s="143" t="n"/>
      <c r="AB95" s="143" t="n"/>
      <c r="AC95" s="143" t="n"/>
    </row>
    <row r="96" ht="16.5" customHeight="1" s="34">
      <c r="A96" s="73" t="n">
        <v>45289</v>
      </c>
      <c r="B96" s="142" t="n"/>
      <c r="C96" s="142" t="n"/>
      <c r="D96" s="142" t="n"/>
      <c r="E96" s="142" t="n"/>
      <c r="F96" s="142" t="n"/>
      <c r="H96" s="75">
        <f>A96</f>
        <v/>
      </c>
      <c r="I96" s="144" t="n"/>
      <c r="J96" s="144" t="n"/>
      <c r="K96" s="144" t="n"/>
      <c r="L96" s="144" t="n"/>
      <c r="M96" s="144" t="n"/>
      <c r="N96" s="144" t="n"/>
      <c r="O96" s="144" t="n"/>
      <c r="P96" s="144" t="n"/>
      <c r="Q96" s="144" t="n"/>
      <c r="R96" s="144" t="n"/>
      <c r="S96" s="144" t="n"/>
      <c r="T96" s="144" t="n"/>
      <c r="U96" s="144" t="n"/>
      <c r="V96" s="144" t="n"/>
      <c r="W96" s="135" t="n"/>
      <c r="X96" s="73">
        <f>H96</f>
        <v/>
      </c>
      <c r="Y96" s="143" t="n"/>
      <c r="Z96" s="143" t="n"/>
      <c r="AA96" s="143" t="n"/>
      <c r="AB96" s="143" t="n"/>
      <c r="AC96" s="143" t="n"/>
    </row>
    <row r="97" ht="16.5" customHeight="1" s="34">
      <c r="A97" s="73" t="n">
        <v>45290</v>
      </c>
      <c r="B97" s="142" t="n"/>
      <c r="C97" s="142" t="n"/>
      <c r="D97" s="142" t="n"/>
      <c r="E97" s="142" t="n"/>
      <c r="F97" s="142" t="n"/>
      <c r="H97" s="75">
        <f>A97</f>
        <v/>
      </c>
      <c r="I97" s="144" t="n"/>
      <c r="J97" s="144" t="n"/>
      <c r="K97" s="144" t="n"/>
      <c r="L97" s="144" t="n"/>
      <c r="M97" s="144" t="n"/>
      <c r="N97" s="144" t="n"/>
      <c r="O97" s="144" t="n"/>
      <c r="P97" s="144" t="n"/>
      <c r="Q97" s="144" t="n"/>
      <c r="R97" s="144" t="n"/>
      <c r="S97" s="144" t="n"/>
      <c r="T97" s="144" t="n"/>
      <c r="U97" s="144" t="n"/>
      <c r="V97" s="144" t="n"/>
      <c r="W97" s="135" t="n"/>
      <c r="X97" s="73">
        <f>H97</f>
        <v/>
      </c>
      <c r="Y97" s="143" t="n"/>
      <c r="Z97" s="143" t="n"/>
      <c r="AA97" s="143" t="n"/>
      <c r="AB97" s="143" t="n"/>
      <c r="AC97" s="143" t="n"/>
    </row>
    <row r="98" ht="16.5" customHeight="1" s="34">
      <c r="A98" s="73" t="n">
        <v>45291</v>
      </c>
      <c r="B98" s="142" t="n"/>
      <c r="C98" s="142" t="n"/>
      <c r="D98" s="142" t="n"/>
      <c r="E98" s="142" t="n"/>
      <c r="F98" s="142" t="n"/>
      <c r="H98" s="75">
        <f>A98</f>
        <v/>
      </c>
      <c r="I98" s="144" t="n"/>
      <c r="J98" s="144" t="n"/>
      <c r="K98" s="144" t="n"/>
      <c r="L98" s="144" t="n"/>
      <c r="M98" s="144" t="n"/>
      <c r="N98" s="144" t="n"/>
      <c r="O98" s="144" t="n"/>
      <c r="P98" s="144" t="n"/>
      <c r="Q98" s="144" t="n"/>
      <c r="R98" s="144" t="n"/>
      <c r="S98" s="144" t="n"/>
      <c r="T98" s="144" t="n"/>
      <c r="X98" s="73">
        <f>H98</f>
        <v/>
      </c>
      <c r="Y98" s="143" t="n"/>
      <c r="Z98" s="143" t="n"/>
      <c r="AA98" s="143" t="n"/>
      <c r="AB98" s="143" t="n"/>
      <c r="AC98" s="143" t="n"/>
    </row>
  </sheetData>
  <mergeCells count="21">
    <mergeCell ref="S1:T1"/>
    <mergeCell ref="D1:D2"/>
    <mergeCell ref="I1:J1"/>
    <mergeCell ref="AB1:AB2"/>
    <mergeCell ref="F1:F2"/>
    <mergeCell ref="V1:V2"/>
    <mergeCell ref="H1:H2"/>
    <mergeCell ref="K1:L1"/>
    <mergeCell ref="A1:A2"/>
    <mergeCell ref="O1:P1"/>
    <mergeCell ref="C1:C2"/>
    <mergeCell ref="Q1:R1"/>
    <mergeCell ref="B1:B2"/>
    <mergeCell ref="Z1:Z2"/>
    <mergeCell ref="E1:E2"/>
    <mergeCell ref="AC1:AC2"/>
    <mergeCell ref="X1:X2"/>
    <mergeCell ref="AA1:AA2"/>
    <mergeCell ref="Y1:Y2"/>
    <mergeCell ref="M1:N1"/>
    <mergeCell ref="U1:U2"/>
  </mergeCells>
  <conditionalFormatting sqref="A7:A98 H7:H98 X7:X98">
    <cfRule type="expression" priority="8" dxfId="10">
      <formula>OR(WEEKDAY($A7,2)=7,WEEKDAY($A7,2)=6)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5" tint="-0.499984740745262"/>
    <outlinePr summaryBelow="1" summaryRight="1"/>
    <pageSetUpPr/>
  </sheetPr>
  <dimension ref="A1:AM99"/>
  <sheetViews>
    <sheetView showGridLines="0" topLeftCell="AB1" workbookViewId="0">
      <pane ySplit="7" topLeftCell="A29" activePane="bottomLeft" state="frozen"/>
      <selection activeCell="A1" sqref="A1"/>
      <selection pane="bottomLeft" activeCell="AF6" sqref="AF6:AM6"/>
    </sheetView>
  </sheetViews>
  <sheetFormatPr baseColWidth="8" defaultColWidth="9" defaultRowHeight="13.5"/>
  <cols>
    <col width="8.75" customWidth="1" style="34" min="1" max="1"/>
    <col width="11.625" customWidth="1" style="145" min="2" max="5"/>
    <col width="10.375" customWidth="1" style="146" min="6" max="8"/>
    <col width="11.875" customWidth="1" style="146" min="9" max="9"/>
    <col width="1.25" customWidth="1" style="146" min="10" max="10"/>
    <col width="8.75" customWidth="1" style="146" min="11" max="11"/>
    <col width="11.625" customWidth="1" style="145" min="12" max="15"/>
    <col width="10.375" customWidth="1" style="146" min="16" max="18"/>
    <col width="11.875" customWidth="1" style="146" min="19" max="19"/>
    <col width="1.25" customWidth="1" style="146" min="20" max="20"/>
    <col width="8.75" customWidth="1" style="146" min="21" max="21"/>
    <col width="11.625" customWidth="1" style="145" min="22" max="25"/>
    <col width="10.375" customWidth="1" style="146" min="26" max="28"/>
    <col width="11.875" customWidth="1" style="146" min="29" max="29"/>
    <col width="1.25" customWidth="1" style="146" min="30" max="30"/>
    <col width="8.75" customWidth="1" style="146" min="31" max="31"/>
    <col width="11.625" customWidth="1" style="145" min="32" max="35"/>
    <col width="10.375" customWidth="1" style="146" min="36" max="38"/>
    <col width="11.875" customWidth="1" style="146" min="39" max="39"/>
  </cols>
  <sheetData>
    <row r="1" ht="16.5" customHeight="1" s="34">
      <c r="A1" s="36" t="inlineStr">
        <is>
          <t>日期</t>
        </is>
      </c>
      <c r="B1" s="147" t="inlineStr">
        <is>
          <t>厦门市</t>
        </is>
      </c>
      <c r="C1" s="38" t="n"/>
      <c r="D1" s="38" t="n"/>
      <c r="E1" s="38" t="n"/>
      <c r="F1" s="38" t="n"/>
      <c r="G1" s="38" t="n"/>
      <c r="H1" s="38" t="n"/>
      <c r="I1" s="52" t="n"/>
      <c r="K1" s="148" t="inlineStr">
        <is>
          <t>日期</t>
        </is>
      </c>
      <c r="L1" s="147" t="inlineStr">
        <is>
          <t>泉州市</t>
        </is>
      </c>
      <c r="M1" s="38" t="n"/>
      <c r="N1" s="38" t="n"/>
      <c r="O1" s="38" t="n"/>
      <c r="P1" s="38" t="n"/>
      <c r="Q1" s="38" t="n"/>
      <c r="R1" s="38" t="n"/>
      <c r="S1" s="52" t="n"/>
      <c r="U1" s="148" t="inlineStr">
        <is>
          <t>日期</t>
        </is>
      </c>
      <c r="V1" s="147" t="inlineStr">
        <is>
          <t>漳州市</t>
        </is>
      </c>
      <c r="W1" s="38" t="n"/>
      <c r="X1" s="38" t="n"/>
      <c r="Y1" s="38" t="n"/>
      <c r="Z1" s="38" t="n"/>
      <c r="AA1" s="38" t="n"/>
      <c r="AB1" s="38" t="n"/>
      <c r="AC1" s="52" t="n"/>
      <c r="AE1" s="148" t="inlineStr">
        <is>
          <t>日期</t>
        </is>
      </c>
      <c r="AF1" s="147" t="inlineStr">
        <is>
          <t>龙岩市</t>
        </is>
      </c>
      <c r="AG1" s="38" t="n"/>
      <c r="AH1" s="38" t="n"/>
      <c r="AI1" s="38" t="n"/>
      <c r="AJ1" s="38" t="n"/>
      <c r="AK1" s="38" t="n"/>
      <c r="AL1" s="38" t="n"/>
      <c r="AM1" s="52" t="n"/>
    </row>
    <row r="2" ht="16.5" customHeight="1" s="34">
      <c r="A2" s="39" t="n"/>
      <c r="B2" s="149" t="inlineStr">
        <is>
          <t>总包（企业+框架）</t>
        </is>
      </c>
      <c r="C2" s="150" t="inlineStr">
        <is>
          <t>企业</t>
        </is>
      </c>
      <c r="D2" s="38" t="n"/>
      <c r="E2" s="38" t="n"/>
      <c r="F2" s="38" t="n"/>
      <c r="G2" s="38" t="n"/>
      <c r="H2" s="38" t="n"/>
      <c r="I2" s="147" t="inlineStr">
        <is>
          <t>框架</t>
        </is>
      </c>
      <c r="K2" s="39" t="n"/>
      <c r="L2" s="149" t="inlineStr">
        <is>
          <t>总包（企业+框架）</t>
        </is>
      </c>
      <c r="M2" s="150" t="inlineStr">
        <is>
          <t>企业</t>
        </is>
      </c>
      <c r="N2" s="38" t="n"/>
      <c r="O2" s="38" t="n"/>
      <c r="P2" s="38" t="n"/>
      <c r="Q2" s="38" t="n"/>
      <c r="R2" s="38" t="n"/>
      <c r="S2" s="147" t="inlineStr">
        <is>
          <t>框架</t>
        </is>
      </c>
      <c r="U2" s="39" t="n"/>
      <c r="V2" s="149" t="inlineStr">
        <is>
          <t>总包（企业+框架）</t>
        </is>
      </c>
      <c r="W2" s="150" t="inlineStr">
        <is>
          <t>企业</t>
        </is>
      </c>
      <c r="X2" s="38" t="n"/>
      <c r="Y2" s="38" t="n"/>
      <c r="Z2" s="38" t="n"/>
      <c r="AA2" s="38" t="n"/>
      <c r="AB2" s="38" t="n"/>
      <c r="AC2" s="147" t="inlineStr">
        <is>
          <t>框架</t>
        </is>
      </c>
      <c r="AE2" s="39" t="n"/>
      <c r="AF2" s="149" t="inlineStr">
        <is>
          <t>总包（企业+框架）</t>
        </is>
      </c>
      <c r="AG2" s="150" t="inlineStr">
        <is>
          <t>企业</t>
        </is>
      </c>
      <c r="AH2" s="38" t="n"/>
      <c r="AI2" s="38" t="n"/>
      <c r="AJ2" s="38" t="n"/>
      <c r="AK2" s="38" t="n"/>
      <c r="AL2" s="38" t="n"/>
      <c r="AM2" s="147" t="inlineStr">
        <is>
          <t>框架</t>
        </is>
      </c>
    </row>
    <row r="3" ht="16.5" customHeight="1" s="34">
      <c r="A3" s="42" t="n"/>
      <c r="B3" s="43" t="n"/>
      <c r="C3" s="151" t="inlineStr">
        <is>
          <t>总包</t>
        </is>
      </c>
      <c r="D3" s="149" t="inlineStr">
        <is>
          <t>大搜</t>
        </is>
      </c>
      <c r="E3" s="149" t="inlineStr">
        <is>
          <t>信息流</t>
        </is>
      </c>
      <c r="F3" s="152" t="inlineStr">
        <is>
          <t>医疗</t>
        </is>
      </c>
      <c r="G3" s="153" t="inlineStr">
        <is>
          <t>非医疗</t>
        </is>
      </c>
      <c r="H3" s="153" t="inlineStr">
        <is>
          <t>品牌展示</t>
        </is>
      </c>
      <c r="I3" s="43" t="n"/>
      <c r="K3" s="42" t="n"/>
      <c r="L3" s="43" t="n"/>
      <c r="M3" s="151" t="inlineStr">
        <is>
          <t>总包</t>
        </is>
      </c>
      <c r="N3" s="149" t="inlineStr">
        <is>
          <t>大搜</t>
        </is>
      </c>
      <c r="O3" s="149" t="inlineStr">
        <is>
          <t>信息流</t>
        </is>
      </c>
      <c r="P3" s="152" t="inlineStr">
        <is>
          <t>医疗</t>
        </is>
      </c>
      <c r="Q3" s="153" t="inlineStr">
        <is>
          <t>非医疗</t>
        </is>
      </c>
      <c r="R3" s="153" t="inlineStr">
        <is>
          <t>品牌展示</t>
        </is>
      </c>
      <c r="S3" s="43" t="n"/>
      <c r="U3" s="42" t="n"/>
      <c r="V3" s="43" t="n"/>
      <c r="W3" s="151" t="inlineStr">
        <is>
          <t>总包</t>
        </is>
      </c>
      <c r="X3" s="149" t="inlineStr">
        <is>
          <t>大搜</t>
        </is>
      </c>
      <c r="Y3" s="149" t="inlineStr">
        <is>
          <t>信息流</t>
        </is>
      </c>
      <c r="Z3" s="152" t="inlineStr">
        <is>
          <t>医疗</t>
        </is>
      </c>
      <c r="AA3" s="153" t="inlineStr">
        <is>
          <t>非医疗</t>
        </is>
      </c>
      <c r="AB3" s="153" t="inlineStr">
        <is>
          <t>品牌展示</t>
        </is>
      </c>
      <c r="AC3" s="43" t="n"/>
      <c r="AE3" s="42" t="n"/>
      <c r="AF3" s="43" t="n"/>
      <c r="AG3" s="151" t="inlineStr">
        <is>
          <t>总包</t>
        </is>
      </c>
      <c r="AH3" s="149" t="inlineStr">
        <is>
          <t>大搜</t>
        </is>
      </c>
      <c r="AI3" s="149" t="inlineStr">
        <is>
          <t>信息流</t>
        </is>
      </c>
      <c r="AJ3" s="152" t="inlineStr">
        <is>
          <t>医疗</t>
        </is>
      </c>
      <c r="AK3" s="153" t="inlineStr">
        <is>
          <t>非医疗</t>
        </is>
      </c>
      <c r="AL3" s="153" t="inlineStr">
        <is>
          <t>品牌展示</t>
        </is>
      </c>
      <c r="AM3" s="43" t="n"/>
    </row>
    <row r="4" ht="16.5" customFormat="1" customHeight="1" s="1">
      <c r="A4" s="47" t="inlineStr">
        <is>
          <t>2023Q4</t>
        </is>
      </c>
      <c r="B4" s="154">
        <f>SUM(B5:B7)</f>
        <v/>
      </c>
      <c r="C4" s="154">
        <f>SUM(C5:C7)</f>
        <v/>
      </c>
      <c r="D4" s="154">
        <f>SUM(D5:D7)</f>
        <v/>
      </c>
      <c r="E4" s="154">
        <f>SUM(E5:E7)</f>
        <v/>
      </c>
      <c r="F4" s="154">
        <f>SUM(F5:F7)</f>
        <v/>
      </c>
      <c r="G4" s="154">
        <f>SUM(G5:G7)</f>
        <v/>
      </c>
      <c r="H4" s="154">
        <f>SUM(H5:H7)</f>
        <v/>
      </c>
      <c r="I4" s="154">
        <f>SUM(I5:I7)</f>
        <v/>
      </c>
      <c r="J4" s="155" t="n"/>
      <c r="K4" s="156" t="inlineStr">
        <is>
          <t>2023Q4</t>
        </is>
      </c>
      <c r="L4" s="154">
        <f>SUM(L5:L7)</f>
        <v/>
      </c>
      <c r="M4" s="154">
        <f>SUM(M5:M7)</f>
        <v/>
      </c>
      <c r="N4" s="154">
        <f>SUM(N5:N7)</f>
        <v/>
      </c>
      <c r="O4" s="154">
        <f>SUM(O5:O7)</f>
        <v/>
      </c>
      <c r="P4" s="156">
        <f>SUM(P5:P7)</f>
        <v/>
      </c>
      <c r="Q4" s="156">
        <f>SUM(Q5:Q7)</f>
        <v/>
      </c>
      <c r="R4" s="156">
        <f>SUM(R5:R7)</f>
        <v/>
      </c>
      <c r="S4" s="156">
        <f>SUM(S5:S7)</f>
        <v/>
      </c>
      <c r="T4" s="155" t="n"/>
      <c r="U4" s="157" t="inlineStr">
        <is>
          <t>2023Q4</t>
        </is>
      </c>
      <c r="V4" s="154">
        <f>SUM(V5:V7)</f>
        <v/>
      </c>
      <c r="W4" s="154">
        <f>SUM(W5:W7)</f>
        <v/>
      </c>
      <c r="X4" s="154">
        <f>SUM(X5:X7)</f>
        <v/>
      </c>
      <c r="Y4" s="154">
        <f>SUM(Y5:Y7)</f>
        <v/>
      </c>
      <c r="Z4" s="156">
        <f>SUM(Z5:Z7)</f>
        <v/>
      </c>
      <c r="AA4" s="156">
        <f>SUM(AA5:AA7)</f>
        <v/>
      </c>
      <c r="AB4" s="156">
        <f>SUM(AB5:AB7)</f>
        <v/>
      </c>
      <c r="AC4" s="156">
        <f>SUM(AC5:AC7)</f>
        <v/>
      </c>
      <c r="AD4" s="155" t="n"/>
      <c r="AE4" s="156" t="inlineStr">
        <is>
          <t>2023Q4</t>
        </is>
      </c>
      <c r="AF4" s="154">
        <f>SUM(AF5:AF7)</f>
        <v/>
      </c>
      <c r="AG4" s="154">
        <f>SUM(AG5:AG7)</f>
        <v/>
      </c>
      <c r="AH4" s="154">
        <f>SUM(AH5:AH7)</f>
        <v/>
      </c>
      <c r="AI4" s="154">
        <f>SUM(AI5:AI7)</f>
        <v/>
      </c>
      <c r="AJ4" s="156">
        <f>SUM(AJ5:AJ7)</f>
        <v/>
      </c>
      <c r="AK4" s="156">
        <f>SUM(AK5:AK7)</f>
        <v/>
      </c>
      <c r="AL4" s="156">
        <f>SUM(AL5:AL7)</f>
        <v/>
      </c>
      <c r="AM4" s="156">
        <f>SUM(AM5:AM7)</f>
        <v/>
      </c>
    </row>
    <row r="5" ht="16.5" customFormat="1" customHeight="1" s="1">
      <c r="A5" s="9" t="inlineStr">
        <is>
          <t>10月份</t>
        </is>
      </c>
      <c r="B5" s="158">
        <f>IF(B8="","",SUM(B8:B38))</f>
        <v/>
      </c>
      <c r="C5" s="158">
        <f>IF(C8="","",SUM(C8:C38))</f>
        <v/>
      </c>
      <c r="D5" s="158">
        <f>IF(D8="","",SUM(D8:D38))</f>
        <v/>
      </c>
      <c r="E5" s="158">
        <f>IF(E8="","",SUM(E8:E38))</f>
        <v/>
      </c>
      <c r="F5" s="158">
        <f>IF(F8="","",SUM(F8:F38))</f>
        <v/>
      </c>
      <c r="G5" s="158">
        <f>IF(G8="","",SUM(G8:G38))</f>
        <v/>
      </c>
      <c r="H5" s="158">
        <f>IF(H8="","",SUM(H8:H38))</f>
        <v/>
      </c>
      <c r="I5" s="158">
        <f>IF(I8="","",SUM(I8:I38))</f>
        <v/>
      </c>
      <c r="J5" s="155" t="n"/>
      <c r="K5" s="157" t="inlineStr">
        <is>
          <t>10月份</t>
        </is>
      </c>
      <c r="L5" s="158">
        <f>IF(L8="","",SUM(L8:L38))</f>
        <v/>
      </c>
      <c r="M5" s="158">
        <f>IF(M8="","",SUM(M8:M38))</f>
        <v/>
      </c>
      <c r="N5" s="158">
        <f>IF(N8="","",SUM(N8:N38))</f>
        <v/>
      </c>
      <c r="O5" s="158">
        <f>IF(O8="","",SUM(O8:O38))</f>
        <v/>
      </c>
      <c r="P5" s="158">
        <f>IF(P8="","",SUM(P8:P38))</f>
        <v/>
      </c>
      <c r="Q5" s="158">
        <f>IF(Q8="","",SUM(Q8:Q38))</f>
        <v/>
      </c>
      <c r="R5" s="158">
        <f>IF(R8="","",SUM(R8:R38))</f>
        <v/>
      </c>
      <c r="S5" s="158">
        <f>IF(S8="","",SUM(S8:S38))</f>
        <v/>
      </c>
      <c r="T5" s="155" t="n"/>
      <c r="U5" s="157" t="inlineStr">
        <is>
          <t>10月份</t>
        </is>
      </c>
      <c r="V5" s="158">
        <f>IF(V8="","",SUM(V8:V38))</f>
        <v/>
      </c>
      <c r="W5" s="158">
        <f>IF(W8="","",SUM(W8:W38))</f>
        <v/>
      </c>
      <c r="X5" s="158">
        <f>IF(X8="","",SUM(X8:X38))</f>
        <v/>
      </c>
      <c r="Y5" s="158">
        <f>IF(Y8="","",SUM(Y8:Y38))</f>
        <v/>
      </c>
      <c r="Z5" s="158">
        <f>IF(Z8="","",SUM(Z8:Z38))</f>
        <v/>
      </c>
      <c r="AA5" s="158">
        <f>IF(AA8="","",SUM(AA8:AA38))</f>
        <v/>
      </c>
      <c r="AB5" s="158">
        <f>IF(AB8="","",SUM(AB8:AB38))</f>
        <v/>
      </c>
      <c r="AC5" s="158">
        <f>IF(AC8="","",SUM(AC8:AC38))</f>
        <v/>
      </c>
      <c r="AD5" s="155" t="n"/>
      <c r="AE5" s="157" t="inlineStr">
        <is>
          <t>10月份</t>
        </is>
      </c>
      <c r="AF5" s="158">
        <f>IF(AF8="","",SUM(AF8:AF38))</f>
        <v/>
      </c>
      <c r="AG5" s="158">
        <f>IF(AG8="","",SUM(AG8:AG38))</f>
        <v/>
      </c>
      <c r="AH5" s="158">
        <f>IF(AH8="","",SUM(AH8:AH38))</f>
        <v/>
      </c>
      <c r="AI5" s="158">
        <f>IF(AI8="","",SUM(AI8:AI38))</f>
        <v/>
      </c>
      <c r="AJ5" s="158">
        <f>IF(AJ8="","",SUM(AJ8:AJ38))</f>
        <v/>
      </c>
      <c r="AK5" s="158">
        <f>IF(AK8="","",SUM(AK8:AK38))</f>
        <v/>
      </c>
      <c r="AL5" s="158">
        <f>IF(AL8="","",SUM(AL8:AL38))</f>
        <v/>
      </c>
      <c r="AM5" s="158">
        <f>IF(AM8="","",SUM(AM8:AM38))</f>
        <v/>
      </c>
    </row>
    <row r="6" ht="16.5" customFormat="1" customHeight="1" s="1">
      <c r="A6" s="9" t="inlineStr">
        <is>
          <t>11月份</t>
        </is>
      </c>
      <c r="B6" s="158">
        <f>IF(B39="","",SUM(B39:B68))</f>
        <v/>
      </c>
      <c r="C6" s="158">
        <f>IF(C39="","",SUM(C39:C68))</f>
        <v/>
      </c>
      <c r="D6" s="158">
        <f>IF(D39="","",SUM(D39:D68))</f>
        <v/>
      </c>
      <c r="E6" s="158">
        <f>IF(E39="","",SUM(E39:E68))</f>
        <v/>
      </c>
      <c r="F6" s="158">
        <f>IF(F39="","",SUM(F39:F68))</f>
        <v/>
      </c>
      <c r="G6" s="158">
        <f>IF(G39="","",SUM(G39:G68))</f>
        <v/>
      </c>
      <c r="H6" s="158">
        <f>IF(H39="","",SUM(H39:H68))</f>
        <v/>
      </c>
      <c r="I6" s="158">
        <f>IF(I39="","",SUM(I39:I68))</f>
        <v/>
      </c>
      <c r="J6" s="155" t="n"/>
      <c r="K6" s="157" t="inlineStr">
        <is>
          <t>11月份</t>
        </is>
      </c>
      <c r="L6" s="158">
        <f>IF(L39="","",SUM(L39:L68))</f>
        <v/>
      </c>
      <c r="M6" s="158">
        <f>IF(M39="","",SUM(M39:M68))</f>
        <v/>
      </c>
      <c r="N6" s="158">
        <f>IF(N39="","",SUM(N39:N68))</f>
        <v/>
      </c>
      <c r="O6" s="158">
        <f>IF(O39="","",SUM(O39:O68))</f>
        <v/>
      </c>
      <c r="P6" s="158">
        <f>IF(P39="","",SUM(P39:P68))</f>
        <v/>
      </c>
      <c r="Q6" s="158">
        <f>IF(Q39="","",SUM(Q39:Q68))</f>
        <v/>
      </c>
      <c r="R6" s="158">
        <f>IF(R39="","",SUM(R39:R68))</f>
        <v/>
      </c>
      <c r="S6" s="158">
        <f>IF(S39="","",SUM(S39:S68))</f>
        <v/>
      </c>
      <c r="T6" s="155" t="n"/>
      <c r="U6" s="157" t="inlineStr">
        <is>
          <t>11月份</t>
        </is>
      </c>
      <c r="V6" s="158">
        <f>IF(V39="","",SUM(V39:V68))</f>
        <v/>
      </c>
      <c r="W6" s="158">
        <f>IF(W39="","",SUM(W39:W68))</f>
        <v/>
      </c>
      <c r="X6" s="158">
        <f>IF(X39="","",SUM(X39:X68))</f>
        <v/>
      </c>
      <c r="Y6" s="158">
        <f>IF(Y39="","",SUM(Y39:Y68))</f>
        <v/>
      </c>
      <c r="Z6" s="158">
        <f>IF(Z39="","",SUM(Z39:Z68))</f>
        <v/>
      </c>
      <c r="AA6" s="158">
        <f>IF(AA39="","",SUM(AA39:AA68))</f>
        <v/>
      </c>
      <c r="AB6" s="158">
        <f>IF(AB39="","",SUM(AB39:AB68))</f>
        <v/>
      </c>
      <c r="AC6" s="158">
        <f>IF(AC39="","",SUM(AC39:AC68))</f>
        <v/>
      </c>
      <c r="AD6" s="155" t="n"/>
      <c r="AE6" s="157" t="inlineStr">
        <is>
          <t>11月份</t>
        </is>
      </c>
      <c r="AF6" s="159">
        <f>IF(AF39="","",SUM(AF39:AF68))</f>
        <v/>
      </c>
      <c r="AG6" s="159">
        <f>IF(AG39="","",SUM(AG39:AG68))</f>
        <v/>
      </c>
      <c r="AH6" s="159">
        <f>IF(AH39="","",SUM(AH39:AH68))</f>
        <v/>
      </c>
      <c r="AI6" s="159">
        <f>IF(AI39="","",SUM(AI39:AI68))</f>
        <v/>
      </c>
      <c r="AJ6" s="159">
        <f>IF(AJ39="","",SUM(AJ39:AJ68))</f>
        <v/>
      </c>
      <c r="AK6" s="159">
        <f>IF(AK39="","",SUM(AK39:AK68))</f>
        <v/>
      </c>
      <c r="AL6" s="159">
        <f>IF(AL39="","",SUM(AL39:AL68))</f>
        <v/>
      </c>
      <c r="AM6" s="159">
        <f>IF(AM39="","",SUM(AM39:AM68))</f>
        <v/>
      </c>
    </row>
    <row r="7" ht="16.5" customFormat="1" customHeight="1" s="1">
      <c r="A7" s="9" t="inlineStr">
        <is>
          <t>12月份</t>
        </is>
      </c>
      <c r="B7" s="158">
        <f>IF(B69="","",SUM(B69:B98))</f>
        <v/>
      </c>
      <c r="C7" s="158">
        <f>IF(C69="","",SUM(C69:C98))</f>
        <v/>
      </c>
      <c r="D7" s="158">
        <f>IF(D69="","",SUM(D69:D98))</f>
        <v/>
      </c>
      <c r="E7" s="158">
        <f>IF(E69="","",SUM(E69:E98))</f>
        <v/>
      </c>
      <c r="F7" s="158">
        <f>IF(F69="","",SUM(F69:F98))</f>
        <v/>
      </c>
      <c r="G7" s="158">
        <f>IF(G69="","",SUM(G69:G98))</f>
        <v/>
      </c>
      <c r="H7" s="158">
        <f>IF(H69="","",SUM(H69:H98))</f>
        <v/>
      </c>
      <c r="I7" s="158">
        <f>IF(I69="","",SUM(I69:I98))</f>
        <v/>
      </c>
      <c r="J7" s="158">
        <f>IF(J67="","",SUM(J67:J97))</f>
        <v/>
      </c>
      <c r="K7" s="157" t="inlineStr">
        <is>
          <t>12月份</t>
        </is>
      </c>
      <c r="L7" s="158">
        <f>IF(L69="","",SUM(L69:L98))</f>
        <v/>
      </c>
      <c r="M7" s="158">
        <f>IF(M69="","",SUM(M69:M98))</f>
        <v/>
      </c>
      <c r="N7" s="158">
        <f>IF(N69="","",SUM(N69:N98))</f>
        <v/>
      </c>
      <c r="O7" s="158">
        <f>IF(O69="","",SUM(O69:O98))</f>
        <v/>
      </c>
      <c r="P7" s="158">
        <f>IF(P69="","",SUM(P69:P98))</f>
        <v/>
      </c>
      <c r="Q7" s="158">
        <f>IF(Q69="","",SUM(Q69:Q98))</f>
        <v/>
      </c>
      <c r="R7" s="158">
        <f>IF(R69="","",SUM(R69:R98))</f>
        <v/>
      </c>
      <c r="S7" s="158">
        <f>IF(S69="","",SUM(S69:S98))</f>
        <v/>
      </c>
      <c r="T7" s="155" t="n"/>
      <c r="U7" s="157" t="inlineStr">
        <is>
          <t>12月份</t>
        </is>
      </c>
      <c r="V7" s="158">
        <f>IF(V69="","",SUM(V69:V98))</f>
        <v/>
      </c>
      <c r="W7" s="158">
        <f>IF(W69="","",SUM(W69:W98))</f>
        <v/>
      </c>
      <c r="X7" s="158">
        <f>IF(X69="","",SUM(X69:X98))</f>
        <v/>
      </c>
      <c r="Y7" s="158">
        <f>IF(Y69="","",SUM(Y69:Y98))</f>
        <v/>
      </c>
      <c r="Z7" s="158">
        <f>IF(Z69="","",SUM(Z69:Z98))</f>
        <v/>
      </c>
      <c r="AA7" s="158">
        <f>IF(AA69="","",SUM(AA69:AA98))</f>
        <v/>
      </c>
      <c r="AB7" s="158">
        <f>IF(AB69="","",SUM(AB69:AB98))</f>
        <v/>
      </c>
      <c r="AC7" s="158">
        <f>IF(AC69="","",SUM(AC69:AC98))</f>
        <v/>
      </c>
      <c r="AD7" s="155" t="n"/>
      <c r="AE7" s="157" t="inlineStr">
        <is>
          <t>12月份</t>
        </is>
      </c>
      <c r="AF7" s="158">
        <f>IF(AF69="","",SUM(AF69:AF98))</f>
        <v/>
      </c>
      <c r="AG7" s="158">
        <f>IF(AG69="","",SUM(AG69:AG98))</f>
        <v/>
      </c>
      <c r="AH7" s="158">
        <f>IF(AH69="","",SUM(AH69:AH98))</f>
        <v/>
      </c>
      <c r="AI7" s="158">
        <f>IF(AI69="","",SUM(AI69:AI98))</f>
        <v/>
      </c>
      <c r="AJ7" s="158">
        <f>IF(AJ69="","",SUM(AJ69:AJ98))</f>
        <v/>
      </c>
      <c r="AK7" s="158">
        <f>IF(AK69="","",SUM(AK69:AK98))</f>
        <v/>
      </c>
      <c r="AL7" s="158">
        <f>IF(AL69="","",SUM(AL69:AL98))</f>
        <v/>
      </c>
      <c r="AM7" s="158">
        <f>IF(AM69="","",SUM(AM69:AM98))</f>
        <v/>
      </c>
    </row>
    <row r="8" ht="16.5" customHeight="1" s="34">
      <c r="A8" s="11" t="n">
        <v>45200</v>
      </c>
      <c r="B8" s="160" t="n">
        <v>1234046.7</v>
      </c>
      <c r="C8" s="160" t="n">
        <v>432165.92</v>
      </c>
      <c r="D8" s="160" t="n">
        <v>392852.19</v>
      </c>
      <c r="E8" s="160" t="n">
        <v>39313.73</v>
      </c>
      <c r="F8" s="160" t="n">
        <v>273412.52</v>
      </c>
      <c r="G8" s="160" t="n">
        <v>158753.4</v>
      </c>
      <c r="H8" s="160" t="n">
        <v>21460.69</v>
      </c>
      <c r="I8" s="160" t="n">
        <v>801880.780000001</v>
      </c>
      <c r="K8" s="11">
        <f>A8</f>
        <v/>
      </c>
      <c r="L8" s="160" t="n">
        <v>867148.75</v>
      </c>
      <c r="M8" s="160" t="n">
        <v>361703.19</v>
      </c>
      <c r="N8" s="160" t="n">
        <v>355687.19</v>
      </c>
      <c r="O8" s="160" t="n">
        <v>6016</v>
      </c>
      <c r="P8" s="160" t="n">
        <v>315454.1</v>
      </c>
      <c r="Q8" s="160" t="n">
        <v>46249.09</v>
      </c>
      <c r="R8" s="160" t="n">
        <v>5224.1</v>
      </c>
      <c r="S8" s="160" t="n">
        <v>505445.56</v>
      </c>
      <c r="U8" s="11">
        <f>K8</f>
        <v/>
      </c>
      <c r="V8" s="160" t="n">
        <v>222930.15</v>
      </c>
      <c r="W8" s="160" t="n">
        <v>80309.8000000001</v>
      </c>
      <c r="X8" s="160" t="n">
        <v>80309.8000000001</v>
      </c>
      <c r="Y8" s="160" t="n">
        <v>0</v>
      </c>
      <c r="Z8" s="160" t="n">
        <v>72132.14</v>
      </c>
      <c r="AA8" s="160" t="n">
        <v>8177.66</v>
      </c>
      <c r="AB8" s="160" t="n">
        <v>1140.17</v>
      </c>
      <c r="AC8" s="160" t="n">
        <v>142620.35</v>
      </c>
      <c r="AE8" s="11">
        <f>U8</f>
        <v/>
      </c>
      <c r="AF8" s="160" t="n">
        <v>46451.33</v>
      </c>
      <c r="AG8" s="160" t="n">
        <v>22563.32</v>
      </c>
      <c r="AH8" s="160" t="n">
        <v>22558.37</v>
      </c>
      <c r="AI8" s="160" t="n">
        <v>4.95</v>
      </c>
      <c r="AJ8" s="160" t="n">
        <v>20914.49</v>
      </c>
      <c r="AK8" s="160" t="n">
        <v>1648.83</v>
      </c>
      <c r="AL8" s="160" t="n">
        <v>285.74</v>
      </c>
      <c r="AM8" s="160" t="n">
        <v>23888.01</v>
      </c>
    </row>
    <row r="9" ht="16.5" customHeight="1" s="34">
      <c r="A9" s="11" t="n">
        <v>45201</v>
      </c>
      <c r="B9" s="160" t="n">
        <v>1374607.07</v>
      </c>
      <c r="C9" s="160" t="n">
        <v>466141.28</v>
      </c>
      <c r="D9" s="160" t="n">
        <v>429406.96</v>
      </c>
      <c r="E9" s="160" t="n">
        <v>36734.32</v>
      </c>
      <c r="F9" s="160" t="n">
        <v>300633.58</v>
      </c>
      <c r="G9" s="160" t="n">
        <v>165507.7</v>
      </c>
      <c r="H9" s="160" t="n">
        <v>21798.57</v>
      </c>
      <c r="I9" s="160" t="n">
        <v>908465.789999999</v>
      </c>
      <c r="K9" s="11">
        <f>A9</f>
        <v/>
      </c>
      <c r="L9" s="160" t="n">
        <v>808095.5</v>
      </c>
      <c r="M9" s="160" t="n">
        <v>364236.75</v>
      </c>
      <c r="N9" s="160" t="n">
        <v>358415.1</v>
      </c>
      <c r="O9" s="160" t="n">
        <v>5821.65</v>
      </c>
      <c r="P9" s="160" t="n">
        <v>318785.55</v>
      </c>
      <c r="Q9" s="160" t="n">
        <v>45451.2</v>
      </c>
      <c r="R9" s="160" t="n">
        <v>5940.55</v>
      </c>
      <c r="S9" s="160" t="n">
        <v>443858.75</v>
      </c>
      <c r="U9" s="11">
        <f>K9</f>
        <v/>
      </c>
      <c r="V9" s="160" t="n">
        <v>230757.62</v>
      </c>
      <c r="W9" s="160" t="n">
        <v>83394.05</v>
      </c>
      <c r="X9" s="160" t="n">
        <v>83292.08</v>
      </c>
      <c r="Y9" s="160" t="n">
        <v>101.97</v>
      </c>
      <c r="Z9" s="160" t="n">
        <v>75676.88</v>
      </c>
      <c r="AA9" s="160" t="n">
        <v>7717.17</v>
      </c>
      <c r="AB9" s="160" t="n">
        <v>1359.82</v>
      </c>
      <c r="AC9" s="160" t="n">
        <v>147363.57</v>
      </c>
      <c r="AE9" s="11">
        <f>U9</f>
        <v/>
      </c>
      <c r="AF9" s="160" t="n">
        <v>43122.84</v>
      </c>
      <c r="AG9" s="160" t="n">
        <v>23497.02</v>
      </c>
      <c r="AH9" s="160" t="n">
        <v>23480.37</v>
      </c>
      <c r="AI9" s="160" t="n">
        <v>16.65</v>
      </c>
      <c r="AJ9" s="160" t="n">
        <v>21520.23</v>
      </c>
      <c r="AK9" s="160" t="n">
        <v>1976.79</v>
      </c>
      <c r="AL9" s="160" t="n">
        <v>285.71</v>
      </c>
      <c r="AM9" s="160" t="n">
        <v>19625.82</v>
      </c>
    </row>
    <row r="10" ht="16.5" customHeight="1" s="34">
      <c r="A10" s="11" t="n">
        <v>45202</v>
      </c>
      <c r="B10" s="160" t="n">
        <v>1449845.55</v>
      </c>
      <c r="C10" s="160" t="n">
        <v>494025.66</v>
      </c>
      <c r="D10" s="160" t="n">
        <v>448035.52</v>
      </c>
      <c r="E10" s="160" t="n">
        <v>45990.14</v>
      </c>
      <c r="F10" s="160" t="n">
        <v>310855.21</v>
      </c>
      <c r="G10" s="160" t="n">
        <v>183170.45</v>
      </c>
      <c r="H10" s="160" t="n">
        <v>21853.84</v>
      </c>
      <c r="I10" s="160" t="n">
        <v>955819.89</v>
      </c>
      <c r="K10" s="11">
        <f>A10</f>
        <v/>
      </c>
      <c r="L10" s="160" t="n">
        <v>840444.039999999</v>
      </c>
      <c r="M10" s="160" t="n">
        <v>384392.54</v>
      </c>
      <c r="N10" s="160" t="n">
        <v>377583.61</v>
      </c>
      <c r="O10" s="160" t="n">
        <v>6808.93</v>
      </c>
      <c r="P10" s="160" t="n">
        <v>339000.98</v>
      </c>
      <c r="Q10" s="160" t="n">
        <v>45391.56</v>
      </c>
      <c r="R10" s="160" t="n">
        <v>5899.35</v>
      </c>
      <c r="S10" s="160" t="n">
        <v>456051.5</v>
      </c>
      <c r="U10" s="11">
        <f>K10</f>
        <v/>
      </c>
      <c r="V10" s="160" t="n">
        <v>242510.5</v>
      </c>
      <c r="W10" s="160" t="n">
        <v>84401.67999999999</v>
      </c>
      <c r="X10" s="160" t="n">
        <v>84303.74000000001</v>
      </c>
      <c r="Y10" s="160" t="n">
        <v>97.94</v>
      </c>
      <c r="Z10" s="160" t="n">
        <v>76049.19</v>
      </c>
      <c r="AA10" s="160" t="n">
        <v>8352.49</v>
      </c>
      <c r="AB10" s="160" t="n">
        <v>1352.67</v>
      </c>
      <c r="AC10" s="160" t="n">
        <v>158108.82</v>
      </c>
      <c r="AE10" s="11">
        <f>U10</f>
        <v/>
      </c>
      <c r="AF10" s="160" t="n">
        <v>44468.6</v>
      </c>
      <c r="AG10" s="160" t="n">
        <v>25706.22</v>
      </c>
      <c r="AH10" s="160" t="n">
        <v>25678.94</v>
      </c>
      <c r="AI10" s="160" t="n">
        <v>27.28</v>
      </c>
      <c r="AJ10" s="160" t="n">
        <v>23332.2</v>
      </c>
      <c r="AK10" s="160" t="n">
        <v>2374.02</v>
      </c>
      <c r="AL10" s="160" t="n">
        <v>285.71</v>
      </c>
      <c r="AM10" s="160" t="n">
        <v>18762.38</v>
      </c>
    </row>
    <row r="11" ht="16.5" customHeight="1" s="34">
      <c r="A11" s="11" t="n">
        <v>45203</v>
      </c>
      <c r="B11" s="160" t="n">
        <v>1420027.54</v>
      </c>
      <c r="C11" s="160" t="n">
        <v>496448.240000001</v>
      </c>
      <c r="D11" s="160" t="n">
        <v>442685.07</v>
      </c>
      <c r="E11" s="160" t="n">
        <v>53763.17</v>
      </c>
      <c r="F11" s="160" t="n">
        <v>312591.78</v>
      </c>
      <c r="G11" s="160" t="n">
        <v>183856.46</v>
      </c>
      <c r="H11" s="160" t="n">
        <v>21859.91</v>
      </c>
      <c r="I11" s="160" t="n">
        <v>923579.300000001</v>
      </c>
      <c r="K11" s="11">
        <f>A11</f>
        <v/>
      </c>
      <c r="L11" s="160" t="n">
        <v>857016.36</v>
      </c>
      <c r="M11" s="160" t="n">
        <v>379537.93</v>
      </c>
      <c r="N11" s="160" t="n">
        <v>373305.69</v>
      </c>
      <c r="O11" s="160" t="n">
        <v>6232.24</v>
      </c>
      <c r="P11" s="160" t="n">
        <v>327929.3</v>
      </c>
      <c r="Q11" s="160" t="n">
        <v>51608.63</v>
      </c>
      <c r="R11" s="160" t="n">
        <v>5921.63</v>
      </c>
      <c r="S11" s="160" t="n">
        <v>477478.43</v>
      </c>
      <c r="U11" s="11">
        <f>K11</f>
        <v/>
      </c>
      <c r="V11" s="160" t="n">
        <v>242566.09</v>
      </c>
      <c r="W11" s="160" t="n">
        <v>84086.7500000001</v>
      </c>
      <c r="X11" s="160" t="n">
        <v>83988.8300000001</v>
      </c>
      <c r="Y11" s="160" t="n">
        <v>97.92</v>
      </c>
      <c r="Z11" s="160" t="n">
        <v>76698.27</v>
      </c>
      <c r="AA11" s="160" t="n">
        <v>7388.48</v>
      </c>
      <c r="AB11" s="160" t="n">
        <v>1348.44</v>
      </c>
      <c r="AC11" s="160" t="n">
        <v>158479.34</v>
      </c>
      <c r="AE11" s="11">
        <f>U11</f>
        <v/>
      </c>
      <c r="AF11" s="160" t="n">
        <v>44691.9</v>
      </c>
      <c r="AG11" s="160" t="n">
        <v>25589.82</v>
      </c>
      <c r="AH11" s="160" t="n">
        <v>25583.86</v>
      </c>
      <c r="AI11" s="160" t="n">
        <v>5.96</v>
      </c>
      <c r="AJ11" s="160" t="n">
        <v>23447.17</v>
      </c>
      <c r="AK11" s="160" t="n">
        <v>2142.65</v>
      </c>
      <c r="AL11" s="160" t="n">
        <v>285.71</v>
      </c>
      <c r="AM11" s="160" t="n">
        <v>19102.08</v>
      </c>
    </row>
    <row r="12" ht="16.5" customHeight="1" s="34">
      <c r="A12" s="11" t="n">
        <v>45204</v>
      </c>
      <c r="B12" s="160" t="n">
        <v>1393163.76</v>
      </c>
      <c r="C12" s="160" t="n">
        <v>491897.1</v>
      </c>
      <c r="D12" s="160" t="n">
        <v>437511.14</v>
      </c>
      <c r="E12" s="160" t="n">
        <v>54385.96</v>
      </c>
      <c r="F12" s="160" t="n">
        <v>296375.28</v>
      </c>
      <c r="G12" s="160" t="n">
        <v>195521.82</v>
      </c>
      <c r="H12" s="160" t="n">
        <v>21939.28</v>
      </c>
      <c r="I12" s="160" t="n">
        <v>901266.66</v>
      </c>
      <c r="K12" s="11">
        <f>A12</f>
        <v/>
      </c>
      <c r="L12" s="160" t="n">
        <v>823334.4199999979</v>
      </c>
      <c r="M12" s="160" t="n">
        <v>354596.36</v>
      </c>
      <c r="N12" s="160" t="n">
        <v>350597.38</v>
      </c>
      <c r="O12" s="160" t="n">
        <v>3998.98</v>
      </c>
      <c r="P12" s="160" t="n">
        <v>303685.73</v>
      </c>
      <c r="Q12" s="160" t="n">
        <v>50910.63</v>
      </c>
      <c r="R12" s="160" t="n">
        <v>5927.87</v>
      </c>
      <c r="S12" s="160" t="n">
        <v>468738.06</v>
      </c>
      <c r="U12" s="11">
        <f>K12</f>
        <v/>
      </c>
      <c r="V12" s="160" t="n">
        <v>228295.3</v>
      </c>
      <c r="W12" s="160" t="n">
        <v>80943.34</v>
      </c>
      <c r="X12" s="160" t="n">
        <v>80843.78</v>
      </c>
      <c r="Y12" s="160" t="n">
        <v>99.56</v>
      </c>
      <c r="Z12" s="160" t="n">
        <v>73880.71000000001</v>
      </c>
      <c r="AA12" s="160" t="n">
        <v>7062.63</v>
      </c>
      <c r="AB12" s="160" t="n">
        <v>1381.49</v>
      </c>
      <c r="AC12" s="160" t="n">
        <v>147351.96</v>
      </c>
      <c r="AE12" s="11">
        <f>U12</f>
        <v/>
      </c>
      <c r="AF12" s="160" t="n">
        <v>53322.37</v>
      </c>
      <c r="AG12" s="160" t="n">
        <v>23635.21</v>
      </c>
      <c r="AH12" s="160" t="n">
        <v>23629.87</v>
      </c>
      <c r="AI12" s="160" t="n">
        <v>5.34</v>
      </c>
      <c r="AJ12" s="160" t="n">
        <v>21296.26</v>
      </c>
      <c r="AK12" s="160" t="n">
        <v>2338.95</v>
      </c>
      <c r="AL12" s="160" t="n">
        <v>285.71</v>
      </c>
      <c r="AM12" s="160" t="n">
        <v>29687.16</v>
      </c>
    </row>
    <row r="13" ht="16.5" customHeight="1" s="34">
      <c r="A13" s="11" t="n">
        <v>45205</v>
      </c>
      <c r="B13" s="160" t="n">
        <v>1497629.56</v>
      </c>
      <c r="C13" s="160" t="n">
        <v>508196.55</v>
      </c>
      <c r="D13" s="160" t="n">
        <v>450680.25</v>
      </c>
      <c r="E13" s="160" t="n">
        <v>57516.3</v>
      </c>
      <c r="F13" s="160" t="n">
        <v>306479.71</v>
      </c>
      <c r="G13" s="160" t="n">
        <v>201716.84</v>
      </c>
      <c r="H13" s="160" t="n">
        <v>21960.39</v>
      </c>
      <c r="I13" s="160" t="n">
        <v>989433.0100000011</v>
      </c>
      <c r="K13" s="11">
        <f>A13</f>
        <v/>
      </c>
      <c r="L13" s="160" t="n">
        <v>837305.2</v>
      </c>
      <c r="M13" s="160" t="n">
        <v>360596.96</v>
      </c>
      <c r="N13" s="160" t="n">
        <v>355227.09</v>
      </c>
      <c r="O13" s="160" t="n">
        <v>5369.87</v>
      </c>
      <c r="P13" s="160" t="n">
        <v>305764.06</v>
      </c>
      <c r="Q13" s="160" t="n">
        <v>54832.9</v>
      </c>
      <c r="R13" s="160" t="n">
        <v>5877.64</v>
      </c>
      <c r="S13" s="160" t="n">
        <v>476708.24</v>
      </c>
      <c r="U13" s="11">
        <f>K13</f>
        <v/>
      </c>
      <c r="V13" s="160" t="n">
        <v>211121.12</v>
      </c>
      <c r="W13" s="160" t="n">
        <v>79053.77</v>
      </c>
      <c r="X13" s="160" t="n">
        <v>78921.89</v>
      </c>
      <c r="Y13" s="160" t="n">
        <v>131.88</v>
      </c>
      <c r="Z13" s="160" t="n">
        <v>70825.05</v>
      </c>
      <c r="AA13" s="160" t="n">
        <v>8228.719999999999</v>
      </c>
      <c r="AB13" s="160" t="n">
        <v>1324.94</v>
      </c>
      <c r="AC13" s="160" t="n">
        <v>132067.35</v>
      </c>
      <c r="AE13" s="11">
        <f>U13</f>
        <v/>
      </c>
      <c r="AF13" s="160" t="n">
        <v>57393.84</v>
      </c>
      <c r="AG13" s="160" t="n">
        <v>25266.09</v>
      </c>
      <c r="AH13" s="160" t="n">
        <v>25258.85</v>
      </c>
      <c r="AI13" s="160" t="n">
        <v>7.24</v>
      </c>
      <c r="AJ13" s="160" t="n">
        <v>22924.49</v>
      </c>
      <c r="AK13" s="160" t="n">
        <v>2341.6</v>
      </c>
      <c r="AL13" s="160" t="n">
        <v>285.71</v>
      </c>
      <c r="AM13" s="160" t="n">
        <v>32127.75</v>
      </c>
    </row>
    <row r="14" ht="16.5" customHeight="1" s="34">
      <c r="A14" s="11" t="n">
        <v>45206</v>
      </c>
      <c r="B14" s="160" t="n">
        <v>1646208.91</v>
      </c>
      <c r="C14" s="160" t="n">
        <v>568901.089999999</v>
      </c>
      <c r="D14" s="160" t="n">
        <v>517319.97</v>
      </c>
      <c r="E14" s="160" t="n">
        <v>51581.12</v>
      </c>
      <c r="F14" s="160" t="n">
        <v>305684.15</v>
      </c>
      <c r="G14" s="160" t="n">
        <v>263216.94</v>
      </c>
      <c r="H14" s="160" t="n">
        <v>21638.97</v>
      </c>
      <c r="I14" s="160" t="n">
        <v>1077307.82</v>
      </c>
      <c r="K14" s="11">
        <f>A14</f>
        <v/>
      </c>
      <c r="L14" s="160" t="n">
        <v>752088.570000001</v>
      </c>
      <c r="M14" s="160" t="n">
        <v>374369.19</v>
      </c>
      <c r="N14" s="160" t="n">
        <v>368730.32</v>
      </c>
      <c r="O14" s="160" t="n">
        <v>5638.87</v>
      </c>
      <c r="P14" s="160" t="n">
        <v>308837.59</v>
      </c>
      <c r="Q14" s="160" t="n">
        <v>65531.6</v>
      </c>
      <c r="R14" s="160" t="n">
        <v>5862.97</v>
      </c>
      <c r="S14" s="160" t="n">
        <v>377719.38</v>
      </c>
      <c r="U14" s="11">
        <f>K14</f>
        <v/>
      </c>
      <c r="V14" s="160" t="n">
        <v>233603.62</v>
      </c>
      <c r="W14" s="160" t="n">
        <v>85466.81</v>
      </c>
      <c r="X14" s="160" t="n">
        <v>85318.89</v>
      </c>
      <c r="Y14" s="160" t="n">
        <v>147.92</v>
      </c>
      <c r="Z14" s="160" t="n">
        <v>75036.14</v>
      </c>
      <c r="AA14" s="160" t="n">
        <v>10430.67</v>
      </c>
      <c r="AB14" s="160" t="n">
        <v>1392.55</v>
      </c>
      <c r="AC14" s="160" t="n">
        <v>148136.81</v>
      </c>
      <c r="AE14" s="11">
        <f>U14</f>
        <v/>
      </c>
      <c r="AF14" s="160" t="n">
        <v>67947.28999999999</v>
      </c>
      <c r="AG14" s="160" t="n">
        <v>27762.81</v>
      </c>
      <c r="AH14" s="160" t="n">
        <v>27747.96</v>
      </c>
      <c r="AI14" s="160" t="n">
        <v>14.85</v>
      </c>
      <c r="AJ14" s="160" t="n">
        <v>25812.75</v>
      </c>
      <c r="AK14" s="160" t="n">
        <v>1950.06</v>
      </c>
      <c r="AL14" s="160" t="n">
        <v>285.71</v>
      </c>
      <c r="AM14" s="160" t="n">
        <v>40184.48</v>
      </c>
    </row>
    <row r="15" ht="16.5" customHeight="1" s="34">
      <c r="A15" s="11" t="n">
        <v>45207</v>
      </c>
      <c r="B15" s="160" t="n">
        <v>1618420.11</v>
      </c>
      <c r="C15" s="160" t="n">
        <v>566727.36</v>
      </c>
      <c r="D15" s="160" t="n">
        <v>513985.47</v>
      </c>
      <c r="E15" s="160" t="n">
        <v>52741.89</v>
      </c>
      <c r="F15" s="160" t="n">
        <v>301716.76</v>
      </c>
      <c r="G15" s="160" t="n">
        <v>265010.6</v>
      </c>
      <c r="H15" s="160" t="n">
        <v>21519.01</v>
      </c>
      <c r="I15" s="160" t="n">
        <v>1051692.75</v>
      </c>
      <c r="K15" s="11">
        <f>A15</f>
        <v/>
      </c>
      <c r="L15" s="160" t="n">
        <v>750341.83</v>
      </c>
      <c r="M15" s="160" t="n">
        <v>366835.01</v>
      </c>
      <c r="N15" s="160" t="n">
        <v>361578.99</v>
      </c>
      <c r="O15" s="160" t="n">
        <v>5256.02</v>
      </c>
      <c r="P15" s="160" t="n">
        <v>304325</v>
      </c>
      <c r="Q15" s="160" t="n">
        <v>62510.01</v>
      </c>
      <c r="R15" s="160" t="n">
        <v>5803.98</v>
      </c>
      <c r="S15" s="160" t="n">
        <v>383506.82</v>
      </c>
      <c r="U15" s="11">
        <f>K15</f>
        <v/>
      </c>
      <c r="V15" s="160" t="n">
        <v>222322.4</v>
      </c>
      <c r="W15" s="160" t="n">
        <v>87460.71000000001</v>
      </c>
      <c r="X15" s="160" t="n">
        <v>87460.71000000001</v>
      </c>
      <c r="Y15" s="160" t="n">
        <v>0</v>
      </c>
      <c r="Z15" s="160" t="n">
        <v>77247.85000000001</v>
      </c>
      <c r="AA15" s="160" t="n">
        <v>10212.86</v>
      </c>
      <c r="AB15" s="160" t="n">
        <v>1373.75</v>
      </c>
      <c r="AC15" s="160" t="n">
        <v>134861.69</v>
      </c>
      <c r="AE15" s="11">
        <f>U15</f>
        <v/>
      </c>
      <c r="AF15" s="160" t="n">
        <v>71262.03</v>
      </c>
      <c r="AG15" s="160" t="n">
        <v>27664.75</v>
      </c>
      <c r="AH15" s="160" t="n">
        <v>27556.89</v>
      </c>
      <c r="AI15" s="160" t="n">
        <v>107.86</v>
      </c>
      <c r="AJ15" s="160" t="n">
        <v>25212.44</v>
      </c>
      <c r="AK15" s="160" t="n">
        <v>2452.31</v>
      </c>
      <c r="AL15" s="160" t="n">
        <v>285.74</v>
      </c>
      <c r="AM15" s="160" t="n">
        <v>43597.28</v>
      </c>
    </row>
    <row r="16" ht="16.5" customHeight="1" s="34">
      <c r="A16" s="11" t="n">
        <v>45208</v>
      </c>
      <c r="B16" s="160" t="n">
        <v>1673085.75</v>
      </c>
      <c r="C16" s="160" t="n">
        <v>591364.8199999999</v>
      </c>
      <c r="D16" s="160" t="n">
        <v>546559.05</v>
      </c>
      <c r="E16" s="160" t="n">
        <v>44805.77</v>
      </c>
      <c r="F16" s="160" t="n">
        <v>305641.84</v>
      </c>
      <c r="G16" s="160" t="n">
        <v>285722.98</v>
      </c>
      <c r="H16" s="160" t="n">
        <v>23130.24</v>
      </c>
      <c r="I16" s="160" t="n">
        <v>1081720.93</v>
      </c>
      <c r="K16" s="11">
        <f>A16</f>
        <v/>
      </c>
      <c r="L16" s="160" t="n">
        <v>740353.66</v>
      </c>
      <c r="M16" s="160" t="n">
        <v>360641.98</v>
      </c>
      <c r="N16" s="160" t="n">
        <v>356637.54</v>
      </c>
      <c r="O16" s="160" t="n">
        <v>4004.44</v>
      </c>
      <c r="P16" s="160" t="n">
        <v>294929.58</v>
      </c>
      <c r="Q16" s="160" t="n">
        <v>65712.39999999999</v>
      </c>
      <c r="R16" s="160" t="n">
        <v>5500.46</v>
      </c>
      <c r="S16" s="160" t="n">
        <v>379711.679999999</v>
      </c>
      <c r="U16" s="11">
        <f>K16</f>
        <v/>
      </c>
      <c r="V16" s="160" t="n">
        <v>216504.06</v>
      </c>
      <c r="W16" s="160" t="n">
        <v>80404.14999999999</v>
      </c>
      <c r="X16" s="160" t="n">
        <v>80305.23</v>
      </c>
      <c r="Y16" s="160" t="n">
        <v>98.92</v>
      </c>
      <c r="Z16" s="160" t="n">
        <v>69343.64999999999</v>
      </c>
      <c r="AA16" s="160" t="n">
        <v>11060.5</v>
      </c>
      <c r="AB16" s="160" t="n">
        <v>1120.94</v>
      </c>
      <c r="AC16" s="160" t="n">
        <v>136099.91</v>
      </c>
      <c r="AE16" s="11">
        <f>U16</f>
        <v/>
      </c>
      <c r="AF16" s="160" t="n">
        <v>65799.03</v>
      </c>
      <c r="AG16" s="160" t="n">
        <v>23540.6</v>
      </c>
      <c r="AH16" s="160" t="n">
        <v>23426.05</v>
      </c>
      <c r="AI16" s="160" t="n">
        <v>114.55</v>
      </c>
      <c r="AJ16" s="160" t="n">
        <v>21240.28</v>
      </c>
      <c r="AK16" s="160" t="n">
        <v>2300.32</v>
      </c>
      <c r="AL16" s="160" t="n">
        <v>0</v>
      </c>
      <c r="AM16" s="160" t="n">
        <v>42258.43</v>
      </c>
    </row>
    <row r="17" ht="16.5" customHeight="1" s="34">
      <c r="A17" s="11" t="n">
        <v>45209</v>
      </c>
      <c r="B17" s="160" t="n">
        <v>1665742.27</v>
      </c>
      <c r="C17" s="160" t="n">
        <v>596560.54</v>
      </c>
      <c r="D17" s="160" t="n">
        <v>549239.11</v>
      </c>
      <c r="E17" s="160" t="n">
        <v>47321.43</v>
      </c>
      <c r="F17" s="160" t="n">
        <v>302263.02</v>
      </c>
      <c r="G17" s="160" t="n">
        <v>294297.52</v>
      </c>
      <c r="H17" s="160" t="n">
        <v>23064.75</v>
      </c>
      <c r="I17" s="160" t="n">
        <v>1069181.73</v>
      </c>
      <c r="K17" s="11">
        <f>A17</f>
        <v/>
      </c>
      <c r="L17" s="160" t="n">
        <v>710868.6800000001</v>
      </c>
      <c r="M17" s="160" t="n">
        <v>353180.89</v>
      </c>
      <c r="N17" s="160" t="n">
        <v>347950.51</v>
      </c>
      <c r="O17" s="160" t="n">
        <v>5230.38</v>
      </c>
      <c r="P17" s="160" t="n">
        <v>287769.72</v>
      </c>
      <c r="Q17" s="160" t="n">
        <v>65411.17</v>
      </c>
      <c r="R17" s="160" t="n">
        <v>7252.59</v>
      </c>
      <c r="S17" s="160" t="n">
        <v>357687.79</v>
      </c>
      <c r="U17" s="11">
        <f>K17</f>
        <v/>
      </c>
      <c r="V17" s="160" t="n">
        <v>215076.3</v>
      </c>
      <c r="W17" s="160" t="n">
        <v>79969.71000000001</v>
      </c>
      <c r="X17" s="160" t="n">
        <v>79871.77</v>
      </c>
      <c r="Y17" s="160" t="n">
        <v>97.94</v>
      </c>
      <c r="Z17" s="160" t="n">
        <v>68959.67999999999</v>
      </c>
      <c r="AA17" s="160" t="n">
        <v>11010.03</v>
      </c>
      <c r="AB17" s="160" t="n">
        <v>1118.01</v>
      </c>
      <c r="AC17" s="160" t="n">
        <v>135106.59</v>
      </c>
      <c r="AE17" s="11">
        <f>U17</f>
        <v/>
      </c>
      <c r="AF17" s="160" t="n">
        <v>73039.98</v>
      </c>
      <c r="AG17" s="160" t="n">
        <v>26330.19</v>
      </c>
      <c r="AH17" s="160" t="n">
        <v>26221.96</v>
      </c>
      <c r="AI17" s="160" t="n">
        <v>108.23</v>
      </c>
      <c r="AJ17" s="160" t="n">
        <v>24066.77</v>
      </c>
      <c r="AK17" s="160" t="n">
        <v>2263.42</v>
      </c>
      <c r="AL17" s="160" t="n">
        <v>0</v>
      </c>
      <c r="AM17" s="160" t="n">
        <v>46709.79</v>
      </c>
    </row>
    <row r="18" ht="16.5" customHeight="1" s="34">
      <c r="A18" s="11" t="n">
        <v>45210</v>
      </c>
      <c r="B18" s="160" t="n">
        <v>1709108.98</v>
      </c>
      <c r="C18" s="160" t="n">
        <v>592615.09</v>
      </c>
      <c r="D18" s="160" t="n">
        <v>545026.0699999999</v>
      </c>
      <c r="E18" s="160" t="n">
        <v>47589.02</v>
      </c>
      <c r="F18" s="160" t="n">
        <v>304662.36</v>
      </c>
      <c r="G18" s="160" t="n">
        <v>287952.73</v>
      </c>
      <c r="H18" s="160" t="n">
        <v>22993.4</v>
      </c>
      <c r="I18" s="160" t="n">
        <v>1116493.89</v>
      </c>
      <c r="K18" s="11">
        <f>A18</f>
        <v/>
      </c>
      <c r="L18" s="160" t="n">
        <v>704429.08</v>
      </c>
      <c r="M18" s="160" t="n">
        <v>355102.91</v>
      </c>
      <c r="N18" s="160" t="n">
        <v>350576.97</v>
      </c>
      <c r="O18" s="160" t="n">
        <v>4525.94</v>
      </c>
      <c r="P18" s="160" t="n">
        <v>292058.43</v>
      </c>
      <c r="Q18" s="160" t="n">
        <v>63044.48</v>
      </c>
      <c r="R18" s="160" t="n">
        <v>7243.36</v>
      </c>
      <c r="S18" s="160" t="n">
        <v>349326.17</v>
      </c>
      <c r="U18" s="11">
        <f>K18</f>
        <v/>
      </c>
      <c r="V18" s="160" t="n">
        <v>222692.3</v>
      </c>
      <c r="W18" s="160" t="n">
        <v>80894.21000000001</v>
      </c>
      <c r="X18" s="160" t="n">
        <v>80794.89999999999</v>
      </c>
      <c r="Y18" s="160" t="n">
        <v>99.31</v>
      </c>
      <c r="Z18" s="160" t="n">
        <v>70968.32000000001</v>
      </c>
      <c r="AA18" s="160" t="n">
        <v>9925.89000000001</v>
      </c>
      <c r="AB18" s="160" t="n">
        <v>1099.6</v>
      </c>
      <c r="AC18" s="160" t="n">
        <v>141798.09</v>
      </c>
      <c r="AE18" s="11">
        <f>U18</f>
        <v/>
      </c>
      <c r="AF18" s="160" t="n">
        <v>73159.14</v>
      </c>
      <c r="AG18" s="160" t="n">
        <v>26639.35</v>
      </c>
      <c r="AH18" s="160" t="n">
        <v>26604.29</v>
      </c>
      <c r="AI18" s="160" t="n">
        <v>35.06</v>
      </c>
      <c r="AJ18" s="160" t="n">
        <v>24489.8</v>
      </c>
      <c r="AK18" s="160" t="n">
        <v>2149.55</v>
      </c>
      <c r="AL18" s="160" t="n">
        <v>0</v>
      </c>
      <c r="AM18" s="160" t="n">
        <v>46519.79</v>
      </c>
    </row>
    <row r="19" ht="16.5" customHeight="1" s="34">
      <c r="A19" s="11" t="n">
        <v>45211</v>
      </c>
      <c r="B19" s="160" t="n">
        <v>1762917.66</v>
      </c>
      <c r="C19" s="160" t="n">
        <v>618870.389999999</v>
      </c>
      <c r="D19" s="160" t="n">
        <v>566820.089999999</v>
      </c>
      <c r="E19" s="160" t="n">
        <v>52050.3</v>
      </c>
      <c r="F19" s="160" t="n">
        <v>315263.16</v>
      </c>
      <c r="G19" s="160" t="n">
        <v>303607.230000001</v>
      </c>
      <c r="H19" s="160" t="n">
        <v>22944.18</v>
      </c>
      <c r="I19" s="160" t="n">
        <v>1144047.27</v>
      </c>
      <c r="K19" s="11">
        <f>A19</f>
        <v/>
      </c>
      <c r="L19" s="160" t="n">
        <v>717760.4</v>
      </c>
      <c r="M19" s="160" t="n">
        <v>360017.98</v>
      </c>
      <c r="N19" s="160" t="n">
        <v>356465.71</v>
      </c>
      <c r="O19" s="160" t="n">
        <v>3552.27</v>
      </c>
      <c r="P19" s="160" t="n">
        <v>293239.87</v>
      </c>
      <c r="Q19" s="160" t="n">
        <v>66778.1100000001</v>
      </c>
      <c r="R19" s="160" t="n">
        <v>7366.7</v>
      </c>
      <c r="S19" s="160" t="n">
        <v>357742.42</v>
      </c>
      <c r="U19" s="11">
        <f>K19</f>
        <v/>
      </c>
      <c r="V19" s="160" t="n">
        <v>232338.88</v>
      </c>
      <c r="W19" s="160" t="n">
        <v>82522.38</v>
      </c>
      <c r="X19" s="160" t="n">
        <v>82422.64999999999</v>
      </c>
      <c r="Y19" s="160" t="n">
        <v>99.73</v>
      </c>
      <c r="Z19" s="160" t="n">
        <v>72214.82000000001</v>
      </c>
      <c r="AA19" s="160" t="n">
        <v>10307.56</v>
      </c>
      <c r="AB19" s="160" t="n">
        <v>1100.88</v>
      </c>
      <c r="AC19" s="160" t="n">
        <v>149816.5</v>
      </c>
      <c r="AE19" s="11">
        <f>U19</f>
        <v/>
      </c>
      <c r="AF19" s="160" t="n">
        <v>69217.53999999991</v>
      </c>
      <c r="AG19" s="160" t="n">
        <v>25061.83</v>
      </c>
      <c r="AH19" s="160" t="n">
        <v>25050.25</v>
      </c>
      <c r="AI19" s="160" t="n">
        <v>11.58</v>
      </c>
      <c r="AJ19" s="160" t="n">
        <v>22701.36</v>
      </c>
      <c r="AK19" s="160" t="n">
        <v>2360.47</v>
      </c>
      <c r="AL19" s="160" t="n">
        <v>0</v>
      </c>
      <c r="AM19" s="160" t="n">
        <v>44155.71</v>
      </c>
    </row>
    <row r="20" ht="16.5" customHeight="1" s="34">
      <c r="A20" s="11" t="n">
        <v>45212</v>
      </c>
      <c r="B20" s="160" t="n">
        <v>1746005.07</v>
      </c>
      <c r="C20" s="160" t="n">
        <v>604299.220000001</v>
      </c>
      <c r="D20" s="160" t="n">
        <v>556725.420000001</v>
      </c>
      <c r="E20" s="160" t="n">
        <v>47573.8</v>
      </c>
      <c r="F20" s="160" t="n">
        <v>311830.26</v>
      </c>
      <c r="G20" s="160" t="n">
        <v>292468.96</v>
      </c>
      <c r="H20" s="160" t="n">
        <v>23018.25</v>
      </c>
      <c r="I20" s="160" t="n">
        <v>1141705.85</v>
      </c>
      <c r="K20" s="11">
        <f>A20</f>
        <v/>
      </c>
      <c r="L20" s="160" t="n">
        <v>729616.9</v>
      </c>
      <c r="M20" s="160" t="n">
        <v>377755.41</v>
      </c>
      <c r="N20" s="160" t="n">
        <v>372718.63</v>
      </c>
      <c r="O20" s="160" t="n">
        <v>5036.78</v>
      </c>
      <c r="P20" s="160" t="n">
        <v>314570.06</v>
      </c>
      <c r="Q20" s="160" t="n">
        <v>63185.3499999999</v>
      </c>
      <c r="R20" s="160" t="n">
        <v>7336.37</v>
      </c>
      <c r="S20" s="160" t="n">
        <v>351861.49</v>
      </c>
      <c r="U20" s="11">
        <f>K20</f>
        <v/>
      </c>
      <c r="V20" s="160" t="n">
        <v>212291.03</v>
      </c>
      <c r="W20" s="160" t="n">
        <v>79876.52000000011</v>
      </c>
      <c r="X20" s="160" t="n">
        <v>79735.13000000011</v>
      </c>
      <c r="Y20" s="160" t="n">
        <v>141.39</v>
      </c>
      <c r="Z20" s="160" t="n">
        <v>69032.72</v>
      </c>
      <c r="AA20" s="160" t="n">
        <v>10843.8</v>
      </c>
      <c r="AB20" s="160" t="n">
        <v>1088.64</v>
      </c>
      <c r="AC20" s="160" t="n">
        <v>132414.51</v>
      </c>
      <c r="AE20" s="11">
        <f>U20</f>
        <v/>
      </c>
      <c r="AF20" s="160" t="n">
        <v>69652.78999999999</v>
      </c>
      <c r="AG20" s="160" t="n">
        <v>26361.38</v>
      </c>
      <c r="AH20" s="160" t="n">
        <v>26336.08</v>
      </c>
      <c r="AI20" s="160" t="n">
        <v>25.3</v>
      </c>
      <c r="AJ20" s="160" t="n">
        <v>23950.63</v>
      </c>
      <c r="AK20" s="160" t="n">
        <v>2410.75</v>
      </c>
      <c r="AL20" s="160" t="n">
        <v>0</v>
      </c>
      <c r="AM20" s="160" t="n">
        <v>43291.41</v>
      </c>
    </row>
    <row r="21" ht="16.5" customHeight="1" s="34">
      <c r="A21" s="11" t="n">
        <v>45213</v>
      </c>
      <c r="B21" s="160" t="n">
        <v>1635670.62</v>
      </c>
      <c r="C21" s="160" t="n">
        <v>559727.430000001</v>
      </c>
      <c r="D21" s="160" t="n">
        <v>508176.08</v>
      </c>
      <c r="E21" s="160" t="n">
        <v>51551.35</v>
      </c>
      <c r="F21" s="160" t="n">
        <v>328890.32</v>
      </c>
      <c r="G21" s="160" t="n">
        <v>230837.11</v>
      </c>
      <c r="H21" s="160" t="n">
        <v>22815.99</v>
      </c>
      <c r="I21" s="160" t="n">
        <v>1075943.19</v>
      </c>
      <c r="K21" s="11">
        <f>A21</f>
        <v/>
      </c>
      <c r="L21" s="160" t="n">
        <v>763464.42</v>
      </c>
      <c r="M21" s="160" t="n">
        <v>383387.27</v>
      </c>
      <c r="N21" s="160" t="n">
        <v>378418.5</v>
      </c>
      <c r="O21" s="160" t="n">
        <v>4968.77</v>
      </c>
      <c r="P21" s="160" t="n">
        <v>325331.38</v>
      </c>
      <c r="Q21" s="160" t="n">
        <v>58055.89</v>
      </c>
      <c r="R21" s="160" t="n">
        <v>7200.24</v>
      </c>
      <c r="S21" s="160" t="n">
        <v>380077.15</v>
      </c>
      <c r="U21" s="11">
        <f>K21</f>
        <v/>
      </c>
      <c r="V21" s="160" t="n">
        <v>204343.71</v>
      </c>
      <c r="W21" s="160" t="n">
        <v>80254.5</v>
      </c>
      <c r="X21" s="160" t="n">
        <v>80105.4999999999</v>
      </c>
      <c r="Y21" s="160" t="n">
        <v>149</v>
      </c>
      <c r="Z21" s="160" t="n">
        <v>70211.00999999999</v>
      </c>
      <c r="AA21" s="160" t="n">
        <v>10043.49</v>
      </c>
      <c r="AB21" s="160" t="n">
        <v>1136.44</v>
      </c>
      <c r="AC21" s="160" t="n">
        <v>124089.21</v>
      </c>
      <c r="AE21" s="11">
        <f>U21</f>
        <v/>
      </c>
      <c r="AF21" s="160" t="n">
        <v>68573.92999999999</v>
      </c>
      <c r="AG21" s="160" t="n">
        <v>23729.1</v>
      </c>
      <c r="AH21" s="160" t="n">
        <v>23696.41</v>
      </c>
      <c r="AI21" s="160" t="n">
        <v>32.69</v>
      </c>
      <c r="AJ21" s="160" t="n">
        <v>21436.79</v>
      </c>
      <c r="AK21" s="160" t="n">
        <v>2292.31</v>
      </c>
      <c r="AL21" s="160" t="n">
        <v>0</v>
      </c>
      <c r="AM21" s="160" t="n">
        <v>44844.83</v>
      </c>
    </row>
    <row r="22" ht="16.5" customHeight="1" s="34">
      <c r="A22" s="11" t="n">
        <v>45214</v>
      </c>
      <c r="B22" s="160" t="n">
        <v>1591199.31</v>
      </c>
      <c r="C22" s="160" t="n">
        <v>551331.75</v>
      </c>
      <c r="D22" s="160" t="n">
        <v>499341.3</v>
      </c>
      <c r="E22" s="160" t="n">
        <v>51990.45</v>
      </c>
      <c r="F22" s="160" t="n">
        <v>329050.28</v>
      </c>
      <c r="G22" s="160" t="n">
        <v>222281.47</v>
      </c>
      <c r="H22" s="160" t="n">
        <v>22625.89</v>
      </c>
      <c r="I22" s="160" t="n">
        <v>1039867.56</v>
      </c>
      <c r="K22" s="11">
        <f>A22</f>
        <v/>
      </c>
      <c r="L22" s="160" t="n">
        <v>826528.850000001</v>
      </c>
      <c r="M22" s="160" t="n">
        <v>394681.91</v>
      </c>
      <c r="N22" s="160" t="n">
        <v>391821.87</v>
      </c>
      <c r="O22" s="160" t="n">
        <v>2860.04</v>
      </c>
      <c r="P22" s="160" t="n">
        <v>336149.24</v>
      </c>
      <c r="Q22" s="160" t="n">
        <v>58532.67</v>
      </c>
      <c r="R22" s="160" t="n">
        <v>7294.69</v>
      </c>
      <c r="S22" s="160" t="n">
        <v>431846.94</v>
      </c>
      <c r="U22" s="11">
        <f>K22</f>
        <v/>
      </c>
      <c r="V22" s="160" t="n">
        <v>217681.8</v>
      </c>
      <c r="W22" s="160" t="n">
        <v>79895.36</v>
      </c>
      <c r="X22" s="160" t="n">
        <v>79895.36</v>
      </c>
      <c r="Y22" s="160" t="n">
        <v>0</v>
      </c>
      <c r="Z22" s="160" t="n">
        <v>71015.33</v>
      </c>
      <c r="AA22" s="160" t="n">
        <v>8880.030000000001</v>
      </c>
      <c r="AB22" s="160" t="n">
        <v>1099.41</v>
      </c>
      <c r="AC22" s="160" t="n">
        <v>137786.44</v>
      </c>
      <c r="AE22" s="11">
        <f>U22</f>
        <v/>
      </c>
      <c r="AF22" s="160" t="n">
        <v>65779.78</v>
      </c>
      <c r="AG22" s="160" t="n">
        <v>26451.44</v>
      </c>
      <c r="AH22" s="160" t="n">
        <v>26122.85</v>
      </c>
      <c r="AI22" s="160" t="n">
        <v>328.59</v>
      </c>
      <c r="AJ22" s="160" t="n">
        <v>23503.27</v>
      </c>
      <c r="AK22" s="160" t="n">
        <v>2948.17</v>
      </c>
      <c r="AL22" s="160" t="n">
        <v>0</v>
      </c>
      <c r="AM22" s="160" t="n">
        <v>39328.34</v>
      </c>
    </row>
    <row r="23" ht="16.5" customHeight="1" s="34">
      <c r="A23" s="11" t="n">
        <v>45215</v>
      </c>
      <c r="B23" s="160" t="n">
        <v>1795572.97</v>
      </c>
      <c r="C23" s="160" t="n">
        <v>611759.2700000009</v>
      </c>
      <c r="D23" s="160" t="n">
        <v>564390.85</v>
      </c>
      <c r="E23" s="160" t="n">
        <v>47368.42</v>
      </c>
      <c r="F23" s="160" t="n">
        <v>315274.98</v>
      </c>
      <c r="G23" s="160" t="n">
        <v>296484.29</v>
      </c>
      <c r="H23" s="160" t="n">
        <v>23187.25</v>
      </c>
      <c r="I23" s="160" t="n">
        <v>1183813.7</v>
      </c>
      <c r="K23" s="11">
        <f>A23</f>
        <v/>
      </c>
      <c r="L23" s="160" t="n">
        <v>721694.370000001</v>
      </c>
      <c r="M23" s="160" t="n">
        <v>380908.68</v>
      </c>
      <c r="N23" s="160" t="n">
        <v>377099.68</v>
      </c>
      <c r="O23" s="160" t="n">
        <v>3809</v>
      </c>
      <c r="P23" s="160" t="n">
        <v>313743.77</v>
      </c>
      <c r="Q23" s="160" t="n">
        <v>67164.91</v>
      </c>
      <c r="R23" s="160" t="n">
        <v>6756.72</v>
      </c>
      <c r="S23" s="160" t="n">
        <v>340785.69</v>
      </c>
      <c r="U23" s="11">
        <f>K23</f>
        <v/>
      </c>
      <c r="V23" s="160" t="n">
        <v>214701.23</v>
      </c>
      <c r="W23" s="160" t="n">
        <v>83919.21000000001</v>
      </c>
      <c r="X23" s="160" t="n">
        <v>83919</v>
      </c>
      <c r="Y23" s="160" t="n">
        <v>0.21</v>
      </c>
      <c r="Z23" s="160" t="n">
        <v>73026.41</v>
      </c>
      <c r="AA23" s="160" t="n">
        <v>10892.8</v>
      </c>
      <c r="AB23" s="160" t="n">
        <v>384.57</v>
      </c>
      <c r="AC23" s="160" t="n">
        <v>130782.02</v>
      </c>
      <c r="AE23" s="11">
        <f>U23</f>
        <v/>
      </c>
      <c r="AF23" s="160" t="n">
        <v>66916.75</v>
      </c>
      <c r="AG23" s="160" t="n">
        <v>23483.85</v>
      </c>
      <c r="AH23" s="160" t="n">
        <v>23170.38</v>
      </c>
      <c r="AI23" s="160" t="n">
        <v>313.47</v>
      </c>
      <c r="AJ23" s="160" t="n">
        <v>20774.39</v>
      </c>
      <c r="AK23" s="160" t="n">
        <v>2709.46</v>
      </c>
      <c r="AL23" s="160" t="n">
        <v>0</v>
      </c>
      <c r="AM23" s="160" t="n">
        <v>43432.9</v>
      </c>
    </row>
    <row r="24" ht="16.5" customHeight="1" s="34">
      <c r="A24" s="11" t="n">
        <v>45216</v>
      </c>
      <c r="B24" s="160" t="n">
        <v>1782413.53</v>
      </c>
      <c r="C24" s="160" t="n">
        <v>615252.5</v>
      </c>
      <c r="D24" s="160" t="n">
        <v>566380.15</v>
      </c>
      <c r="E24" s="160" t="n">
        <v>48872.35</v>
      </c>
      <c r="F24" s="160" t="n">
        <v>318285.19</v>
      </c>
      <c r="G24" s="160" t="n">
        <v>296967.31</v>
      </c>
      <c r="H24" s="160" t="n">
        <v>23261.89</v>
      </c>
      <c r="I24" s="160" t="n">
        <v>1167161.03</v>
      </c>
      <c r="K24" s="11">
        <f>A24</f>
        <v/>
      </c>
      <c r="L24" s="160" t="n">
        <v>689564.09</v>
      </c>
      <c r="M24" s="160" t="n">
        <v>375784.56</v>
      </c>
      <c r="N24" s="160" t="n">
        <v>370892.67</v>
      </c>
      <c r="O24" s="160" t="n">
        <v>4891.89</v>
      </c>
      <c r="P24" s="160" t="n">
        <v>303006.52</v>
      </c>
      <c r="Q24" s="160" t="n">
        <v>72778.03999999999</v>
      </c>
      <c r="R24" s="160" t="n">
        <v>6759.45</v>
      </c>
      <c r="S24" s="160" t="n">
        <v>313779.53</v>
      </c>
      <c r="U24" s="11">
        <f>K24</f>
        <v/>
      </c>
      <c r="V24" s="160" t="n">
        <v>203826.58</v>
      </c>
      <c r="W24" s="160" t="n">
        <v>79105.10000000001</v>
      </c>
      <c r="X24" s="160" t="n">
        <v>78889.84</v>
      </c>
      <c r="Y24" s="160" t="n">
        <v>215.26</v>
      </c>
      <c r="Z24" s="160" t="n">
        <v>68553.66</v>
      </c>
      <c r="AA24" s="160" t="n">
        <v>10551.44</v>
      </c>
      <c r="AB24" s="160" t="n">
        <v>402.4</v>
      </c>
      <c r="AC24" s="160" t="n">
        <v>124721.48</v>
      </c>
      <c r="AE24" s="11">
        <f>U24</f>
        <v/>
      </c>
      <c r="AF24" s="160" t="n">
        <v>58118.81</v>
      </c>
      <c r="AG24" s="160" t="n">
        <v>22752.27</v>
      </c>
      <c r="AH24" s="160" t="n">
        <v>22417.65</v>
      </c>
      <c r="AI24" s="160" t="n">
        <v>334.62</v>
      </c>
      <c r="AJ24" s="160" t="n">
        <v>20370.66</v>
      </c>
      <c r="AK24" s="160" t="n">
        <v>2381.61</v>
      </c>
      <c r="AL24" s="160" t="n">
        <v>0</v>
      </c>
      <c r="AM24" s="160" t="n">
        <v>35366.54</v>
      </c>
    </row>
    <row r="25" ht="16.5" customHeight="1" s="34">
      <c r="A25" s="11" t="n">
        <v>45217</v>
      </c>
      <c r="B25" s="160" t="n">
        <v>1757764.96</v>
      </c>
      <c r="C25" s="160" t="n">
        <v>616302.73</v>
      </c>
      <c r="D25" s="160" t="n">
        <v>560669.189999999</v>
      </c>
      <c r="E25" s="160" t="n">
        <v>55633.54</v>
      </c>
      <c r="F25" s="160" t="n">
        <v>309698.74</v>
      </c>
      <c r="G25" s="160" t="n">
        <v>306603.99</v>
      </c>
      <c r="H25" s="160" t="n">
        <v>23348.33</v>
      </c>
      <c r="I25" s="160" t="n">
        <v>1141462.23</v>
      </c>
      <c r="K25" s="11">
        <f>A25</f>
        <v/>
      </c>
      <c r="L25" s="160" t="n">
        <v>759794.339999999</v>
      </c>
      <c r="M25" s="160" t="n">
        <v>376851.83</v>
      </c>
      <c r="N25" s="160" t="n">
        <v>371842.32</v>
      </c>
      <c r="O25" s="160" t="n">
        <v>5009.51</v>
      </c>
      <c r="P25" s="160" t="n">
        <v>302468.81</v>
      </c>
      <c r="Q25" s="160" t="n">
        <v>74383.02000000011</v>
      </c>
      <c r="R25" s="160" t="n">
        <v>6694.32</v>
      </c>
      <c r="S25" s="160" t="n">
        <v>382942.51</v>
      </c>
      <c r="U25" s="11">
        <f>K25</f>
        <v/>
      </c>
      <c r="V25" s="160" t="n">
        <v>211892.41</v>
      </c>
      <c r="W25" s="160" t="n">
        <v>80137.28999999999</v>
      </c>
      <c r="X25" s="160" t="n">
        <v>79007.27</v>
      </c>
      <c r="Y25" s="160" t="n">
        <v>1130.02</v>
      </c>
      <c r="Z25" s="160" t="n">
        <v>69559.66</v>
      </c>
      <c r="AA25" s="160" t="n">
        <v>10577.63</v>
      </c>
      <c r="AB25" s="160" t="n">
        <v>387.88</v>
      </c>
      <c r="AC25" s="160" t="n">
        <v>131755.12</v>
      </c>
      <c r="AE25" s="11">
        <f>U25</f>
        <v/>
      </c>
      <c r="AF25" s="160" t="n">
        <v>62561.24</v>
      </c>
      <c r="AG25" s="160" t="n">
        <v>25194.08</v>
      </c>
      <c r="AH25" s="160" t="n">
        <v>24787.16</v>
      </c>
      <c r="AI25" s="160" t="n">
        <v>406.92</v>
      </c>
      <c r="AJ25" s="160" t="n">
        <v>21934.21</v>
      </c>
      <c r="AK25" s="160" t="n">
        <v>3259.87</v>
      </c>
      <c r="AL25" s="160" t="n">
        <v>0</v>
      </c>
      <c r="AM25" s="160" t="n">
        <v>37367.16</v>
      </c>
    </row>
    <row r="26" ht="16.5" customHeight="1" s="34">
      <c r="A26" s="11" t="n">
        <v>45218</v>
      </c>
      <c r="B26" s="160" t="n">
        <v>1780739.27</v>
      </c>
      <c r="C26" s="160" t="n">
        <v>622717.549999999</v>
      </c>
      <c r="D26" s="160" t="n">
        <v>569521.579999999</v>
      </c>
      <c r="E26" s="160" t="n">
        <v>53195.97</v>
      </c>
      <c r="F26" s="160" t="n">
        <v>318004.56</v>
      </c>
      <c r="G26" s="160" t="n">
        <v>304712.99</v>
      </c>
      <c r="H26" s="160" t="n">
        <v>23441.87</v>
      </c>
      <c r="I26" s="160" t="n">
        <v>1158021.72</v>
      </c>
      <c r="K26" s="11">
        <f>A26</f>
        <v/>
      </c>
      <c r="L26" s="160" t="n">
        <v>738127.4300000001</v>
      </c>
      <c r="M26" s="160" t="n">
        <v>375521.22</v>
      </c>
      <c r="N26" s="160" t="n">
        <v>370003.18</v>
      </c>
      <c r="O26" s="160" t="n">
        <v>5518.04</v>
      </c>
      <c r="P26" s="160" t="n">
        <v>303426.76</v>
      </c>
      <c r="Q26" s="160" t="n">
        <v>72094.46000000001</v>
      </c>
      <c r="R26" s="160" t="n">
        <v>6685.75</v>
      </c>
      <c r="S26" s="160" t="n">
        <v>362606.21</v>
      </c>
      <c r="U26" s="11">
        <f>K26</f>
        <v/>
      </c>
      <c r="V26" s="160" t="n">
        <v>224124.15</v>
      </c>
      <c r="W26" s="160" t="n">
        <v>88221.44</v>
      </c>
      <c r="X26" s="160" t="n">
        <v>87640.0400000001</v>
      </c>
      <c r="Y26" s="160" t="n">
        <v>581.4</v>
      </c>
      <c r="Z26" s="160" t="n">
        <v>77315.12</v>
      </c>
      <c r="AA26" s="160" t="n">
        <v>10906.32</v>
      </c>
      <c r="AB26" s="160" t="n">
        <v>411.18</v>
      </c>
      <c r="AC26" s="160" t="n">
        <v>135902.71</v>
      </c>
      <c r="AE26" s="11">
        <f>U26</f>
        <v/>
      </c>
      <c r="AF26" s="160" t="n">
        <v>60883.59</v>
      </c>
      <c r="AG26" s="160" t="n">
        <v>24933.64</v>
      </c>
      <c r="AH26" s="160" t="n">
        <v>24494.39</v>
      </c>
      <c r="AI26" s="160" t="n">
        <v>439.25</v>
      </c>
      <c r="AJ26" s="160" t="n">
        <v>21865.07</v>
      </c>
      <c r="AK26" s="160" t="n">
        <v>3068.57</v>
      </c>
      <c r="AL26" s="160" t="n">
        <v>0</v>
      </c>
      <c r="AM26" s="160" t="n">
        <v>35949.95</v>
      </c>
    </row>
    <row r="27" ht="16.5" customHeight="1" s="34">
      <c r="A27" s="11" t="n">
        <v>45219</v>
      </c>
      <c r="B27" s="160" t="n">
        <v>1695912.03</v>
      </c>
      <c r="C27" s="160" t="n">
        <v>596822.63</v>
      </c>
      <c r="D27" s="160" t="n">
        <v>549067.71</v>
      </c>
      <c r="E27" s="160" t="n">
        <v>47754.92</v>
      </c>
      <c r="F27" s="160" t="n">
        <v>310264.06</v>
      </c>
      <c r="G27" s="160" t="n">
        <v>286558.57</v>
      </c>
      <c r="H27" s="160" t="n">
        <v>23314.03</v>
      </c>
      <c r="I27" s="160" t="n">
        <v>1099089.4</v>
      </c>
      <c r="K27" s="11">
        <f>A27</f>
        <v/>
      </c>
      <c r="L27" s="160" t="n">
        <v>696949.03</v>
      </c>
      <c r="M27" s="160" t="n">
        <v>360694.76</v>
      </c>
      <c r="N27" s="160" t="n">
        <v>354555.57</v>
      </c>
      <c r="O27" s="160" t="n">
        <v>6139.19</v>
      </c>
      <c r="P27" s="160" t="n">
        <v>288003.78</v>
      </c>
      <c r="Q27" s="160" t="n">
        <v>72690.98</v>
      </c>
      <c r="R27" s="160" t="n">
        <v>6668.84</v>
      </c>
      <c r="S27" s="160" t="n">
        <v>336254.27</v>
      </c>
      <c r="U27" s="11">
        <f>K27</f>
        <v/>
      </c>
      <c r="V27" s="160" t="n">
        <v>204064.08</v>
      </c>
      <c r="W27" s="160" t="n">
        <v>83945.74000000001</v>
      </c>
      <c r="X27" s="160" t="n">
        <v>83612.92</v>
      </c>
      <c r="Y27" s="160" t="n">
        <v>332.82</v>
      </c>
      <c r="Z27" s="160" t="n">
        <v>72557.92</v>
      </c>
      <c r="AA27" s="160" t="n">
        <v>11387.82</v>
      </c>
      <c r="AB27" s="160" t="n">
        <v>389.93</v>
      </c>
      <c r="AC27" s="160" t="n">
        <v>120118.34</v>
      </c>
      <c r="AE27" s="11">
        <f>U27</f>
        <v/>
      </c>
      <c r="AF27" s="160" t="n">
        <v>53935.36</v>
      </c>
      <c r="AG27" s="160" t="n">
        <v>23855.35</v>
      </c>
      <c r="AH27" s="160" t="n">
        <v>23305.26</v>
      </c>
      <c r="AI27" s="160" t="n">
        <v>550.09</v>
      </c>
      <c r="AJ27" s="160" t="n">
        <v>21128.83</v>
      </c>
      <c r="AK27" s="160" t="n">
        <v>2726.52</v>
      </c>
      <c r="AL27" s="160" t="n">
        <v>0</v>
      </c>
      <c r="AM27" s="160" t="n">
        <v>30080.01</v>
      </c>
    </row>
    <row r="28" ht="16.5" customHeight="1" s="34">
      <c r="A28" s="11" t="n">
        <v>45220</v>
      </c>
      <c r="B28" s="160" t="n">
        <v>1516917.88</v>
      </c>
      <c r="C28" s="160" t="n">
        <v>534729.259999999</v>
      </c>
      <c r="D28" s="160" t="n">
        <v>483002.95</v>
      </c>
      <c r="E28" s="160" t="n">
        <v>51726.31</v>
      </c>
      <c r="F28" s="160" t="n">
        <v>318419.69</v>
      </c>
      <c r="G28" s="160" t="n">
        <v>216309.57</v>
      </c>
      <c r="H28" s="160" t="n">
        <v>23141.22</v>
      </c>
      <c r="I28" s="160" t="n">
        <v>982188.6199999989</v>
      </c>
      <c r="K28" s="11">
        <f>A28</f>
        <v/>
      </c>
      <c r="L28" s="160" t="n">
        <v>664763.47</v>
      </c>
      <c r="M28" s="160" t="n">
        <v>354667.96</v>
      </c>
      <c r="N28" s="160" t="n">
        <v>346966.09</v>
      </c>
      <c r="O28" s="160" t="n">
        <v>7701.87</v>
      </c>
      <c r="P28" s="160" t="n">
        <v>297890.15</v>
      </c>
      <c r="Q28" s="160" t="n">
        <v>56777.81</v>
      </c>
      <c r="R28" s="160" t="n">
        <v>4854.44</v>
      </c>
      <c r="S28" s="160" t="n">
        <v>310095.51</v>
      </c>
      <c r="U28" s="11">
        <f>K28</f>
        <v/>
      </c>
      <c r="V28" s="160" t="n">
        <v>204832.54</v>
      </c>
      <c r="W28" s="160" t="n">
        <v>83896.2</v>
      </c>
      <c r="X28" s="160" t="n">
        <v>83533.25</v>
      </c>
      <c r="Y28" s="160" t="n">
        <v>362.95</v>
      </c>
      <c r="Z28" s="160" t="n">
        <v>73715.72</v>
      </c>
      <c r="AA28" s="160" t="n">
        <v>10180.48</v>
      </c>
      <c r="AB28" s="160" t="n">
        <v>401.56</v>
      </c>
      <c r="AC28" s="160" t="n">
        <v>120936.34</v>
      </c>
      <c r="AE28" s="11">
        <f>U28</f>
        <v/>
      </c>
      <c r="AF28" s="160" t="n">
        <v>55005.54</v>
      </c>
      <c r="AG28" s="160" t="n">
        <v>22253.89</v>
      </c>
      <c r="AH28" s="160" t="n">
        <v>21946.87</v>
      </c>
      <c r="AI28" s="160" t="n">
        <v>307.02</v>
      </c>
      <c r="AJ28" s="160" t="n">
        <v>20186.9</v>
      </c>
      <c r="AK28" s="160" t="n">
        <v>2066.99</v>
      </c>
      <c r="AL28" s="160" t="n">
        <v>0</v>
      </c>
      <c r="AM28" s="160" t="n">
        <v>32751.65</v>
      </c>
    </row>
    <row r="29" ht="16.5" customHeight="1" s="34">
      <c r="A29" s="11" t="n">
        <v>45221</v>
      </c>
      <c r="B29" s="160" t="n">
        <v>1488934.91</v>
      </c>
      <c r="C29" s="160" t="n">
        <v>528062.01</v>
      </c>
      <c r="D29" s="160" t="n">
        <v>477335.66</v>
      </c>
      <c r="E29" s="160" t="n">
        <v>50726.35</v>
      </c>
      <c r="F29" s="160" t="n">
        <v>320200.91</v>
      </c>
      <c r="G29" s="160" t="n">
        <v>207861.1</v>
      </c>
      <c r="H29" s="160" t="n">
        <v>23025.09</v>
      </c>
      <c r="I29" s="160" t="n">
        <v>960872.900000001</v>
      </c>
      <c r="K29" s="11">
        <f>A29</f>
        <v/>
      </c>
      <c r="L29" s="160" t="n">
        <v>692758.36</v>
      </c>
      <c r="M29" s="160" t="n">
        <v>371444.66</v>
      </c>
      <c r="N29" s="160" t="n">
        <v>365997.03</v>
      </c>
      <c r="O29" s="160" t="n">
        <v>5447.63</v>
      </c>
      <c r="P29" s="160" t="n">
        <v>316392.6</v>
      </c>
      <c r="Q29" s="160" t="n">
        <v>55052.06</v>
      </c>
      <c r="R29" s="160" t="n">
        <v>4765.7</v>
      </c>
      <c r="S29" s="160" t="n">
        <v>321313.7</v>
      </c>
      <c r="U29" s="11">
        <f>K29</f>
        <v/>
      </c>
      <c r="V29" s="160" t="n">
        <v>213494.97</v>
      </c>
      <c r="W29" s="160" t="n">
        <v>94032.91</v>
      </c>
      <c r="X29" s="160" t="n">
        <v>93674.44</v>
      </c>
      <c r="Y29" s="160" t="n">
        <v>358.47</v>
      </c>
      <c r="Z29" s="160" t="n">
        <v>86051.35000000001</v>
      </c>
      <c r="AA29" s="160" t="n">
        <v>7981.56</v>
      </c>
      <c r="AB29" s="160" t="n">
        <v>435.43</v>
      </c>
      <c r="AC29" s="160" t="n">
        <v>119462.06</v>
      </c>
      <c r="AE29" s="11">
        <f>U29</f>
        <v/>
      </c>
      <c r="AF29" s="160" t="n">
        <v>58436.26</v>
      </c>
      <c r="AG29" s="160" t="n">
        <v>25052.35</v>
      </c>
      <c r="AH29" s="160" t="n">
        <v>24733.6</v>
      </c>
      <c r="AI29" s="160" t="n">
        <v>318.75</v>
      </c>
      <c r="AJ29" s="160" t="n">
        <v>22734.1</v>
      </c>
      <c r="AK29" s="160" t="n">
        <v>2318.25</v>
      </c>
      <c r="AL29" s="160" t="n">
        <v>0</v>
      </c>
      <c r="AM29" s="160" t="n">
        <v>33383.91</v>
      </c>
    </row>
    <row r="30" ht="16.5" customHeight="1" s="34">
      <c r="A30" s="11" t="n">
        <v>45222</v>
      </c>
      <c r="B30" s="160" t="n">
        <v>1737254.45</v>
      </c>
      <c r="C30" s="160" t="n">
        <v>617107.060000001</v>
      </c>
      <c r="D30" s="160" t="n">
        <v>563991.9399999999</v>
      </c>
      <c r="E30" s="160" t="n">
        <v>53115.12</v>
      </c>
      <c r="F30" s="160" t="n">
        <v>326305.14</v>
      </c>
      <c r="G30" s="160" t="n">
        <v>290801.92</v>
      </c>
      <c r="H30" s="160" t="n">
        <v>21116.79</v>
      </c>
      <c r="I30" s="160" t="n">
        <v>1120147.39</v>
      </c>
      <c r="K30" s="11">
        <f>A30</f>
        <v/>
      </c>
      <c r="L30" s="160" t="n">
        <v>695728.85</v>
      </c>
      <c r="M30" s="160" t="n">
        <v>386357.29</v>
      </c>
      <c r="N30" s="160" t="n">
        <v>380365.52</v>
      </c>
      <c r="O30" s="160" t="n">
        <v>5991.77</v>
      </c>
      <c r="P30" s="160" t="n">
        <v>315392.07</v>
      </c>
      <c r="Q30" s="160" t="n">
        <v>70965.2199999999</v>
      </c>
      <c r="R30" s="160" t="n">
        <v>4321.83</v>
      </c>
      <c r="S30" s="160" t="n">
        <v>309371.56</v>
      </c>
      <c r="U30" s="11">
        <f>K30</f>
        <v/>
      </c>
      <c r="V30" s="160" t="n">
        <v>221045.4</v>
      </c>
      <c r="W30" s="160" t="n">
        <v>95041.72</v>
      </c>
      <c r="X30" s="160" t="n">
        <v>94839.62</v>
      </c>
      <c r="Y30" s="160" t="n">
        <v>202.1</v>
      </c>
      <c r="Z30" s="160" t="n">
        <v>83461.5</v>
      </c>
      <c r="AA30" s="160" t="n">
        <v>11580.22</v>
      </c>
      <c r="AB30" s="160" t="n">
        <v>694.87</v>
      </c>
      <c r="AC30" s="160" t="n">
        <v>126003.68</v>
      </c>
      <c r="AE30" s="11">
        <f>U30</f>
        <v/>
      </c>
      <c r="AF30" s="160" t="n">
        <v>59559.07</v>
      </c>
      <c r="AG30" s="160" t="n">
        <v>24765.9</v>
      </c>
      <c r="AH30" s="160" t="n">
        <v>24558.33</v>
      </c>
      <c r="AI30" s="160" t="n">
        <v>207.57</v>
      </c>
      <c r="AJ30" s="160" t="n">
        <v>22214.33</v>
      </c>
      <c r="AK30" s="160" t="n">
        <v>2551.57</v>
      </c>
      <c r="AL30" s="160" t="n">
        <v>0</v>
      </c>
      <c r="AM30" s="160" t="n">
        <v>34793.17</v>
      </c>
    </row>
    <row r="31" ht="16.5" customHeight="1" s="34">
      <c r="A31" s="11" t="n">
        <v>45223</v>
      </c>
      <c r="B31" s="160" t="n">
        <v>1779136.25</v>
      </c>
      <c r="C31" s="160" t="n">
        <v>612392.41</v>
      </c>
      <c r="D31" s="160" t="n">
        <v>558681.77</v>
      </c>
      <c r="E31" s="160" t="n">
        <v>53710.64</v>
      </c>
      <c r="F31" s="160" t="n">
        <v>324244.11</v>
      </c>
      <c r="G31" s="160" t="n">
        <v>288148.3</v>
      </c>
      <c r="H31" s="160" t="n">
        <v>21012.28</v>
      </c>
      <c r="I31" s="160" t="n">
        <v>1166613.84</v>
      </c>
      <c r="K31" s="11">
        <f>A31</f>
        <v/>
      </c>
      <c r="L31" s="160" t="n">
        <v>660850.15</v>
      </c>
      <c r="M31" s="160" t="n">
        <v>374486.25</v>
      </c>
      <c r="N31" s="160" t="n">
        <v>368275.52</v>
      </c>
      <c r="O31" s="160" t="n">
        <v>6210.73</v>
      </c>
      <c r="P31" s="160" t="n">
        <v>308546.89</v>
      </c>
      <c r="Q31" s="160" t="n">
        <v>65939.36</v>
      </c>
      <c r="R31" s="160" t="n">
        <v>4314.58</v>
      </c>
      <c r="S31" s="160" t="n">
        <v>286363.9</v>
      </c>
      <c r="U31" s="11">
        <f>K31</f>
        <v/>
      </c>
      <c r="V31" s="160" t="n">
        <v>218566.93</v>
      </c>
      <c r="W31" s="160" t="n">
        <v>89509.56</v>
      </c>
      <c r="X31" s="160" t="n">
        <v>89459.38</v>
      </c>
      <c r="Y31" s="160" t="n">
        <v>50.18</v>
      </c>
      <c r="Z31" s="160" t="n">
        <v>78417.3</v>
      </c>
      <c r="AA31" s="160" t="n">
        <v>11092.26</v>
      </c>
      <c r="AB31" s="160" t="n">
        <v>684.65</v>
      </c>
      <c r="AC31" s="160" t="n">
        <v>129057.37</v>
      </c>
      <c r="AE31" s="11">
        <f>U31</f>
        <v/>
      </c>
      <c r="AF31" s="160" t="n">
        <v>58089.62</v>
      </c>
      <c r="AG31" s="160" t="n">
        <v>24592</v>
      </c>
      <c r="AH31" s="160" t="n">
        <v>24591.47</v>
      </c>
      <c r="AI31" s="160" t="n">
        <v>0.53</v>
      </c>
      <c r="AJ31" s="160" t="n">
        <v>22515.81</v>
      </c>
      <c r="AK31" s="160" t="n">
        <v>2076.19</v>
      </c>
      <c r="AL31" s="160" t="n">
        <v>0</v>
      </c>
      <c r="AM31" s="160" t="n">
        <v>33497.62</v>
      </c>
    </row>
    <row r="32" ht="16.5" customHeight="1" s="34">
      <c r="A32" s="11" t="n">
        <v>45224</v>
      </c>
      <c r="B32" s="160" t="n">
        <v>1710312.61</v>
      </c>
      <c r="C32" s="160" t="n">
        <v>602172.5</v>
      </c>
      <c r="D32" s="160" t="n">
        <v>550017.66</v>
      </c>
      <c r="E32" s="160" t="n">
        <v>52154.84</v>
      </c>
      <c r="F32" s="160" t="n">
        <v>314818</v>
      </c>
      <c r="G32" s="160" t="n">
        <v>287354.5</v>
      </c>
      <c r="H32" s="160" t="n">
        <v>21220.3</v>
      </c>
      <c r="I32" s="160" t="n">
        <v>1107880.11</v>
      </c>
      <c r="K32" s="11">
        <f>A32</f>
        <v/>
      </c>
      <c r="L32" s="160" t="n">
        <v>649595.9</v>
      </c>
      <c r="M32" s="160" t="n">
        <v>365548.49</v>
      </c>
      <c r="N32" s="160" t="n">
        <v>361196.47</v>
      </c>
      <c r="O32" s="160" t="n">
        <v>4352.02</v>
      </c>
      <c r="P32" s="160" t="n">
        <v>300525.42</v>
      </c>
      <c r="Q32" s="160" t="n">
        <v>65023.07</v>
      </c>
      <c r="R32" s="160" t="n">
        <v>4310.71</v>
      </c>
      <c r="S32" s="160" t="n">
        <v>284047.41</v>
      </c>
      <c r="U32" s="11">
        <f>K32</f>
        <v/>
      </c>
      <c r="V32" s="160" t="n">
        <v>224922.68</v>
      </c>
      <c r="W32" s="160" t="n">
        <v>92187.57000000009</v>
      </c>
      <c r="X32" s="160" t="n">
        <v>92040.5300000001</v>
      </c>
      <c r="Y32" s="160" t="n">
        <v>147.04</v>
      </c>
      <c r="Z32" s="160" t="n">
        <v>80296.86</v>
      </c>
      <c r="AA32" s="160" t="n">
        <v>11890.71</v>
      </c>
      <c r="AB32" s="160" t="n">
        <v>708.85</v>
      </c>
      <c r="AC32" s="160" t="n">
        <v>132735.11</v>
      </c>
      <c r="AE32" s="11">
        <f>U32</f>
        <v/>
      </c>
      <c r="AF32" s="160" t="n">
        <v>55579.93</v>
      </c>
      <c r="AG32" s="160" t="n">
        <v>25371.85</v>
      </c>
      <c r="AH32" s="160" t="n">
        <v>25371.79</v>
      </c>
      <c r="AI32" s="160" t="n">
        <v>0.06</v>
      </c>
      <c r="AJ32" s="160" t="n">
        <v>22741.78</v>
      </c>
      <c r="AK32" s="160" t="n">
        <v>2630.07</v>
      </c>
      <c r="AL32" s="160" t="n">
        <v>0</v>
      </c>
      <c r="AM32" s="160" t="n">
        <v>30208.08</v>
      </c>
    </row>
    <row r="33" ht="16.5" customHeight="1" s="34">
      <c r="A33" s="11" t="n">
        <v>45225</v>
      </c>
      <c r="B33" s="160" t="n">
        <v>1736775.35</v>
      </c>
      <c r="C33" s="160" t="n">
        <v>610466.24</v>
      </c>
      <c r="D33" s="160" t="n">
        <v>559755.9300000001</v>
      </c>
      <c r="E33" s="160" t="n">
        <v>50710.31</v>
      </c>
      <c r="F33" s="160" t="n">
        <v>321606.8</v>
      </c>
      <c r="G33" s="160" t="n">
        <v>288859.44</v>
      </c>
      <c r="H33" s="160" t="n">
        <v>21999.56</v>
      </c>
      <c r="I33" s="160" t="n">
        <v>1126309.11</v>
      </c>
      <c r="K33" s="11">
        <f>A33</f>
        <v/>
      </c>
      <c r="L33" s="160" t="n">
        <v>673415.76</v>
      </c>
      <c r="M33" s="160" t="n">
        <v>387751.29</v>
      </c>
      <c r="N33" s="160" t="n">
        <v>382961.78</v>
      </c>
      <c r="O33" s="160" t="n">
        <v>4789.51</v>
      </c>
      <c r="P33" s="160" t="n">
        <v>323960.1</v>
      </c>
      <c r="Q33" s="160" t="n">
        <v>63791.19</v>
      </c>
      <c r="R33" s="160" t="n">
        <v>4576.64</v>
      </c>
      <c r="S33" s="160" t="n">
        <v>285664.47</v>
      </c>
      <c r="U33" s="11">
        <f>K33</f>
        <v/>
      </c>
      <c r="V33" s="160" t="n">
        <v>225497.18</v>
      </c>
      <c r="W33" s="160" t="n">
        <v>94989.24000000001</v>
      </c>
      <c r="X33" s="160" t="n">
        <v>94839.74000000001</v>
      </c>
      <c r="Y33" s="160" t="n">
        <v>149.5</v>
      </c>
      <c r="Z33" s="160" t="n">
        <v>82168.91</v>
      </c>
      <c r="AA33" s="160" t="n">
        <v>12820.33</v>
      </c>
      <c r="AB33" s="160" t="n">
        <v>678.6</v>
      </c>
      <c r="AC33" s="160" t="n">
        <v>130507.94</v>
      </c>
      <c r="AE33" s="11">
        <f>U33</f>
        <v/>
      </c>
      <c r="AF33" s="160" t="n">
        <v>52306.07</v>
      </c>
      <c r="AG33" s="160" t="n">
        <v>23432.24</v>
      </c>
      <c r="AH33" s="160" t="n">
        <v>23429.67</v>
      </c>
      <c r="AI33" s="160" t="n">
        <v>2.57</v>
      </c>
      <c r="AJ33" s="160" t="n">
        <v>21581.97</v>
      </c>
      <c r="AK33" s="160" t="n">
        <v>1850.27</v>
      </c>
      <c r="AL33" s="160" t="n">
        <v>0</v>
      </c>
      <c r="AM33" s="160" t="n">
        <v>28873.83</v>
      </c>
    </row>
    <row r="34" ht="16.5" customHeight="1" s="34">
      <c r="A34" s="11" t="n">
        <v>45226</v>
      </c>
      <c r="B34" s="160" t="n">
        <v>1681305.38</v>
      </c>
      <c r="C34" s="160" t="n">
        <v>587478.529999999</v>
      </c>
      <c r="D34" s="160" t="n">
        <v>530601.92</v>
      </c>
      <c r="E34" s="160" t="n">
        <v>56876.61</v>
      </c>
      <c r="F34" s="160" t="n">
        <v>312122.17</v>
      </c>
      <c r="G34" s="160" t="n">
        <v>275356.36</v>
      </c>
      <c r="H34" s="160" t="n">
        <v>21472.75</v>
      </c>
      <c r="I34" s="160" t="n">
        <v>1093826.85</v>
      </c>
      <c r="K34" s="11">
        <f>A34</f>
        <v/>
      </c>
      <c r="L34" s="160" t="n">
        <v>691066.96</v>
      </c>
      <c r="M34" s="160" t="n">
        <v>389137.23</v>
      </c>
      <c r="N34" s="160" t="n">
        <v>381969.81</v>
      </c>
      <c r="O34" s="160" t="n">
        <v>7167.42</v>
      </c>
      <c r="P34" s="160" t="n">
        <v>322853.8</v>
      </c>
      <c r="Q34" s="160" t="n">
        <v>66283.42999999999</v>
      </c>
      <c r="R34" s="160" t="n">
        <v>4315.36</v>
      </c>
      <c r="S34" s="160" t="n">
        <v>301929.73</v>
      </c>
      <c r="U34" s="11">
        <f>K34</f>
        <v/>
      </c>
      <c r="V34" s="160" t="n">
        <v>216692.3</v>
      </c>
      <c r="W34" s="160" t="n">
        <v>86539.1099999999</v>
      </c>
      <c r="X34" s="160" t="n">
        <v>86349.4499999999</v>
      </c>
      <c r="Y34" s="160" t="n">
        <v>189.66</v>
      </c>
      <c r="Z34" s="160" t="n">
        <v>75195.73</v>
      </c>
      <c r="AA34" s="160" t="n">
        <v>11343.38</v>
      </c>
      <c r="AB34" s="160" t="n">
        <v>688.28</v>
      </c>
      <c r="AC34" s="160" t="n">
        <v>130153.19</v>
      </c>
      <c r="AE34" s="11">
        <f>U34</f>
        <v/>
      </c>
      <c r="AF34" s="160" t="n">
        <v>59773.41</v>
      </c>
      <c r="AG34" s="160" t="n">
        <v>27972.95</v>
      </c>
      <c r="AH34" s="160" t="n">
        <v>27970.07</v>
      </c>
      <c r="AI34" s="160" t="n">
        <v>2.88</v>
      </c>
      <c r="AJ34" s="160" t="n">
        <v>25579.71</v>
      </c>
      <c r="AK34" s="160" t="n">
        <v>2393.24</v>
      </c>
      <c r="AL34" s="160" t="n">
        <v>0</v>
      </c>
      <c r="AM34" s="160" t="n">
        <v>31800.46</v>
      </c>
    </row>
    <row r="35" ht="16.5" customHeight="1" s="34">
      <c r="A35" s="11" t="n">
        <v>45227</v>
      </c>
      <c r="B35" s="160" t="n">
        <v>1567648.22</v>
      </c>
      <c r="C35" s="160" t="n">
        <v>522345.76</v>
      </c>
      <c r="D35" s="160" t="n">
        <v>464834.54</v>
      </c>
      <c r="E35" s="160" t="n">
        <v>57511.22</v>
      </c>
      <c r="F35" s="160" t="n">
        <v>309145.16</v>
      </c>
      <c r="G35" s="160" t="n">
        <v>213200.6</v>
      </c>
      <c r="H35" s="160" t="n">
        <v>21396.1</v>
      </c>
      <c r="I35" s="160" t="n">
        <v>1045302.46</v>
      </c>
      <c r="K35" s="11">
        <f>A35</f>
        <v/>
      </c>
      <c r="L35" s="160" t="n">
        <v>719482.62</v>
      </c>
      <c r="M35" s="160" t="n">
        <v>362238.35</v>
      </c>
      <c r="N35" s="160" t="n">
        <v>354687.42</v>
      </c>
      <c r="O35" s="160" t="n">
        <v>7550.93</v>
      </c>
      <c r="P35" s="160" t="n">
        <v>302146.03</v>
      </c>
      <c r="Q35" s="160" t="n">
        <v>60092.32</v>
      </c>
      <c r="R35" s="160" t="n">
        <v>4370.17</v>
      </c>
      <c r="S35" s="160" t="n">
        <v>357244.27</v>
      </c>
      <c r="U35" s="11">
        <f>K35</f>
        <v/>
      </c>
      <c r="V35" s="160" t="n">
        <v>206419.16</v>
      </c>
      <c r="W35" s="160" t="n">
        <v>87812.92</v>
      </c>
      <c r="X35" s="160" t="n">
        <v>87631.39</v>
      </c>
      <c r="Y35" s="160" t="n">
        <v>181.53</v>
      </c>
      <c r="Z35" s="160" t="n">
        <v>77785.05</v>
      </c>
      <c r="AA35" s="160" t="n">
        <v>10027.87</v>
      </c>
      <c r="AB35" s="160" t="n">
        <v>689.0700000000001</v>
      </c>
      <c r="AC35" s="160" t="n">
        <v>118606.24</v>
      </c>
      <c r="AE35" s="11">
        <f>U35</f>
        <v/>
      </c>
      <c r="AF35" s="160" t="n">
        <v>59060.11</v>
      </c>
      <c r="AG35" s="160" t="n">
        <v>24045.05</v>
      </c>
      <c r="AH35" s="160" t="n">
        <v>24045.05</v>
      </c>
      <c r="AI35" s="160" t="n">
        <v>0</v>
      </c>
      <c r="AJ35" s="160" t="n">
        <v>21419.04</v>
      </c>
      <c r="AK35" s="160" t="n">
        <v>2626.01</v>
      </c>
      <c r="AL35" s="160" t="n">
        <v>0</v>
      </c>
      <c r="AM35" s="160" t="n">
        <v>35015.06</v>
      </c>
    </row>
    <row r="36" ht="16.5" customHeight="1" s="34">
      <c r="A36" s="11" t="n">
        <v>45228</v>
      </c>
      <c r="B36" s="160" t="n">
        <v>1516628.88</v>
      </c>
      <c r="C36" s="160" t="n">
        <v>528633.410000001</v>
      </c>
      <c r="D36" s="160" t="n">
        <v>471413.380000001</v>
      </c>
      <c r="E36" s="160" t="n">
        <v>57220.03</v>
      </c>
      <c r="F36" s="160" t="n">
        <v>327960.25</v>
      </c>
      <c r="G36" s="160" t="n">
        <v>200673.16</v>
      </c>
      <c r="H36" s="160" t="n">
        <v>21098.44</v>
      </c>
      <c r="I36" s="160" t="n">
        <v>987995.47</v>
      </c>
      <c r="K36" s="11">
        <f>A36</f>
        <v/>
      </c>
      <c r="L36" s="160" t="n">
        <v>753560.51</v>
      </c>
      <c r="M36" s="160" t="n">
        <v>377144.2</v>
      </c>
      <c r="N36" s="160" t="n">
        <v>370676.39</v>
      </c>
      <c r="O36" s="160" t="n">
        <v>6467.81</v>
      </c>
      <c r="P36" s="160" t="n">
        <v>321531.27</v>
      </c>
      <c r="Q36" s="160" t="n">
        <v>55612.93</v>
      </c>
      <c r="R36" s="160" t="n">
        <v>6344.63</v>
      </c>
      <c r="S36" s="160" t="n">
        <v>376416.31</v>
      </c>
      <c r="U36" s="11">
        <f>K36</f>
        <v/>
      </c>
      <c r="V36" s="160" t="n">
        <v>211651.07</v>
      </c>
      <c r="W36" s="160" t="n">
        <v>95438.4400000001</v>
      </c>
      <c r="X36" s="160" t="n">
        <v>95388.1200000001</v>
      </c>
      <c r="Y36" s="160" t="n">
        <v>50.32</v>
      </c>
      <c r="Z36" s="160" t="n">
        <v>86243.38</v>
      </c>
      <c r="AA36" s="160" t="n">
        <v>9195.059999999999</v>
      </c>
      <c r="AB36" s="160" t="n">
        <v>712.24</v>
      </c>
      <c r="AC36" s="160" t="n">
        <v>116212.63</v>
      </c>
      <c r="AE36" s="11">
        <f>U36</f>
        <v/>
      </c>
      <c r="AF36" s="160" t="n">
        <v>60759.57</v>
      </c>
      <c r="AG36" s="160" t="n">
        <v>26655.16</v>
      </c>
      <c r="AH36" s="160" t="n">
        <v>26655.16</v>
      </c>
      <c r="AI36" s="160" t="n">
        <v>0</v>
      </c>
      <c r="AJ36" s="160" t="n">
        <v>24430</v>
      </c>
      <c r="AK36" s="160" t="n">
        <v>2225.16</v>
      </c>
      <c r="AL36" s="160" t="n">
        <v>0</v>
      </c>
      <c r="AM36" s="160" t="n">
        <v>34104.41</v>
      </c>
    </row>
    <row r="37" ht="16.5" customHeight="1" s="34">
      <c r="A37" s="11" t="n">
        <v>45229</v>
      </c>
      <c r="B37" s="160" t="n">
        <v>1658817.63</v>
      </c>
      <c r="C37" s="160" t="n">
        <v>589185.15</v>
      </c>
      <c r="D37" s="160" t="n">
        <v>545794.89</v>
      </c>
      <c r="E37" s="160" t="n">
        <v>43390.26</v>
      </c>
      <c r="F37" s="160" t="n">
        <v>325012.01</v>
      </c>
      <c r="G37" s="160" t="n">
        <v>264173.14</v>
      </c>
      <c r="H37" s="160" t="n">
        <v>22104.98</v>
      </c>
      <c r="I37" s="160" t="n">
        <v>1069632.48</v>
      </c>
      <c r="K37" s="11">
        <f>A37</f>
        <v/>
      </c>
      <c r="L37" s="160" t="n">
        <v>685040.9300000001</v>
      </c>
      <c r="M37" s="160" t="n">
        <v>380236.56</v>
      </c>
      <c r="N37" s="160" t="n">
        <v>373655.53</v>
      </c>
      <c r="O37" s="160" t="n">
        <v>6581.03</v>
      </c>
      <c r="P37" s="160" t="n">
        <v>312437.14</v>
      </c>
      <c r="Q37" s="160" t="n">
        <v>67799.42</v>
      </c>
      <c r="R37" s="160" t="n">
        <v>6919.2</v>
      </c>
      <c r="S37" s="160" t="n">
        <v>304804.37</v>
      </c>
      <c r="U37" s="11">
        <f>K37</f>
        <v/>
      </c>
      <c r="V37" s="160" t="n">
        <v>229192.29</v>
      </c>
      <c r="W37" s="160" t="n">
        <v>90211.31</v>
      </c>
      <c r="X37" s="160" t="n">
        <v>90058.57000000001</v>
      </c>
      <c r="Y37" s="160" t="n">
        <v>152.74</v>
      </c>
      <c r="Z37" s="160" t="n">
        <v>78798.78</v>
      </c>
      <c r="AA37" s="160" t="n">
        <v>11412.53</v>
      </c>
      <c r="AB37" s="160" t="n">
        <v>423.39</v>
      </c>
      <c r="AC37" s="160" t="n">
        <v>138980.98</v>
      </c>
      <c r="AE37" s="11">
        <f>U37</f>
        <v/>
      </c>
      <c r="AF37" s="160" t="n">
        <v>61631.4</v>
      </c>
      <c r="AG37" s="160" t="n">
        <v>24702.99</v>
      </c>
      <c r="AH37" s="160" t="n">
        <v>24701.98</v>
      </c>
      <c r="AI37" s="160" t="n">
        <v>1.01</v>
      </c>
      <c r="AJ37" s="160" t="n">
        <v>22155.83</v>
      </c>
      <c r="AK37" s="160" t="n">
        <v>2547.16</v>
      </c>
      <c r="AL37" s="160" t="n">
        <v>0</v>
      </c>
      <c r="AM37" s="160" t="n">
        <v>36928.41</v>
      </c>
    </row>
    <row r="38" ht="16.5" customHeight="1" s="34">
      <c r="A38" s="11" t="n">
        <v>45230</v>
      </c>
      <c r="B38" s="160" t="n">
        <v>1634800.01</v>
      </c>
      <c r="C38" s="160" t="n">
        <v>569698.940000001</v>
      </c>
      <c r="D38" s="160" t="n">
        <v>526940.030000001</v>
      </c>
      <c r="E38" s="160" t="n">
        <v>42758.91</v>
      </c>
      <c r="F38" s="160" t="n">
        <v>311261.7</v>
      </c>
      <c r="G38" s="160" t="n">
        <v>258437.24</v>
      </c>
      <c r="H38" s="160" t="n">
        <v>21918.36</v>
      </c>
      <c r="I38" s="160" t="n">
        <v>1065101.07</v>
      </c>
      <c r="K38" s="11">
        <f>A38</f>
        <v/>
      </c>
      <c r="L38" s="160" t="n">
        <v>645827.52</v>
      </c>
      <c r="M38" s="160" t="n">
        <v>369403.87</v>
      </c>
      <c r="N38" s="160" t="n">
        <v>362131.42</v>
      </c>
      <c r="O38" s="160" t="n">
        <v>7272.45</v>
      </c>
      <c r="P38" s="160" t="n">
        <v>298331.33</v>
      </c>
      <c r="Q38" s="160" t="n">
        <v>71072.53999999999</v>
      </c>
      <c r="R38" s="160" t="n">
        <v>6937.7</v>
      </c>
      <c r="S38" s="160" t="n">
        <v>276423.65</v>
      </c>
      <c r="U38" s="11">
        <f>K38</f>
        <v/>
      </c>
      <c r="V38" s="160" t="n">
        <v>224923.61</v>
      </c>
      <c r="W38" s="160" t="n">
        <v>81596.14999999991</v>
      </c>
      <c r="X38" s="160" t="n">
        <v>81447.50999999989</v>
      </c>
      <c r="Y38" s="160" t="n">
        <v>148.64</v>
      </c>
      <c r="Z38" s="160" t="n">
        <v>70553.85000000001</v>
      </c>
      <c r="AA38" s="160" t="n">
        <v>11042.3</v>
      </c>
      <c r="AB38" s="160" t="n">
        <v>409.96</v>
      </c>
      <c r="AC38" s="160" t="n">
        <v>143327.46</v>
      </c>
      <c r="AE38" s="11">
        <f>U38</f>
        <v/>
      </c>
      <c r="AF38" s="160" t="n">
        <v>58196.86</v>
      </c>
      <c r="AG38" s="160" t="n">
        <v>20491.05</v>
      </c>
      <c r="AH38" s="160" t="n">
        <v>20491.05</v>
      </c>
      <c r="AI38" s="160" t="n">
        <v>0</v>
      </c>
      <c r="AJ38" s="160" t="n">
        <v>17972.07</v>
      </c>
      <c r="AK38" s="160" t="n">
        <v>2518.98</v>
      </c>
      <c r="AL38" s="160" t="n">
        <v>0</v>
      </c>
      <c r="AM38" s="160" t="n">
        <v>37705.81</v>
      </c>
    </row>
    <row r="39" ht="16.5" customHeight="1" s="34">
      <c r="A39" s="11" t="n">
        <v>45231</v>
      </c>
      <c r="B39" s="161" t="n">
        <v>1630947.240000002</v>
      </c>
      <c r="C39" s="161" t="n">
        <v>555582.12</v>
      </c>
      <c r="D39" s="161" t="n">
        <v>507581.8999999997</v>
      </c>
      <c r="E39" s="161" t="n">
        <v>48000.21999999999</v>
      </c>
      <c r="F39" s="160" t="n">
        <v>293225.1799999999</v>
      </c>
      <c r="G39" s="160" t="n">
        <v>262356.9399999999</v>
      </c>
      <c r="H39" s="160" t="n">
        <v>21974.8</v>
      </c>
      <c r="I39" s="160" t="n">
        <v>1075365.120000002</v>
      </c>
      <c r="K39" s="11">
        <f>A39</f>
        <v/>
      </c>
      <c r="L39" s="161" t="n">
        <v>658434.9900000002</v>
      </c>
      <c r="M39" s="161" t="n">
        <v>375322.5800000002</v>
      </c>
      <c r="N39" s="161" t="n">
        <v>368160.9700000001</v>
      </c>
      <c r="O39" s="161" t="n">
        <v>7161.610000000001</v>
      </c>
      <c r="P39" s="160" t="n">
        <v>305146.5000000001</v>
      </c>
      <c r="Q39" s="160" t="n">
        <v>70176.08000000005</v>
      </c>
      <c r="R39" s="160" t="n">
        <v>6931.910000000001</v>
      </c>
      <c r="S39" s="160" t="n">
        <v>283112.4100000001</v>
      </c>
      <c r="U39" s="11">
        <f>K39</f>
        <v/>
      </c>
      <c r="V39" s="161" t="n">
        <v>220039.94</v>
      </c>
      <c r="W39" s="161" t="n">
        <v>84320.64999999999</v>
      </c>
      <c r="X39" s="161" t="n">
        <v>84165.47</v>
      </c>
      <c r="Y39" s="161" t="n">
        <v>155.18</v>
      </c>
      <c r="Z39" s="160" t="n">
        <v>74728.31000000001</v>
      </c>
      <c r="AA39" s="160" t="n">
        <v>9592.34</v>
      </c>
      <c r="AB39" s="160" t="n">
        <v>403.1799999999999</v>
      </c>
      <c r="AC39" s="160" t="n">
        <v>135719.29</v>
      </c>
      <c r="AE39" s="11">
        <f>U39</f>
        <v/>
      </c>
      <c r="AF39" s="161" t="n">
        <v>58746.30000000001</v>
      </c>
      <c r="AG39" s="161" t="n">
        <v>24792.66</v>
      </c>
      <c r="AH39" s="161" t="n">
        <v>24788.18</v>
      </c>
      <c r="AI39" s="161" t="n">
        <v>4.48</v>
      </c>
      <c r="AJ39" s="160" t="n">
        <v>22106.24</v>
      </c>
      <c r="AK39" s="160" t="n">
        <v>2686.42</v>
      </c>
      <c r="AL39" s="160" t="n">
        <v>0</v>
      </c>
      <c r="AM39" s="160" t="n">
        <v>33953.64000000001</v>
      </c>
    </row>
    <row r="40" ht="16.5" customHeight="1" s="34">
      <c r="A40" s="11" t="n">
        <v>45232</v>
      </c>
      <c r="B40" s="160" t="n">
        <v>1700099.53</v>
      </c>
      <c r="C40" s="160" t="n">
        <v>594656.7500000009</v>
      </c>
      <c r="D40" s="160" t="n">
        <v>536805.3800000004</v>
      </c>
      <c r="E40" s="160" t="n">
        <v>57851.37</v>
      </c>
      <c r="F40" s="160" t="n">
        <v>316523.51</v>
      </c>
      <c r="G40" s="160" t="n">
        <v>278133.2399999998</v>
      </c>
      <c r="H40" s="160" t="n">
        <v>22005.38</v>
      </c>
      <c r="I40" s="160" t="n">
        <v>1105442.779999999</v>
      </c>
      <c r="K40" s="11">
        <f>A40</f>
        <v/>
      </c>
      <c r="L40" s="160" t="n">
        <v>653096.4599999995</v>
      </c>
      <c r="M40" s="160" t="n">
        <v>371996.9999999998</v>
      </c>
      <c r="N40" s="160" t="n">
        <v>365165.1799999998</v>
      </c>
      <c r="O40" s="160" t="n">
        <v>6831.82</v>
      </c>
      <c r="P40" s="160" t="n">
        <v>300876.7399999999</v>
      </c>
      <c r="Q40" s="160" t="n">
        <v>71120.25999999998</v>
      </c>
      <c r="R40" s="160" t="n">
        <v>6914.63</v>
      </c>
      <c r="S40" s="160" t="n">
        <v>281099.4599999998</v>
      </c>
      <c r="U40" s="11">
        <f>K40</f>
        <v/>
      </c>
      <c r="V40" s="160" t="n">
        <v>223642.55</v>
      </c>
      <c r="W40" s="160" t="n">
        <v>91797.35999999997</v>
      </c>
      <c r="X40" s="160" t="n">
        <v>91649.22999999998</v>
      </c>
      <c r="Y40" s="160" t="n">
        <v>148.13</v>
      </c>
      <c r="Z40" s="160" t="n">
        <v>81189.75999999997</v>
      </c>
      <c r="AA40" s="160" t="n">
        <v>10607.6</v>
      </c>
      <c r="AB40" s="160" t="n">
        <v>410.9</v>
      </c>
      <c r="AC40" s="160" t="n">
        <v>131845.19</v>
      </c>
      <c r="AE40" s="11">
        <f>U40</f>
        <v/>
      </c>
      <c r="AF40" s="160" t="n">
        <v>59631.15</v>
      </c>
      <c r="AG40" s="160" t="n">
        <v>22869.9</v>
      </c>
      <c r="AH40" s="160" t="n">
        <v>22867.18</v>
      </c>
      <c r="AI40" s="160" t="n">
        <v>2.72</v>
      </c>
      <c r="AJ40" s="160" t="n">
        <v>20245</v>
      </c>
      <c r="AK40" s="160" t="n">
        <v>2624.9</v>
      </c>
      <c r="AL40" s="160" t="n">
        <v>0</v>
      </c>
      <c r="AM40" s="160" t="n">
        <v>36761.25</v>
      </c>
    </row>
    <row r="41" ht="16.5" customHeight="1" s="34">
      <c r="A41" s="11" t="n">
        <v>45233</v>
      </c>
      <c r="B41" s="160" t="n">
        <v>1690102.77</v>
      </c>
      <c r="C41" s="160" t="n">
        <v>574497.9199999997</v>
      </c>
      <c r="D41" s="160" t="n">
        <v>522205.9500000003</v>
      </c>
      <c r="E41" s="160" t="n">
        <v>52291.96999999999</v>
      </c>
      <c r="F41" s="160" t="n">
        <v>312187.38</v>
      </c>
      <c r="G41" s="160" t="n">
        <v>262310.5400000001</v>
      </c>
      <c r="H41" s="160" t="n">
        <v>21398.37999999999</v>
      </c>
      <c r="I41" s="160" t="n">
        <v>1115604.85</v>
      </c>
      <c r="K41" s="11">
        <f>A41</f>
        <v/>
      </c>
      <c r="L41" s="160" t="n">
        <v>650657.87</v>
      </c>
      <c r="M41" s="160" t="n">
        <v>386676.2299999999</v>
      </c>
      <c r="N41" s="160" t="n">
        <v>379599.03</v>
      </c>
      <c r="O41" s="160" t="n">
        <v>7077.200000000001</v>
      </c>
      <c r="P41" s="160" t="n">
        <v>313653.87</v>
      </c>
      <c r="Q41" s="160" t="n">
        <v>73022.35999999997</v>
      </c>
      <c r="R41" s="160" t="n">
        <v>6654.309999999999</v>
      </c>
      <c r="S41" s="160" t="n">
        <v>263981.6400000001</v>
      </c>
      <c r="U41" s="11">
        <f>K41</f>
        <v/>
      </c>
      <c r="V41" s="160" t="n">
        <v>213500.3400000001</v>
      </c>
      <c r="W41" s="160" t="n">
        <v>88307.41000000002</v>
      </c>
      <c r="X41" s="160" t="n">
        <v>88196.71000000002</v>
      </c>
      <c r="Y41" s="160" t="n">
        <v>110.7</v>
      </c>
      <c r="Z41" s="160" t="n">
        <v>77410.64999999999</v>
      </c>
      <c r="AA41" s="160" t="n">
        <v>10896.76000000001</v>
      </c>
      <c r="AB41" s="160" t="n">
        <v>429.59</v>
      </c>
      <c r="AC41" s="160" t="n">
        <v>125192.9300000001</v>
      </c>
      <c r="AE41" s="11">
        <f>U41</f>
        <v/>
      </c>
      <c r="AF41" s="160" t="n">
        <v>61387.05</v>
      </c>
      <c r="AG41" s="160" t="n">
        <v>23301.51999999999</v>
      </c>
      <c r="AH41" s="160" t="n">
        <v>23292.71999999999</v>
      </c>
      <c r="AI41" s="160" t="n">
        <v>8.800000000000001</v>
      </c>
      <c r="AJ41" s="160" t="n">
        <v>20330.93</v>
      </c>
      <c r="AK41" s="160" t="n">
        <v>2970.59</v>
      </c>
      <c r="AL41" s="160" t="n">
        <v>0</v>
      </c>
      <c r="AM41" s="160" t="n">
        <v>38085.53000000001</v>
      </c>
    </row>
    <row r="42" ht="16.5" customHeight="1" s="34">
      <c r="A42" s="11" t="n">
        <v>45234</v>
      </c>
      <c r="B42" s="160" t="n">
        <v>1504498.69</v>
      </c>
      <c r="C42" s="160" t="n">
        <v>529524.7199999997</v>
      </c>
      <c r="D42" s="160" t="n">
        <v>473840.6899999998</v>
      </c>
      <c r="E42" s="160" t="n">
        <v>55684.03000000001</v>
      </c>
      <c r="F42" s="160" t="n">
        <v>324537.3999999998</v>
      </c>
      <c r="G42" s="160" t="n">
        <v>204987.32</v>
      </c>
      <c r="H42" s="160" t="n">
        <v>21377.5</v>
      </c>
      <c r="I42" s="160" t="n">
        <v>974973.9700000004</v>
      </c>
      <c r="K42" s="11">
        <f>A42</f>
        <v/>
      </c>
      <c r="L42" s="160" t="n">
        <v>662283.9600000003</v>
      </c>
      <c r="M42" s="160" t="n">
        <v>383895.8600000002</v>
      </c>
      <c r="N42" s="160" t="n">
        <v>375502.78</v>
      </c>
      <c r="O42" s="160" t="n">
        <v>8393.08</v>
      </c>
      <c r="P42" s="160" t="n">
        <v>319766.0000000003</v>
      </c>
      <c r="Q42" s="160" t="n">
        <v>64129.85999999996</v>
      </c>
      <c r="R42" s="160" t="n">
        <v>7214.299999999999</v>
      </c>
      <c r="S42" s="160" t="n">
        <v>278388.1000000001</v>
      </c>
      <c r="U42" s="11">
        <f>K42</f>
        <v/>
      </c>
      <c r="V42" s="160" t="n">
        <v>207503.7199999999</v>
      </c>
      <c r="W42" s="160" t="n">
        <v>87705.99999999994</v>
      </c>
      <c r="X42" s="160" t="n">
        <v>87607.72999999994</v>
      </c>
      <c r="Y42" s="160" t="n">
        <v>98.27</v>
      </c>
      <c r="Z42" s="160" t="n">
        <v>77640.87999999999</v>
      </c>
      <c r="AA42" s="160" t="n">
        <v>10065.12</v>
      </c>
      <c r="AB42" s="160" t="n">
        <v>421.31</v>
      </c>
      <c r="AC42" s="160" t="n">
        <v>119797.72</v>
      </c>
      <c r="AE42" s="11">
        <f>U42</f>
        <v/>
      </c>
      <c r="AF42" s="160" t="n">
        <v>61288.59999999999</v>
      </c>
      <c r="AG42" s="160" t="n">
        <v>25360.04999999999</v>
      </c>
      <c r="AH42" s="160" t="n">
        <v>25360.04999999999</v>
      </c>
      <c r="AI42" s="160" t="n">
        <v>0</v>
      </c>
      <c r="AJ42" s="160" t="n">
        <v>22813.38</v>
      </c>
      <c r="AK42" s="160" t="n">
        <v>2546.67</v>
      </c>
      <c r="AL42" s="160" t="n">
        <v>0</v>
      </c>
      <c r="AM42" s="160" t="n">
        <v>35928.55</v>
      </c>
    </row>
    <row r="43" ht="16.5" customHeight="1" s="34">
      <c r="A43" s="11" t="n">
        <v>45235</v>
      </c>
      <c r="B43" s="160" t="n">
        <v>1484814.649999999</v>
      </c>
      <c r="C43" s="160" t="n">
        <v>506196.6499999998</v>
      </c>
      <c r="D43" s="160" t="n">
        <v>451133.8399999999</v>
      </c>
      <c r="E43" s="160" t="n">
        <v>55062.81</v>
      </c>
      <c r="F43" s="160" t="n">
        <v>315781.5299999999</v>
      </c>
      <c r="G43" s="160" t="n">
        <v>190415.1200000002</v>
      </c>
      <c r="H43" s="160" t="n">
        <v>22664.9</v>
      </c>
      <c r="I43" s="160" t="n">
        <v>978617.9999999995</v>
      </c>
      <c r="K43" s="11">
        <f>A43</f>
        <v/>
      </c>
      <c r="L43" s="160" t="n">
        <v>688460.6700000004</v>
      </c>
      <c r="M43" s="160" t="n">
        <v>392237.7600000002</v>
      </c>
      <c r="N43" s="160" t="n">
        <v>383699.5400000002</v>
      </c>
      <c r="O43" s="160" t="n">
        <v>8538.220000000001</v>
      </c>
      <c r="P43" s="160" t="n">
        <v>330688.6999999998</v>
      </c>
      <c r="Q43" s="160" t="n">
        <v>61549.05999999998</v>
      </c>
      <c r="R43" s="160" t="n">
        <v>7503.639999999999</v>
      </c>
      <c r="S43" s="160" t="n">
        <v>296222.9100000002</v>
      </c>
      <c r="U43" s="11">
        <f>K43</f>
        <v/>
      </c>
      <c r="V43" s="160" t="n">
        <v>204678.11</v>
      </c>
      <c r="W43" s="160" t="n">
        <v>84549.55999999997</v>
      </c>
      <c r="X43" s="160" t="n">
        <v>84549.55999999997</v>
      </c>
      <c r="Y43" s="160" t="n">
        <v>0</v>
      </c>
      <c r="Z43" s="160" t="n">
        <v>76456.54999999999</v>
      </c>
      <c r="AA43" s="160" t="n">
        <v>8093.010000000001</v>
      </c>
      <c r="AB43" s="160" t="n">
        <v>392.53</v>
      </c>
      <c r="AC43" s="160" t="n">
        <v>120128.55</v>
      </c>
      <c r="AE43" s="11">
        <f>U43</f>
        <v/>
      </c>
      <c r="AF43" s="160" t="n">
        <v>52953.63</v>
      </c>
      <c r="AG43" s="160" t="n">
        <v>23039.98</v>
      </c>
      <c r="AH43" s="160" t="n">
        <v>23039.98</v>
      </c>
      <c r="AI43" s="160" t="n">
        <v>0</v>
      </c>
      <c r="AJ43" s="160" t="n">
        <v>20812.24</v>
      </c>
      <c r="AK43" s="160" t="n">
        <v>2227.74</v>
      </c>
      <c r="AL43" s="160" t="n">
        <v>0</v>
      </c>
      <c r="AM43" s="160" t="n">
        <v>29913.65000000001</v>
      </c>
    </row>
    <row r="44" ht="16.5" customHeight="1" s="34">
      <c r="A44" s="11" t="n">
        <v>45236</v>
      </c>
      <c r="B44" s="160" t="n">
        <v>1625989.42</v>
      </c>
      <c r="C44" s="160" t="n">
        <v>589304.1399999997</v>
      </c>
      <c r="D44" s="160" t="n">
        <v>537162.0899999997</v>
      </c>
      <c r="E44" s="160" t="n">
        <v>52142.05</v>
      </c>
      <c r="F44" s="160" t="n">
        <v>317517.0999999999</v>
      </c>
      <c r="G44" s="160" t="n">
        <v>271787.0399999998</v>
      </c>
      <c r="H44" s="160" t="n">
        <v>19313.77999999999</v>
      </c>
      <c r="I44" s="160" t="n">
        <v>1036685.28</v>
      </c>
      <c r="K44" s="11">
        <f>A44</f>
        <v/>
      </c>
      <c r="L44" s="160" t="n">
        <v>652430.3700000003</v>
      </c>
      <c r="M44" s="160" t="n">
        <v>377743.5700000005</v>
      </c>
      <c r="N44" s="160" t="n">
        <v>370557.0800000005</v>
      </c>
      <c r="O44" s="160" t="n">
        <v>7186.49</v>
      </c>
      <c r="P44" s="160" t="n">
        <v>307010.36</v>
      </c>
      <c r="Q44" s="160" t="n">
        <v>70733.20999999998</v>
      </c>
      <c r="R44" s="160" t="n">
        <v>6992.19</v>
      </c>
      <c r="S44" s="160" t="n">
        <v>274686.7999999999</v>
      </c>
      <c r="U44" s="11">
        <f>K44</f>
        <v/>
      </c>
      <c r="V44" s="160" t="n">
        <v>225818.26</v>
      </c>
      <c r="W44" s="160" t="n">
        <v>87215.99999999999</v>
      </c>
      <c r="X44" s="160" t="n">
        <v>87117.01999999999</v>
      </c>
      <c r="Y44" s="160" t="n">
        <v>98.98</v>
      </c>
      <c r="Z44" s="160" t="n">
        <v>76154.76999999999</v>
      </c>
      <c r="AA44" s="160" t="n">
        <v>11061.23</v>
      </c>
      <c r="AB44" s="160" t="n">
        <v>475.85</v>
      </c>
      <c r="AC44" s="160" t="n">
        <v>138602.26</v>
      </c>
      <c r="AE44" s="11">
        <f>U44</f>
        <v/>
      </c>
      <c r="AF44" s="160" t="n">
        <v>61719.92</v>
      </c>
      <c r="AG44" s="160" t="n">
        <v>25165.97</v>
      </c>
      <c r="AH44" s="160" t="n">
        <v>25153.98999999999</v>
      </c>
      <c r="AI44" s="160" t="n">
        <v>11.98</v>
      </c>
      <c r="AJ44" s="160" t="n">
        <v>22220.8</v>
      </c>
      <c r="AK44" s="160" t="n">
        <v>2945.170000000001</v>
      </c>
      <c r="AL44" s="160" t="n">
        <v>0</v>
      </c>
      <c r="AM44" s="160" t="n">
        <v>36553.95</v>
      </c>
    </row>
    <row r="45" ht="16.5" customHeight="1" s="34">
      <c r="A45" s="11" t="n">
        <v>45237</v>
      </c>
      <c r="B45" s="160" t="n">
        <v>1618664.950000002</v>
      </c>
      <c r="C45" s="160" t="n">
        <v>568018.2100000003</v>
      </c>
      <c r="D45" s="160" t="n">
        <v>521626.1399999994</v>
      </c>
      <c r="E45" s="160" t="n">
        <v>46392.06999999997</v>
      </c>
      <c r="F45" s="160" t="n">
        <v>301545.32</v>
      </c>
      <c r="G45" s="160" t="n">
        <v>266472.8899999997</v>
      </c>
      <c r="H45" s="160" t="n">
        <v>19231.00999999999</v>
      </c>
      <c r="I45" s="160" t="n">
        <v>1050646.740000001</v>
      </c>
      <c r="K45" s="11">
        <f>A45</f>
        <v/>
      </c>
      <c r="L45" s="160" t="n">
        <v>611860.9599999998</v>
      </c>
      <c r="M45" s="160" t="n">
        <v>357713.28</v>
      </c>
      <c r="N45" s="160" t="n">
        <v>350838.9699999999</v>
      </c>
      <c r="O45" s="160" t="n">
        <v>6874.31</v>
      </c>
      <c r="P45" s="160" t="n">
        <v>292532.72</v>
      </c>
      <c r="Q45" s="160" t="n">
        <v>65180.56000000001</v>
      </c>
      <c r="R45" s="160" t="n">
        <v>6963.78</v>
      </c>
      <c r="S45" s="160" t="n">
        <v>254147.6799999998</v>
      </c>
      <c r="U45" s="11">
        <f>K45</f>
        <v/>
      </c>
      <c r="V45" s="160" t="n">
        <v>220028.1300000001</v>
      </c>
      <c r="W45" s="160" t="n">
        <v>86603.05</v>
      </c>
      <c r="X45" s="160" t="n">
        <v>86502.67999999999</v>
      </c>
      <c r="Y45" s="160" t="n">
        <v>100.37</v>
      </c>
      <c r="Z45" s="160" t="n">
        <v>76611.45999999998</v>
      </c>
      <c r="AA45" s="160" t="n">
        <v>9991.590000000002</v>
      </c>
      <c r="AB45" s="160" t="n">
        <v>403.64</v>
      </c>
      <c r="AC45" s="160" t="n">
        <v>133425.08</v>
      </c>
      <c r="AE45" s="11">
        <f>U45</f>
        <v/>
      </c>
      <c r="AF45" s="160" t="n">
        <v>65052.52000000002</v>
      </c>
      <c r="AG45" s="160" t="n">
        <v>25981.17000000001</v>
      </c>
      <c r="AH45" s="160" t="n">
        <v>25974.68000000001</v>
      </c>
      <c r="AI45" s="160" t="n">
        <v>6.49</v>
      </c>
      <c r="AJ45" s="160" t="n">
        <v>23051.93</v>
      </c>
      <c r="AK45" s="160" t="n">
        <v>2929.24</v>
      </c>
      <c r="AL45" s="160" t="n">
        <v>0</v>
      </c>
      <c r="AM45" s="160" t="n">
        <v>39071.35000000001</v>
      </c>
    </row>
    <row r="46" ht="16.5" customHeight="1" s="34">
      <c r="A46" s="11" t="n">
        <v>45238</v>
      </c>
      <c r="B46" s="160" t="n">
        <v>1607386.919999998</v>
      </c>
      <c r="C46" s="160" t="n">
        <v>573020.9899999991</v>
      </c>
      <c r="D46" s="160" t="n">
        <v>525082.5499999995</v>
      </c>
      <c r="E46" s="160" t="n">
        <v>47938.44</v>
      </c>
      <c r="F46" s="160" t="n">
        <v>311607.8999999999</v>
      </c>
      <c r="G46" s="160" t="n">
        <v>261413.0900000002</v>
      </c>
      <c r="H46" s="160" t="n">
        <v>19223.13</v>
      </c>
      <c r="I46" s="160" t="n">
        <v>1034365.929999999</v>
      </c>
      <c r="K46" s="11">
        <f>A46</f>
        <v/>
      </c>
      <c r="L46" s="160" t="n">
        <v>644144.0600000001</v>
      </c>
      <c r="M46" s="160" t="n">
        <v>379724.3400000002</v>
      </c>
      <c r="N46" s="160" t="n">
        <v>369628.9100000003</v>
      </c>
      <c r="O46" s="160" t="n">
        <v>10095.43</v>
      </c>
      <c r="P46" s="160" t="n">
        <v>309203.92</v>
      </c>
      <c r="Q46" s="160" t="n">
        <v>70520.42000000003</v>
      </c>
      <c r="R46" s="160" t="n">
        <v>6952.52</v>
      </c>
      <c r="S46" s="160" t="n">
        <v>264419.7199999999</v>
      </c>
      <c r="U46" s="11">
        <f>K46</f>
        <v/>
      </c>
      <c r="V46" s="160" t="n">
        <v>220529.51</v>
      </c>
      <c r="W46" s="160" t="n">
        <v>90038.39000000004</v>
      </c>
      <c r="X46" s="160" t="n">
        <v>89940.15000000005</v>
      </c>
      <c r="Y46" s="160" t="n">
        <v>98.23999999999999</v>
      </c>
      <c r="Z46" s="160" t="n">
        <v>78643.75999999999</v>
      </c>
      <c r="AA46" s="160" t="n">
        <v>11394.63</v>
      </c>
      <c r="AB46" s="160" t="n">
        <v>384.03</v>
      </c>
      <c r="AC46" s="160" t="n">
        <v>130491.12</v>
      </c>
      <c r="AE46" s="11">
        <f>U46</f>
        <v/>
      </c>
      <c r="AF46" s="160" t="n">
        <v>59620.96000000001</v>
      </c>
      <c r="AG46" s="160" t="n">
        <v>25722.29000000001</v>
      </c>
      <c r="AH46" s="160" t="n">
        <v>25722.08000000001</v>
      </c>
      <c r="AI46" s="160" t="n">
        <v>0.21</v>
      </c>
      <c r="AJ46" s="160" t="n">
        <v>22681.33</v>
      </c>
      <c r="AK46" s="160" t="n">
        <v>3040.96</v>
      </c>
      <c r="AL46" s="160" t="n">
        <v>0</v>
      </c>
      <c r="AM46" s="160" t="n">
        <v>33898.67000000001</v>
      </c>
    </row>
    <row r="47" ht="16.5" customHeight="1" s="34">
      <c r="A47" s="11" t="n">
        <v>45239</v>
      </c>
      <c r="B47" s="160" t="n">
        <v>1604333.259999999</v>
      </c>
      <c r="C47" s="160" t="n">
        <v>569915.6099999998</v>
      </c>
      <c r="D47" s="160" t="n">
        <v>519718.0199999998</v>
      </c>
      <c r="E47" s="160" t="n">
        <v>50197.59000000002</v>
      </c>
      <c r="F47" s="160" t="n">
        <v>303234.8799999999</v>
      </c>
      <c r="G47" s="160" t="n">
        <v>266680.7300000002</v>
      </c>
      <c r="H47" s="160" t="n">
        <v>19397.18</v>
      </c>
      <c r="I47" s="160" t="n">
        <v>1034417.649999999</v>
      </c>
      <c r="K47" s="11">
        <f>A47</f>
        <v/>
      </c>
      <c r="L47" s="160" t="n">
        <v>778747.1699999999</v>
      </c>
      <c r="M47" s="160" t="n">
        <v>360176.4199999999</v>
      </c>
      <c r="N47" s="160" t="n">
        <v>349084.8699999998</v>
      </c>
      <c r="O47" s="160" t="n">
        <v>11091.55</v>
      </c>
      <c r="P47" s="160" t="n">
        <v>286019.9599999997</v>
      </c>
      <c r="Q47" s="160" t="n">
        <v>74156.45999999996</v>
      </c>
      <c r="R47" s="160" t="n">
        <v>6980.610000000001</v>
      </c>
      <c r="S47" s="160" t="n">
        <v>258670.7499999997</v>
      </c>
      <c r="U47" s="11">
        <f>K47</f>
        <v/>
      </c>
      <c r="V47" s="160" t="n">
        <v>221189.8</v>
      </c>
      <c r="W47" s="160" t="n">
        <v>90005.46999999997</v>
      </c>
      <c r="X47" s="160" t="n">
        <v>89901.71999999997</v>
      </c>
      <c r="Y47" s="160" t="n">
        <v>103.75</v>
      </c>
      <c r="Z47" s="160" t="n">
        <v>79637.27</v>
      </c>
      <c r="AA47" s="160" t="n">
        <v>10368.2</v>
      </c>
      <c r="AB47" s="160" t="n">
        <v>408.88</v>
      </c>
      <c r="AC47" s="160" t="n">
        <v>131184.33</v>
      </c>
      <c r="AE47" s="11">
        <f>U47</f>
        <v/>
      </c>
      <c r="AF47" s="160" t="n">
        <v>58659.72000000002</v>
      </c>
      <c r="AG47" s="160" t="n">
        <v>23167</v>
      </c>
      <c r="AH47" s="160" t="n">
        <v>23165.54</v>
      </c>
      <c r="AI47" s="160" t="n">
        <v>1.46</v>
      </c>
      <c r="AJ47" s="160" t="n">
        <v>20608.93</v>
      </c>
      <c r="AK47" s="160" t="n">
        <v>2558.069999999999</v>
      </c>
      <c r="AL47" s="160" t="n">
        <v>0</v>
      </c>
      <c r="AM47" s="160" t="n">
        <v>35492.72000000002</v>
      </c>
    </row>
    <row r="48" ht="16.5" customHeight="1" s="34">
      <c r="A48" s="11" t="n">
        <v>45240</v>
      </c>
      <c r="B48" s="160" t="n">
        <v>3726031.77</v>
      </c>
      <c r="C48" s="160" t="n">
        <v>561783.2600000006</v>
      </c>
      <c r="D48" s="160" t="n">
        <v>512794.8500000001</v>
      </c>
      <c r="E48" s="160" t="n">
        <v>48988.40999999999</v>
      </c>
      <c r="F48" s="160" t="n">
        <v>307896.2499999998</v>
      </c>
      <c r="G48" s="160" t="n">
        <v>253887.0100000004</v>
      </c>
      <c r="H48" s="160" t="n">
        <v>19580.32999999999</v>
      </c>
      <c r="I48" s="160" t="n">
        <v>1003149.310000001</v>
      </c>
      <c r="K48" s="11">
        <f>A48</f>
        <v/>
      </c>
      <c r="L48" s="160" t="n">
        <v>1122592.069999999</v>
      </c>
      <c r="M48" s="160" t="n">
        <v>373835.8800000001</v>
      </c>
      <c r="N48" s="160" t="n">
        <v>361786.9900000001</v>
      </c>
      <c r="O48" s="160" t="n">
        <v>12048.89</v>
      </c>
      <c r="P48" s="160" t="n">
        <v>300705.17</v>
      </c>
      <c r="Q48" s="160" t="n">
        <v>73130.70999999998</v>
      </c>
      <c r="R48" s="160" t="n">
        <v>6989.090000000001</v>
      </c>
      <c r="S48" s="160" t="n">
        <v>239156.1899999998</v>
      </c>
      <c r="U48" s="11">
        <f>K48</f>
        <v/>
      </c>
      <c r="V48" s="160" t="n">
        <v>277521.37</v>
      </c>
      <c r="W48" s="160" t="n">
        <v>87273.82999999997</v>
      </c>
      <c r="X48" s="160" t="n">
        <v>87131.36999999997</v>
      </c>
      <c r="Y48" s="160" t="n">
        <v>142.46</v>
      </c>
      <c r="Z48" s="160" t="n">
        <v>76543.29999999997</v>
      </c>
      <c r="AA48" s="160" t="n">
        <v>10730.53</v>
      </c>
      <c r="AB48" s="160" t="n">
        <v>379.47</v>
      </c>
      <c r="AC48" s="160" t="n">
        <v>129147.5399999999</v>
      </c>
      <c r="AE48" s="11">
        <f>U48</f>
        <v/>
      </c>
      <c r="AF48" s="160" t="n">
        <v>361690.1300000001</v>
      </c>
      <c r="AG48" s="160" t="n">
        <v>24819.37</v>
      </c>
      <c r="AH48" s="160" t="n">
        <v>24817.96</v>
      </c>
      <c r="AI48" s="160" t="n">
        <v>1.41</v>
      </c>
      <c r="AJ48" s="160" t="n">
        <v>22644.1</v>
      </c>
      <c r="AK48" s="160" t="n">
        <v>2175.27</v>
      </c>
      <c r="AL48" s="160" t="n">
        <v>0</v>
      </c>
      <c r="AM48" s="160" t="n">
        <v>37870.75999999999</v>
      </c>
    </row>
    <row r="49" ht="16.5" customHeight="1" s="34">
      <c r="A49" s="11" t="n">
        <v>45241</v>
      </c>
      <c r="B49" s="160" t="n">
        <v>1441949.519999999</v>
      </c>
      <c r="C49" s="160" t="n">
        <v>497659.6899999998</v>
      </c>
      <c r="D49" s="160" t="n">
        <v>445689.6899999997</v>
      </c>
      <c r="E49" s="160" t="n">
        <v>51969.99999999998</v>
      </c>
      <c r="F49" s="160" t="n">
        <v>300728.9500000001</v>
      </c>
      <c r="G49" s="160" t="n">
        <v>196930.74</v>
      </c>
      <c r="H49" s="160" t="n">
        <v>19140.39</v>
      </c>
      <c r="I49" s="160" t="n">
        <v>944289.8299999995</v>
      </c>
      <c r="K49" s="11">
        <f>A49</f>
        <v/>
      </c>
      <c r="L49" s="160" t="n">
        <v>617223.3300000001</v>
      </c>
      <c r="M49" s="160" t="n">
        <v>365730.7800000001</v>
      </c>
      <c r="N49" s="160" t="n">
        <v>352130.87</v>
      </c>
      <c r="O49" s="160" t="n">
        <v>13599.91</v>
      </c>
      <c r="P49" s="160" t="n">
        <v>302983.85</v>
      </c>
      <c r="Q49" s="160" t="n">
        <v>62746.92999999998</v>
      </c>
      <c r="R49" s="160" t="n">
        <v>6991.13</v>
      </c>
      <c r="S49" s="160" t="n">
        <v>251492.5499999999</v>
      </c>
      <c r="U49" s="11">
        <f>K49</f>
        <v/>
      </c>
      <c r="V49" s="160" t="n">
        <v>204941.8199999999</v>
      </c>
      <c r="W49" s="160" t="n">
        <v>85643.54000000002</v>
      </c>
      <c r="X49" s="160" t="n">
        <v>85304.36000000002</v>
      </c>
      <c r="Y49" s="160" t="n">
        <v>339.18</v>
      </c>
      <c r="Z49" s="160" t="n">
        <v>77417.57000000001</v>
      </c>
      <c r="AA49" s="160" t="n">
        <v>8225.969999999999</v>
      </c>
      <c r="AB49" s="160" t="n">
        <v>371.91</v>
      </c>
      <c r="AC49" s="160" t="n">
        <v>119298.2799999999</v>
      </c>
      <c r="AE49" s="11">
        <f>U49</f>
        <v/>
      </c>
      <c r="AF49" s="160" t="n">
        <v>59127.67999999999</v>
      </c>
      <c r="AG49" s="160" t="n">
        <v>24923.2</v>
      </c>
      <c r="AH49" s="160" t="n">
        <v>24923.2</v>
      </c>
      <c r="AI49" s="160" t="n">
        <v>0</v>
      </c>
      <c r="AJ49" s="160" t="n">
        <v>22930.58</v>
      </c>
      <c r="AK49" s="160" t="n">
        <v>1992.62</v>
      </c>
      <c r="AL49" s="160" t="n">
        <v>0</v>
      </c>
      <c r="AM49" s="160" t="n">
        <v>34204.47999999999</v>
      </c>
    </row>
    <row r="50" ht="16.5" customHeight="1" s="34">
      <c r="A50" s="11" t="n">
        <v>45242</v>
      </c>
      <c r="B50" s="160" t="n">
        <v>3259624.890000003</v>
      </c>
      <c r="C50" s="160" t="n">
        <v>946182.9699999999</v>
      </c>
      <c r="D50" s="160" t="n">
        <v>892361.5599999997</v>
      </c>
      <c r="E50" s="160" t="n">
        <v>53821.40999999999</v>
      </c>
      <c r="F50" s="160" t="n">
        <v>310907.0999999999</v>
      </c>
      <c r="G50" s="160" t="n">
        <v>635275.8699999998</v>
      </c>
      <c r="H50" s="160" t="n">
        <v>468783.5999999999</v>
      </c>
      <c r="I50" s="160" t="n">
        <v>915692.3200000001</v>
      </c>
      <c r="K50" s="11">
        <f>A50</f>
        <v/>
      </c>
      <c r="L50" s="160" t="n">
        <v>880792.1600000001</v>
      </c>
      <c r="M50" s="160" t="n">
        <v>376012.8200000001</v>
      </c>
      <c r="N50" s="160" t="n">
        <v>362907.5600000001</v>
      </c>
      <c r="O50" s="160" t="n">
        <v>13105.26</v>
      </c>
      <c r="P50" s="160" t="n">
        <v>313921.2599999999</v>
      </c>
      <c r="Q50" s="160" t="n">
        <v>62091.56000000002</v>
      </c>
      <c r="R50" s="160" t="n">
        <v>4733.52</v>
      </c>
      <c r="S50" s="160" t="n">
        <v>302629.3400000001</v>
      </c>
      <c r="U50" s="11">
        <f>K50</f>
        <v/>
      </c>
      <c r="V50" s="160" t="n">
        <v>205281.6500000001</v>
      </c>
      <c r="W50" s="160" t="n">
        <v>90379.70999999999</v>
      </c>
      <c r="X50" s="160" t="n">
        <v>89986.29999999999</v>
      </c>
      <c r="Y50" s="160" t="n">
        <v>393.41</v>
      </c>
      <c r="Z50" s="160" t="n">
        <v>82604.92999999999</v>
      </c>
      <c r="AA50" s="160" t="n">
        <v>7774.780000000001</v>
      </c>
      <c r="AB50" s="160" t="n">
        <v>410.8200000000001</v>
      </c>
      <c r="AC50" s="160" t="n">
        <v>114901.9400000001</v>
      </c>
      <c r="AE50" s="11">
        <f>U50</f>
        <v/>
      </c>
      <c r="AF50" s="160" t="n">
        <v>56464.2</v>
      </c>
      <c r="AG50" s="160" t="n">
        <v>25002.63</v>
      </c>
      <c r="AH50" s="160" t="n">
        <v>25002.63</v>
      </c>
      <c r="AI50" s="160" t="n">
        <v>0</v>
      </c>
      <c r="AJ50" s="160" t="n">
        <v>22677.86000000001</v>
      </c>
      <c r="AK50" s="160" t="n">
        <v>2324.77</v>
      </c>
      <c r="AL50" s="160" t="n">
        <v>0</v>
      </c>
      <c r="AM50" s="160" t="n">
        <v>31461.56999999999</v>
      </c>
    </row>
    <row r="51" ht="16.5" customHeight="1" s="34">
      <c r="A51" s="11" t="n">
        <v>45243</v>
      </c>
      <c r="B51" s="160" t="n"/>
      <c r="C51" s="160" t="n"/>
      <c r="D51" s="160" t="n"/>
      <c r="E51" s="160" t="n"/>
      <c r="F51" s="160" t="n"/>
      <c r="G51" s="160" t="n"/>
      <c r="H51" s="160" t="n"/>
      <c r="I51" s="160" t="n"/>
      <c r="K51" s="11">
        <f>A51</f>
        <v/>
      </c>
      <c r="L51" s="160" t="n"/>
      <c r="M51" s="160" t="n"/>
      <c r="N51" s="160" t="n"/>
      <c r="O51" s="160" t="n"/>
      <c r="P51" s="160" t="n"/>
      <c r="Q51" s="160" t="n"/>
      <c r="R51" s="160" t="n"/>
      <c r="S51" s="160" t="n"/>
      <c r="U51" s="11">
        <f>K51</f>
        <v/>
      </c>
      <c r="V51" s="160" t="n"/>
      <c r="W51" s="160" t="n"/>
      <c r="X51" s="160" t="n"/>
      <c r="Y51" s="160" t="n"/>
      <c r="Z51" s="160" t="n"/>
      <c r="AA51" s="160" t="n"/>
      <c r="AB51" s="160" t="n"/>
      <c r="AC51" s="160" t="n"/>
      <c r="AE51" s="11">
        <f>U51</f>
        <v/>
      </c>
      <c r="AF51" s="160" t="n"/>
      <c r="AG51" s="160" t="n"/>
      <c r="AH51" s="160" t="n"/>
      <c r="AI51" s="160" t="n"/>
      <c r="AJ51" s="160" t="n"/>
      <c r="AK51" s="160" t="n"/>
      <c r="AL51" s="160" t="n"/>
      <c r="AM51" s="160" t="n"/>
    </row>
    <row r="52" ht="16.5" customHeight="1" s="34">
      <c r="A52" s="11" t="n">
        <v>45244</v>
      </c>
      <c r="B52" s="160" t="n"/>
      <c r="C52" s="160" t="n"/>
      <c r="D52" s="160" t="n"/>
      <c r="E52" s="160" t="n"/>
      <c r="F52" s="160" t="n"/>
      <c r="G52" s="160" t="n"/>
      <c r="H52" s="160" t="n"/>
      <c r="I52" s="160" t="n"/>
      <c r="K52" s="11">
        <f>A52</f>
        <v/>
      </c>
      <c r="L52" s="160" t="n"/>
      <c r="M52" s="160" t="n"/>
      <c r="N52" s="160" t="n"/>
      <c r="O52" s="160" t="n"/>
      <c r="P52" s="160" t="n"/>
      <c r="Q52" s="160" t="n"/>
      <c r="R52" s="160" t="n"/>
      <c r="S52" s="160" t="n"/>
      <c r="U52" s="11">
        <f>K52</f>
        <v/>
      </c>
      <c r="V52" s="160" t="n"/>
      <c r="W52" s="160" t="n"/>
      <c r="X52" s="160" t="n"/>
      <c r="Y52" s="160" t="n"/>
      <c r="Z52" s="160" t="n"/>
      <c r="AA52" s="160" t="n"/>
      <c r="AB52" s="160" t="n"/>
      <c r="AC52" s="160" t="n"/>
      <c r="AE52" s="11">
        <f>U52</f>
        <v/>
      </c>
      <c r="AF52" s="160" t="n"/>
      <c r="AG52" s="160" t="n"/>
      <c r="AH52" s="160" t="n"/>
      <c r="AI52" s="160" t="n"/>
      <c r="AJ52" s="160" t="n"/>
      <c r="AK52" s="160" t="n"/>
      <c r="AL52" s="160" t="n"/>
      <c r="AM52" s="160" t="n"/>
    </row>
    <row r="53" ht="16.5" customHeight="1" s="34">
      <c r="A53" s="11" t="n">
        <v>45245</v>
      </c>
      <c r="B53" s="160" t="n"/>
      <c r="C53" s="160" t="n"/>
      <c r="D53" s="160" t="n"/>
      <c r="E53" s="160" t="n"/>
      <c r="F53" s="160" t="n"/>
      <c r="G53" s="160" t="n"/>
      <c r="H53" s="160" t="n"/>
      <c r="I53" s="160" t="n"/>
      <c r="K53" s="11">
        <f>A53</f>
        <v/>
      </c>
      <c r="L53" s="160" t="n"/>
      <c r="M53" s="160" t="n"/>
      <c r="N53" s="160" t="n"/>
      <c r="O53" s="160" t="n"/>
      <c r="P53" s="160" t="n"/>
      <c r="Q53" s="160" t="n"/>
      <c r="R53" s="160" t="n"/>
      <c r="S53" s="160" t="n"/>
      <c r="U53" s="11">
        <f>K53</f>
        <v/>
      </c>
      <c r="V53" s="160" t="n"/>
      <c r="W53" s="160" t="n"/>
      <c r="X53" s="160" t="n"/>
      <c r="Y53" s="160" t="n"/>
      <c r="Z53" s="160" t="n"/>
      <c r="AA53" s="160" t="n"/>
      <c r="AB53" s="160" t="n"/>
      <c r="AC53" s="160" t="n"/>
      <c r="AE53" s="11">
        <f>U53</f>
        <v/>
      </c>
      <c r="AF53" s="160" t="n"/>
      <c r="AG53" s="160" t="n"/>
      <c r="AH53" s="160" t="n"/>
      <c r="AI53" s="160" t="n"/>
      <c r="AJ53" s="160" t="n"/>
      <c r="AK53" s="160" t="n"/>
      <c r="AL53" s="160" t="n"/>
      <c r="AM53" s="160" t="n"/>
    </row>
    <row r="54" ht="16.5" customHeight="1" s="34">
      <c r="A54" s="11" t="n">
        <v>45246</v>
      </c>
      <c r="B54" s="160" t="n"/>
      <c r="C54" s="160" t="n"/>
      <c r="D54" s="160" t="n"/>
      <c r="E54" s="160" t="n"/>
      <c r="F54" s="160" t="n"/>
      <c r="G54" s="160" t="n"/>
      <c r="H54" s="160" t="n"/>
      <c r="I54" s="160" t="n"/>
      <c r="K54" s="11">
        <f>A54</f>
        <v/>
      </c>
      <c r="L54" s="160" t="n"/>
      <c r="M54" s="160" t="n"/>
      <c r="N54" s="160" t="n"/>
      <c r="O54" s="160" t="n"/>
      <c r="P54" s="160" t="n"/>
      <c r="Q54" s="160" t="n"/>
      <c r="R54" s="160" t="n"/>
      <c r="S54" s="160" t="n"/>
      <c r="U54" s="11">
        <f>K54</f>
        <v/>
      </c>
      <c r="V54" s="160" t="n"/>
      <c r="W54" s="160" t="n"/>
      <c r="X54" s="160" t="n"/>
      <c r="Y54" s="160" t="n"/>
      <c r="Z54" s="160" t="n"/>
      <c r="AA54" s="160" t="n"/>
      <c r="AB54" s="160" t="n"/>
      <c r="AC54" s="160" t="n"/>
      <c r="AE54" s="11">
        <f>U54</f>
        <v/>
      </c>
      <c r="AF54" s="160" t="n"/>
      <c r="AG54" s="160" t="n"/>
      <c r="AH54" s="160" t="n"/>
      <c r="AI54" s="160" t="n"/>
      <c r="AJ54" s="160" t="n"/>
      <c r="AK54" s="160" t="n"/>
      <c r="AL54" s="160" t="n"/>
      <c r="AM54" s="160" t="n"/>
    </row>
    <row r="55" ht="16.5" customHeight="1" s="34">
      <c r="A55" s="11" t="n">
        <v>45247</v>
      </c>
      <c r="B55" s="160" t="n"/>
      <c r="C55" s="160" t="n"/>
      <c r="D55" s="160" t="n"/>
      <c r="E55" s="160" t="n"/>
      <c r="F55" s="160" t="n"/>
      <c r="G55" s="160" t="n"/>
      <c r="H55" s="160" t="n"/>
      <c r="I55" s="160" t="n"/>
      <c r="K55" s="11">
        <f>A55</f>
        <v/>
      </c>
      <c r="L55" s="160" t="n"/>
      <c r="M55" s="160" t="n"/>
      <c r="N55" s="160" t="n"/>
      <c r="O55" s="160" t="n"/>
      <c r="P55" s="160" t="n"/>
      <c r="Q55" s="160" t="n"/>
      <c r="R55" s="160" t="n"/>
      <c r="S55" s="160" t="n"/>
      <c r="U55" s="11">
        <f>K55</f>
        <v/>
      </c>
      <c r="V55" s="160" t="n"/>
      <c r="W55" s="160" t="n"/>
      <c r="X55" s="160" t="n"/>
      <c r="Y55" s="160" t="n"/>
      <c r="Z55" s="160" t="n"/>
      <c r="AA55" s="160" t="n"/>
      <c r="AB55" s="160" t="n"/>
      <c r="AC55" s="160" t="n"/>
      <c r="AE55" s="11">
        <f>U55</f>
        <v/>
      </c>
      <c r="AF55" s="160" t="n"/>
      <c r="AG55" s="160" t="n"/>
      <c r="AH55" s="160" t="n"/>
      <c r="AI55" s="160" t="n"/>
      <c r="AJ55" s="160" t="n"/>
      <c r="AK55" s="160" t="n"/>
      <c r="AL55" s="160" t="n"/>
      <c r="AM55" s="160" t="n"/>
    </row>
    <row r="56" ht="16.5" customHeight="1" s="34">
      <c r="A56" s="11" t="n">
        <v>45248</v>
      </c>
      <c r="B56" s="160" t="n"/>
      <c r="C56" s="160" t="n"/>
      <c r="D56" s="160" t="n"/>
      <c r="E56" s="160" t="n"/>
      <c r="F56" s="160" t="n"/>
      <c r="G56" s="160" t="n"/>
      <c r="H56" s="160" t="n"/>
      <c r="I56" s="160" t="n"/>
      <c r="K56" s="11">
        <f>A56</f>
        <v/>
      </c>
      <c r="L56" s="160" t="n"/>
      <c r="M56" s="160" t="n"/>
      <c r="N56" s="160" t="n"/>
      <c r="O56" s="160" t="n"/>
      <c r="P56" s="160" t="n"/>
      <c r="Q56" s="160" t="n"/>
      <c r="R56" s="160" t="n"/>
      <c r="S56" s="160" t="n"/>
      <c r="U56" s="11">
        <f>K56</f>
        <v/>
      </c>
      <c r="V56" s="160" t="n"/>
      <c r="W56" s="160" t="n"/>
      <c r="X56" s="160" t="n"/>
      <c r="Y56" s="160" t="n"/>
      <c r="Z56" s="160" t="n"/>
      <c r="AA56" s="160" t="n"/>
      <c r="AB56" s="160" t="n"/>
      <c r="AC56" s="160" t="n"/>
      <c r="AE56" s="11">
        <f>U56</f>
        <v/>
      </c>
      <c r="AF56" s="160" t="n"/>
      <c r="AG56" s="160" t="n"/>
      <c r="AH56" s="160" t="n"/>
      <c r="AI56" s="160" t="n"/>
      <c r="AJ56" s="160" t="n"/>
      <c r="AK56" s="160" t="n"/>
      <c r="AL56" s="160" t="n"/>
      <c r="AM56" s="160" t="n"/>
    </row>
    <row r="57" ht="16.5" customHeight="1" s="34">
      <c r="A57" s="11" t="n">
        <v>45249</v>
      </c>
      <c r="B57" s="160" t="n"/>
      <c r="C57" s="160" t="n"/>
      <c r="D57" s="160" t="n"/>
      <c r="E57" s="160" t="n"/>
      <c r="F57" s="160" t="n"/>
      <c r="G57" s="160" t="n"/>
      <c r="H57" s="160" t="n"/>
      <c r="I57" s="160" t="n"/>
      <c r="K57" s="11">
        <f>A57</f>
        <v/>
      </c>
      <c r="L57" s="160" t="n"/>
      <c r="M57" s="160" t="n"/>
      <c r="N57" s="160" t="n"/>
      <c r="O57" s="160" t="n"/>
      <c r="P57" s="160" t="n"/>
      <c r="Q57" s="160" t="n"/>
      <c r="R57" s="160" t="n"/>
      <c r="S57" s="160" t="n"/>
      <c r="U57" s="11">
        <f>K57</f>
        <v/>
      </c>
      <c r="V57" s="160" t="n"/>
      <c r="W57" s="160" t="n"/>
      <c r="X57" s="160" t="n"/>
      <c r="Y57" s="160" t="n"/>
      <c r="Z57" s="160" t="n"/>
      <c r="AA57" s="160" t="n"/>
      <c r="AB57" s="160" t="n"/>
      <c r="AC57" s="160" t="n"/>
      <c r="AE57" s="11">
        <f>U57</f>
        <v/>
      </c>
      <c r="AF57" s="160" t="n"/>
      <c r="AG57" s="160" t="n"/>
      <c r="AH57" s="160" t="n"/>
      <c r="AI57" s="160" t="n"/>
      <c r="AJ57" s="160" t="n"/>
      <c r="AK57" s="160" t="n"/>
      <c r="AL57" s="160" t="n"/>
      <c r="AM57" s="160" t="n"/>
    </row>
    <row r="58" ht="16.5" customHeight="1" s="34">
      <c r="A58" s="11" t="n">
        <v>45250</v>
      </c>
      <c r="B58" s="160" t="n"/>
      <c r="C58" s="160" t="n"/>
      <c r="D58" s="160" t="n"/>
      <c r="E58" s="160" t="n"/>
      <c r="F58" s="160" t="n"/>
      <c r="G58" s="160" t="n"/>
      <c r="H58" s="160" t="n"/>
      <c r="I58" s="160" t="n"/>
      <c r="K58" s="11">
        <f>A58</f>
        <v/>
      </c>
      <c r="L58" s="160" t="n"/>
      <c r="M58" s="160" t="n"/>
      <c r="N58" s="160" t="n"/>
      <c r="O58" s="160" t="n"/>
      <c r="P58" s="160" t="n"/>
      <c r="Q58" s="160" t="n"/>
      <c r="R58" s="160" t="n"/>
      <c r="S58" s="160" t="n"/>
      <c r="U58" s="11">
        <f>K58</f>
        <v/>
      </c>
      <c r="V58" s="160" t="n"/>
      <c r="W58" s="160" t="n"/>
      <c r="X58" s="160" t="n"/>
      <c r="Y58" s="160" t="n"/>
      <c r="Z58" s="160" t="n"/>
      <c r="AA58" s="160" t="n"/>
      <c r="AB58" s="160" t="n"/>
      <c r="AC58" s="160" t="n"/>
      <c r="AE58" s="11">
        <f>U58</f>
        <v/>
      </c>
      <c r="AF58" s="160" t="n"/>
      <c r="AG58" s="160" t="n"/>
      <c r="AH58" s="160" t="n"/>
      <c r="AI58" s="160" t="n"/>
      <c r="AJ58" s="160" t="n"/>
      <c r="AK58" s="160" t="n"/>
      <c r="AL58" s="160" t="n"/>
      <c r="AM58" s="160" t="n"/>
    </row>
    <row r="59" ht="16.5" customHeight="1" s="34">
      <c r="A59" s="11" t="n">
        <v>45251</v>
      </c>
      <c r="B59" s="160" t="n"/>
      <c r="C59" s="160" t="n"/>
      <c r="D59" s="160" t="n"/>
      <c r="E59" s="160" t="n"/>
      <c r="F59" s="160" t="n"/>
      <c r="G59" s="160" t="n"/>
      <c r="H59" s="160" t="n"/>
      <c r="I59" s="160" t="n"/>
      <c r="K59" s="11">
        <f>A59</f>
        <v/>
      </c>
      <c r="L59" s="160" t="n"/>
      <c r="M59" s="160" t="n"/>
      <c r="N59" s="160" t="n"/>
      <c r="O59" s="160" t="n"/>
      <c r="P59" s="160" t="n"/>
      <c r="Q59" s="160" t="n"/>
      <c r="R59" s="160" t="n"/>
      <c r="S59" s="160" t="n"/>
      <c r="U59" s="11">
        <f>K59</f>
        <v/>
      </c>
      <c r="V59" s="160" t="n"/>
      <c r="W59" s="160" t="n"/>
      <c r="X59" s="160" t="n"/>
      <c r="Y59" s="160" t="n"/>
      <c r="Z59" s="160" t="n"/>
      <c r="AA59" s="160" t="n"/>
      <c r="AB59" s="160" t="n"/>
      <c r="AC59" s="160" t="n"/>
      <c r="AE59" s="11">
        <f>U59</f>
        <v/>
      </c>
      <c r="AF59" s="160" t="n"/>
      <c r="AG59" s="160" t="n"/>
      <c r="AH59" s="160" t="n"/>
      <c r="AI59" s="160" t="n"/>
      <c r="AJ59" s="160" t="n"/>
      <c r="AK59" s="160" t="n"/>
      <c r="AL59" s="160" t="n"/>
      <c r="AM59" s="160" t="n"/>
    </row>
    <row r="60" ht="16.5" customHeight="1" s="34">
      <c r="A60" s="11" t="n">
        <v>45252</v>
      </c>
      <c r="B60" s="160" t="n"/>
      <c r="C60" s="160" t="n"/>
      <c r="D60" s="160" t="n"/>
      <c r="E60" s="160" t="n"/>
      <c r="F60" s="160" t="n"/>
      <c r="G60" s="160" t="n"/>
      <c r="H60" s="160" t="n"/>
      <c r="I60" s="160" t="n"/>
      <c r="K60" s="11">
        <f>A60</f>
        <v/>
      </c>
      <c r="L60" s="160" t="n"/>
      <c r="M60" s="160" t="n"/>
      <c r="N60" s="160" t="n"/>
      <c r="O60" s="160" t="n"/>
      <c r="P60" s="160" t="n"/>
      <c r="Q60" s="160" t="n"/>
      <c r="R60" s="160" t="n"/>
      <c r="S60" s="160" t="n"/>
      <c r="U60" s="11">
        <f>K60</f>
        <v/>
      </c>
      <c r="V60" s="160" t="n"/>
      <c r="W60" s="160" t="n"/>
      <c r="X60" s="160" t="n"/>
      <c r="Y60" s="160" t="n"/>
      <c r="Z60" s="160" t="n"/>
      <c r="AA60" s="160" t="n"/>
      <c r="AB60" s="160" t="n"/>
      <c r="AC60" s="160" t="n"/>
      <c r="AE60" s="11">
        <f>U60</f>
        <v/>
      </c>
      <c r="AF60" s="160" t="n"/>
      <c r="AG60" s="160" t="n"/>
      <c r="AH60" s="160" t="n"/>
      <c r="AI60" s="160" t="n"/>
      <c r="AJ60" s="160" t="n"/>
      <c r="AK60" s="160" t="n"/>
      <c r="AL60" s="160" t="n"/>
      <c r="AM60" s="160" t="n"/>
    </row>
    <row r="61" ht="16.5" customHeight="1" s="34">
      <c r="A61" s="11" t="n">
        <v>45253</v>
      </c>
      <c r="B61" s="160" t="n"/>
      <c r="C61" s="160" t="n"/>
      <c r="D61" s="160" t="n"/>
      <c r="E61" s="160" t="n"/>
      <c r="F61" s="160" t="n"/>
      <c r="G61" s="160" t="n"/>
      <c r="H61" s="160" t="n"/>
      <c r="I61" s="160" t="n"/>
      <c r="K61" s="11">
        <f>A61</f>
        <v/>
      </c>
      <c r="L61" s="160" t="n"/>
      <c r="M61" s="160" t="n"/>
      <c r="N61" s="160" t="n"/>
      <c r="O61" s="160" t="n"/>
      <c r="P61" s="160" t="n"/>
      <c r="Q61" s="160" t="n"/>
      <c r="R61" s="160" t="n"/>
      <c r="S61" s="160" t="n"/>
      <c r="U61" s="11">
        <f>K61</f>
        <v/>
      </c>
      <c r="V61" s="160" t="n"/>
      <c r="W61" s="160" t="n"/>
      <c r="X61" s="160" t="n"/>
      <c r="Y61" s="160" t="n"/>
      <c r="Z61" s="160" t="n"/>
      <c r="AA61" s="160" t="n"/>
      <c r="AB61" s="160" t="n"/>
      <c r="AC61" s="160" t="n"/>
      <c r="AE61" s="11">
        <f>U61</f>
        <v/>
      </c>
      <c r="AF61" s="160" t="n"/>
      <c r="AG61" s="160" t="n"/>
      <c r="AH61" s="160" t="n"/>
      <c r="AI61" s="160" t="n"/>
      <c r="AJ61" s="160" t="n"/>
      <c r="AK61" s="160" t="n"/>
      <c r="AL61" s="160" t="n"/>
      <c r="AM61" s="160" t="n"/>
    </row>
    <row r="62" ht="16.5" customHeight="1" s="34">
      <c r="A62" s="11" t="n">
        <v>45254</v>
      </c>
      <c r="B62" s="160" t="n"/>
      <c r="C62" s="160" t="n"/>
      <c r="D62" s="160" t="n"/>
      <c r="E62" s="160" t="n"/>
      <c r="F62" s="160" t="n"/>
      <c r="G62" s="160" t="n"/>
      <c r="H62" s="160" t="n"/>
      <c r="I62" s="160" t="n"/>
      <c r="K62" s="11">
        <f>A62</f>
        <v/>
      </c>
      <c r="L62" s="160" t="n"/>
      <c r="M62" s="160" t="n"/>
      <c r="N62" s="160" t="n"/>
      <c r="O62" s="160" t="n"/>
      <c r="P62" s="160" t="n"/>
      <c r="Q62" s="160" t="n"/>
      <c r="R62" s="160" t="n"/>
      <c r="S62" s="160" t="n"/>
      <c r="U62" s="11">
        <f>K62</f>
        <v/>
      </c>
      <c r="V62" s="160" t="n"/>
      <c r="W62" s="160" t="n"/>
      <c r="X62" s="160" t="n"/>
      <c r="Y62" s="160" t="n"/>
      <c r="Z62" s="160" t="n"/>
      <c r="AA62" s="160" t="n"/>
      <c r="AB62" s="160" t="n"/>
      <c r="AC62" s="160" t="n"/>
      <c r="AE62" s="11">
        <f>U62</f>
        <v/>
      </c>
      <c r="AF62" s="160" t="n"/>
      <c r="AG62" s="160" t="n"/>
      <c r="AH62" s="160" t="n"/>
      <c r="AI62" s="160" t="n"/>
      <c r="AJ62" s="160" t="n"/>
      <c r="AK62" s="160" t="n"/>
      <c r="AL62" s="160" t="n"/>
      <c r="AM62" s="160" t="n"/>
    </row>
    <row r="63" ht="16.5" customHeight="1" s="34">
      <c r="A63" s="11" t="n">
        <v>45255</v>
      </c>
      <c r="B63" s="160" t="n"/>
      <c r="C63" s="160" t="n"/>
      <c r="D63" s="160" t="n"/>
      <c r="E63" s="160" t="n"/>
      <c r="F63" s="160" t="n"/>
      <c r="G63" s="160" t="n"/>
      <c r="H63" s="160" t="n"/>
      <c r="I63" s="160" t="n"/>
      <c r="K63" s="11">
        <f>A63</f>
        <v/>
      </c>
      <c r="L63" s="160" t="n"/>
      <c r="M63" s="160" t="n"/>
      <c r="N63" s="160" t="n"/>
      <c r="O63" s="160" t="n"/>
      <c r="P63" s="160" t="n"/>
      <c r="Q63" s="160" t="n"/>
      <c r="R63" s="160" t="n"/>
      <c r="S63" s="160" t="n"/>
      <c r="U63" s="11">
        <f>K63</f>
        <v/>
      </c>
      <c r="V63" s="160" t="n"/>
      <c r="W63" s="160" t="n"/>
      <c r="X63" s="160" t="n"/>
      <c r="Y63" s="160" t="n"/>
      <c r="Z63" s="160" t="n"/>
      <c r="AA63" s="160" t="n"/>
      <c r="AB63" s="160" t="n"/>
      <c r="AC63" s="160" t="n"/>
      <c r="AE63" s="11">
        <f>U63</f>
        <v/>
      </c>
      <c r="AF63" s="160" t="n"/>
      <c r="AG63" s="160" t="n"/>
      <c r="AH63" s="160" t="n"/>
      <c r="AI63" s="160" t="n"/>
      <c r="AJ63" s="160" t="n"/>
      <c r="AK63" s="160" t="n"/>
      <c r="AL63" s="160" t="n"/>
      <c r="AM63" s="160" t="n"/>
    </row>
    <row r="64" ht="16.5" customHeight="1" s="34">
      <c r="A64" s="11" t="n">
        <v>45256</v>
      </c>
      <c r="B64" s="160" t="n"/>
      <c r="C64" s="160" t="n"/>
      <c r="D64" s="160" t="n"/>
      <c r="E64" s="160" t="n"/>
      <c r="F64" s="160" t="n"/>
      <c r="G64" s="160" t="n"/>
      <c r="H64" s="160" t="n"/>
      <c r="I64" s="160" t="n"/>
      <c r="K64" s="11">
        <f>A64</f>
        <v/>
      </c>
      <c r="L64" s="160" t="n"/>
      <c r="M64" s="160" t="n"/>
      <c r="N64" s="160" t="n"/>
      <c r="O64" s="160" t="n"/>
      <c r="P64" s="160" t="n"/>
      <c r="Q64" s="160" t="n"/>
      <c r="R64" s="160" t="n"/>
      <c r="S64" s="160" t="n"/>
      <c r="U64" s="11">
        <f>K64</f>
        <v/>
      </c>
      <c r="V64" s="160" t="n"/>
      <c r="W64" s="160" t="n"/>
      <c r="X64" s="160" t="n"/>
      <c r="Y64" s="160" t="n"/>
      <c r="Z64" s="160" t="n"/>
      <c r="AA64" s="160" t="n"/>
      <c r="AB64" s="160" t="n"/>
      <c r="AC64" s="160" t="n"/>
      <c r="AE64" s="11">
        <f>U64</f>
        <v/>
      </c>
      <c r="AF64" s="160" t="n"/>
      <c r="AG64" s="160" t="n"/>
      <c r="AH64" s="160" t="n"/>
      <c r="AI64" s="160" t="n"/>
      <c r="AJ64" s="160" t="n"/>
      <c r="AK64" s="160" t="n"/>
      <c r="AL64" s="160" t="n"/>
      <c r="AM64" s="160" t="n"/>
    </row>
    <row r="65" ht="16.5" customHeight="1" s="34">
      <c r="A65" s="11" t="n">
        <v>45257</v>
      </c>
      <c r="B65" s="160" t="n"/>
      <c r="C65" s="160" t="n"/>
      <c r="D65" s="160" t="n"/>
      <c r="E65" s="160" t="n"/>
      <c r="F65" s="160" t="n"/>
      <c r="G65" s="160" t="n"/>
      <c r="H65" s="160" t="n"/>
      <c r="I65" s="160" t="n"/>
      <c r="K65" s="11">
        <f>A65</f>
        <v/>
      </c>
      <c r="L65" s="160" t="n"/>
      <c r="M65" s="160" t="n"/>
      <c r="N65" s="160" t="n"/>
      <c r="O65" s="160" t="n"/>
      <c r="P65" s="160" t="n"/>
      <c r="Q65" s="160" t="n"/>
      <c r="R65" s="160" t="n"/>
      <c r="S65" s="160" t="n"/>
      <c r="U65" s="11">
        <f>K65</f>
        <v/>
      </c>
      <c r="V65" s="160" t="n"/>
      <c r="W65" s="160" t="n"/>
      <c r="X65" s="160" t="n"/>
      <c r="Y65" s="160" t="n"/>
      <c r="Z65" s="160" t="n"/>
      <c r="AA65" s="160" t="n"/>
      <c r="AB65" s="160" t="n"/>
      <c r="AC65" s="160" t="n"/>
      <c r="AE65" s="11">
        <f>U65</f>
        <v/>
      </c>
      <c r="AF65" s="160" t="n"/>
      <c r="AG65" s="160" t="n"/>
      <c r="AH65" s="160" t="n"/>
      <c r="AI65" s="160" t="n"/>
      <c r="AJ65" s="160" t="n"/>
      <c r="AK65" s="160" t="n"/>
      <c r="AL65" s="160" t="n"/>
      <c r="AM65" s="160" t="n"/>
    </row>
    <row r="66" ht="16.5" customHeight="1" s="34">
      <c r="A66" s="11" t="n">
        <v>45258</v>
      </c>
      <c r="B66" s="160" t="n"/>
      <c r="C66" s="160" t="n"/>
      <c r="D66" s="160" t="n"/>
      <c r="E66" s="160" t="n"/>
      <c r="F66" s="160" t="n"/>
      <c r="G66" s="160" t="n"/>
      <c r="H66" s="160" t="n"/>
      <c r="I66" s="160" t="n"/>
      <c r="K66" s="11">
        <f>A66</f>
        <v/>
      </c>
      <c r="L66" s="160" t="n"/>
      <c r="M66" s="160" t="n"/>
      <c r="N66" s="160" t="n"/>
      <c r="O66" s="160" t="n"/>
      <c r="P66" s="160" t="n"/>
      <c r="Q66" s="160" t="n"/>
      <c r="R66" s="160" t="n"/>
      <c r="S66" s="160" t="n"/>
      <c r="U66" s="11">
        <f>K66</f>
        <v/>
      </c>
      <c r="V66" s="160" t="n"/>
      <c r="W66" s="160" t="n"/>
      <c r="X66" s="160" t="n"/>
      <c r="Y66" s="160" t="n"/>
      <c r="Z66" s="160" t="n"/>
      <c r="AA66" s="160" t="n"/>
      <c r="AB66" s="160" t="n"/>
      <c r="AC66" s="160" t="n"/>
      <c r="AE66" s="11">
        <f>U66</f>
        <v/>
      </c>
      <c r="AF66" s="160" t="n"/>
      <c r="AG66" s="160" t="n"/>
      <c r="AH66" s="160" t="n"/>
      <c r="AI66" s="160" t="n"/>
      <c r="AJ66" s="160" t="n"/>
      <c r="AK66" s="160" t="n"/>
      <c r="AL66" s="160" t="n"/>
      <c r="AM66" s="160" t="n"/>
    </row>
    <row r="67" ht="16.5" customHeight="1" s="34">
      <c r="A67" s="11" t="n">
        <v>45259</v>
      </c>
      <c r="B67" s="160" t="n"/>
      <c r="C67" s="160" t="n"/>
      <c r="D67" s="160" t="n"/>
      <c r="E67" s="160" t="n"/>
      <c r="F67" s="160" t="n"/>
      <c r="G67" s="160" t="n"/>
      <c r="H67" s="160" t="n"/>
      <c r="I67" s="160" t="n"/>
      <c r="K67" s="11">
        <f>A67</f>
        <v/>
      </c>
      <c r="L67" s="160" t="n"/>
      <c r="M67" s="160" t="n"/>
      <c r="N67" s="160" t="n"/>
      <c r="O67" s="160" t="n"/>
      <c r="P67" s="160" t="n"/>
      <c r="Q67" s="160" t="n"/>
      <c r="R67" s="160" t="n"/>
      <c r="S67" s="160" t="n"/>
      <c r="U67" s="11">
        <f>K67</f>
        <v/>
      </c>
      <c r="V67" s="160" t="n"/>
      <c r="W67" s="160" t="n"/>
      <c r="X67" s="160" t="n"/>
      <c r="Y67" s="160" t="n"/>
      <c r="Z67" s="160" t="n"/>
      <c r="AA67" s="160" t="n"/>
      <c r="AB67" s="160" t="n"/>
      <c r="AC67" s="160" t="n"/>
      <c r="AE67" s="11">
        <f>U67</f>
        <v/>
      </c>
      <c r="AF67" s="160" t="n"/>
      <c r="AG67" s="160" t="n"/>
      <c r="AH67" s="160" t="n"/>
      <c r="AI67" s="160" t="n"/>
      <c r="AJ67" s="160" t="n"/>
      <c r="AK67" s="160" t="n"/>
      <c r="AL67" s="160" t="n"/>
      <c r="AM67" s="160" t="n"/>
    </row>
    <row r="68" ht="16.5" customHeight="1" s="34">
      <c r="A68" s="11" t="n">
        <v>45260</v>
      </c>
      <c r="B68" s="160" t="n"/>
      <c r="C68" s="160" t="n"/>
      <c r="D68" s="160" t="n"/>
      <c r="E68" s="160" t="n"/>
      <c r="F68" s="160" t="n"/>
      <c r="G68" s="160" t="n"/>
      <c r="H68" s="160" t="n"/>
      <c r="I68" s="160" t="n"/>
      <c r="K68" s="11">
        <f>A68</f>
        <v/>
      </c>
      <c r="L68" s="160" t="n"/>
      <c r="M68" s="160" t="n"/>
      <c r="N68" s="160" t="n"/>
      <c r="O68" s="160" t="n"/>
      <c r="P68" s="160" t="n"/>
      <c r="Q68" s="160" t="n"/>
      <c r="R68" s="160" t="n"/>
      <c r="S68" s="160" t="n"/>
      <c r="U68" s="11">
        <f>K68</f>
        <v/>
      </c>
      <c r="V68" s="160" t="n"/>
      <c r="W68" s="160" t="n"/>
      <c r="X68" s="160" t="n"/>
      <c r="Y68" s="160" t="n"/>
      <c r="Z68" s="160" t="n"/>
      <c r="AA68" s="160" t="n"/>
      <c r="AB68" s="160" t="n"/>
      <c r="AC68" s="160" t="n"/>
      <c r="AE68" s="11">
        <f>U68</f>
        <v/>
      </c>
      <c r="AF68" s="160" t="n"/>
      <c r="AG68" s="160" t="n"/>
      <c r="AH68" s="160" t="n"/>
      <c r="AI68" s="160" t="n"/>
      <c r="AJ68" s="160" t="n"/>
      <c r="AK68" s="160" t="n"/>
      <c r="AL68" s="160" t="n"/>
      <c r="AM68" s="160" t="n"/>
    </row>
    <row r="69" ht="16.5" customHeight="1" s="34">
      <c r="A69" s="11" t="n">
        <v>45261</v>
      </c>
      <c r="B69" s="160" t="n"/>
      <c r="C69" s="160" t="n"/>
      <c r="D69" s="160" t="n"/>
      <c r="E69" s="160" t="n"/>
      <c r="F69" s="160" t="n"/>
      <c r="G69" s="160" t="n"/>
      <c r="H69" s="160" t="n"/>
      <c r="I69" s="160" t="n"/>
      <c r="K69" s="11">
        <f>A69</f>
        <v/>
      </c>
      <c r="L69" s="160" t="n"/>
      <c r="M69" s="160" t="n"/>
      <c r="N69" s="160" t="n"/>
      <c r="O69" s="160" t="n"/>
      <c r="P69" s="160" t="n"/>
      <c r="Q69" s="160" t="n"/>
      <c r="R69" s="160" t="n"/>
      <c r="S69" s="160" t="n"/>
      <c r="U69" s="11">
        <f>K69</f>
        <v/>
      </c>
      <c r="V69" s="160" t="n"/>
      <c r="W69" s="160" t="n"/>
      <c r="X69" s="160" t="n"/>
      <c r="Y69" s="160" t="n"/>
      <c r="Z69" s="160" t="n"/>
      <c r="AA69" s="160" t="n"/>
      <c r="AB69" s="160" t="n"/>
      <c r="AC69" s="160" t="n"/>
      <c r="AE69" s="11">
        <f>U69</f>
        <v/>
      </c>
      <c r="AF69" s="160" t="n"/>
      <c r="AG69" s="160" t="n"/>
      <c r="AH69" s="160" t="n"/>
      <c r="AI69" s="160" t="n"/>
      <c r="AJ69" s="160" t="n"/>
      <c r="AK69" s="160" t="n"/>
      <c r="AL69" s="160" t="n"/>
      <c r="AM69" s="160" t="n"/>
    </row>
    <row r="70" ht="16.5" customHeight="1" s="34">
      <c r="A70" s="11" t="n">
        <v>45262</v>
      </c>
      <c r="B70" s="160" t="n"/>
      <c r="C70" s="160" t="n"/>
      <c r="D70" s="160" t="n"/>
      <c r="E70" s="160" t="n"/>
      <c r="F70" s="160" t="n"/>
      <c r="G70" s="160" t="n"/>
      <c r="H70" s="160" t="n"/>
      <c r="I70" s="160" t="n"/>
      <c r="K70" s="11">
        <f>A70</f>
        <v/>
      </c>
      <c r="L70" s="160" t="n"/>
      <c r="M70" s="160" t="n"/>
      <c r="N70" s="160" t="n"/>
      <c r="O70" s="160" t="n"/>
      <c r="P70" s="160" t="n"/>
      <c r="Q70" s="160" t="n"/>
      <c r="R70" s="160" t="n"/>
      <c r="S70" s="160" t="n"/>
      <c r="U70" s="11">
        <f>K70</f>
        <v/>
      </c>
      <c r="V70" s="160" t="n"/>
      <c r="W70" s="160" t="n"/>
      <c r="X70" s="160" t="n"/>
      <c r="Y70" s="160" t="n"/>
      <c r="Z70" s="160" t="n"/>
      <c r="AA70" s="160" t="n"/>
      <c r="AB70" s="160" t="n"/>
      <c r="AC70" s="160" t="n"/>
      <c r="AE70" s="11">
        <f>U70</f>
        <v/>
      </c>
      <c r="AF70" s="160" t="n"/>
      <c r="AG70" s="160" t="n"/>
      <c r="AH70" s="160" t="n"/>
      <c r="AI70" s="160" t="n"/>
      <c r="AJ70" s="160" t="n"/>
      <c r="AK70" s="160" t="n"/>
      <c r="AL70" s="160" t="n"/>
      <c r="AM70" s="160" t="n"/>
    </row>
    <row r="71" ht="16.5" customHeight="1" s="34">
      <c r="A71" s="11" t="n">
        <v>45263</v>
      </c>
      <c r="B71" s="160" t="n"/>
      <c r="C71" s="160" t="n"/>
      <c r="D71" s="160" t="n"/>
      <c r="E71" s="160" t="n"/>
      <c r="F71" s="160" t="n"/>
      <c r="G71" s="160" t="n"/>
      <c r="H71" s="160" t="n"/>
      <c r="I71" s="160" t="n"/>
      <c r="K71" s="11">
        <f>A71</f>
        <v/>
      </c>
      <c r="L71" s="160" t="n"/>
      <c r="M71" s="160" t="n"/>
      <c r="N71" s="160" t="n"/>
      <c r="O71" s="160" t="n"/>
      <c r="P71" s="160" t="n"/>
      <c r="Q71" s="160" t="n"/>
      <c r="R71" s="160" t="n"/>
      <c r="S71" s="160" t="n"/>
      <c r="U71" s="11">
        <f>K71</f>
        <v/>
      </c>
      <c r="V71" s="160" t="n"/>
      <c r="W71" s="160" t="n"/>
      <c r="X71" s="160" t="n"/>
      <c r="Y71" s="160" t="n"/>
      <c r="Z71" s="160" t="n"/>
      <c r="AA71" s="160" t="n"/>
      <c r="AB71" s="160" t="n"/>
      <c r="AC71" s="160" t="n"/>
      <c r="AE71" s="11">
        <f>U71</f>
        <v/>
      </c>
      <c r="AF71" s="160" t="n"/>
      <c r="AG71" s="160" t="n"/>
      <c r="AH71" s="160" t="n"/>
      <c r="AI71" s="160" t="n"/>
      <c r="AJ71" s="160" t="n"/>
      <c r="AK71" s="160" t="n"/>
      <c r="AL71" s="160" t="n"/>
      <c r="AM71" s="160" t="n"/>
    </row>
    <row r="72" ht="16.5" customHeight="1" s="34">
      <c r="A72" s="11" t="n">
        <v>45264</v>
      </c>
      <c r="B72" s="160" t="n"/>
      <c r="C72" s="160" t="n"/>
      <c r="D72" s="160" t="n"/>
      <c r="E72" s="160" t="n"/>
      <c r="F72" s="160" t="n"/>
      <c r="G72" s="160" t="n"/>
      <c r="H72" s="160" t="n"/>
      <c r="I72" s="160" t="n"/>
      <c r="K72" s="11">
        <f>A72</f>
        <v/>
      </c>
      <c r="L72" s="160" t="n"/>
      <c r="M72" s="160" t="n"/>
      <c r="N72" s="160" t="n"/>
      <c r="O72" s="160" t="n"/>
      <c r="P72" s="160" t="n"/>
      <c r="Q72" s="160" t="n"/>
      <c r="R72" s="160" t="n"/>
      <c r="S72" s="160" t="n"/>
      <c r="U72" s="11">
        <f>K72</f>
        <v/>
      </c>
      <c r="V72" s="160" t="n"/>
      <c r="W72" s="160" t="n"/>
      <c r="X72" s="160" t="n"/>
      <c r="Y72" s="160" t="n"/>
      <c r="Z72" s="160" t="n"/>
      <c r="AA72" s="160" t="n"/>
      <c r="AB72" s="160" t="n"/>
      <c r="AC72" s="160" t="n"/>
      <c r="AE72" s="11">
        <f>U72</f>
        <v/>
      </c>
      <c r="AF72" s="160" t="n"/>
      <c r="AG72" s="160" t="n"/>
      <c r="AH72" s="160" t="n"/>
      <c r="AI72" s="160" t="n"/>
      <c r="AJ72" s="160" t="n"/>
      <c r="AK72" s="160" t="n"/>
      <c r="AL72" s="160" t="n"/>
      <c r="AM72" s="160" t="n"/>
    </row>
    <row r="73" ht="16.5" customHeight="1" s="34">
      <c r="A73" s="11" t="n">
        <v>45265</v>
      </c>
      <c r="B73" s="160" t="n"/>
      <c r="C73" s="160" t="n"/>
      <c r="D73" s="160" t="n"/>
      <c r="E73" s="160" t="n"/>
      <c r="F73" s="160" t="n"/>
      <c r="G73" s="160" t="n"/>
      <c r="H73" s="160" t="n"/>
      <c r="I73" s="160" t="n"/>
      <c r="J73" s="162" t="n"/>
      <c r="K73" s="11">
        <f>A73</f>
        <v/>
      </c>
      <c r="L73" s="160" t="n"/>
      <c r="M73" s="160" t="n"/>
      <c r="N73" s="160" t="n"/>
      <c r="O73" s="160" t="n"/>
      <c r="P73" s="160" t="n"/>
      <c r="Q73" s="160" t="n"/>
      <c r="R73" s="160" t="n"/>
      <c r="S73" s="160" t="n"/>
      <c r="T73" s="162" t="n"/>
      <c r="U73" s="11">
        <f>K73</f>
        <v/>
      </c>
      <c r="V73" s="160" t="n"/>
      <c r="W73" s="160" t="n"/>
      <c r="X73" s="160" t="n"/>
      <c r="Y73" s="160" t="n"/>
      <c r="Z73" s="160" t="n"/>
      <c r="AA73" s="160" t="n"/>
      <c r="AB73" s="160" t="n"/>
      <c r="AC73" s="160" t="n"/>
      <c r="AD73" s="162" t="n"/>
      <c r="AE73" s="11">
        <f>U73</f>
        <v/>
      </c>
      <c r="AF73" s="160" t="n"/>
      <c r="AG73" s="160" t="n"/>
      <c r="AH73" s="160" t="n"/>
      <c r="AI73" s="160" t="n"/>
      <c r="AJ73" s="160" t="n"/>
      <c r="AK73" s="160" t="n"/>
      <c r="AL73" s="160" t="n"/>
      <c r="AM73" s="160" t="n"/>
    </row>
    <row r="74" ht="16.5" customHeight="1" s="34">
      <c r="A74" s="11" t="n">
        <v>45266</v>
      </c>
      <c r="B74" s="160" t="n"/>
      <c r="C74" s="160" t="n"/>
      <c r="D74" s="160" t="n"/>
      <c r="E74" s="160" t="n"/>
      <c r="F74" s="160" t="n"/>
      <c r="G74" s="160" t="n"/>
      <c r="H74" s="160" t="n"/>
      <c r="I74" s="160" t="n"/>
      <c r="K74" s="11">
        <f>A74</f>
        <v/>
      </c>
      <c r="L74" s="160" t="n"/>
      <c r="M74" s="160" t="n"/>
      <c r="N74" s="160" t="n"/>
      <c r="O74" s="160" t="n"/>
      <c r="P74" s="160" t="n"/>
      <c r="Q74" s="160" t="n"/>
      <c r="R74" s="160" t="n"/>
      <c r="S74" s="160" t="n"/>
      <c r="U74" s="11">
        <f>K74</f>
        <v/>
      </c>
      <c r="V74" s="160" t="n"/>
      <c r="W74" s="160" t="n"/>
      <c r="X74" s="160" t="n"/>
      <c r="Y74" s="160" t="n"/>
      <c r="Z74" s="160" t="n"/>
      <c r="AA74" s="160" t="n"/>
      <c r="AB74" s="160" t="n"/>
      <c r="AC74" s="160" t="n"/>
      <c r="AE74" s="11">
        <f>U74</f>
        <v/>
      </c>
      <c r="AF74" s="160" t="n"/>
      <c r="AG74" s="160" t="n"/>
      <c r="AH74" s="160" t="n"/>
      <c r="AI74" s="160" t="n"/>
      <c r="AJ74" s="160" t="n"/>
      <c r="AK74" s="160" t="n"/>
      <c r="AL74" s="160" t="n"/>
      <c r="AM74" s="160" t="n"/>
    </row>
    <row r="75" ht="16.5" customHeight="1" s="34">
      <c r="A75" s="11" t="n">
        <v>45267</v>
      </c>
      <c r="B75" s="160" t="n"/>
      <c r="C75" s="160" t="n"/>
      <c r="D75" s="160" t="n"/>
      <c r="E75" s="160" t="n"/>
      <c r="F75" s="160" t="n"/>
      <c r="G75" s="160" t="n"/>
      <c r="H75" s="160" t="n"/>
      <c r="I75" s="160" t="n"/>
      <c r="K75" s="11">
        <f>A75</f>
        <v/>
      </c>
      <c r="L75" s="160" t="n"/>
      <c r="M75" s="160" t="n"/>
      <c r="N75" s="160" t="n"/>
      <c r="O75" s="160" t="n"/>
      <c r="P75" s="160" t="n"/>
      <c r="Q75" s="160" t="n"/>
      <c r="R75" s="160" t="n"/>
      <c r="S75" s="160" t="n"/>
      <c r="U75" s="11">
        <f>K75</f>
        <v/>
      </c>
      <c r="V75" s="160" t="n"/>
      <c r="W75" s="160" t="n"/>
      <c r="X75" s="160" t="n"/>
      <c r="Y75" s="160" t="n"/>
      <c r="Z75" s="160" t="n"/>
      <c r="AA75" s="160" t="n"/>
      <c r="AB75" s="160" t="n"/>
      <c r="AC75" s="160" t="n"/>
      <c r="AE75" s="11">
        <f>U75</f>
        <v/>
      </c>
      <c r="AF75" s="160" t="n"/>
      <c r="AG75" s="160" t="n"/>
      <c r="AH75" s="160" t="n"/>
      <c r="AI75" s="160" t="n"/>
      <c r="AJ75" s="160" t="n"/>
      <c r="AK75" s="160" t="n"/>
      <c r="AL75" s="160" t="n"/>
      <c r="AM75" s="160" t="n"/>
    </row>
    <row r="76" ht="16.5" customHeight="1" s="34">
      <c r="A76" s="11" t="n">
        <v>45268</v>
      </c>
      <c r="B76" s="160" t="n"/>
      <c r="C76" s="160" t="n"/>
      <c r="D76" s="160" t="n"/>
      <c r="E76" s="160" t="n"/>
      <c r="F76" s="160" t="n"/>
      <c r="G76" s="160" t="n"/>
      <c r="H76" s="160" t="n"/>
      <c r="I76" s="160" t="n"/>
      <c r="K76" s="11">
        <f>A76</f>
        <v/>
      </c>
      <c r="L76" s="160" t="n"/>
      <c r="M76" s="160" t="n"/>
      <c r="N76" s="160" t="n"/>
      <c r="O76" s="160" t="n"/>
      <c r="P76" s="160" t="n"/>
      <c r="Q76" s="160" t="n"/>
      <c r="R76" s="160" t="n"/>
      <c r="S76" s="160" t="n"/>
      <c r="U76" s="11">
        <f>K76</f>
        <v/>
      </c>
      <c r="V76" s="160" t="n"/>
      <c r="W76" s="160" t="n"/>
      <c r="X76" s="160" t="n"/>
      <c r="Y76" s="160" t="n"/>
      <c r="Z76" s="160" t="n"/>
      <c r="AA76" s="160" t="n"/>
      <c r="AB76" s="160" t="n"/>
      <c r="AC76" s="160" t="n"/>
      <c r="AE76" s="11">
        <f>U76</f>
        <v/>
      </c>
      <c r="AF76" s="160" t="n"/>
      <c r="AG76" s="160" t="n"/>
      <c r="AH76" s="160" t="n"/>
      <c r="AI76" s="160" t="n"/>
      <c r="AJ76" s="160" t="n"/>
      <c r="AK76" s="160" t="n"/>
      <c r="AL76" s="160" t="n"/>
      <c r="AM76" s="160" t="n"/>
    </row>
    <row r="77" ht="16.5" customHeight="1" s="34">
      <c r="A77" s="11" t="n">
        <v>45269</v>
      </c>
      <c r="B77" s="160" t="n"/>
      <c r="C77" s="160" t="n"/>
      <c r="D77" s="160" t="n"/>
      <c r="E77" s="160" t="n"/>
      <c r="F77" s="160" t="n"/>
      <c r="G77" s="160" t="n"/>
      <c r="H77" s="160" t="n"/>
      <c r="I77" s="160" t="n"/>
      <c r="K77" s="11">
        <f>A77</f>
        <v/>
      </c>
      <c r="L77" s="160" t="n"/>
      <c r="M77" s="160" t="n"/>
      <c r="N77" s="160" t="n"/>
      <c r="O77" s="160" t="n"/>
      <c r="P77" s="160" t="n"/>
      <c r="Q77" s="160" t="n"/>
      <c r="R77" s="160" t="n"/>
      <c r="S77" s="160" t="n"/>
      <c r="U77" s="11">
        <f>K77</f>
        <v/>
      </c>
      <c r="V77" s="160" t="n"/>
      <c r="W77" s="160" t="n"/>
      <c r="X77" s="160" t="n"/>
      <c r="Y77" s="160" t="n"/>
      <c r="Z77" s="160" t="n"/>
      <c r="AA77" s="160" t="n"/>
      <c r="AB77" s="160" t="n"/>
      <c r="AC77" s="160" t="n"/>
      <c r="AE77" s="11">
        <f>U77</f>
        <v/>
      </c>
      <c r="AF77" s="160" t="n"/>
      <c r="AG77" s="160" t="n"/>
      <c r="AH77" s="160" t="n"/>
      <c r="AI77" s="160" t="n"/>
      <c r="AJ77" s="160" t="n"/>
      <c r="AK77" s="160" t="n"/>
      <c r="AL77" s="160" t="n"/>
      <c r="AM77" s="160" t="n"/>
    </row>
    <row r="78" ht="16.5" customHeight="1" s="34">
      <c r="A78" s="11" t="n">
        <v>45270</v>
      </c>
      <c r="B78" s="160" t="n"/>
      <c r="C78" s="160" t="n"/>
      <c r="D78" s="160" t="n"/>
      <c r="E78" s="160" t="n"/>
      <c r="F78" s="160" t="n"/>
      <c r="G78" s="160" t="n"/>
      <c r="H78" s="160" t="n"/>
      <c r="I78" s="160" t="n"/>
      <c r="K78" s="11">
        <f>A78</f>
        <v/>
      </c>
      <c r="L78" s="160" t="n"/>
      <c r="M78" s="160" t="n"/>
      <c r="N78" s="160" t="n"/>
      <c r="O78" s="160" t="n"/>
      <c r="P78" s="160" t="n"/>
      <c r="Q78" s="160" t="n"/>
      <c r="R78" s="160" t="n"/>
      <c r="S78" s="160" t="n"/>
      <c r="U78" s="11">
        <f>K78</f>
        <v/>
      </c>
      <c r="V78" s="160" t="n"/>
      <c r="W78" s="160" t="n"/>
      <c r="X78" s="160" t="n"/>
      <c r="Y78" s="160" t="n"/>
      <c r="Z78" s="160" t="n"/>
      <c r="AA78" s="160" t="n"/>
      <c r="AB78" s="160" t="n"/>
      <c r="AC78" s="160" t="n"/>
      <c r="AE78" s="11">
        <f>U78</f>
        <v/>
      </c>
      <c r="AF78" s="160" t="n"/>
      <c r="AG78" s="160" t="n"/>
      <c r="AH78" s="160" t="n"/>
      <c r="AI78" s="160" t="n"/>
      <c r="AJ78" s="160" t="n"/>
      <c r="AK78" s="160" t="n"/>
      <c r="AL78" s="160" t="n"/>
      <c r="AM78" s="160" t="n"/>
    </row>
    <row r="79" ht="16.5" customHeight="1" s="34">
      <c r="A79" s="11" t="n">
        <v>45271</v>
      </c>
      <c r="B79" s="160" t="n"/>
      <c r="C79" s="160" t="n"/>
      <c r="D79" s="160" t="n"/>
      <c r="E79" s="160" t="n"/>
      <c r="F79" s="160" t="n"/>
      <c r="G79" s="160" t="n"/>
      <c r="H79" s="160" t="n"/>
      <c r="I79" s="160" t="n"/>
      <c r="K79" s="11">
        <f>A79</f>
        <v/>
      </c>
      <c r="L79" s="160" t="n"/>
      <c r="M79" s="160" t="n"/>
      <c r="N79" s="160" t="n"/>
      <c r="O79" s="160" t="n"/>
      <c r="P79" s="160" t="n"/>
      <c r="Q79" s="160" t="n"/>
      <c r="R79" s="160" t="n"/>
      <c r="S79" s="160" t="n"/>
      <c r="U79" s="11">
        <f>K79</f>
        <v/>
      </c>
      <c r="V79" s="160" t="n"/>
      <c r="W79" s="160" t="n"/>
      <c r="X79" s="160" t="n"/>
      <c r="Y79" s="160" t="n"/>
      <c r="Z79" s="160" t="n"/>
      <c r="AA79" s="160" t="n"/>
      <c r="AB79" s="160" t="n"/>
      <c r="AC79" s="160" t="n"/>
      <c r="AE79" s="11">
        <f>U79</f>
        <v/>
      </c>
      <c r="AF79" s="160" t="n"/>
      <c r="AG79" s="160" t="n"/>
      <c r="AH79" s="160" t="n"/>
      <c r="AI79" s="160" t="n"/>
      <c r="AJ79" s="160" t="n"/>
      <c r="AK79" s="160" t="n"/>
      <c r="AL79" s="160" t="n"/>
      <c r="AM79" s="160" t="n"/>
    </row>
    <row r="80" ht="16.5" customHeight="1" s="34">
      <c r="A80" s="11" t="n">
        <v>45272</v>
      </c>
      <c r="B80" s="160" t="n"/>
      <c r="C80" s="160" t="n"/>
      <c r="D80" s="160" t="n"/>
      <c r="E80" s="160" t="n"/>
      <c r="F80" s="160" t="n"/>
      <c r="G80" s="160" t="n"/>
      <c r="H80" s="160" t="n"/>
      <c r="I80" s="160" t="n"/>
      <c r="K80" s="11">
        <f>A80</f>
        <v/>
      </c>
      <c r="L80" s="160" t="n"/>
      <c r="M80" s="160" t="n"/>
      <c r="N80" s="160" t="n"/>
      <c r="O80" s="160" t="n"/>
      <c r="P80" s="160" t="n"/>
      <c r="Q80" s="160" t="n"/>
      <c r="R80" s="160" t="n"/>
      <c r="S80" s="160" t="n"/>
      <c r="U80" s="11">
        <f>K80</f>
        <v/>
      </c>
      <c r="V80" s="160" t="n"/>
      <c r="W80" s="160" t="n"/>
      <c r="X80" s="160" t="n"/>
      <c r="Y80" s="160" t="n"/>
      <c r="Z80" s="160" t="n"/>
      <c r="AA80" s="160" t="n"/>
      <c r="AB80" s="160" t="n"/>
      <c r="AC80" s="160" t="n"/>
      <c r="AE80" s="11">
        <f>U80</f>
        <v/>
      </c>
      <c r="AF80" s="160" t="n"/>
      <c r="AG80" s="160" t="n"/>
      <c r="AH80" s="160" t="n"/>
      <c r="AI80" s="160" t="n"/>
      <c r="AJ80" s="160" t="n"/>
      <c r="AK80" s="160" t="n"/>
      <c r="AL80" s="160" t="n"/>
      <c r="AM80" s="160" t="n"/>
    </row>
    <row r="81" ht="16.5" customHeight="1" s="34">
      <c r="A81" s="11" t="n">
        <v>45273</v>
      </c>
      <c r="B81" s="160" t="n"/>
      <c r="C81" s="160" t="n"/>
      <c r="D81" s="160" t="n"/>
      <c r="E81" s="160" t="n"/>
      <c r="F81" s="160" t="n"/>
      <c r="G81" s="160" t="n"/>
      <c r="H81" s="160" t="n"/>
      <c r="I81" s="160" t="n"/>
      <c r="K81" s="11">
        <f>A81</f>
        <v/>
      </c>
      <c r="L81" s="160" t="n"/>
      <c r="M81" s="160" t="n"/>
      <c r="N81" s="160" t="n"/>
      <c r="O81" s="160" t="n"/>
      <c r="P81" s="160" t="n"/>
      <c r="Q81" s="160" t="n"/>
      <c r="R81" s="160" t="n"/>
      <c r="S81" s="160" t="n"/>
      <c r="U81" s="11">
        <f>K81</f>
        <v/>
      </c>
      <c r="V81" s="160" t="n"/>
      <c r="W81" s="160" t="n"/>
      <c r="X81" s="160" t="n"/>
      <c r="Y81" s="160" t="n"/>
      <c r="Z81" s="160" t="n"/>
      <c r="AA81" s="160" t="n"/>
      <c r="AB81" s="160" t="n"/>
      <c r="AC81" s="160" t="n"/>
      <c r="AE81" s="11">
        <f>U81</f>
        <v/>
      </c>
      <c r="AF81" s="160" t="n"/>
      <c r="AG81" s="160" t="n"/>
      <c r="AH81" s="160" t="n"/>
      <c r="AI81" s="160" t="n"/>
      <c r="AJ81" s="160" t="n"/>
      <c r="AK81" s="160" t="n"/>
      <c r="AL81" s="160" t="n"/>
      <c r="AM81" s="160" t="n"/>
    </row>
    <row r="82" ht="16.5" customHeight="1" s="34">
      <c r="A82" s="11" t="n">
        <v>45274</v>
      </c>
      <c r="B82" s="160" t="n"/>
      <c r="C82" s="160" t="n"/>
      <c r="D82" s="160" t="n"/>
      <c r="E82" s="160" t="n"/>
      <c r="F82" s="160" t="n"/>
      <c r="G82" s="160" t="n"/>
      <c r="H82" s="160" t="n"/>
      <c r="I82" s="160" t="n"/>
      <c r="K82" s="11">
        <f>A82</f>
        <v/>
      </c>
      <c r="L82" s="160" t="n"/>
      <c r="M82" s="160" t="n"/>
      <c r="N82" s="160" t="n"/>
      <c r="O82" s="160" t="n"/>
      <c r="P82" s="160" t="n"/>
      <c r="Q82" s="160" t="n"/>
      <c r="R82" s="160" t="n"/>
      <c r="S82" s="160" t="n"/>
      <c r="U82" s="11">
        <f>K82</f>
        <v/>
      </c>
      <c r="V82" s="160" t="n"/>
      <c r="W82" s="160" t="n"/>
      <c r="X82" s="160" t="n"/>
      <c r="Y82" s="160" t="n"/>
      <c r="Z82" s="160" t="n"/>
      <c r="AA82" s="160" t="n"/>
      <c r="AB82" s="160" t="n"/>
      <c r="AC82" s="160" t="n"/>
      <c r="AE82" s="11">
        <f>U82</f>
        <v/>
      </c>
      <c r="AF82" s="160" t="n"/>
      <c r="AG82" s="160" t="n"/>
      <c r="AH82" s="160" t="n"/>
      <c r="AI82" s="160" t="n"/>
      <c r="AJ82" s="160" t="n"/>
      <c r="AK82" s="160" t="n"/>
      <c r="AL82" s="160" t="n"/>
      <c r="AM82" s="160" t="n"/>
    </row>
    <row r="83" ht="16.5" customHeight="1" s="34">
      <c r="A83" s="11" t="n">
        <v>45275</v>
      </c>
      <c r="B83" s="160" t="n"/>
      <c r="C83" s="160" t="n"/>
      <c r="D83" s="160" t="n"/>
      <c r="E83" s="160" t="n"/>
      <c r="F83" s="160" t="n"/>
      <c r="G83" s="160" t="n"/>
      <c r="H83" s="160" t="n"/>
      <c r="I83" s="160" t="n"/>
      <c r="K83" s="11">
        <f>A83</f>
        <v/>
      </c>
      <c r="L83" s="160" t="n"/>
      <c r="M83" s="160" t="n"/>
      <c r="N83" s="160" t="n"/>
      <c r="O83" s="160" t="n"/>
      <c r="P83" s="160" t="n"/>
      <c r="Q83" s="160" t="n"/>
      <c r="R83" s="160" t="n"/>
      <c r="S83" s="160" t="n"/>
      <c r="U83" s="11">
        <f>K83</f>
        <v/>
      </c>
      <c r="V83" s="160" t="n"/>
      <c r="W83" s="160" t="n"/>
      <c r="X83" s="160" t="n"/>
      <c r="Y83" s="160" t="n"/>
      <c r="Z83" s="160" t="n"/>
      <c r="AA83" s="160" t="n"/>
      <c r="AB83" s="160" t="n"/>
      <c r="AC83" s="160" t="n"/>
      <c r="AE83" s="11">
        <f>U83</f>
        <v/>
      </c>
      <c r="AF83" s="160" t="n"/>
      <c r="AG83" s="160" t="n"/>
      <c r="AH83" s="160" t="n"/>
      <c r="AI83" s="160" t="n"/>
      <c r="AJ83" s="160" t="n"/>
      <c r="AK83" s="160" t="n"/>
      <c r="AL83" s="160" t="n"/>
      <c r="AM83" s="160" t="n"/>
    </row>
    <row r="84" ht="16.5" customHeight="1" s="34">
      <c r="A84" s="11" t="n">
        <v>45276</v>
      </c>
      <c r="B84" s="160" t="n"/>
      <c r="C84" s="160" t="n"/>
      <c r="D84" s="160" t="n"/>
      <c r="E84" s="160" t="n"/>
      <c r="F84" s="160" t="n"/>
      <c r="G84" s="160" t="n"/>
      <c r="H84" s="160" t="n"/>
      <c r="I84" s="160" t="n"/>
      <c r="K84" s="11">
        <f>A84</f>
        <v/>
      </c>
      <c r="L84" s="160" t="n"/>
      <c r="M84" s="160" t="n"/>
      <c r="N84" s="160" t="n"/>
      <c r="O84" s="160" t="n"/>
      <c r="P84" s="160" t="n"/>
      <c r="Q84" s="160" t="n"/>
      <c r="R84" s="160" t="n"/>
      <c r="S84" s="160" t="n"/>
      <c r="U84" s="11">
        <f>K84</f>
        <v/>
      </c>
      <c r="V84" s="160" t="n"/>
      <c r="W84" s="160" t="n"/>
      <c r="X84" s="160" t="n"/>
      <c r="Y84" s="160" t="n"/>
      <c r="Z84" s="160" t="n"/>
      <c r="AA84" s="160" t="n"/>
      <c r="AB84" s="160" t="n"/>
      <c r="AC84" s="160" t="n"/>
      <c r="AE84" s="11">
        <f>U84</f>
        <v/>
      </c>
      <c r="AF84" s="160" t="n"/>
      <c r="AG84" s="160" t="n"/>
      <c r="AH84" s="160" t="n"/>
      <c r="AI84" s="160" t="n"/>
      <c r="AJ84" s="160" t="n"/>
      <c r="AK84" s="160" t="n"/>
      <c r="AL84" s="160" t="n"/>
      <c r="AM84" s="160" t="n"/>
    </row>
    <row r="85" ht="16.5" customHeight="1" s="34">
      <c r="A85" s="11" t="n">
        <v>45277</v>
      </c>
      <c r="B85" s="160" t="n"/>
      <c r="C85" s="160" t="n"/>
      <c r="D85" s="160" t="n"/>
      <c r="E85" s="160" t="n"/>
      <c r="F85" s="160" t="n"/>
      <c r="G85" s="160" t="n"/>
      <c r="H85" s="160" t="n"/>
      <c r="I85" s="160" t="n"/>
      <c r="K85" s="11">
        <f>A85</f>
        <v/>
      </c>
      <c r="L85" s="160" t="n"/>
      <c r="M85" s="160" t="n"/>
      <c r="N85" s="160" t="n"/>
      <c r="O85" s="160" t="n"/>
      <c r="P85" s="160" t="n"/>
      <c r="Q85" s="160" t="n"/>
      <c r="R85" s="160" t="n"/>
      <c r="S85" s="160" t="n"/>
      <c r="U85" s="11">
        <f>K85</f>
        <v/>
      </c>
      <c r="V85" s="160" t="n"/>
      <c r="W85" s="160" t="n"/>
      <c r="X85" s="160" t="n"/>
      <c r="Y85" s="160" t="n"/>
      <c r="Z85" s="160" t="n"/>
      <c r="AA85" s="160" t="n"/>
      <c r="AB85" s="160" t="n"/>
      <c r="AC85" s="160" t="n"/>
      <c r="AE85" s="11">
        <f>U85</f>
        <v/>
      </c>
      <c r="AF85" s="160" t="n"/>
      <c r="AG85" s="160" t="n"/>
      <c r="AH85" s="160" t="n"/>
      <c r="AI85" s="160" t="n"/>
      <c r="AJ85" s="160" t="n"/>
      <c r="AK85" s="160" t="n"/>
      <c r="AL85" s="160" t="n"/>
      <c r="AM85" s="160" t="n"/>
    </row>
    <row r="86" ht="16.5" customHeight="1" s="34">
      <c r="A86" s="11" t="n">
        <v>45278</v>
      </c>
      <c r="B86" s="160" t="n"/>
      <c r="C86" s="160" t="n"/>
      <c r="D86" s="160" t="n"/>
      <c r="E86" s="160" t="n"/>
      <c r="F86" s="160" t="n"/>
      <c r="G86" s="160" t="n"/>
      <c r="H86" s="160" t="n"/>
      <c r="I86" s="160" t="n"/>
      <c r="K86" s="11">
        <f>A86</f>
        <v/>
      </c>
      <c r="L86" s="160" t="n"/>
      <c r="M86" s="160" t="n"/>
      <c r="N86" s="160" t="n"/>
      <c r="O86" s="160" t="n"/>
      <c r="P86" s="160" t="n"/>
      <c r="Q86" s="160" t="n"/>
      <c r="R86" s="160" t="n"/>
      <c r="S86" s="160" t="n"/>
      <c r="U86" s="11">
        <f>K86</f>
        <v/>
      </c>
      <c r="V86" s="160" t="n"/>
      <c r="W86" s="160" t="n"/>
      <c r="X86" s="160" t="n"/>
      <c r="Y86" s="160" t="n"/>
      <c r="Z86" s="160" t="n"/>
      <c r="AA86" s="160" t="n"/>
      <c r="AB86" s="160" t="n"/>
      <c r="AC86" s="160" t="n"/>
      <c r="AE86" s="11">
        <f>U86</f>
        <v/>
      </c>
      <c r="AF86" s="160" t="n"/>
      <c r="AG86" s="160" t="n"/>
      <c r="AH86" s="160" t="n"/>
      <c r="AI86" s="160" t="n"/>
      <c r="AJ86" s="160" t="n"/>
      <c r="AK86" s="160" t="n"/>
      <c r="AL86" s="160" t="n"/>
      <c r="AM86" s="160" t="n"/>
    </row>
    <row r="87" ht="16.5" customHeight="1" s="34">
      <c r="A87" s="11" t="n">
        <v>45279</v>
      </c>
      <c r="B87" s="160" t="n"/>
      <c r="C87" s="160" t="n"/>
      <c r="D87" s="160" t="n"/>
      <c r="E87" s="160" t="n"/>
      <c r="F87" s="160" t="n"/>
      <c r="G87" s="160" t="n"/>
      <c r="H87" s="160" t="n"/>
      <c r="I87" s="160" t="n"/>
      <c r="K87" s="11">
        <f>A87</f>
        <v/>
      </c>
      <c r="L87" s="160" t="n"/>
      <c r="M87" s="160" t="n"/>
      <c r="N87" s="160" t="n"/>
      <c r="O87" s="160" t="n"/>
      <c r="P87" s="160" t="n"/>
      <c r="Q87" s="160" t="n"/>
      <c r="R87" s="160" t="n"/>
      <c r="S87" s="160" t="n"/>
      <c r="U87" s="11">
        <f>K87</f>
        <v/>
      </c>
      <c r="V87" s="160" t="n"/>
      <c r="W87" s="160" t="n"/>
      <c r="X87" s="160" t="n"/>
      <c r="Y87" s="160" t="n"/>
      <c r="Z87" s="160" t="n"/>
      <c r="AA87" s="160" t="n"/>
      <c r="AB87" s="160" t="n"/>
      <c r="AC87" s="160" t="n"/>
      <c r="AE87" s="11">
        <f>U87</f>
        <v/>
      </c>
      <c r="AF87" s="160" t="n"/>
      <c r="AG87" s="160" t="n"/>
      <c r="AH87" s="160" t="n"/>
      <c r="AI87" s="160" t="n"/>
      <c r="AJ87" s="160" t="n"/>
      <c r="AK87" s="160" t="n"/>
      <c r="AL87" s="160" t="n"/>
      <c r="AM87" s="160" t="n"/>
    </row>
    <row r="88" ht="16.5" customHeight="1" s="34">
      <c r="A88" s="11" t="n">
        <v>45280</v>
      </c>
      <c r="B88" s="160" t="n"/>
      <c r="C88" s="160" t="n"/>
      <c r="D88" s="160" t="n"/>
      <c r="E88" s="160" t="n"/>
      <c r="F88" s="160" t="n"/>
      <c r="G88" s="160" t="n"/>
      <c r="H88" s="160" t="n"/>
      <c r="I88" s="160" t="n"/>
      <c r="K88" s="11">
        <f>A88</f>
        <v/>
      </c>
      <c r="L88" s="160" t="n"/>
      <c r="M88" s="160" t="n"/>
      <c r="N88" s="160" t="n"/>
      <c r="O88" s="160" t="n"/>
      <c r="P88" s="160" t="n"/>
      <c r="Q88" s="160" t="n"/>
      <c r="R88" s="160" t="n"/>
      <c r="S88" s="160" t="n"/>
      <c r="U88" s="11">
        <f>K88</f>
        <v/>
      </c>
      <c r="V88" s="160" t="n"/>
      <c r="W88" s="160" t="n"/>
      <c r="X88" s="160" t="n"/>
      <c r="Y88" s="160" t="n"/>
      <c r="Z88" s="160" t="n"/>
      <c r="AA88" s="160" t="n"/>
      <c r="AB88" s="160" t="n"/>
      <c r="AC88" s="160" t="n"/>
      <c r="AE88" s="11">
        <f>U88</f>
        <v/>
      </c>
      <c r="AF88" s="160" t="n"/>
      <c r="AG88" s="160" t="n"/>
      <c r="AH88" s="160" t="n"/>
      <c r="AI88" s="160" t="n"/>
      <c r="AJ88" s="160" t="n"/>
      <c r="AK88" s="160" t="n"/>
      <c r="AL88" s="160" t="n"/>
      <c r="AM88" s="160" t="n"/>
    </row>
    <row r="89" ht="16.5" customHeight="1" s="34">
      <c r="A89" s="11" t="n">
        <v>45281</v>
      </c>
      <c r="B89" s="160" t="n"/>
      <c r="C89" s="160" t="n"/>
      <c r="D89" s="160" t="n"/>
      <c r="E89" s="160" t="n"/>
      <c r="F89" s="160" t="n"/>
      <c r="G89" s="160" t="n"/>
      <c r="H89" s="160" t="n"/>
      <c r="I89" s="160" t="n"/>
      <c r="K89" s="11">
        <f>A89</f>
        <v/>
      </c>
      <c r="L89" s="160" t="n"/>
      <c r="M89" s="160" t="n"/>
      <c r="N89" s="160" t="n"/>
      <c r="O89" s="160" t="n"/>
      <c r="P89" s="160" t="n"/>
      <c r="Q89" s="160" t="n"/>
      <c r="R89" s="160" t="n"/>
      <c r="S89" s="160" t="n"/>
      <c r="U89" s="11">
        <f>K89</f>
        <v/>
      </c>
      <c r="V89" s="160" t="n"/>
      <c r="W89" s="160" t="n"/>
      <c r="X89" s="160" t="n"/>
      <c r="Y89" s="160" t="n"/>
      <c r="Z89" s="160" t="n"/>
      <c r="AA89" s="160" t="n"/>
      <c r="AB89" s="160" t="n"/>
      <c r="AC89" s="160" t="n"/>
      <c r="AE89" s="11">
        <f>U89</f>
        <v/>
      </c>
      <c r="AF89" s="160" t="n"/>
      <c r="AG89" s="160" t="n"/>
      <c r="AH89" s="160" t="n"/>
      <c r="AI89" s="160" t="n"/>
      <c r="AJ89" s="160" t="n"/>
      <c r="AK89" s="160" t="n"/>
      <c r="AL89" s="160" t="n"/>
      <c r="AM89" s="160" t="n"/>
    </row>
    <row r="90" ht="16.5" customHeight="1" s="34">
      <c r="A90" s="11" t="n">
        <v>45282</v>
      </c>
      <c r="B90" s="160" t="n"/>
      <c r="C90" s="160" t="n"/>
      <c r="D90" s="160" t="n"/>
      <c r="E90" s="160" t="n"/>
      <c r="F90" s="160" t="n"/>
      <c r="G90" s="160" t="n"/>
      <c r="H90" s="160" t="n"/>
      <c r="I90" s="160" t="n"/>
      <c r="K90" s="11">
        <f>A90</f>
        <v/>
      </c>
      <c r="L90" s="160" t="n"/>
      <c r="M90" s="160" t="n"/>
      <c r="N90" s="160" t="n"/>
      <c r="O90" s="160" t="n"/>
      <c r="P90" s="160" t="n"/>
      <c r="Q90" s="160" t="n"/>
      <c r="R90" s="160" t="n"/>
      <c r="S90" s="160" t="n"/>
      <c r="U90" s="11">
        <f>K90</f>
        <v/>
      </c>
      <c r="V90" s="160" t="n"/>
      <c r="W90" s="160" t="n"/>
      <c r="X90" s="160" t="n"/>
      <c r="Y90" s="160" t="n"/>
      <c r="Z90" s="160" t="n"/>
      <c r="AA90" s="160" t="n"/>
      <c r="AB90" s="160" t="n"/>
      <c r="AC90" s="160" t="n"/>
      <c r="AE90" s="11">
        <f>U90</f>
        <v/>
      </c>
      <c r="AF90" s="160" t="n"/>
      <c r="AG90" s="160" t="n"/>
      <c r="AH90" s="160" t="n"/>
      <c r="AI90" s="160" t="n"/>
      <c r="AJ90" s="160" t="n"/>
      <c r="AK90" s="160" t="n"/>
      <c r="AL90" s="160" t="n"/>
      <c r="AM90" s="160" t="n"/>
    </row>
    <row r="91" ht="16.5" customHeight="1" s="34">
      <c r="A91" s="11" t="n">
        <v>45283</v>
      </c>
      <c r="B91" s="160" t="n"/>
      <c r="C91" s="160" t="n"/>
      <c r="D91" s="160" t="n"/>
      <c r="E91" s="160" t="n"/>
      <c r="F91" s="160" t="n"/>
      <c r="G91" s="160" t="n"/>
      <c r="H91" s="160" t="n"/>
      <c r="I91" s="160" t="n"/>
      <c r="K91" s="11">
        <f>A91</f>
        <v/>
      </c>
      <c r="L91" s="160" t="n"/>
      <c r="M91" s="160" t="n"/>
      <c r="N91" s="160" t="n"/>
      <c r="O91" s="160" t="n"/>
      <c r="P91" s="160" t="n"/>
      <c r="Q91" s="160" t="n"/>
      <c r="R91" s="160" t="n"/>
      <c r="S91" s="160" t="n"/>
      <c r="U91" s="11">
        <f>K91</f>
        <v/>
      </c>
      <c r="V91" s="160" t="n"/>
      <c r="W91" s="160" t="n"/>
      <c r="X91" s="160" t="n"/>
      <c r="Y91" s="160" t="n"/>
      <c r="Z91" s="160" t="n"/>
      <c r="AA91" s="160" t="n"/>
      <c r="AB91" s="160" t="n"/>
      <c r="AC91" s="160" t="n"/>
      <c r="AE91" s="11">
        <f>U91</f>
        <v/>
      </c>
      <c r="AF91" s="160" t="n"/>
      <c r="AG91" s="160" t="n"/>
      <c r="AH91" s="160" t="n"/>
      <c r="AI91" s="160" t="n"/>
      <c r="AJ91" s="160" t="n"/>
      <c r="AK91" s="160" t="n"/>
      <c r="AL91" s="160" t="n"/>
      <c r="AM91" s="160" t="n"/>
    </row>
    <row r="92" ht="16.5" customHeight="1" s="34">
      <c r="A92" s="11" t="n">
        <v>45284</v>
      </c>
      <c r="B92" s="160" t="n"/>
      <c r="C92" s="160" t="n"/>
      <c r="D92" s="160" t="n"/>
      <c r="E92" s="160" t="n"/>
      <c r="F92" s="160" t="n"/>
      <c r="G92" s="160" t="n"/>
      <c r="H92" s="160" t="n"/>
      <c r="I92" s="160" t="n"/>
      <c r="K92" s="11">
        <f>A92</f>
        <v/>
      </c>
      <c r="L92" s="160" t="n"/>
      <c r="M92" s="160" t="n"/>
      <c r="N92" s="160" t="n"/>
      <c r="O92" s="160" t="n"/>
      <c r="P92" s="160" t="n"/>
      <c r="Q92" s="160" t="n"/>
      <c r="R92" s="160" t="n"/>
      <c r="S92" s="160" t="n"/>
      <c r="U92" s="11">
        <f>K92</f>
        <v/>
      </c>
      <c r="V92" s="160" t="n"/>
      <c r="W92" s="160" t="n"/>
      <c r="X92" s="160" t="n"/>
      <c r="Y92" s="160" t="n"/>
      <c r="Z92" s="160" t="n"/>
      <c r="AA92" s="160" t="n"/>
      <c r="AB92" s="160" t="n"/>
      <c r="AC92" s="160" t="n"/>
      <c r="AE92" s="11">
        <f>U92</f>
        <v/>
      </c>
      <c r="AF92" s="160" t="n"/>
      <c r="AG92" s="160" t="n"/>
      <c r="AH92" s="160" t="n"/>
      <c r="AI92" s="160" t="n"/>
      <c r="AJ92" s="160" t="n"/>
      <c r="AK92" s="160" t="n"/>
      <c r="AL92" s="160" t="n"/>
      <c r="AM92" s="160" t="n"/>
    </row>
    <row r="93" ht="16.5" customHeight="1" s="34">
      <c r="A93" s="11" t="n">
        <v>45285</v>
      </c>
      <c r="B93" s="160" t="n"/>
      <c r="C93" s="160" t="n"/>
      <c r="D93" s="160" t="n"/>
      <c r="E93" s="160" t="n"/>
      <c r="F93" s="160" t="n"/>
      <c r="G93" s="160" t="n"/>
      <c r="H93" s="160" t="n"/>
      <c r="I93" s="160" t="n"/>
      <c r="K93" s="11">
        <f>A93</f>
        <v/>
      </c>
      <c r="L93" s="160" t="n"/>
      <c r="M93" s="160" t="n"/>
      <c r="N93" s="160" t="n"/>
      <c r="O93" s="160" t="n"/>
      <c r="P93" s="160" t="n"/>
      <c r="Q93" s="160" t="n"/>
      <c r="R93" s="160" t="n"/>
      <c r="S93" s="160" t="n"/>
      <c r="U93" s="11">
        <f>K93</f>
        <v/>
      </c>
      <c r="V93" s="160" t="n"/>
      <c r="W93" s="160" t="n"/>
      <c r="X93" s="160" t="n"/>
      <c r="Y93" s="160" t="n"/>
      <c r="Z93" s="160" t="n"/>
      <c r="AA93" s="160" t="n"/>
      <c r="AB93" s="160" t="n"/>
      <c r="AC93" s="160" t="n"/>
      <c r="AE93" s="11">
        <f>U93</f>
        <v/>
      </c>
      <c r="AF93" s="160" t="n"/>
      <c r="AG93" s="160" t="n"/>
      <c r="AH93" s="160" t="n"/>
      <c r="AI93" s="160" t="n"/>
      <c r="AJ93" s="160" t="n"/>
      <c r="AK93" s="160" t="n"/>
      <c r="AL93" s="160" t="n"/>
      <c r="AM93" s="160" t="n"/>
    </row>
    <row r="94" ht="16.5" customHeight="1" s="34">
      <c r="A94" s="11" t="n">
        <v>45286</v>
      </c>
      <c r="B94" s="160" t="n"/>
      <c r="C94" s="160" t="n"/>
      <c r="D94" s="160" t="n"/>
      <c r="E94" s="160" t="n"/>
      <c r="F94" s="160" t="n"/>
      <c r="G94" s="160" t="n"/>
      <c r="H94" s="160" t="n"/>
      <c r="I94" s="160" t="n"/>
      <c r="K94" s="11">
        <f>A94</f>
        <v/>
      </c>
      <c r="L94" s="160" t="n"/>
      <c r="M94" s="160" t="n"/>
      <c r="N94" s="160" t="n"/>
      <c r="O94" s="160" t="n"/>
      <c r="P94" s="160" t="n"/>
      <c r="Q94" s="160" t="n"/>
      <c r="R94" s="160" t="n"/>
      <c r="S94" s="160" t="n"/>
      <c r="U94" s="11">
        <f>K94</f>
        <v/>
      </c>
      <c r="V94" s="160" t="n"/>
      <c r="W94" s="160" t="n"/>
      <c r="X94" s="160" t="n"/>
      <c r="Y94" s="160" t="n"/>
      <c r="Z94" s="160" t="n"/>
      <c r="AA94" s="160" t="n"/>
      <c r="AB94" s="160" t="n"/>
      <c r="AC94" s="160" t="n"/>
      <c r="AE94" s="11">
        <f>U94</f>
        <v/>
      </c>
      <c r="AF94" s="160" t="n"/>
      <c r="AG94" s="160" t="n"/>
      <c r="AH94" s="160" t="n"/>
      <c r="AI94" s="160" t="n"/>
      <c r="AJ94" s="160" t="n"/>
      <c r="AK94" s="160" t="n"/>
      <c r="AL94" s="160" t="n"/>
      <c r="AM94" s="160" t="n"/>
    </row>
    <row r="95" ht="16.5" customHeight="1" s="34">
      <c r="A95" s="11" t="n">
        <v>45287</v>
      </c>
      <c r="B95" s="160" t="n"/>
      <c r="C95" s="160" t="n"/>
      <c r="D95" s="160" t="n"/>
      <c r="E95" s="160" t="n"/>
      <c r="F95" s="160" t="n"/>
      <c r="G95" s="160" t="n"/>
      <c r="H95" s="160" t="n"/>
      <c r="I95" s="160" t="n"/>
      <c r="K95" s="11">
        <f>A95</f>
        <v/>
      </c>
      <c r="L95" s="160" t="n"/>
      <c r="M95" s="160" t="n"/>
      <c r="N95" s="160" t="n"/>
      <c r="O95" s="160" t="n"/>
      <c r="P95" s="160" t="n"/>
      <c r="Q95" s="160" t="n"/>
      <c r="R95" s="160" t="n"/>
      <c r="S95" s="160" t="n"/>
      <c r="U95" s="11">
        <f>K95</f>
        <v/>
      </c>
      <c r="V95" s="160" t="n"/>
      <c r="W95" s="160" t="n"/>
      <c r="X95" s="160" t="n"/>
      <c r="Y95" s="160" t="n"/>
      <c r="Z95" s="160" t="n"/>
      <c r="AA95" s="160" t="n"/>
      <c r="AB95" s="160" t="n"/>
      <c r="AC95" s="160" t="n"/>
      <c r="AE95" s="11">
        <f>U95</f>
        <v/>
      </c>
      <c r="AF95" s="160" t="n"/>
      <c r="AG95" s="160" t="n"/>
      <c r="AH95" s="160" t="n"/>
      <c r="AI95" s="160" t="n"/>
      <c r="AJ95" s="160" t="n"/>
      <c r="AK95" s="160" t="n"/>
      <c r="AL95" s="160" t="n"/>
      <c r="AM95" s="160" t="n"/>
    </row>
    <row r="96" ht="16.5" customHeight="1" s="34">
      <c r="A96" s="11" t="n">
        <v>45288</v>
      </c>
      <c r="B96" s="160" t="n"/>
      <c r="C96" s="160" t="n"/>
      <c r="D96" s="160" t="n"/>
      <c r="E96" s="160" t="n"/>
      <c r="F96" s="160" t="n"/>
      <c r="G96" s="160" t="n"/>
      <c r="H96" s="160" t="n"/>
      <c r="I96" s="160" t="n"/>
      <c r="K96" s="11">
        <f>A96</f>
        <v/>
      </c>
      <c r="L96" s="160" t="n"/>
      <c r="M96" s="160" t="n"/>
      <c r="N96" s="160" t="n"/>
      <c r="O96" s="160" t="n"/>
      <c r="P96" s="160" t="n"/>
      <c r="Q96" s="160" t="n"/>
      <c r="R96" s="160" t="n"/>
      <c r="S96" s="160" t="n"/>
      <c r="U96" s="11">
        <f>K96</f>
        <v/>
      </c>
      <c r="V96" s="160" t="n"/>
      <c r="W96" s="160" t="n"/>
      <c r="X96" s="160" t="n"/>
      <c r="Y96" s="160" t="n"/>
      <c r="Z96" s="160" t="n"/>
      <c r="AA96" s="160" t="n"/>
      <c r="AB96" s="160" t="n"/>
      <c r="AC96" s="160" t="n"/>
      <c r="AE96" s="11">
        <f>U96</f>
        <v/>
      </c>
      <c r="AF96" s="160" t="n"/>
      <c r="AG96" s="160" t="n"/>
      <c r="AH96" s="160" t="n"/>
      <c r="AI96" s="160" t="n"/>
      <c r="AJ96" s="160" t="n"/>
      <c r="AK96" s="160" t="n"/>
      <c r="AL96" s="160" t="n"/>
      <c r="AM96" s="160" t="n"/>
    </row>
    <row r="97" ht="16.5" customHeight="1" s="34">
      <c r="A97" s="11" t="n">
        <v>45289</v>
      </c>
      <c r="B97" s="160" t="n"/>
      <c r="C97" s="160" t="n"/>
      <c r="D97" s="160" t="n"/>
      <c r="E97" s="160" t="n"/>
      <c r="F97" s="160" t="n"/>
      <c r="G97" s="160" t="n"/>
      <c r="H97" s="160" t="n"/>
      <c r="I97" s="160" t="n"/>
      <c r="K97" s="11">
        <f>A97</f>
        <v/>
      </c>
      <c r="L97" s="160" t="n"/>
      <c r="M97" s="160" t="n"/>
      <c r="N97" s="160" t="n"/>
      <c r="O97" s="160" t="n"/>
      <c r="P97" s="160" t="n"/>
      <c r="Q97" s="160" t="n"/>
      <c r="R97" s="160" t="n"/>
      <c r="S97" s="160" t="n"/>
      <c r="U97" s="11">
        <f>K97</f>
        <v/>
      </c>
      <c r="V97" s="160" t="n"/>
      <c r="W97" s="160" t="n"/>
      <c r="X97" s="160" t="n"/>
      <c r="Y97" s="160" t="n"/>
      <c r="Z97" s="160" t="n"/>
      <c r="AA97" s="160" t="n"/>
      <c r="AB97" s="160" t="n"/>
      <c r="AC97" s="160" t="n"/>
      <c r="AE97" s="11">
        <f>U97</f>
        <v/>
      </c>
      <c r="AF97" s="160" t="n"/>
      <c r="AG97" s="160" t="n"/>
      <c r="AH97" s="160" t="n"/>
      <c r="AI97" s="160" t="n"/>
      <c r="AJ97" s="160" t="n"/>
      <c r="AK97" s="160" t="n"/>
      <c r="AL97" s="160" t="n"/>
      <c r="AM97" s="160" t="n"/>
    </row>
    <row r="98" ht="16.5" customHeight="1" s="34">
      <c r="A98" s="11" t="n">
        <v>45290</v>
      </c>
      <c r="B98" s="160" t="n"/>
      <c r="C98" s="160" t="n"/>
      <c r="D98" s="160" t="n"/>
      <c r="E98" s="160" t="n"/>
      <c r="F98" s="160" t="n"/>
      <c r="G98" s="160" t="n"/>
      <c r="H98" s="160" t="n"/>
      <c r="I98" s="160" t="n"/>
      <c r="K98" s="11">
        <f>A98</f>
        <v/>
      </c>
      <c r="L98" s="160" t="n"/>
      <c r="M98" s="160" t="n"/>
      <c r="N98" s="160" t="n"/>
      <c r="O98" s="160" t="n"/>
      <c r="P98" s="160" t="n"/>
      <c r="Q98" s="160" t="n"/>
      <c r="R98" s="160" t="n"/>
      <c r="S98" s="160" t="n"/>
      <c r="U98" s="11">
        <f>K98</f>
        <v/>
      </c>
      <c r="V98" s="160" t="n"/>
      <c r="W98" s="160" t="n"/>
      <c r="X98" s="160" t="n"/>
      <c r="Y98" s="160" t="n"/>
      <c r="Z98" s="160" t="n"/>
      <c r="AA98" s="160" t="n"/>
      <c r="AB98" s="160" t="n"/>
      <c r="AC98" s="160" t="n"/>
      <c r="AE98" s="11">
        <f>U98</f>
        <v/>
      </c>
      <c r="AF98" s="160" t="n"/>
      <c r="AG98" s="160" t="n"/>
      <c r="AH98" s="160" t="n"/>
      <c r="AI98" s="160" t="n"/>
      <c r="AJ98" s="160" t="n"/>
      <c r="AK98" s="160" t="n"/>
      <c r="AL98" s="160" t="n"/>
      <c r="AM98" s="160" t="n"/>
    </row>
    <row r="99" ht="16.5" customHeight="1" s="34">
      <c r="A99" s="11" t="n">
        <v>45291</v>
      </c>
      <c r="B99" s="160" t="n"/>
      <c r="C99" s="160" t="n"/>
      <c r="D99" s="160" t="n"/>
      <c r="E99" s="160" t="n"/>
      <c r="F99" s="160" t="n"/>
      <c r="G99" s="160" t="n"/>
      <c r="H99" s="160" t="n"/>
      <c r="I99" s="160" t="n"/>
      <c r="K99" s="11">
        <f>A99</f>
        <v/>
      </c>
      <c r="L99" s="160" t="n"/>
      <c r="M99" s="160" t="n"/>
      <c r="N99" s="160" t="n"/>
      <c r="O99" s="160" t="n"/>
      <c r="P99" s="160" t="n"/>
      <c r="Q99" s="160" t="n"/>
      <c r="R99" s="160" t="n"/>
      <c r="S99" s="160" t="n"/>
      <c r="U99" s="11">
        <f>K99</f>
        <v/>
      </c>
      <c r="V99" s="160" t="n"/>
      <c r="W99" s="160" t="n"/>
      <c r="X99" s="160" t="n"/>
      <c r="Y99" s="160" t="n"/>
      <c r="Z99" s="160" t="n"/>
      <c r="AA99" s="160" t="n"/>
      <c r="AB99" s="160" t="n"/>
      <c r="AC99" s="160" t="n"/>
      <c r="AE99" s="11">
        <f>U99</f>
        <v/>
      </c>
      <c r="AF99" s="160" t="n"/>
      <c r="AG99" s="160" t="n"/>
      <c r="AH99" s="160" t="n"/>
      <c r="AI99" s="160" t="n"/>
      <c r="AJ99" s="160" t="n"/>
      <c r="AK99" s="160" t="n"/>
      <c r="AL99" s="160" t="n"/>
      <c r="AM99" s="160" t="n"/>
    </row>
  </sheetData>
  <mergeCells count="20">
    <mergeCell ref="U1:U3"/>
    <mergeCell ref="A1:A3"/>
    <mergeCell ref="AE1:AE3"/>
    <mergeCell ref="AF2:AF3"/>
    <mergeCell ref="B2:B3"/>
    <mergeCell ref="B1:I1"/>
    <mergeCell ref="I2:I3"/>
    <mergeCell ref="L2:L3"/>
    <mergeCell ref="AG2:AL2"/>
    <mergeCell ref="AF1:AM1"/>
    <mergeCell ref="AM2:AM3"/>
    <mergeCell ref="W2:AB2"/>
    <mergeCell ref="V1:AC1"/>
    <mergeCell ref="AC2:AC3"/>
    <mergeCell ref="C2:H2"/>
    <mergeCell ref="M2:R2"/>
    <mergeCell ref="L1:S1"/>
    <mergeCell ref="V2:V3"/>
    <mergeCell ref="S2:S3"/>
    <mergeCell ref="K1:K3"/>
  </mergeCells>
  <conditionalFormatting sqref="A8:A99 K8:K99 U8:U99 AE8:AE99">
    <cfRule type="expression" priority="13" dxfId="10">
      <formula>OR(WEEKDAY(A8,2)=6,WEEKDAY(A8,2)=7)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C2CD2D"/>
    <outlinePr summaryBelow="1" summaryRight="1"/>
    <pageSetUpPr/>
  </sheetPr>
  <dimension ref="A1:AB97"/>
  <sheetViews>
    <sheetView showGridLines="0" topLeftCell="J1" workbookViewId="0">
      <pane ySplit="5" topLeftCell="A24" activePane="bottomLeft" state="frozen"/>
      <selection activeCell="A1" sqref="A1"/>
      <selection pane="bottomLeft" activeCell="AA4" sqref="AA4"/>
    </sheetView>
  </sheetViews>
  <sheetFormatPr baseColWidth="8" defaultColWidth="9" defaultRowHeight="16.5"/>
  <cols>
    <col width="9" customWidth="1" style="13" min="1" max="1"/>
    <col width="7.875" customWidth="1" style="163" min="2" max="6"/>
    <col width="1.25" customWidth="1" style="13" min="7" max="7"/>
    <col width="9.625" customWidth="1" style="13" min="8" max="8"/>
    <col width="12.875" customWidth="1" style="163" min="9" max="9"/>
    <col width="12.125" customWidth="1" style="163" min="10" max="10"/>
    <col width="10.625" customWidth="1" style="163" min="11" max="13"/>
    <col width="1.25" customWidth="1" style="13" min="14" max="14"/>
    <col width="9.625" customWidth="1" style="13" min="15" max="15"/>
    <col width="9.875" customWidth="1" style="15" min="16" max="16"/>
    <col width="7.875" customWidth="1" style="15" min="17" max="20"/>
    <col width="1.25" customWidth="1" style="13" min="21" max="21"/>
    <col width="11.375" customWidth="1" style="13" min="22" max="22"/>
    <col width="7.875" customWidth="1" style="15" min="23" max="27"/>
    <col width="1.125" customWidth="1" style="13" min="28" max="28"/>
    <col width="9" customWidth="1" style="13" min="29" max="16384"/>
  </cols>
  <sheetData>
    <row r="1">
      <c r="A1" s="16" t="inlineStr">
        <is>
          <t>新单汇总</t>
        </is>
      </c>
      <c r="B1" s="164" t="inlineStr">
        <is>
          <t>合计</t>
        </is>
      </c>
      <c r="C1" s="164" t="inlineStr">
        <is>
          <t>厦门</t>
        </is>
      </c>
      <c r="D1" s="164" t="inlineStr">
        <is>
          <t>泉州</t>
        </is>
      </c>
      <c r="E1" s="164" t="inlineStr">
        <is>
          <t>漳州</t>
        </is>
      </c>
      <c r="F1" s="164" t="inlineStr">
        <is>
          <t>龙岩</t>
        </is>
      </c>
      <c r="H1" s="16" t="inlineStr">
        <is>
          <t>新单消费汇总</t>
        </is>
      </c>
      <c r="I1" s="164" t="inlineStr">
        <is>
          <t>合计</t>
        </is>
      </c>
      <c r="J1" s="164" t="inlineStr">
        <is>
          <t>厦门</t>
        </is>
      </c>
      <c r="K1" s="164" t="inlineStr">
        <is>
          <t>泉州</t>
        </is>
      </c>
      <c r="L1" s="164" t="inlineStr">
        <is>
          <t>漳州</t>
        </is>
      </c>
      <c r="M1" s="164" t="inlineStr">
        <is>
          <t>龙岩</t>
        </is>
      </c>
      <c r="O1" s="26" t="inlineStr">
        <is>
          <t>新单消费占比</t>
        </is>
      </c>
      <c r="P1" s="16" t="inlineStr">
        <is>
          <t>合计</t>
        </is>
      </c>
      <c r="Q1" s="16" t="inlineStr">
        <is>
          <t>厦门</t>
        </is>
      </c>
      <c r="R1" s="16" t="inlineStr">
        <is>
          <t>泉州</t>
        </is>
      </c>
      <c r="S1" s="16" t="inlineStr">
        <is>
          <t>漳州</t>
        </is>
      </c>
      <c r="T1" s="16" t="inlineStr">
        <is>
          <t>龙岩</t>
        </is>
      </c>
      <c r="V1" s="16" t="inlineStr">
        <is>
          <t>信息流新单数</t>
        </is>
      </c>
      <c r="W1" s="16" t="inlineStr">
        <is>
          <t>合计</t>
        </is>
      </c>
      <c r="X1" s="16" t="inlineStr">
        <is>
          <t>厦门</t>
        </is>
      </c>
      <c r="Y1" s="16" t="inlineStr">
        <is>
          <t>泉州</t>
        </is>
      </c>
      <c r="Z1" s="16" t="inlineStr">
        <is>
          <t>漳州</t>
        </is>
      </c>
      <c r="AA1" s="16" t="inlineStr">
        <is>
          <t>龙岩</t>
        </is>
      </c>
    </row>
    <row r="2">
      <c r="A2" s="18" t="inlineStr">
        <is>
          <t>2023Q4</t>
        </is>
      </c>
      <c r="B2" s="165">
        <f>SUM(B6:B95)</f>
        <v/>
      </c>
      <c r="C2" s="165">
        <f>SUM(C6:C95)</f>
        <v/>
      </c>
      <c r="D2" s="165">
        <f>SUM(D6:D95)</f>
        <v/>
      </c>
      <c r="E2" s="165">
        <f>SUM(E6:E95)</f>
        <v/>
      </c>
      <c r="F2" s="165">
        <f>SUM(F6:F95)</f>
        <v/>
      </c>
      <c r="H2" s="18" t="inlineStr">
        <is>
          <t>2023Q4</t>
        </is>
      </c>
      <c r="I2" s="165">
        <f>SUM(I6:I95)</f>
        <v/>
      </c>
      <c r="J2" s="165">
        <f>SUM(J6:J95)</f>
        <v/>
      </c>
      <c r="K2" s="165">
        <f>SUM(K6:K95)</f>
        <v/>
      </c>
      <c r="L2" s="165">
        <f>SUM(L6:L95)</f>
        <v/>
      </c>
      <c r="M2" s="165">
        <f>SUM(M6:M95)</f>
        <v/>
      </c>
      <c r="O2" s="18" t="inlineStr">
        <is>
          <t>2023Q4</t>
        </is>
      </c>
      <c r="P2" s="27">
        <f>IF(I2="","",I2/消费汇总!I3)</f>
        <v/>
      </c>
      <c r="Q2" s="27">
        <f>IF(J2="","",J2/二级地市消费汇总!C4)</f>
        <v/>
      </c>
      <c r="R2" s="27">
        <f>IF(K2="","",新单数据!K2/二级地市消费汇总!M4)</f>
        <v/>
      </c>
      <c r="S2" s="27">
        <f>IF(L2="","",L2/二级地市消费汇总!W4)</f>
        <v/>
      </c>
      <c r="T2" s="27">
        <f>IF(M2="","",M2/二级地市消费汇总!AG4)</f>
        <v/>
      </c>
      <c r="V2" s="18" t="inlineStr">
        <is>
          <t>2023Q4</t>
        </is>
      </c>
      <c r="W2" s="29">
        <f>SUM(W6:W95)</f>
        <v/>
      </c>
      <c r="X2" s="29">
        <f>SUM(X6:X95)</f>
        <v/>
      </c>
      <c r="Y2" s="29">
        <f>SUM(Y6:Y95)</f>
        <v/>
      </c>
      <c r="Z2" s="29">
        <f>SUM(Z6:Z95)</f>
        <v/>
      </c>
      <c r="AA2" s="29">
        <f>SUM(AA6:AA95)</f>
        <v/>
      </c>
    </row>
    <row r="3">
      <c r="A3" s="20" t="inlineStr">
        <is>
          <t>10月份</t>
        </is>
      </c>
      <c r="B3" s="165">
        <f>IF(B6="","",SUM(B6:B36))</f>
        <v/>
      </c>
      <c r="C3" s="165">
        <f>IF(C6="","",SUM(C6:C36))</f>
        <v/>
      </c>
      <c r="D3" s="165">
        <f>IF(D6="","",SUM(D6:D36))</f>
        <v/>
      </c>
      <c r="E3" s="165">
        <f>IF(E6="","",SUM(E6:E36))</f>
        <v/>
      </c>
      <c r="F3" s="165">
        <f>IF(F6="","",SUM(F6:F36))</f>
        <v/>
      </c>
      <c r="H3" s="20" t="inlineStr">
        <is>
          <t>10月份</t>
        </is>
      </c>
      <c r="I3" s="165">
        <f>IF(I6="","",SUM(I6:I36))</f>
        <v/>
      </c>
      <c r="J3" s="165">
        <f>IF(J6="","",SUM(J6:J36))</f>
        <v/>
      </c>
      <c r="K3" s="165">
        <f>IF(K6="","",SUM(K6:K36))</f>
        <v/>
      </c>
      <c r="L3" s="165">
        <f>IF(L6="","",SUM(L6:L36))</f>
        <v/>
      </c>
      <c r="M3" s="165">
        <f>IF(M6="","",SUM(M6:M36))</f>
        <v/>
      </c>
      <c r="O3" s="20" t="inlineStr">
        <is>
          <t>10月份</t>
        </is>
      </c>
      <c r="P3" s="27">
        <f>IF(I3="","",I3/消费汇总!I4)</f>
        <v/>
      </c>
      <c r="Q3" s="27">
        <f>IF(J3="","",J3/二级地市消费汇总!C5)</f>
        <v/>
      </c>
      <c r="R3" s="27">
        <f>IF(K3="","",新单数据!K3/二级地市消费汇总!M5)</f>
        <v/>
      </c>
      <c r="S3" s="27">
        <f>IF(L3="","",L3/二级地市消费汇总!W5)</f>
        <v/>
      </c>
      <c r="T3" s="27">
        <f>IF(M3="","",M3/二级地市消费汇总!AG5)</f>
        <v/>
      </c>
      <c r="V3" s="20" t="inlineStr">
        <is>
          <t>10月份</t>
        </is>
      </c>
      <c r="W3" s="165">
        <f>IF(W6="","",SUM(W6:W36))</f>
        <v/>
      </c>
      <c r="X3" s="165">
        <f>IF(X6="","",SUM(X6:X36))</f>
        <v/>
      </c>
      <c r="Y3" s="165">
        <f>IF(Y6="","",SUM(Y6:Y36))</f>
        <v/>
      </c>
      <c r="Z3" s="165">
        <f>IF(Z6="","",SUM(Z6:Z36))</f>
        <v/>
      </c>
      <c r="AA3" s="165">
        <f>IF(AA6="","",SUM(AA6:AA36))</f>
        <v/>
      </c>
    </row>
    <row r="4">
      <c r="A4" s="20" t="inlineStr">
        <is>
          <t>11月份</t>
        </is>
      </c>
      <c r="B4" s="165">
        <f>IF(B37="","",SUM(B37:B66))</f>
        <v/>
      </c>
      <c r="C4" s="165">
        <f>IF(C37="","",SUM(C37:C66))</f>
        <v/>
      </c>
      <c r="D4" s="165">
        <f>IF(D37="","",SUM(D37:D66))</f>
        <v/>
      </c>
      <c r="E4" s="165">
        <f>IF(E37="","",SUM(E37:E66))</f>
        <v/>
      </c>
      <c r="F4" s="165">
        <f>IF(F37="","",SUM(F37:F66))</f>
        <v/>
      </c>
      <c r="H4" s="20" t="inlineStr">
        <is>
          <t>11月份</t>
        </is>
      </c>
      <c r="I4" s="165">
        <f>IF(I37="","",SUM(I37:I66))</f>
        <v/>
      </c>
      <c r="J4" s="165">
        <f>IF(J37="","",SUM(J37:J66))</f>
        <v/>
      </c>
      <c r="K4" s="165">
        <f>IF(K37="","",SUM(K37:K66))</f>
        <v/>
      </c>
      <c r="L4" s="165">
        <f>IF(L37="","",SUM(L37:L66))</f>
        <v/>
      </c>
      <c r="M4" s="165">
        <f>IF(M37="","",SUM(M37:M66))</f>
        <v/>
      </c>
      <c r="O4" s="20" t="inlineStr">
        <is>
          <t>11月份</t>
        </is>
      </c>
      <c r="P4" s="27">
        <f>IF(I4="","",I4/消费汇总!I5)</f>
        <v/>
      </c>
      <c r="Q4" s="27">
        <f>IF(J4="","",J4/二级地市消费汇总!C6)</f>
        <v/>
      </c>
      <c r="R4" s="27">
        <f>IF(K4="","",新单数据!K4/二级地市消费汇总!M6)</f>
        <v/>
      </c>
      <c r="S4" s="27">
        <f>IF(L4="","",L4/二级地市消费汇总!W6)</f>
        <v/>
      </c>
      <c r="T4" s="27">
        <f>IF(M4="","",M4/二级地市消费汇总!AG6)</f>
        <v/>
      </c>
      <c r="V4" s="20" t="inlineStr">
        <is>
          <t>11月份</t>
        </is>
      </c>
      <c r="W4" s="166">
        <f>IF(W37="","",SUM(W37:W66))</f>
        <v/>
      </c>
      <c r="X4" s="166">
        <f>IF(X37="","",SUM(X37:X66))</f>
        <v/>
      </c>
      <c r="Y4" s="166">
        <f>IF(Y37="","",SUM(Y37:Y66))</f>
        <v/>
      </c>
      <c r="Z4" s="166">
        <f>IF(Z37="","",SUM(Z37:Z66))</f>
        <v/>
      </c>
      <c r="AA4" s="166">
        <f>IF(AA37="","",SUM(AA37:AA66))</f>
        <v/>
      </c>
    </row>
    <row r="5">
      <c r="A5" s="20" t="inlineStr">
        <is>
          <t>12月份</t>
        </is>
      </c>
      <c r="B5" s="165">
        <f>IF(B67="","",SUM(B67:B96))</f>
        <v/>
      </c>
      <c r="C5" s="165">
        <f>IF(C67="","",SUM(C67:C96))</f>
        <v/>
      </c>
      <c r="D5" s="165">
        <f>IF(D67="","",SUM(D67:D96))</f>
        <v/>
      </c>
      <c r="E5" s="165">
        <f>IF(E67="","",SUM(E67:E96))</f>
        <v/>
      </c>
      <c r="F5" s="165">
        <f>IF(F67="","",SUM(F67:F96))</f>
        <v/>
      </c>
      <c r="H5" s="20" t="inlineStr">
        <is>
          <t>12月份</t>
        </is>
      </c>
      <c r="I5" s="165">
        <f>IF(I67="","",SUM(I67:I96))</f>
        <v/>
      </c>
      <c r="J5" s="165">
        <f>IF(J67="","",SUM(J67:J96))</f>
        <v/>
      </c>
      <c r="K5" s="165">
        <f>IF(K67="","",SUM(K67:K96))</f>
        <v/>
      </c>
      <c r="L5" s="165">
        <f>IF(L67="","",SUM(L67:L96))</f>
        <v/>
      </c>
      <c r="M5" s="165">
        <f>IF(M67="","",SUM(M67:M96))</f>
        <v/>
      </c>
      <c r="O5" s="20" t="inlineStr">
        <is>
          <t>12月份</t>
        </is>
      </c>
      <c r="P5" s="27">
        <f>IF(I5="","",I5/消费汇总!I6)</f>
        <v/>
      </c>
      <c r="Q5" s="27">
        <f>IF(J5="","",J5/二级地市消费汇总!C7)</f>
        <v/>
      </c>
      <c r="R5" s="27">
        <f>IF(K5="","",新单数据!K5/二级地市消费汇总!M7)</f>
        <v/>
      </c>
      <c r="S5" s="27">
        <f>IF(L5="","",L5/二级地市消费汇总!W7)</f>
        <v/>
      </c>
      <c r="T5" s="27">
        <f>IF(M5="","",M5/二级地市消费汇总!AG7)</f>
        <v/>
      </c>
      <c r="V5" s="20" t="inlineStr">
        <is>
          <t>12月份</t>
        </is>
      </c>
      <c r="W5" s="165">
        <f>IF(W67="","",SUM(W67:W96))</f>
        <v/>
      </c>
      <c r="X5" s="165">
        <f>IF(X67="","",SUM(X67:X96))</f>
        <v/>
      </c>
      <c r="Y5" s="165">
        <f>IF(Y67="","",SUM(Y67:Y96))</f>
        <v/>
      </c>
      <c r="Z5" s="165">
        <f>IF(Z67="","",SUM(Z67:Z96))</f>
        <v/>
      </c>
      <c r="AA5" s="165">
        <f>IF(AA67="","",SUM(AA67:AA96))</f>
        <v/>
      </c>
    </row>
    <row r="6">
      <c r="A6" s="11" t="n">
        <v>45200</v>
      </c>
      <c r="B6" s="121">
        <f>IF(C6="","",SUM(C6:F6))</f>
        <v/>
      </c>
      <c r="C6" s="167" t="n">
        <v>0</v>
      </c>
      <c r="D6" s="167" t="n">
        <v>0</v>
      </c>
      <c r="E6" s="167" t="n">
        <v>0</v>
      </c>
      <c r="F6" s="167" t="n">
        <v>0</v>
      </c>
      <c r="H6" s="11">
        <f>A6</f>
        <v/>
      </c>
      <c r="I6" s="121">
        <f>IF(J6="","",SUM(J6:M6))</f>
        <v/>
      </c>
      <c r="J6" s="121" t="n">
        <v>0</v>
      </c>
      <c r="K6" s="121" t="n">
        <v>0</v>
      </c>
      <c r="L6" s="121" t="n">
        <v>0</v>
      </c>
      <c r="M6" s="121" t="n">
        <v>0</v>
      </c>
      <c r="O6" s="11">
        <f>H6</f>
        <v/>
      </c>
      <c r="P6" s="28">
        <f>IF(I6="","",I6/消费汇总!I7)</f>
        <v/>
      </c>
      <c r="Q6" s="28">
        <f>IF(J6="","",J6/二级地市消费汇总!C8)</f>
        <v/>
      </c>
      <c r="R6" s="28">
        <f>IF(K6="","",新单数据!K6/二级地市消费汇总!M8)</f>
        <v/>
      </c>
      <c r="S6" s="28">
        <f>IF(L6="","",L6/二级地市消费汇总!W8)</f>
        <v/>
      </c>
      <c r="T6" s="28">
        <f>IF(M6="","",M6/二级地市消费汇总!AG8)</f>
        <v/>
      </c>
      <c r="V6" s="11">
        <f>O6</f>
        <v/>
      </c>
      <c r="W6" s="168" t="n">
        <v>0</v>
      </c>
      <c r="X6" s="32" t="n">
        <v>0</v>
      </c>
      <c r="Y6" s="32" t="n">
        <v>0</v>
      </c>
      <c r="Z6" s="32" t="n">
        <v>0</v>
      </c>
      <c r="AA6" s="32" t="n">
        <v>0</v>
      </c>
    </row>
    <row r="7">
      <c r="A7" s="11" t="n">
        <v>45201</v>
      </c>
      <c r="B7" s="121">
        <f>IF(C7="","",SUM(C7:F7))</f>
        <v/>
      </c>
      <c r="C7" s="167" t="n">
        <v>0</v>
      </c>
      <c r="D7" s="167" t="n">
        <v>0</v>
      </c>
      <c r="E7" s="167" t="n">
        <v>0</v>
      </c>
      <c r="F7" s="167" t="n">
        <v>0</v>
      </c>
      <c r="H7" s="11">
        <f>A7</f>
        <v/>
      </c>
      <c r="I7" s="121">
        <f>IF(J7="","",SUM(J7:M7))</f>
        <v/>
      </c>
      <c r="J7" s="121" t="n">
        <v>0</v>
      </c>
      <c r="K7" s="121" t="n">
        <v>0</v>
      </c>
      <c r="L7" s="121" t="n">
        <v>0</v>
      </c>
      <c r="M7" s="121" t="n">
        <v>0</v>
      </c>
      <c r="O7" s="11">
        <f>H7</f>
        <v/>
      </c>
      <c r="P7" s="28">
        <f>IF(I7="","",I7/消费汇总!I8)</f>
        <v/>
      </c>
      <c r="Q7" s="28">
        <f>IF(J7="","",J7/二级地市消费汇总!C9)</f>
        <v/>
      </c>
      <c r="R7" s="28">
        <f>IF(K7="","",新单数据!K7/二级地市消费汇总!M9)</f>
        <v/>
      </c>
      <c r="S7" s="28">
        <f>IF(L7="","",L7/二级地市消费汇总!W9)</f>
        <v/>
      </c>
      <c r="T7" s="28">
        <f>IF(M7="","",M7/二级地市消费汇总!AG9)</f>
        <v/>
      </c>
      <c r="V7" s="11">
        <f>O7</f>
        <v/>
      </c>
      <c r="W7" s="168" t="n">
        <v>0</v>
      </c>
      <c r="X7" s="32" t="n">
        <v>0</v>
      </c>
      <c r="Y7" s="32" t="n">
        <v>0</v>
      </c>
      <c r="Z7" s="32" t="n">
        <v>0</v>
      </c>
      <c r="AA7" s="32" t="n">
        <v>0</v>
      </c>
    </row>
    <row r="8">
      <c r="A8" s="11" t="n">
        <v>45202</v>
      </c>
      <c r="B8" s="121">
        <f>IF(C8="","",SUM(C8:F8))</f>
        <v/>
      </c>
      <c r="C8" s="167" t="n">
        <v>0</v>
      </c>
      <c r="D8" s="167" t="n">
        <v>0</v>
      </c>
      <c r="E8" s="167" t="n">
        <v>0</v>
      </c>
      <c r="F8" s="167" t="n">
        <v>0</v>
      </c>
      <c r="H8" s="11">
        <f>A8</f>
        <v/>
      </c>
      <c r="I8" s="121">
        <f>IF(J8="","",SUM(J8:M8))</f>
        <v/>
      </c>
      <c r="J8" s="121" t="n">
        <v>0</v>
      </c>
      <c r="K8" s="121" t="n">
        <v>0</v>
      </c>
      <c r="L8" s="121" t="n">
        <v>0</v>
      </c>
      <c r="M8" s="121" t="n">
        <v>0</v>
      </c>
      <c r="O8" s="11">
        <f>H8</f>
        <v/>
      </c>
      <c r="P8" s="28">
        <f>IF(I8="","",I8/消费汇总!I9)</f>
        <v/>
      </c>
      <c r="Q8" s="28">
        <f>IF(J8="","",J8/二级地市消费汇总!C10)</f>
        <v/>
      </c>
      <c r="R8" s="28">
        <f>IF(K8="","",新单数据!K8/二级地市消费汇总!M10)</f>
        <v/>
      </c>
      <c r="S8" s="28">
        <f>IF(L8="","",L8/二级地市消费汇总!W10)</f>
        <v/>
      </c>
      <c r="T8" s="28">
        <f>IF(M8="","",M8/二级地市消费汇总!AG10)</f>
        <v/>
      </c>
      <c r="V8" s="11">
        <f>O8</f>
        <v/>
      </c>
      <c r="W8" s="168" t="n">
        <v>0</v>
      </c>
      <c r="X8" s="32" t="n">
        <v>0</v>
      </c>
      <c r="Y8" s="32" t="n">
        <v>0</v>
      </c>
      <c r="Z8" s="32" t="n">
        <v>0</v>
      </c>
      <c r="AA8" s="32" t="n">
        <v>0</v>
      </c>
    </row>
    <row r="9">
      <c r="A9" s="11" t="n">
        <v>45203</v>
      </c>
      <c r="B9" s="121">
        <f>IF(C9="","",SUM(C9:F9))</f>
        <v/>
      </c>
      <c r="C9" s="167" t="n">
        <v>0</v>
      </c>
      <c r="D9" s="167" t="n">
        <v>0</v>
      </c>
      <c r="E9" s="167" t="n">
        <v>0</v>
      </c>
      <c r="F9" s="167" t="n">
        <v>0</v>
      </c>
      <c r="H9" s="11">
        <f>A9</f>
        <v/>
      </c>
      <c r="I9" s="121">
        <f>IF(J9="","",SUM(J9:M9))</f>
        <v/>
      </c>
      <c r="J9" s="121" t="n">
        <v>0</v>
      </c>
      <c r="K9" s="121" t="n">
        <v>0</v>
      </c>
      <c r="L9" s="121" t="n">
        <v>0</v>
      </c>
      <c r="M9" s="121" t="n">
        <v>0</v>
      </c>
      <c r="O9" s="11">
        <f>H9</f>
        <v/>
      </c>
      <c r="P9" s="28">
        <f>IF(I9="","",I9/消费汇总!I10)</f>
        <v/>
      </c>
      <c r="Q9" s="28">
        <f>IF(J9="","",J9/二级地市消费汇总!C11)</f>
        <v/>
      </c>
      <c r="R9" s="28">
        <f>IF(K9="","",新单数据!K9/二级地市消费汇总!M11)</f>
        <v/>
      </c>
      <c r="S9" s="28">
        <f>IF(L9="","",L9/二级地市消费汇总!W11)</f>
        <v/>
      </c>
      <c r="T9" s="28">
        <f>IF(M9="","",M9/二级地市消费汇总!AG11)</f>
        <v/>
      </c>
      <c r="V9" s="11">
        <f>O9</f>
        <v/>
      </c>
      <c r="W9" s="168" t="n">
        <v>0</v>
      </c>
      <c r="X9" s="32" t="n">
        <v>0</v>
      </c>
      <c r="Y9" s="32" t="n">
        <v>0</v>
      </c>
      <c r="Z9" s="32" t="n">
        <v>0</v>
      </c>
      <c r="AA9" s="32" t="n">
        <v>0</v>
      </c>
    </row>
    <row r="10">
      <c r="A10" s="11" t="n">
        <v>45204</v>
      </c>
      <c r="B10" s="121">
        <f>IF(C10="","",SUM(C10:F10))</f>
        <v/>
      </c>
      <c r="C10" s="167" t="n">
        <v>0</v>
      </c>
      <c r="D10" s="167" t="n">
        <v>0</v>
      </c>
      <c r="E10" s="167" t="n">
        <v>0</v>
      </c>
      <c r="F10" s="167" t="n">
        <v>0</v>
      </c>
      <c r="H10" s="11">
        <f>A10</f>
        <v/>
      </c>
      <c r="I10" s="121">
        <f>IF(J10="","",SUM(J10:M10))</f>
        <v/>
      </c>
      <c r="J10" s="121" t="n">
        <v>0</v>
      </c>
      <c r="K10" s="121" t="n">
        <v>0</v>
      </c>
      <c r="L10" s="121" t="n">
        <v>0</v>
      </c>
      <c r="M10" s="121" t="n">
        <v>0</v>
      </c>
      <c r="O10" s="11">
        <f>H10</f>
        <v/>
      </c>
      <c r="P10" s="28">
        <f>IF(I10="","",I10/消费汇总!I11)</f>
        <v/>
      </c>
      <c r="Q10" s="28">
        <f>IF(J10="","",J10/二级地市消费汇总!C12)</f>
        <v/>
      </c>
      <c r="R10" s="28">
        <f>IF(K10="","",新单数据!K10/二级地市消费汇总!M12)</f>
        <v/>
      </c>
      <c r="S10" s="28">
        <f>IF(L10="","",L10/二级地市消费汇总!W12)</f>
        <v/>
      </c>
      <c r="T10" s="28">
        <f>IF(M10="","",M10/二级地市消费汇总!AG12)</f>
        <v/>
      </c>
      <c r="V10" s="11">
        <f>O10</f>
        <v/>
      </c>
      <c r="W10" s="168" t="n">
        <v>0</v>
      </c>
      <c r="X10" s="32" t="n">
        <v>0</v>
      </c>
      <c r="Y10" s="32" t="n">
        <v>0</v>
      </c>
      <c r="Z10" s="32" t="n">
        <v>0</v>
      </c>
      <c r="AA10" s="32" t="n">
        <v>0</v>
      </c>
    </row>
    <row r="11">
      <c r="A11" s="11" t="n">
        <v>45205</v>
      </c>
      <c r="B11" s="121">
        <f>IF(C11="","",SUM(C11:F11))</f>
        <v/>
      </c>
      <c r="C11" s="167" t="n">
        <v>0</v>
      </c>
      <c r="D11" s="167" t="n">
        <v>0</v>
      </c>
      <c r="E11" s="167" t="n">
        <v>1</v>
      </c>
      <c r="F11" s="167" t="n">
        <v>0</v>
      </c>
      <c r="H11" s="11">
        <f>A11</f>
        <v/>
      </c>
      <c r="I11" s="121">
        <f>IF(J11="","",SUM(J11:M11))</f>
        <v/>
      </c>
      <c r="J11" s="121" t="n">
        <v>0</v>
      </c>
      <c r="K11" s="121" t="n">
        <v>0</v>
      </c>
      <c r="L11" s="121" t="n">
        <v>13.44</v>
      </c>
      <c r="M11" s="121" t="n">
        <v>0</v>
      </c>
      <c r="O11" s="11">
        <f>H11</f>
        <v/>
      </c>
      <c r="P11" s="28">
        <f>IF(I11="","",I11/消费汇总!I12)</f>
        <v/>
      </c>
      <c r="Q11" s="28">
        <f>IF(J11="","",J11/二级地市消费汇总!C13)</f>
        <v/>
      </c>
      <c r="R11" s="28">
        <f>IF(K11="","",新单数据!K11/二级地市消费汇总!M13)</f>
        <v/>
      </c>
      <c r="S11" s="28">
        <f>IF(L11="","",L11/二级地市消费汇总!W13)</f>
        <v/>
      </c>
      <c r="T11" s="28">
        <f>IF(M11="","",M11/二级地市消费汇总!AG13)</f>
        <v/>
      </c>
      <c r="V11" s="11">
        <f>O11</f>
        <v/>
      </c>
      <c r="W11" s="168" t="n">
        <v>0</v>
      </c>
      <c r="X11" s="32" t="n">
        <v>0</v>
      </c>
      <c r="Y11" s="32" t="n">
        <v>0</v>
      </c>
      <c r="Z11" s="32" t="n">
        <v>0</v>
      </c>
      <c r="AA11" s="32" t="n">
        <v>0</v>
      </c>
    </row>
    <row r="12">
      <c r="A12" s="11" t="n">
        <v>45206</v>
      </c>
      <c r="B12" s="121">
        <f>IF(C12="","",SUM(C12:F12))</f>
        <v/>
      </c>
      <c r="C12" s="169" t="n">
        <v>0</v>
      </c>
      <c r="D12" s="170" t="n">
        <v>0</v>
      </c>
      <c r="E12" s="170" t="n">
        <v>0</v>
      </c>
      <c r="F12" s="170" t="n">
        <v>0</v>
      </c>
      <c r="H12" s="11">
        <f>A12</f>
        <v/>
      </c>
      <c r="I12" s="121">
        <f>IF(J12="","",SUM(J12:M12))</f>
        <v/>
      </c>
      <c r="J12" s="121" t="n">
        <v>0</v>
      </c>
      <c r="K12" s="121" t="n">
        <v>0</v>
      </c>
      <c r="L12" s="121" t="n">
        <v>47.41</v>
      </c>
      <c r="M12" s="121" t="n">
        <v>0</v>
      </c>
      <c r="O12" s="11">
        <f>H12</f>
        <v/>
      </c>
      <c r="P12" s="28">
        <f>IF(I12="","",I12/消费汇总!I13)</f>
        <v/>
      </c>
      <c r="Q12" s="28">
        <f>IF(J12="","",J12/二级地市消费汇总!C14)</f>
        <v/>
      </c>
      <c r="R12" s="28">
        <f>IF(K12="","",新单数据!K12/二级地市消费汇总!M14)</f>
        <v/>
      </c>
      <c r="S12" s="28">
        <f>IF(L12="","",L12/二级地市消费汇总!W14)</f>
        <v/>
      </c>
      <c r="T12" s="28">
        <f>IF(M12="","",M12/二级地市消费汇总!AG14)</f>
        <v/>
      </c>
      <c r="V12" s="11">
        <f>O12</f>
        <v/>
      </c>
      <c r="W12" s="168">
        <f>IF(X12="","",SUM(X12:AA12))</f>
        <v/>
      </c>
      <c r="X12" s="32" t="n">
        <v>0</v>
      </c>
      <c r="Y12" s="32" t="n">
        <v>0</v>
      </c>
      <c r="Z12" s="32" t="n">
        <v>0</v>
      </c>
      <c r="AA12" s="32" t="n">
        <v>0</v>
      </c>
    </row>
    <row r="13">
      <c r="A13" s="11" t="n">
        <v>45207</v>
      </c>
      <c r="B13" s="121">
        <f>IF(C13="","",SUM(C13:F13))</f>
        <v/>
      </c>
      <c r="C13" s="169" t="n">
        <v>2</v>
      </c>
      <c r="D13" s="170" t="n">
        <v>1</v>
      </c>
      <c r="E13" s="170" t="n">
        <v>0</v>
      </c>
      <c r="F13" s="170" t="n">
        <v>0</v>
      </c>
      <c r="H13" s="11">
        <f>A13</f>
        <v/>
      </c>
      <c r="I13" s="121">
        <f>IF(J13="","",SUM(J13:M13))</f>
        <v/>
      </c>
      <c r="J13" s="121" t="n">
        <v>74.7</v>
      </c>
      <c r="K13" s="121" t="n">
        <v>34.59</v>
      </c>
      <c r="L13" s="121" t="n">
        <v>43.18</v>
      </c>
      <c r="M13" s="121" t="n">
        <v>0</v>
      </c>
      <c r="O13" s="11">
        <f>H13</f>
        <v/>
      </c>
      <c r="P13" s="28">
        <f>IF(I13="","",I13/消费汇总!I14)</f>
        <v/>
      </c>
      <c r="Q13" s="28">
        <f>IF(J13="","",J13/二级地市消费汇总!C15)</f>
        <v/>
      </c>
      <c r="R13" s="28">
        <f>IF(K13="","",新单数据!K13/二级地市消费汇总!M15)</f>
        <v/>
      </c>
      <c r="S13" s="28">
        <f>IF(L13="","",L13/二级地市消费汇总!W15)</f>
        <v/>
      </c>
      <c r="T13" s="28">
        <f>IF(M13="","",M13/二级地市消费汇总!AG15)</f>
        <v/>
      </c>
      <c r="V13" s="11">
        <f>O13</f>
        <v/>
      </c>
      <c r="W13" s="168">
        <f>IF(X13="","",SUM(X13:AA13))</f>
        <v/>
      </c>
      <c r="X13" s="32" t="n">
        <v>0</v>
      </c>
      <c r="Y13" s="32" t="n">
        <v>0</v>
      </c>
      <c r="Z13" s="32" t="n">
        <v>0</v>
      </c>
      <c r="AA13" s="32" t="n">
        <v>0</v>
      </c>
    </row>
    <row r="14">
      <c r="A14" s="11" t="n">
        <v>45208</v>
      </c>
      <c r="B14" s="121">
        <f>IF(C14="","",SUM(C14:F14))</f>
        <v/>
      </c>
      <c r="C14" s="169" t="n">
        <v>1</v>
      </c>
      <c r="D14" s="170" t="n">
        <v>1</v>
      </c>
      <c r="E14" s="170" t="n">
        <v>0</v>
      </c>
      <c r="F14" s="170" t="n">
        <v>0</v>
      </c>
      <c r="H14" s="11">
        <f>A14</f>
        <v/>
      </c>
      <c r="I14" s="121">
        <f>IF(J14="","",SUM(J14:M14))</f>
        <v/>
      </c>
      <c r="J14" s="121" t="n">
        <v>217.72</v>
      </c>
      <c r="K14" s="121" t="n">
        <v>114.39</v>
      </c>
      <c r="L14" s="121" t="n">
        <v>54.93</v>
      </c>
      <c r="M14" s="121" t="n">
        <v>0</v>
      </c>
      <c r="O14" s="11">
        <f>H14</f>
        <v/>
      </c>
      <c r="P14" s="28">
        <f>IF(I14="","",I14/消费汇总!I15)</f>
        <v/>
      </c>
      <c r="Q14" s="28">
        <f>IF(J14="","",J14/二级地市消费汇总!C16)</f>
        <v/>
      </c>
      <c r="R14" s="28">
        <f>IF(K14="","",新单数据!K14/二级地市消费汇总!M16)</f>
        <v/>
      </c>
      <c r="S14" s="28">
        <f>IF(L14="","",L14/二级地市消费汇总!W16)</f>
        <v/>
      </c>
      <c r="T14" s="28">
        <f>IF(M14="","",M14/二级地市消费汇总!AG16)</f>
        <v/>
      </c>
      <c r="V14" s="11">
        <f>O14</f>
        <v/>
      </c>
      <c r="W14" s="168">
        <f>IF(X14="","",SUM(X14:AA14))</f>
        <v/>
      </c>
      <c r="X14" s="32" t="n">
        <v>0</v>
      </c>
      <c r="Y14" s="32" t="n">
        <v>0</v>
      </c>
      <c r="Z14" s="32" t="n">
        <v>0</v>
      </c>
      <c r="AA14" s="32" t="n">
        <v>0</v>
      </c>
    </row>
    <row r="15">
      <c r="A15" s="11" t="n">
        <v>45209</v>
      </c>
      <c r="B15" s="121">
        <f>IF(C15="","",SUM(C15:F15))</f>
        <v/>
      </c>
      <c r="C15" s="169" t="n">
        <v>1</v>
      </c>
      <c r="D15" s="170" t="n">
        <v>2</v>
      </c>
      <c r="E15" s="170" t="n">
        <v>0</v>
      </c>
      <c r="F15" s="170" t="n">
        <v>0</v>
      </c>
      <c r="H15" s="11">
        <f>A15</f>
        <v/>
      </c>
      <c r="I15" s="121">
        <f>IF(J15="","",SUM(J15:M15))</f>
        <v/>
      </c>
      <c r="J15" s="121" t="n">
        <v>457.65</v>
      </c>
      <c r="K15" s="121" t="n">
        <v>189.89</v>
      </c>
      <c r="L15" s="121" t="n">
        <v>72.22</v>
      </c>
      <c r="M15" s="121" t="n">
        <v>0</v>
      </c>
      <c r="O15" s="11">
        <f>H15</f>
        <v/>
      </c>
      <c r="P15" s="28">
        <f>IF(I15="","",I15/消费汇总!I16)</f>
        <v/>
      </c>
      <c r="Q15" s="28">
        <f>IF(J15="","",J15/二级地市消费汇总!C17)</f>
        <v/>
      </c>
      <c r="R15" s="28">
        <f>IF(K15="","",新单数据!K15/二级地市消费汇总!M17)</f>
        <v/>
      </c>
      <c r="S15" s="28">
        <f>IF(L15="","",L15/二级地市消费汇总!W17)</f>
        <v/>
      </c>
      <c r="T15" s="28">
        <f>IF(M15="","",M15/二级地市消费汇总!AG17)</f>
        <v/>
      </c>
      <c r="V15" s="11">
        <f>O15</f>
        <v/>
      </c>
      <c r="W15" s="168">
        <f>IF(X15="","",SUM(X15:AA15))</f>
        <v/>
      </c>
      <c r="X15" s="32" t="n">
        <v>0</v>
      </c>
      <c r="Y15" s="32" t="n">
        <v>0</v>
      </c>
      <c r="Z15" s="32" t="n">
        <v>0</v>
      </c>
      <c r="AA15" s="32" t="n">
        <v>0</v>
      </c>
    </row>
    <row r="16">
      <c r="A16" s="11" t="n">
        <v>45210</v>
      </c>
      <c r="B16" s="121">
        <f>IF(C16="","",SUM(C16:F16))</f>
        <v/>
      </c>
      <c r="C16" s="169" t="n">
        <v>0</v>
      </c>
      <c r="D16" s="170" t="n">
        <v>0</v>
      </c>
      <c r="E16" s="170" t="n">
        <v>0</v>
      </c>
      <c r="F16" s="170" t="n">
        <v>0</v>
      </c>
      <c r="H16" s="11">
        <f>A16</f>
        <v/>
      </c>
      <c r="I16" s="121">
        <f>IF(J16="","",SUM(J16:M16))</f>
        <v/>
      </c>
      <c r="J16" s="121" t="n">
        <v>355.86</v>
      </c>
      <c r="K16" s="121" t="n">
        <v>106.74</v>
      </c>
      <c r="L16" s="121" t="n">
        <v>61.25</v>
      </c>
      <c r="M16" s="121" t="n">
        <v>0</v>
      </c>
      <c r="O16" s="11">
        <f>H16</f>
        <v/>
      </c>
      <c r="P16" s="28">
        <f>IF(I16="","",I16/消费汇总!I17)</f>
        <v/>
      </c>
      <c r="Q16" s="28">
        <f>IF(J16="","",J16/二级地市消费汇总!C18)</f>
        <v/>
      </c>
      <c r="R16" s="28">
        <f>IF(K16="","",新单数据!K16/二级地市消费汇总!M18)</f>
        <v/>
      </c>
      <c r="S16" s="28">
        <f>IF(L16="","",L16/二级地市消费汇总!W18)</f>
        <v/>
      </c>
      <c r="T16" s="28">
        <f>IF(M16="","",M16/二级地市消费汇总!AG18)</f>
        <v/>
      </c>
      <c r="V16" s="11">
        <f>O16</f>
        <v/>
      </c>
      <c r="W16" s="168">
        <f>IF(X16="","",SUM(X16:AA16))</f>
        <v/>
      </c>
      <c r="X16" s="32" t="n">
        <v>0</v>
      </c>
      <c r="Y16" s="32" t="n">
        <v>0</v>
      </c>
      <c r="Z16" s="32" t="n">
        <v>0</v>
      </c>
      <c r="AA16" s="32" t="n">
        <v>0</v>
      </c>
    </row>
    <row r="17">
      <c r="A17" s="11" t="n">
        <v>45211</v>
      </c>
      <c r="B17" s="121">
        <f>IF(C17="","",SUM(C17:F17))</f>
        <v/>
      </c>
      <c r="C17" s="170" t="n">
        <v>0</v>
      </c>
      <c r="D17" s="170" t="n">
        <v>0</v>
      </c>
      <c r="E17" s="170" t="n">
        <v>1</v>
      </c>
      <c r="F17" s="170" t="n">
        <v>1</v>
      </c>
      <c r="H17" s="11">
        <f>A17</f>
        <v/>
      </c>
      <c r="I17" s="121">
        <f>IF(J17="","",SUM(J17:M17))</f>
        <v/>
      </c>
      <c r="J17" s="121" t="n">
        <v>604.97</v>
      </c>
      <c r="K17" s="121" t="n">
        <v>96.81</v>
      </c>
      <c r="L17" s="121" t="n">
        <v>195.34</v>
      </c>
      <c r="M17" s="121" t="n">
        <v>25.38</v>
      </c>
      <c r="O17" s="11">
        <f>H17</f>
        <v/>
      </c>
      <c r="P17" s="28">
        <f>IF(I17="","",I17/消费汇总!I18)</f>
        <v/>
      </c>
      <c r="Q17" s="28">
        <f>IF(J17="","",J17/二级地市消费汇总!C19)</f>
        <v/>
      </c>
      <c r="R17" s="28">
        <f>IF(K17="","",新单数据!K17/二级地市消费汇总!M19)</f>
        <v/>
      </c>
      <c r="S17" s="28">
        <f>IF(L17="","",L17/二级地市消费汇总!W19)</f>
        <v/>
      </c>
      <c r="T17" s="28">
        <f>IF(M17="","",M17/二级地市消费汇总!AG19)</f>
        <v/>
      </c>
      <c r="V17" s="11">
        <f>O17</f>
        <v/>
      </c>
      <c r="W17" s="168">
        <f>IF(X17="","",SUM(X17:AA17))</f>
        <v/>
      </c>
      <c r="X17" s="32" t="n">
        <v>0</v>
      </c>
      <c r="Y17" s="32" t="n">
        <v>0</v>
      </c>
      <c r="Z17" s="32" t="n">
        <v>0</v>
      </c>
      <c r="AA17" s="32" t="n">
        <v>0</v>
      </c>
    </row>
    <row r="18">
      <c r="A18" s="11" t="n">
        <v>45212</v>
      </c>
      <c r="B18" s="121">
        <f>IF(C18="","",SUM(C18:F18))</f>
        <v/>
      </c>
      <c r="C18" s="170" t="n">
        <v>2</v>
      </c>
      <c r="D18" s="170" t="n">
        <v>1</v>
      </c>
      <c r="E18" s="170" t="n">
        <v>2</v>
      </c>
      <c r="F18" s="170" t="n">
        <v>0</v>
      </c>
      <c r="H18" s="11">
        <f>A18</f>
        <v/>
      </c>
      <c r="I18" s="121">
        <f>IF(J18="","",SUM(J18:M18))</f>
        <v/>
      </c>
      <c r="J18" s="121" t="n">
        <v>433.04</v>
      </c>
      <c r="K18" s="121" t="n">
        <v>148.15</v>
      </c>
      <c r="L18" s="121" t="n">
        <v>465.83</v>
      </c>
      <c r="M18" s="121" t="n">
        <v>26.17</v>
      </c>
      <c r="O18" s="11">
        <f>H18</f>
        <v/>
      </c>
      <c r="P18" s="28">
        <f>IF(I18="","",I18/消费汇总!I19)</f>
        <v/>
      </c>
      <c r="Q18" s="28">
        <f>IF(J18="","",J18/二级地市消费汇总!C20)</f>
        <v/>
      </c>
      <c r="R18" s="28">
        <f>IF(K18="","",新单数据!K18/二级地市消费汇总!M20)</f>
        <v/>
      </c>
      <c r="S18" s="28">
        <f>IF(L18="","",L18/二级地市消费汇总!W20)</f>
        <v/>
      </c>
      <c r="T18" s="28">
        <f>IF(M18="","",M18/二级地市消费汇总!AG20)</f>
        <v/>
      </c>
      <c r="V18" s="11">
        <f>O18</f>
        <v/>
      </c>
      <c r="W18" s="168">
        <f>IF(X18="","",SUM(X18:AA18))</f>
        <v/>
      </c>
      <c r="X18" s="32" t="n">
        <v>0</v>
      </c>
      <c r="Y18" s="32" t="n">
        <v>0</v>
      </c>
      <c r="Z18" s="32" t="n">
        <v>0</v>
      </c>
      <c r="AA18" s="32" t="n">
        <v>0</v>
      </c>
    </row>
    <row r="19">
      <c r="A19" s="11" t="n">
        <v>45213</v>
      </c>
      <c r="B19" s="121">
        <f>IF(C19="","",SUM(C19:F19))</f>
        <v/>
      </c>
      <c r="C19" s="170" t="n">
        <v>1</v>
      </c>
      <c r="D19" s="170" t="n">
        <v>1</v>
      </c>
      <c r="E19" s="170" t="n">
        <v>0</v>
      </c>
      <c r="F19" s="170" t="n">
        <v>0</v>
      </c>
      <c r="H19" s="11">
        <f>A19</f>
        <v/>
      </c>
      <c r="I19" s="121">
        <f>IF(J19="","",SUM(J19:M19))</f>
        <v/>
      </c>
      <c r="J19" s="121" t="n">
        <v>259.51</v>
      </c>
      <c r="K19" s="121" t="n">
        <v>329.82</v>
      </c>
      <c r="L19" s="121" t="n">
        <v>363.04</v>
      </c>
      <c r="M19" s="121" t="n">
        <v>14.1</v>
      </c>
      <c r="O19" s="11">
        <f>H19</f>
        <v/>
      </c>
      <c r="P19" s="28">
        <f>IF(I19="","",I19/消费汇总!I20)</f>
        <v/>
      </c>
      <c r="Q19" s="28">
        <f>IF(J19="","",J19/二级地市消费汇总!C21)</f>
        <v/>
      </c>
      <c r="R19" s="28">
        <f>IF(K19="","",新单数据!K19/二级地市消费汇总!M21)</f>
        <v/>
      </c>
      <c r="S19" s="28">
        <f>IF(L19="","",L19/二级地市消费汇总!W21)</f>
        <v/>
      </c>
      <c r="T19" s="28">
        <f>IF(M19="","",M19/二级地市消费汇总!AG21)</f>
        <v/>
      </c>
      <c r="V19" s="11">
        <f>O19</f>
        <v/>
      </c>
      <c r="W19" s="168">
        <f>IF(X19="","",SUM(X19:AA19))</f>
        <v/>
      </c>
      <c r="X19" s="32" t="n">
        <v>0</v>
      </c>
      <c r="Y19" s="32" t="n">
        <v>0</v>
      </c>
      <c r="Z19" s="32" t="n">
        <v>0</v>
      </c>
      <c r="AA19" s="32" t="n">
        <v>0</v>
      </c>
    </row>
    <row r="20">
      <c r="A20" s="11" t="n">
        <v>45214</v>
      </c>
      <c r="B20" s="121">
        <f>IF(C20="","",SUM(C20:F20))</f>
        <v/>
      </c>
      <c r="C20" s="171" t="n">
        <v>0</v>
      </c>
      <c r="D20" s="170" t="n">
        <v>0</v>
      </c>
      <c r="E20" s="170" t="n">
        <v>0</v>
      </c>
      <c r="F20" s="170" t="n">
        <v>0</v>
      </c>
      <c r="H20" s="11">
        <f>A20</f>
        <v/>
      </c>
      <c r="I20" s="121">
        <f>IF(J20="","",SUM(J20:M20))</f>
        <v/>
      </c>
      <c r="J20" s="121" t="n">
        <v>115.45</v>
      </c>
      <c r="K20" s="121" t="n">
        <v>375.14</v>
      </c>
      <c r="L20" s="121" t="n">
        <v>250.39</v>
      </c>
      <c r="M20" s="121" t="n">
        <v>18.74</v>
      </c>
      <c r="O20" s="11">
        <f>H20</f>
        <v/>
      </c>
      <c r="P20" s="28">
        <f>IF(I20="","",I20/消费汇总!I21)</f>
        <v/>
      </c>
      <c r="Q20" s="28">
        <f>IF(J20="","",J20/二级地市消费汇总!C22)</f>
        <v/>
      </c>
      <c r="R20" s="28">
        <f>IF(K20="","",新单数据!K20/二级地市消费汇总!M22)</f>
        <v/>
      </c>
      <c r="S20" s="28">
        <f>IF(L20="","",L20/二级地市消费汇总!W22)</f>
        <v/>
      </c>
      <c r="T20" s="28">
        <f>IF(M20="","",M20/二级地市消费汇总!AG22)</f>
        <v/>
      </c>
      <c r="V20" s="11">
        <f>O20</f>
        <v/>
      </c>
      <c r="W20" s="168">
        <f>IF(X20="","",SUM(X20:AA20))</f>
        <v/>
      </c>
      <c r="X20" s="32" t="n">
        <v>0</v>
      </c>
      <c r="Y20" s="32" t="n">
        <v>0</v>
      </c>
      <c r="Z20" s="32" t="n">
        <v>0</v>
      </c>
      <c r="AA20" s="32" t="n">
        <v>0</v>
      </c>
    </row>
    <row r="21">
      <c r="A21" s="11" t="n">
        <v>45215</v>
      </c>
      <c r="B21" s="121">
        <f>IF(C21="","",SUM(C21:F21))</f>
        <v/>
      </c>
      <c r="C21" s="170" t="n">
        <v>0</v>
      </c>
      <c r="D21" s="170" t="n">
        <v>3</v>
      </c>
      <c r="E21" s="170" t="n">
        <v>0</v>
      </c>
      <c r="F21" s="170" t="n">
        <v>0</v>
      </c>
      <c r="H21" s="11">
        <f>A21</f>
        <v/>
      </c>
      <c r="I21" s="121">
        <f>IF(J21="","",SUM(J21:M21))</f>
        <v/>
      </c>
      <c r="J21" s="121" t="n">
        <v>510.49</v>
      </c>
      <c r="K21" s="121" t="n">
        <v>626.62</v>
      </c>
      <c r="L21" s="121" t="n">
        <v>302.85</v>
      </c>
      <c r="M21" s="121" t="n">
        <v>30.49</v>
      </c>
      <c r="O21" s="11">
        <f>H21</f>
        <v/>
      </c>
      <c r="P21" s="28">
        <f>IF(I21="","",I21/消费汇总!I22)</f>
        <v/>
      </c>
      <c r="Q21" s="28">
        <f>IF(J21="","",J21/二级地市消费汇总!C23)</f>
        <v/>
      </c>
      <c r="R21" s="28">
        <f>IF(K21="","",新单数据!K21/二级地市消费汇总!M23)</f>
        <v/>
      </c>
      <c r="S21" s="28">
        <f>IF(L21="","",L21/二级地市消费汇总!W23)</f>
        <v/>
      </c>
      <c r="T21" s="28">
        <f>IF(M21="","",M21/二级地市消费汇总!AG23)</f>
        <v/>
      </c>
      <c r="V21" s="11">
        <f>O21</f>
        <v/>
      </c>
      <c r="W21" s="168">
        <f>IF(X21="","",SUM(X21:AA21))</f>
        <v/>
      </c>
      <c r="X21" s="32" t="n">
        <v>0</v>
      </c>
      <c r="Y21" s="32" t="n">
        <v>0</v>
      </c>
      <c r="Z21" s="32" t="n">
        <v>0</v>
      </c>
      <c r="AA21" s="32" t="n">
        <v>0</v>
      </c>
    </row>
    <row r="22">
      <c r="A22" s="11" t="n">
        <v>45216</v>
      </c>
      <c r="B22" s="121">
        <f>IF(C22="","",SUM(C22:F22))</f>
        <v/>
      </c>
      <c r="C22" s="170" t="n">
        <v>0</v>
      </c>
      <c r="D22" s="170" t="n">
        <v>0</v>
      </c>
      <c r="E22" s="170" t="n">
        <v>0</v>
      </c>
      <c r="F22" s="170" t="n">
        <v>0</v>
      </c>
      <c r="H22" s="11">
        <f>A22</f>
        <v/>
      </c>
      <c r="I22" s="121">
        <f>IF(J22="","",SUM(J22:M22))</f>
        <v/>
      </c>
      <c r="J22" s="121" t="n">
        <v>417.61</v>
      </c>
      <c r="K22" s="121" t="n">
        <v>769.65</v>
      </c>
      <c r="L22" s="121" t="n">
        <v>361.31</v>
      </c>
      <c r="M22" s="121" t="n">
        <v>36.96</v>
      </c>
      <c r="O22" s="11">
        <f>H22</f>
        <v/>
      </c>
      <c r="P22" s="28">
        <f>IF(I22="","",I22/消费汇总!I23)</f>
        <v/>
      </c>
      <c r="Q22" s="28">
        <f>IF(J22="","",J22/二级地市消费汇总!C24)</f>
        <v/>
      </c>
      <c r="R22" s="28">
        <f>IF(K22="","",新单数据!K22/二级地市消费汇总!M24)</f>
        <v/>
      </c>
      <c r="S22" s="28">
        <f>IF(L22="","",L22/二级地市消费汇总!W24)</f>
        <v/>
      </c>
      <c r="T22" s="28">
        <f>IF(M22="","",M22/二级地市消费汇总!AG24)</f>
        <v/>
      </c>
      <c r="V22" s="11">
        <f>O22</f>
        <v/>
      </c>
      <c r="W22" s="168">
        <f>IF(X22="","",SUM(X22:AA22))</f>
        <v/>
      </c>
      <c r="X22" s="32" t="n">
        <v>0</v>
      </c>
      <c r="Y22" s="32" t="n">
        <v>0</v>
      </c>
      <c r="Z22" s="32" t="n">
        <v>0</v>
      </c>
      <c r="AA22" s="32" t="n">
        <v>0</v>
      </c>
    </row>
    <row r="23">
      <c r="A23" s="11" t="n">
        <v>45217</v>
      </c>
      <c r="B23" s="121">
        <f>IF(C23="","",SUM(C23:F23))</f>
        <v/>
      </c>
      <c r="C23" s="170" t="n">
        <v>2</v>
      </c>
      <c r="D23" s="170" t="n">
        <v>2</v>
      </c>
      <c r="E23" s="170" t="n">
        <v>0</v>
      </c>
      <c r="F23" s="170" t="n">
        <v>0</v>
      </c>
      <c r="H23" s="11">
        <f>A23</f>
        <v/>
      </c>
      <c r="I23" s="121">
        <f>IF(J23="","",SUM(J23:M23))</f>
        <v/>
      </c>
      <c r="J23" s="121" t="n">
        <v>768.29</v>
      </c>
      <c r="K23" s="121" t="n">
        <v>578.37</v>
      </c>
      <c r="L23" s="121" t="n">
        <v>234.47</v>
      </c>
      <c r="M23" s="121" t="n">
        <v>38.85</v>
      </c>
      <c r="O23" s="11">
        <f>H23</f>
        <v/>
      </c>
      <c r="P23" s="28">
        <f>IF(I23="","",I23/消费汇总!I24)</f>
        <v/>
      </c>
      <c r="Q23" s="28">
        <f>IF(J23="","",J23/二级地市消费汇总!C25)</f>
        <v/>
      </c>
      <c r="R23" s="28">
        <f>IF(K23="","",新单数据!K23/二级地市消费汇总!M25)</f>
        <v/>
      </c>
      <c r="S23" s="28">
        <f>IF(L23="","",L23/二级地市消费汇总!W25)</f>
        <v/>
      </c>
      <c r="T23" s="28">
        <f>IF(M23="","",M23/二级地市消费汇总!AG25)</f>
        <v/>
      </c>
      <c r="V23" s="11">
        <f>O23</f>
        <v/>
      </c>
      <c r="W23" s="168">
        <f>IF(X23="","",SUM(X23:AA23))</f>
        <v/>
      </c>
      <c r="X23" s="32" t="n">
        <v>0</v>
      </c>
      <c r="Y23" s="32" t="n">
        <v>0</v>
      </c>
      <c r="Z23" s="32" t="n">
        <v>0</v>
      </c>
      <c r="AA23" s="32" t="n">
        <v>0</v>
      </c>
    </row>
    <row r="24">
      <c r="A24" s="11" t="n">
        <v>45218</v>
      </c>
      <c r="B24" s="121">
        <f>IF(C24="","",SUM(C24:F24))</f>
        <v/>
      </c>
      <c r="C24" s="170" t="n">
        <v>0</v>
      </c>
      <c r="D24" s="170" t="n">
        <v>1</v>
      </c>
      <c r="E24" s="170" t="n">
        <v>0</v>
      </c>
      <c r="F24" s="170" t="n">
        <v>0</v>
      </c>
      <c r="H24" s="11">
        <f>A24</f>
        <v/>
      </c>
      <c r="I24" s="121">
        <f>IF(J24="","",SUM(J24:M24))</f>
        <v/>
      </c>
      <c r="J24" s="121" t="n">
        <v>630.51</v>
      </c>
      <c r="K24" s="121" t="n">
        <v>699.62</v>
      </c>
      <c r="L24" s="121" t="n">
        <v>637.2</v>
      </c>
      <c r="M24" s="121" t="n">
        <v>33.27</v>
      </c>
      <c r="O24" s="11">
        <f>H24</f>
        <v/>
      </c>
      <c r="P24" s="28">
        <f>IF(I24="","",I24/消费汇总!I25)</f>
        <v/>
      </c>
      <c r="Q24" s="28">
        <f>IF(J24="","",J24/二级地市消费汇总!C26)</f>
        <v/>
      </c>
      <c r="R24" s="28">
        <f>IF(K24="","",新单数据!K24/二级地市消费汇总!M26)</f>
        <v/>
      </c>
      <c r="S24" s="28">
        <f>IF(L24="","",L24/二级地市消费汇总!W26)</f>
        <v/>
      </c>
      <c r="T24" s="28">
        <f>IF(M24="","",M24/二级地市消费汇总!AG26)</f>
        <v/>
      </c>
      <c r="V24" s="11">
        <f>O24</f>
        <v/>
      </c>
      <c r="W24" s="168">
        <f>IF(X24="","",SUM(X24:AA24))</f>
        <v/>
      </c>
      <c r="X24" s="32" t="n">
        <v>0</v>
      </c>
      <c r="Y24" s="32" t="n">
        <v>0</v>
      </c>
      <c r="Z24" s="32" t="n">
        <v>0</v>
      </c>
      <c r="AA24" s="32" t="n">
        <v>0</v>
      </c>
    </row>
    <row r="25">
      <c r="A25" s="11" t="n">
        <v>45219</v>
      </c>
      <c r="B25" s="121">
        <f>IF(C25="","",SUM(C25:F25))</f>
        <v/>
      </c>
      <c r="C25" s="170" t="n">
        <v>1</v>
      </c>
      <c r="D25" s="170" t="n">
        <v>1</v>
      </c>
      <c r="E25" s="170" t="n">
        <v>0</v>
      </c>
      <c r="F25" s="170" t="n">
        <v>0</v>
      </c>
      <c r="H25" s="11">
        <f>A25</f>
        <v/>
      </c>
      <c r="I25" s="121">
        <f>IF(J25="","",SUM(J25:M25))</f>
        <v/>
      </c>
      <c r="J25" s="121" t="n">
        <v>768</v>
      </c>
      <c r="K25" s="121" t="n">
        <v>829.96</v>
      </c>
      <c r="L25" s="121" t="n">
        <v>891.85</v>
      </c>
      <c r="M25" s="121" t="n">
        <v>23.36</v>
      </c>
      <c r="O25" s="11">
        <f>H25</f>
        <v/>
      </c>
      <c r="P25" s="28">
        <f>IF(I25="","",I25/消费汇总!I26)</f>
        <v/>
      </c>
      <c r="Q25" s="28">
        <f>IF(J25="","",J25/二级地市消费汇总!C27)</f>
        <v/>
      </c>
      <c r="R25" s="28">
        <f>IF(K25="","",新单数据!K25/二级地市消费汇总!M27)</f>
        <v/>
      </c>
      <c r="S25" s="28">
        <f>IF(L25="","",L25/二级地市消费汇总!W27)</f>
        <v/>
      </c>
      <c r="T25" s="28">
        <f>IF(M25="","",M25/二级地市消费汇总!AG27)</f>
        <v/>
      </c>
      <c r="V25" s="11">
        <f>O25</f>
        <v/>
      </c>
      <c r="W25" s="168">
        <f>IF(X25="","",SUM(X25:AA25))</f>
        <v/>
      </c>
      <c r="X25" s="32" t="n">
        <v>0</v>
      </c>
      <c r="Y25" s="32" t="n">
        <v>0</v>
      </c>
      <c r="Z25" s="32" t="n">
        <v>0</v>
      </c>
      <c r="AA25" s="32" t="n">
        <v>0</v>
      </c>
    </row>
    <row r="26">
      <c r="A26" s="11" t="n">
        <v>45220</v>
      </c>
      <c r="B26" s="121">
        <f>IF(C26="","",SUM(C26:F26))</f>
        <v/>
      </c>
      <c r="C26" s="170" t="n">
        <v>0</v>
      </c>
      <c r="D26" s="170" t="n">
        <v>0</v>
      </c>
      <c r="E26" s="170" t="n">
        <v>0</v>
      </c>
      <c r="F26" s="170" t="n">
        <v>0</v>
      </c>
      <c r="H26" s="11">
        <f>A26</f>
        <v/>
      </c>
      <c r="I26" s="121">
        <f>IF(J26="","",SUM(J26:M26))</f>
        <v/>
      </c>
      <c r="J26" s="121" t="n">
        <v>855.63</v>
      </c>
      <c r="K26" s="121" t="n">
        <v>865.39</v>
      </c>
      <c r="L26" s="121" t="n">
        <v>971.8200000000001</v>
      </c>
      <c r="M26" s="121" t="n">
        <v>18.44</v>
      </c>
      <c r="O26" s="11">
        <f>H26</f>
        <v/>
      </c>
      <c r="P26" s="28">
        <f>IF(I26="","",I26/消费汇总!I27)</f>
        <v/>
      </c>
      <c r="Q26" s="28">
        <f>IF(J26="","",J26/二级地市消费汇总!C28)</f>
        <v/>
      </c>
      <c r="R26" s="28">
        <f>IF(K26="","",新单数据!K26/二级地市消费汇总!M28)</f>
        <v/>
      </c>
      <c r="S26" s="28">
        <f>IF(L26="","",L26/二级地市消费汇总!W28)</f>
        <v/>
      </c>
      <c r="T26" s="28">
        <f>IF(M26="","",M26/二级地市消费汇总!AG28)</f>
        <v/>
      </c>
      <c r="V26" s="11">
        <f>O26</f>
        <v/>
      </c>
      <c r="W26" s="168">
        <f>IF(X26="","",SUM(X26:AA26))</f>
        <v/>
      </c>
      <c r="X26" s="32" t="n">
        <v>0</v>
      </c>
      <c r="Y26" s="32" t="n">
        <v>0</v>
      </c>
      <c r="Z26" s="32" t="n">
        <v>0</v>
      </c>
      <c r="AA26" s="32" t="n">
        <v>0</v>
      </c>
    </row>
    <row r="27">
      <c r="A27" s="11" t="n">
        <v>45221</v>
      </c>
      <c r="B27" s="121">
        <f>IF(C27="","",SUM(C27:F27))</f>
        <v/>
      </c>
      <c r="C27" s="170" t="n">
        <v>0</v>
      </c>
      <c r="D27" s="170" t="n">
        <v>0</v>
      </c>
      <c r="E27" s="170" t="n">
        <v>0</v>
      </c>
      <c r="F27" s="170" t="n">
        <v>0</v>
      </c>
      <c r="H27" s="11">
        <f>A27</f>
        <v/>
      </c>
      <c r="I27" s="121">
        <f>IF(J27="","",SUM(J27:M27))</f>
        <v/>
      </c>
      <c r="J27" s="121" t="n">
        <v>646.8099999999999</v>
      </c>
      <c r="K27" s="121" t="n">
        <v>840.13</v>
      </c>
      <c r="L27" s="121" t="n">
        <v>883.77</v>
      </c>
      <c r="M27" s="121" t="n">
        <v>31.99</v>
      </c>
      <c r="O27" s="11">
        <f>H27</f>
        <v/>
      </c>
      <c r="P27" s="28">
        <f>IF(I27="","",I27/消费汇总!I28)</f>
        <v/>
      </c>
      <c r="Q27" s="28">
        <f>IF(J27="","",J27/二级地市消费汇总!C29)</f>
        <v/>
      </c>
      <c r="R27" s="28">
        <f>IF(K27="","",新单数据!K27/二级地市消费汇总!M29)</f>
        <v/>
      </c>
      <c r="S27" s="28">
        <f>IF(L27="","",L27/二级地市消费汇总!W29)</f>
        <v/>
      </c>
      <c r="T27" s="28">
        <f>IF(M27="","",M27/二级地市消费汇总!AG29)</f>
        <v/>
      </c>
      <c r="V27" s="11">
        <f>O27</f>
        <v/>
      </c>
      <c r="W27" s="168">
        <f>IF(X27="","",SUM(X27:AA27))</f>
        <v/>
      </c>
      <c r="X27" s="32" t="n">
        <v>0</v>
      </c>
      <c r="Y27" s="32" t="n">
        <v>0</v>
      </c>
      <c r="Z27" s="32" t="n">
        <v>0</v>
      </c>
      <c r="AA27" s="32" t="n">
        <v>0</v>
      </c>
    </row>
    <row r="28">
      <c r="A28" s="11" t="n">
        <v>45222</v>
      </c>
      <c r="B28" s="121">
        <f>IF(C28="","",SUM(C28:F28))</f>
        <v/>
      </c>
      <c r="C28" s="170" t="n">
        <v>0</v>
      </c>
      <c r="D28" s="170" t="n">
        <v>1</v>
      </c>
      <c r="E28" s="170" t="n">
        <v>0</v>
      </c>
      <c r="F28" s="170" t="n">
        <v>0</v>
      </c>
      <c r="H28" s="11">
        <f>A28</f>
        <v/>
      </c>
      <c r="I28" s="121">
        <f>IF(J28="","",SUM(J28:M28))</f>
        <v/>
      </c>
      <c r="J28" s="121" t="n">
        <v>963.87</v>
      </c>
      <c r="K28" s="121" t="n">
        <v>915.78</v>
      </c>
      <c r="L28" s="121" t="n">
        <v>871.17</v>
      </c>
      <c r="M28" s="121" t="n">
        <v>44.66</v>
      </c>
      <c r="O28" s="11">
        <f>H28</f>
        <v/>
      </c>
      <c r="P28" s="28">
        <f>IF(I28="","",I28/消费汇总!I29)</f>
        <v/>
      </c>
      <c r="Q28" s="28">
        <f>IF(J28="","",J28/二级地市消费汇总!C30)</f>
        <v/>
      </c>
      <c r="R28" s="28">
        <f>IF(K28="","",新单数据!K28/二级地市消费汇总!M30)</f>
        <v/>
      </c>
      <c r="S28" s="28">
        <f>IF(L28="","",L28/二级地市消费汇总!W30)</f>
        <v/>
      </c>
      <c r="T28" s="28">
        <f>IF(M28="","",M28/二级地市消费汇总!AG30)</f>
        <v/>
      </c>
      <c r="V28" s="11">
        <f>O28</f>
        <v/>
      </c>
      <c r="W28" s="168">
        <f>IF(X28="","",SUM(X28:AA28))</f>
        <v/>
      </c>
      <c r="X28" s="32" t="n">
        <v>0</v>
      </c>
      <c r="Y28" s="32" t="n">
        <v>0</v>
      </c>
      <c r="Z28" s="32" t="n">
        <v>0</v>
      </c>
      <c r="AA28" s="32" t="n">
        <v>0</v>
      </c>
    </row>
    <row r="29">
      <c r="A29" s="11" t="n">
        <v>45223</v>
      </c>
      <c r="B29" s="121">
        <f>IF(C29="","",SUM(C29:F29))</f>
        <v/>
      </c>
      <c r="C29" s="170" t="n">
        <v>1</v>
      </c>
      <c r="D29" s="170" t="n">
        <v>2</v>
      </c>
      <c r="E29" s="170" t="n">
        <v>1</v>
      </c>
      <c r="F29" s="170" t="n">
        <v>0</v>
      </c>
      <c r="H29" s="11">
        <f>A29</f>
        <v/>
      </c>
      <c r="I29" s="121">
        <f>IF(J29="","",SUM(J29:M29))</f>
        <v/>
      </c>
      <c r="J29" s="121" t="n">
        <v>956.27</v>
      </c>
      <c r="K29" s="121" t="n">
        <v>674.45</v>
      </c>
      <c r="L29" s="121" t="n">
        <v>940.9</v>
      </c>
      <c r="M29" s="121" t="n">
        <v>26.72</v>
      </c>
      <c r="O29" s="11">
        <f>H29</f>
        <v/>
      </c>
      <c r="P29" s="28">
        <f>IF(I29="","",I29/消费汇总!I30)</f>
        <v/>
      </c>
      <c r="Q29" s="28">
        <f>IF(J29="","",J29/二级地市消费汇总!C31)</f>
        <v/>
      </c>
      <c r="R29" s="28">
        <f>IF(K29="","",新单数据!K29/二级地市消费汇总!M31)</f>
        <v/>
      </c>
      <c r="S29" s="28">
        <f>IF(L29="","",L29/二级地市消费汇总!W31)</f>
        <v/>
      </c>
      <c r="T29" s="28">
        <f>IF(M29="","",M29/二级地市消费汇总!AG31)</f>
        <v/>
      </c>
      <c r="V29" s="11">
        <f>O29</f>
        <v/>
      </c>
      <c r="W29" s="168">
        <f>IF(X29="","",SUM(X29:AA29))</f>
        <v/>
      </c>
      <c r="X29" s="32" t="n">
        <v>0</v>
      </c>
      <c r="Y29" s="32" t="n">
        <v>0</v>
      </c>
      <c r="Z29" s="32" t="n">
        <v>0</v>
      </c>
      <c r="AA29" s="32" t="n">
        <v>0</v>
      </c>
    </row>
    <row r="30">
      <c r="A30" s="11" t="n">
        <v>45224</v>
      </c>
      <c r="B30" s="121">
        <f>IF(C30="","",SUM(C30:F30))</f>
        <v/>
      </c>
      <c r="C30" s="170" t="n">
        <v>2</v>
      </c>
      <c r="D30" s="170" t="n">
        <v>1</v>
      </c>
      <c r="E30" s="170" t="n">
        <v>0</v>
      </c>
      <c r="F30" s="170" t="n">
        <v>0</v>
      </c>
      <c r="H30" s="11">
        <f>A30</f>
        <v/>
      </c>
      <c r="I30" s="121">
        <f>IF(J30="","",SUM(J30:M30))</f>
        <v/>
      </c>
      <c r="J30" s="121" t="n">
        <v>1122.67</v>
      </c>
      <c r="K30" s="121" t="n">
        <v>1109.33</v>
      </c>
      <c r="L30" s="121" t="n">
        <v>911.65</v>
      </c>
      <c r="M30" s="121" t="n">
        <v>90.28</v>
      </c>
      <c r="O30" s="11">
        <f>H30</f>
        <v/>
      </c>
      <c r="P30" s="28">
        <f>IF(I30="","",I30/消费汇总!I31)</f>
        <v/>
      </c>
      <c r="Q30" s="28">
        <f>IF(J30="","",J30/二级地市消费汇总!C32)</f>
        <v/>
      </c>
      <c r="R30" s="28">
        <f>IF(K30="","",新单数据!K30/二级地市消费汇总!M32)</f>
        <v/>
      </c>
      <c r="S30" s="28">
        <f>IF(L30="","",L30/二级地市消费汇总!W32)</f>
        <v/>
      </c>
      <c r="T30" s="28">
        <f>IF(M30="","",M30/二级地市消费汇总!AG32)</f>
        <v/>
      </c>
      <c r="V30" s="11">
        <f>O30</f>
        <v/>
      </c>
      <c r="W30" s="168">
        <f>IF(X30="","",SUM(X30:AA30))</f>
        <v/>
      </c>
      <c r="X30" s="32" t="n">
        <v>0</v>
      </c>
      <c r="Y30" s="32" t="n">
        <v>0</v>
      </c>
      <c r="Z30" s="32" t="n">
        <v>0</v>
      </c>
      <c r="AA30" s="32" t="n">
        <v>0</v>
      </c>
    </row>
    <row r="31">
      <c r="A31" s="11" t="n">
        <v>45225</v>
      </c>
      <c r="B31" s="121">
        <f>IF(C31="","",SUM(C31:F31))</f>
        <v/>
      </c>
      <c r="C31" s="170" t="n">
        <v>0</v>
      </c>
      <c r="D31" s="170" t="n">
        <v>2</v>
      </c>
      <c r="E31" s="170" t="n">
        <v>0</v>
      </c>
      <c r="F31" s="170" t="n">
        <v>0</v>
      </c>
      <c r="H31" s="11">
        <f>A31</f>
        <v/>
      </c>
      <c r="I31" s="121">
        <f>IF(J31="","",SUM(J31:M31))</f>
        <v/>
      </c>
      <c r="J31" s="121" t="n">
        <v>918.01</v>
      </c>
      <c r="K31" s="121" t="n">
        <v>838.91</v>
      </c>
      <c r="L31" s="121" t="n">
        <v>835.35</v>
      </c>
      <c r="M31" s="121" t="n">
        <v>60.91</v>
      </c>
      <c r="O31" s="11">
        <f>H31</f>
        <v/>
      </c>
      <c r="P31" s="28">
        <f>IF(I31="","",I31/消费汇总!I32)</f>
        <v/>
      </c>
      <c r="Q31" s="28">
        <f>IF(J31="","",J31/二级地市消费汇总!C33)</f>
        <v/>
      </c>
      <c r="R31" s="28">
        <f>IF(K31="","",新单数据!K31/二级地市消费汇总!M33)</f>
        <v/>
      </c>
      <c r="S31" s="28">
        <f>IF(L31="","",L31/二级地市消费汇总!W33)</f>
        <v/>
      </c>
      <c r="T31" s="28">
        <f>IF(M31="","",M31/二级地市消费汇总!AG33)</f>
        <v/>
      </c>
      <c r="V31" s="11">
        <f>O31</f>
        <v/>
      </c>
      <c r="W31" s="168">
        <f>IF(X31="","",SUM(X31:AA31))</f>
        <v/>
      </c>
      <c r="X31" s="32" t="n">
        <v>0</v>
      </c>
      <c r="Y31" s="32" t="n">
        <v>0</v>
      </c>
      <c r="Z31" s="32" t="n">
        <v>0</v>
      </c>
      <c r="AA31" s="32" t="n">
        <v>0</v>
      </c>
    </row>
    <row r="32">
      <c r="A32" s="11" t="n">
        <v>45226</v>
      </c>
      <c r="B32" s="121">
        <f>IF(C32="","",SUM(C32:F32))</f>
        <v/>
      </c>
      <c r="C32" s="170" t="n">
        <v>1</v>
      </c>
      <c r="D32" s="170" t="n">
        <v>0</v>
      </c>
      <c r="E32" s="170" t="n">
        <v>0</v>
      </c>
      <c r="F32" s="170" t="n">
        <v>0</v>
      </c>
      <c r="H32" s="11">
        <f>A32</f>
        <v/>
      </c>
      <c r="I32" s="121">
        <f>IF(J32="","",SUM(J32:M32))</f>
        <v/>
      </c>
      <c r="J32" s="121" t="n">
        <v>988.74</v>
      </c>
      <c r="K32" s="121" t="n">
        <v>992.8</v>
      </c>
      <c r="L32" s="121" t="n">
        <v>921.0700000000001</v>
      </c>
      <c r="M32" s="121" t="n">
        <v>52.59</v>
      </c>
      <c r="O32" s="11">
        <f>H32</f>
        <v/>
      </c>
      <c r="P32" s="28">
        <f>IF(I32="","",I32/消费汇总!I33)</f>
        <v/>
      </c>
      <c r="Q32" s="28">
        <f>IF(J32="","",J32/二级地市消费汇总!C34)</f>
        <v/>
      </c>
      <c r="R32" s="28">
        <f>IF(K32="","",新单数据!K32/二级地市消费汇总!M34)</f>
        <v/>
      </c>
      <c r="S32" s="28">
        <f>IF(L32="","",L32/二级地市消费汇总!W34)</f>
        <v/>
      </c>
      <c r="T32" s="28">
        <f>IF(M32="","",M32/二级地市消费汇总!AG34)</f>
        <v/>
      </c>
      <c r="V32" s="11">
        <f>O32</f>
        <v/>
      </c>
      <c r="W32" s="168">
        <f>IF(X32="","",SUM(X32:AA32))</f>
        <v/>
      </c>
      <c r="X32" s="32" t="n">
        <v>0</v>
      </c>
      <c r="Y32" s="32" t="n">
        <v>0</v>
      </c>
      <c r="Z32" s="32" t="n">
        <v>0</v>
      </c>
      <c r="AA32" s="32" t="n">
        <v>0</v>
      </c>
    </row>
    <row r="33">
      <c r="A33" s="11" t="n">
        <v>45227</v>
      </c>
      <c r="B33" s="121">
        <f>IF(C33="","",SUM(C33:F33))</f>
        <v/>
      </c>
      <c r="C33" s="170" t="n">
        <v>1</v>
      </c>
      <c r="D33" s="170" t="n">
        <v>0</v>
      </c>
      <c r="E33" s="170" t="n">
        <v>0</v>
      </c>
      <c r="F33" s="170" t="n">
        <v>0</v>
      </c>
      <c r="H33" s="11">
        <f>A33</f>
        <v/>
      </c>
      <c r="I33" s="121">
        <f>IF(J33="","",SUM(J33:M33))</f>
        <v/>
      </c>
      <c r="J33" s="121" t="n">
        <v>1029.07</v>
      </c>
      <c r="K33" s="121" t="n">
        <v>932.6900000000001</v>
      </c>
      <c r="L33" s="121" t="n">
        <v>836.3099999999999</v>
      </c>
      <c r="M33" s="121" t="n">
        <v>67.65000000000001</v>
      </c>
      <c r="O33" s="11">
        <f>H33</f>
        <v/>
      </c>
      <c r="P33" s="28">
        <f>IF(I33="","",I33/消费汇总!I34)</f>
        <v/>
      </c>
      <c r="Q33" s="28">
        <f>IF(J33="","",J33/二级地市消费汇总!C35)</f>
        <v/>
      </c>
      <c r="R33" s="28">
        <f>IF(K33="","",新单数据!K33/二级地市消费汇总!M35)</f>
        <v/>
      </c>
      <c r="S33" s="28">
        <f>IF(L33="","",L33/二级地市消费汇总!W35)</f>
        <v/>
      </c>
      <c r="T33" s="28">
        <f>IF(M33="","",M33/二级地市消费汇总!AG35)</f>
        <v/>
      </c>
      <c r="V33" s="11">
        <f>O33</f>
        <v/>
      </c>
      <c r="W33" s="168">
        <f>IF(X33="","",SUM(X33:AA33))</f>
        <v/>
      </c>
      <c r="X33" s="32" t="n">
        <v>0</v>
      </c>
      <c r="Y33" s="32" t="n">
        <v>0</v>
      </c>
      <c r="Z33" s="32" t="n">
        <v>0</v>
      </c>
      <c r="AA33" s="32" t="n">
        <v>0</v>
      </c>
    </row>
    <row r="34">
      <c r="A34" s="11" t="n">
        <v>45228</v>
      </c>
      <c r="B34" s="121">
        <f>IF(C34="","",SUM(C34:F34))</f>
        <v/>
      </c>
      <c r="C34" s="170" t="n">
        <v>0</v>
      </c>
      <c r="D34" s="170" t="n">
        <v>0</v>
      </c>
      <c r="E34" s="170" t="n">
        <v>0</v>
      </c>
      <c r="F34" s="170" t="n">
        <v>0</v>
      </c>
      <c r="H34" s="11">
        <f>A34</f>
        <v/>
      </c>
      <c r="I34" s="121">
        <f>IF(J34="","",SUM(J34:M34))</f>
        <v/>
      </c>
      <c r="J34" s="121" t="n">
        <v>1220.26</v>
      </c>
      <c r="K34" s="121" t="n">
        <v>975.63</v>
      </c>
      <c r="L34" s="121" t="n">
        <v>744.73</v>
      </c>
      <c r="M34" s="121" t="n">
        <v>18.51</v>
      </c>
      <c r="O34" s="11">
        <f>H34</f>
        <v/>
      </c>
      <c r="P34" s="28">
        <f>IF(I34="","",I34/消费汇总!I35)</f>
        <v/>
      </c>
      <c r="Q34" s="28">
        <f>IF(J34="","",J34/二级地市消费汇总!C36)</f>
        <v/>
      </c>
      <c r="R34" s="28">
        <f>IF(K34="","",新单数据!K34/二级地市消费汇总!M36)</f>
        <v/>
      </c>
      <c r="S34" s="28">
        <f>IF(L34="","",L34/二级地市消费汇总!W36)</f>
        <v/>
      </c>
      <c r="T34" s="28">
        <f>IF(M34="","",M34/二级地市消费汇总!AG36)</f>
        <v/>
      </c>
      <c r="V34" s="11">
        <f>O34</f>
        <v/>
      </c>
      <c r="W34" s="168">
        <f>IF(X34="","",SUM(X34:AA34))</f>
        <v/>
      </c>
      <c r="X34" s="32" t="n">
        <v>0</v>
      </c>
      <c r="Y34" s="32" t="n">
        <v>0</v>
      </c>
      <c r="Z34" s="32" t="n">
        <v>0</v>
      </c>
      <c r="AA34" s="32" t="n">
        <v>0</v>
      </c>
    </row>
    <row r="35">
      <c r="A35" s="11" t="n">
        <v>45229</v>
      </c>
      <c r="B35" s="121">
        <f>IF(C35="","",SUM(C35:F35))</f>
        <v/>
      </c>
      <c r="C35" s="170" t="n">
        <v>1</v>
      </c>
      <c r="D35" s="170" t="n">
        <v>2</v>
      </c>
      <c r="E35" s="170" t="n">
        <v>1</v>
      </c>
      <c r="F35" s="170" t="n">
        <v>0</v>
      </c>
      <c r="H35" s="11">
        <f>A35</f>
        <v/>
      </c>
      <c r="I35" s="121">
        <f>IF(J35="","",SUM(J35:M35))</f>
        <v/>
      </c>
      <c r="J35" s="121" t="n">
        <v>1695.9</v>
      </c>
      <c r="K35" s="121" t="n">
        <v>784.53</v>
      </c>
      <c r="L35" s="121" t="n">
        <v>804.41</v>
      </c>
      <c r="M35" s="121" t="n">
        <v>66.27</v>
      </c>
      <c r="O35" s="11">
        <f>H35</f>
        <v/>
      </c>
      <c r="P35" s="28">
        <f>IF(I35="","",I35/消费汇总!I36)</f>
        <v/>
      </c>
      <c r="Q35" s="28">
        <f>IF(J35="","",J35/二级地市消费汇总!C37)</f>
        <v/>
      </c>
      <c r="R35" s="28">
        <f>IF(K35="","",新单数据!K35/二级地市消费汇总!M37)</f>
        <v/>
      </c>
      <c r="S35" s="28">
        <f>IF(L35="","",L35/二级地市消费汇总!W37)</f>
        <v/>
      </c>
      <c r="T35" s="28">
        <f>IF(M35="","",M35/二级地市消费汇总!AG37)</f>
        <v/>
      </c>
      <c r="V35" s="11">
        <f>O35</f>
        <v/>
      </c>
      <c r="W35" s="168">
        <f>IF(X35="","",SUM(X35:AA35))</f>
        <v/>
      </c>
      <c r="X35" s="32" t="n">
        <v>0</v>
      </c>
      <c r="Y35" s="32" t="n">
        <v>0</v>
      </c>
      <c r="Z35" s="32" t="n">
        <v>0</v>
      </c>
      <c r="AA35" s="32" t="n">
        <v>0</v>
      </c>
    </row>
    <row r="36">
      <c r="A36" s="11" t="n">
        <v>45230</v>
      </c>
      <c r="B36" s="121">
        <f>IF(C36="","",SUM(C36:F36))</f>
        <v/>
      </c>
      <c r="C36" s="170" t="n">
        <v>0</v>
      </c>
      <c r="D36" s="170" t="n">
        <v>1</v>
      </c>
      <c r="E36" s="170" t="n">
        <v>0</v>
      </c>
      <c r="F36" s="170" t="n">
        <v>1</v>
      </c>
      <c r="H36" s="11">
        <f>A36</f>
        <v/>
      </c>
      <c r="I36" s="121">
        <f>IF(J36="","",SUM(J36:M36))</f>
        <v/>
      </c>
      <c r="J36" s="121" t="n">
        <v>1602.12</v>
      </c>
      <c r="K36" s="121" t="n">
        <v>2460.69</v>
      </c>
      <c r="L36" s="121" t="n">
        <v>755.48</v>
      </c>
      <c r="M36" s="121" t="n">
        <v>91.31999999999999</v>
      </c>
      <c r="O36" s="11">
        <f>H36</f>
        <v/>
      </c>
      <c r="P36" s="28">
        <f>IF(I36="","",I36/消费汇总!I37)</f>
        <v/>
      </c>
      <c r="Q36" s="28">
        <f>IF(J36="","",J36/二级地市消费汇总!C38)</f>
        <v/>
      </c>
      <c r="R36" s="28">
        <f>IF(K36="","",新单数据!K36/二级地市消费汇总!M38)</f>
        <v/>
      </c>
      <c r="S36" s="28">
        <f>IF(L36="","",L36/二级地市消费汇总!W38)</f>
        <v/>
      </c>
      <c r="T36" s="28">
        <f>IF(M36="","",M36/二级地市消费汇总!AG38)</f>
        <v/>
      </c>
      <c r="V36" s="11">
        <f>O36</f>
        <v/>
      </c>
      <c r="W36" s="168">
        <f>IF(X36="","",SUM(X36:AA36))</f>
        <v/>
      </c>
      <c r="X36" s="32" t="n">
        <v>0</v>
      </c>
      <c r="Y36" s="32" t="n">
        <v>0</v>
      </c>
      <c r="Z36" s="32" t="n">
        <v>0</v>
      </c>
      <c r="AA36" s="32" t="n">
        <v>0</v>
      </c>
    </row>
    <row r="37">
      <c r="A37" s="11" t="n">
        <v>45231</v>
      </c>
      <c r="B37" s="121">
        <f>IF(C37="","",SUM(C37:F37))</f>
        <v/>
      </c>
      <c r="C37" s="170" t="n">
        <v>3</v>
      </c>
      <c r="D37" s="170" t="n">
        <v>1</v>
      </c>
      <c r="E37" s="170" t="n">
        <v>1</v>
      </c>
      <c r="F37" s="170" t="n">
        <v>0</v>
      </c>
      <c r="H37" s="11">
        <f>A37</f>
        <v/>
      </c>
      <c r="I37" s="121">
        <f>IF(J37="","",SUM(J37:M37))</f>
        <v/>
      </c>
      <c r="J37" s="121" t="n">
        <v>1825.35</v>
      </c>
      <c r="K37" s="121" t="n">
        <v>1472.31</v>
      </c>
      <c r="L37" s="121" t="n">
        <v>494.21</v>
      </c>
      <c r="M37" s="121" t="n">
        <v>83.84</v>
      </c>
      <c r="O37" s="11">
        <f>H37</f>
        <v/>
      </c>
      <c r="P37" s="28">
        <f>IF(I37="","",I37/消费汇总!I38)</f>
        <v/>
      </c>
      <c r="Q37" s="28">
        <f>IF(J37="","",J37/二级地市消费汇总!C39)</f>
        <v/>
      </c>
      <c r="R37" s="28">
        <f>IF(K37="","",新单数据!K37/二级地市消费汇总!M39)</f>
        <v/>
      </c>
      <c r="S37" s="28">
        <f>IF(L37="","",L37/二级地市消费汇总!W39)</f>
        <v/>
      </c>
      <c r="T37" s="28">
        <f>IF(M37="","",M37/二级地市消费汇总!AG39)</f>
        <v/>
      </c>
      <c r="V37" s="11">
        <f>O37</f>
        <v/>
      </c>
      <c r="W37" s="168">
        <f>IF(X37="","",SUM(X37:AA37))</f>
        <v/>
      </c>
      <c r="X37" s="32" t="n">
        <v>0</v>
      </c>
      <c r="Y37" s="32" t="n">
        <v>0</v>
      </c>
      <c r="Z37" s="32" t="n">
        <v>0</v>
      </c>
      <c r="AA37" s="32" t="n">
        <v>0</v>
      </c>
    </row>
    <row r="38">
      <c r="A38" s="11" t="n">
        <v>45232</v>
      </c>
      <c r="B38" s="121">
        <f>IF(C38="","",SUM(C38:F38))</f>
        <v/>
      </c>
      <c r="C38" s="170" t="n">
        <v>0</v>
      </c>
      <c r="D38" s="170" t="n">
        <v>0</v>
      </c>
      <c r="E38" s="170" t="n">
        <v>0</v>
      </c>
      <c r="F38" s="170" t="n">
        <v>0</v>
      </c>
      <c r="H38" s="11">
        <f>A38</f>
        <v/>
      </c>
      <c r="I38" s="121">
        <f>IF(J38="","",SUM(J38:M38))</f>
        <v/>
      </c>
      <c r="J38" s="121" t="n">
        <v>1639.43</v>
      </c>
      <c r="K38" s="121" t="n">
        <v>1732.52</v>
      </c>
      <c r="L38" s="121" t="n">
        <v>570.1899999999999</v>
      </c>
      <c r="M38" s="121" t="n">
        <v>135.19</v>
      </c>
      <c r="O38" s="11">
        <f>H38</f>
        <v/>
      </c>
      <c r="P38" s="28">
        <f>IF(I38="","",I38/消费汇总!I39)</f>
        <v/>
      </c>
      <c r="Q38" s="28">
        <f>IF(J38="","",J38/二级地市消费汇总!C40)</f>
        <v/>
      </c>
      <c r="R38" s="28">
        <f>IF(K38="","",新单数据!K38/二级地市消费汇总!M40)</f>
        <v/>
      </c>
      <c r="S38" s="28">
        <f>IF(L38="","",L38/二级地市消费汇总!W40)</f>
        <v/>
      </c>
      <c r="T38" s="28">
        <f>IF(M38="","",M38/二级地市消费汇总!AG40)</f>
        <v/>
      </c>
      <c r="V38" s="11">
        <f>O38</f>
        <v/>
      </c>
      <c r="W38" s="168">
        <f>IF(X38="","",SUM(X38:AA38))</f>
        <v/>
      </c>
      <c r="X38" s="32" t="n">
        <v>0</v>
      </c>
      <c r="Y38" s="32" t="n">
        <v>0</v>
      </c>
      <c r="Z38" s="32" t="n">
        <v>0</v>
      </c>
      <c r="AA38" s="32" t="n">
        <v>0</v>
      </c>
    </row>
    <row r="39">
      <c r="A39" s="11" t="n">
        <v>45233</v>
      </c>
      <c r="B39" s="121">
        <f>IF(C39="","",SUM(C39:F39))</f>
        <v/>
      </c>
      <c r="C39" s="170" t="n">
        <v>0</v>
      </c>
      <c r="D39" s="170" t="n">
        <v>0</v>
      </c>
      <c r="E39" s="170" t="n">
        <v>0</v>
      </c>
      <c r="F39" s="170" t="n">
        <v>0</v>
      </c>
      <c r="H39" s="11">
        <f>A39</f>
        <v/>
      </c>
      <c r="I39" s="121">
        <f>IF(J39="","",SUM(J39:M39))</f>
        <v/>
      </c>
      <c r="J39" s="121" t="n">
        <v>1762.25</v>
      </c>
      <c r="K39" s="121" t="n">
        <v>1640</v>
      </c>
      <c r="L39" s="121" t="n">
        <v>778.7</v>
      </c>
      <c r="M39" s="121" t="n">
        <v>152.59</v>
      </c>
      <c r="O39" s="11">
        <f>H39</f>
        <v/>
      </c>
      <c r="P39" s="28">
        <f>IF(I39="","",I39/消费汇总!I40)</f>
        <v/>
      </c>
      <c r="Q39" s="28">
        <f>IF(J39="","",J39/二级地市消费汇总!C41)</f>
        <v/>
      </c>
      <c r="R39" s="28">
        <f>IF(K39="","",新单数据!K39/二级地市消费汇总!M41)</f>
        <v/>
      </c>
      <c r="S39" s="28">
        <f>IF(L39="","",L39/二级地市消费汇总!W41)</f>
        <v/>
      </c>
      <c r="T39" s="28">
        <f>IF(M39="","",M39/二级地市消费汇总!AG41)</f>
        <v/>
      </c>
      <c r="V39" s="11">
        <f>O39</f>
        <v/>
      </c>
      <c r="W39" s="168">
        <f>IF(X39="","",SUM(X39:AA39))</f>
        <v/>
      </c>
      <c r="X39" s="32" t="n">
        <v>0</v>
      </c>
      <c r="Y39" s="32" t="n">
        <v>0</v>
      </c>
      <c r="Z39" s="32" t="n">
        <v>0</v>
      </c>
      <c r="AA39" s="32" t="n">
        <v>0</v>
      </c>
    </row>
    <row r="40">
      <c r="A40" s="11" t="n">
        <v>45234</v>
      </c>
      <c r="B40" s="121">
        <f>IF(C40="","",SUM(C40:F40))</f>
        <v/>
      </c>
      <c r="C40" s="170" t="n">
        <v>0</v>
      </c>
      <c r="D40" s="170" t="n">
        <v>1</v>
      </c>
      <c r="E40" s="170" t="n">
        <v>0</v>
      </c>
      <c r="F40" s="170" t="n">
        <v>0</v>
      </c>
      <c r="H40" s="11">
        <f>A40</f>
        <v/>
      </c>
      <c r="I40" s="121">
        <f>IF(J40="","",SUM(J40:M40))</f>
        <v/>
      </c>
      <c r="J40" s="121" t="n">
        <v>987.1400000000001</v>
      </c>
      <c r="K40" s="121" t="n">
        <v>1593.85</v>
      </c>
      <c r="L40" s="121" t="n">
        <v>469.4700000000001</v>
      </c>
      <c r="M40" s="121" t="n">
        <v>122.2</v>
      </c>
      <c r="O40" s="11">
        <f>H40</f>
        <v/>
      </c>
      <c r="P40" s="28">
        <f>IF(I40="","",I40/消费汇总!I41)</f>
        <v/>
      </c>
      <c r="Q40" s="28">
        <f>IF(J40="","",J40/二级地市消费汇总!C42)</f>
        <v/>
      </c>
      <c r="R40" s="28">
        <f>IF(K40="","",新单数据!K40/二级地市消费汇总!M42)</f>
        <v/>
      </c>
      <c r="S40" s="28">
        <f>IF(L40="","",L40/二级地市消费汇总!W42)</f>
        <v/>
      </c>
      <c r="T40" s="28">
        <f>IF(M40="","",M40/二级地市消费汇总!AG42)</f>
        <v/>
      </c>
      <c r="V40" s="11">
        <f>O40</f>
        <v/>
      </c>
      <c r="W40" s="168">
        <f>IF(X40="","",SUM(X40:AA40))</f>
        <v/>
      </c>
      <c r="X40" s="32" t="n">
        <v>0</v>
      </c>
      <c r="Y40" s="32" t="n">
        <v>0</v>
      </c>
      <c r="Z40" s="32" t="n">
        <v>0</v>
      </c>
      <c r="AA40" s="32" t="n">
        <v>0</v>
      </c>
    </row>
    <row r="41">
      <c r="A41" s="11" t="n">
        <v>45235</v>
      </c>
      <c r="B41" s="121">
        <f>IF(C41="","",SUM(C41:F41))</f>
        <v/>
      </c>
      <c r="C41" s="170" t="n">
        <v>0</v>
      </c>
      <c r="D41" s="170" t="n">
        <v>0</v>
      </c>
      <c r="E41" s="170" t="n">
        <v>0</v>
      </c>
      <c r="F41" s="170" t="n">
        <v>0</v>
      </c>
      <c r="H41" s="11">
        <f>A41</f>
        <v/>
      </c>
      <c r="I41" s="121">
        <f>IF(J41="","",SUM(J41:M41))</f>
        <v/>
      </c>
      <c r="J41" s="121" t="n">
        <v>1335.71</v>
      </c>
      <c r="K41" s="121" t="n">
        <v>1406.66</v>
      </c>
      <c r="L41" s="121" t="n">
        <v>338.4999999999999</v>
      </c>
      <c r="M41" s="121" t="n">
        <v>147.16</v>
      </c>
      <c r="O41" s="11">
        <f>H41</f>
        <v/>
      </c>
      <c r="P41" s="28">
        <f>IF(I41="","",I41/消费汇总!I42)</f>
        <v/>
      </c>
      <c r="Q41" s="28">
        <f>IF(J41="","",J41/二级地市消费汇总!C43)</f>
        <v/>
      </c>
      <c r="R41" s="28">
        <f>IF(K41="","",新单数据!K41/二级地市消费汇总!M43)</f>
        <v/>
      </c>
      <c r="S41" s="28">
        <f>IF(L41="","",L41/二级地市消费汇总!W43)</f>
        <v/>
      </c>
      <c r="T41" s="28">
        <f>IF(M41="","",M41/二级地市消费汇总!AG43)</f>
        <v/>
      </c>
      <c r="V41" s="11">
        <f>O41</f>
        <v/>
      </c>
      <c r="W41" s="168">
        <f>IF(X41="","",SUM(X41:AA41))</f>
        <v/>
      </c>
      <c r="X41" s="32" t="n">
        <v>0</v>
      </c>
      <c r="Y41" s="32" t="n">
        <v>0</v>
      </c>
      <c r="Z41" s="32" t="n">
        <v>0</v>
      </c>
      <c r="AA41" s="32" t="n">
        <v>0</v>
      </c>
    </row>
    <row r="42">
      <c r="A42" s="11" t="n">
        <v>45236</v>
      </c>
      <c r="B42" s="121">
        <f>IF(C42="","",SUM(C42:F42))</f>
        <v/>
      </c>
      <c r="C42" s="170" t="n">
        <v>0</v>
      </c>
      <c r="D42" s="170" t="n">
        <v>1</v>
      </c>
      <c r="E42" s="170" t="n">
        <v>0</v>
      </c>
      <c r="F42" s="170" t="n">
        <v>0</v>
      </c>
      <c r="H42" s="11">
        <f>A42</f>
        <v/>
      </c>
      <c r="I42" s="121">
        <f>IF(J42="","",SUM(J42:M42))</f>
        <v/>
      </c>
      <c r="J42" s="121" t="n">
        <v>2319.67</v>
      </c>
      <c r="K42" s="121" t="n">
        <v>1730.88</v>
      </c>
      <c r="L42" s="121" t="n">
        <v>497.99</v>
      </c>
      <c r="M42" s="121" t="n">
        <v>157.63</v>
      </c>
      <c r="O42" s="11">
        <f>H42</f>
        <v/>
      </c>
      <c r="P42" s="28">
        <f>IF(I42="","",I42/消费汇总!I43)</f>
        <v/>
      </c>
      <c r="Q42" s="28">
        <f>IF(J42="","",J42/二级地市消费汇总!C44)</f>
        <v/>
      </c>
      <c r="R42" s="28">
        <f>IF(K42="","",新单数据!K42/二级地市消费汇总!M44)</f>
        <v/>
      </c>
      <c r="S42" s="28">
        <f>IF(L42="","",L42/二级地市消费汇总!W44)</f>
        <v/>
      </c>
      <c r="T42" s="28">
        <f>IF(M42="","",M42/二级地市消费汇总!AG44)</f>
        <v/>
      </c>
      <c r="V42" s="11">
        <f>O42</f>
        <v/>
      </c>
      <c r="W42" s="168">
        <f>IF(X42="","",SUM(X42:AA42))</f>
        <v/>
      </c>
      <c r="X42" s="32" t="n">
        <v>0</v>
      </c>
      <c r="Y42" s="32" t="n">
        <v>0</v>
      </c>
      <c r="Z42" s="32" t="n">
        <v>0</v>
      </c>
      <c r="AA42" s="32" t="n">
        <v>0</v>
      </c>
    </row>
    <row r="43">
      <c r="A43" s="11" t="n">
        <v>45237</v>
      </c>
      <c r="B43" s="121">
        <f>IF(C43="","",SUM(C43:F43))</f>
        <v/>
      </c>
      <c r="C43" s="170" t="n">
        <v>1</v>
      </c>
      <c r="D43" s="170" t="n">
        <v>2</v>
      </c>
      <c r="E43" s="170" t="n">
        <v>0</v>
      </c>
      <c r="F43" s="170" t="n">
        <v>0</v>
      </c>
      <c r="H43" s="11">
        <f>A43</f>
        <v/>
      </c>
      <c r="I43" s="121">
        <f>IF(J43="","",SUM(J43:M43))</f>
        <v/>
      </c>
      <c r="J43" s="121" t="n">
        <v>2480.889999999999</v>
      </c>
      <c r="K43" s="121" t="n">
        <v>2139.89</v>
      </c>
      <c r="L43" s="121" t="n">
        <v>688.7700000000001</v>
      </c>
      <c r="M43" s="121" t="n">
        <v>134.55</v>
      </c>
      <c r="O43" s="11">
        <f>H43</f>
        <v/>
      </c>
      <c r="P43" s="28">
        <f>IF(I43="","",I43/消费汇总!I44)</f>
        <v/>
      </c>
      <c r="Q43" s="28">
        <f>IF(J43="","",J43/二级地市消费汇总!C45)</f>
        <v/>
      </c>
      <c r="R43" s="28">
        <f>IF(K43="","",新单数据!K43/二级地市消费汇总!M45)</f>
        <v/>
      </c>
      <c r="S43" s="28">
        <f>IF(L43="","",L43/二级地市消费汇总!W45)</f>
        <v/>
      </c>
      <c r="T43" s="28">
        <f>IF(M43="","",M43/二级地市消费汇总!AG45)</f>
        <v/>
      </c>
      <c r="V43" s="11">
        <f>O43</f>
        <v/>
      </c>
      <c r="W43" s="168">
        <f>IF(X43="","",SUM(X43:AA43))</f>
        <v/>
      </c>
      <c r="X43" s="32" t="n">
        <v>0</v>
      </c>
      <c r="Y43" s="32" t="n">
        <v>0</v>
      </c>
      <c r="Z43" s="32" t="n">
        <v>0</v>
      </c>
      <c r="AA43" s="32" t="n">
        <v>0</v>
      </c>
    </row>
    <row r="44">
      <c r="A44" s="11" t="n">
        <v>45238</v>
      </c>
      <c r="B44" s="121">
        <f>IF(C44="","",SUM(C44:F44))</f>
        <v/>
      </c>
      <c r="C44" s="170" t="n">
        <v>0</v>
      </c>
      <c r="D44" s="170" t="n">
        <v>0</v>
      </c>
      <c r="E44" s="170" t="n">
        <v>0</v>
      </c>
      <c r="F44" s="170" t="n">
        <v>0</v>
      </c>
      <c r="H44" s="11">
        <f>A44</f>
        <v/>
      </c>
      <c r="I44" s="121">
        <f>IF(J44="","",SUM(J44:M44))</f>
        <v/>
      </c>
      <c r="J44" s="121" t="n">
        <v>2362.69</v>
      </c>
      <c r="K44" s="121" t="n">
        <v>2481.86</v>
      </c>
      <c r="L44" s="121" t="n">
        <v>457.35</v>
      </c>
      <c r="M44" s="121" t="n">
        <v>93.97</v>
      </c>
      <c r="O44" s="11">
        <f>H44</f>
        <v/>
      </c>
      <c r="P44" s="28">
        <f>IF(I44="","",I44/消费汇总!I45)</f>
        <v/>
      </c>
      <c r="Q44" s="28">
        <f>IF(J44="","",J44/二级地市消费汇总!C46)</f>
        <v/>
      </c>
      <c r="R44" s="28">
        <f>IF(K44="","",新单数据!K44/二级地市消费汇总!M46)</f>
        <v/>
      </c>
      <c r="S44" s="28">
        <f>IF(L44="","",L44/二级地市消费汇总!W46)</f>
        <v/>
      </c>
      <c r="T44" s="28">
        <f>IF(M44="","",M44/二级地市消费汇总!AG46)</f>
        <v/>
      </c>
      <c r="V44" s="11">
        <f>O44</f>
        <v/>
      </c>
      <c r="W44" s="168">
        <f>IF(X44="","",SUM(X44:AA44))</f>
        <v/>
      </c>
      <c r="X44" s="32" t="n">
        <v>0</v>
      </c>
      <c r="Y44" s="32" t="n">
        <v>0</v>
      </c>
      <c r="Z44" s="32" t="n">
        <v>0</v>
      </c>
      <c r="AA44" s="32" t="n">
        <v>0</v>
      </c>
    </row>
    <row r="45">
      <c r="A45" s="11" t="n">
        <v>45239</v>
      </c>
      <c r="B45" s="121">
        <f>IF(C45="","",SUM(C45:F45))</f>
        <v/>
      </c>
      <c r="C45" s="170" t="n">
        <v>3</v>
      </c>
      <c r="D45" s="170" t="n">
        <v>0</v>
      </c>
      <c r="E45" s="170" t="n">
        <v>0</v>
      </c>
      <c r="F45" s="170" t="n">
        <v>0</v>
      </c>
      <c r="H45" s="11">
        <f>A45</f>
        <v/>
      </c>
      <c r="I45" s="121">
        <f>IF(J45="","",SUM(J45:M45))</f>
        <v/>
      </c>
      <c r="J45" s="121" t="n">
        <v>2646.38</v>
      </c>
      <c r="K45" s="121" t="n">
        <v>1935.64</v>
      </c>
      <c r="L45" s="121" t="n">
        <v>595.25</v>
      </c>
      <c r="M45" s="121" t="n">
        <v>108.47</v>
      </c>
      <c r="O45" s="11">
        <f>H45</f>
        <v/>
      </c>
      <c r="P45" s="28">
        <f>IF(I45="","",I45/消费汇总!I46)</f>
        <v/>
      </c>
      <c r="Q45" s="28">
        <f>IF(J45="","",J45/二级地市消费汇总!C47)</f>
        <v/>
      </c>
      <c r="R45" s="28">
        <f>IF(K45="","",新单数据!K45/二级地市消费汇总!M47)</f>
        <v/>
      </c>
      <c r="S45" s="28">
        <f>IF(L45="","",L45/二级地市消费汇总!W47)</f>
        <v/>
      </c>
      <c r="T45" s="28">
        <f>IF(M45="","",M45/二级地市消费汇总!AG47)</f>
        <v/>
      </c>
      <c r="V45" s="11">
        <f>O45</f>
        <v/>
      </c>
      <c r="W45" s="168">
        <f>IF(X45="","",SUM(X45:AA45))</f>
        <v/>
      </c>
      <c r="X45" s="32" t="n">
        <v>1</v>
      </c>
      <c r="Y45" s="32" t="n">
        <v>0</v>
      </c>
      <c r="Z45" s="32" t="n">
        <v>0</v>
      </c>
      <c r="AA45" s="32" t="n">
        <v>0</v>
      </c>
    </row>
    <row r="46">
      <c r="A46" s="11" t="n">
        <v>45240</v>
      </c>
      <c r="B46" s="121">
        <f>IF(C46="","",SUM(C46:F46))</f>
        <v/>
      </c>
      <c r="C46" s="170" t="n">
        <v>1</v>
      </c>
      <c r="D46" s="170" t="n">
        <v>1</v>
      </c>
      <c r="E46" s="170" t="n">
        <v>0</v>
      </c>
      <c r="F46" s="170" t="n">
        <v>0</v>
      </c>
      <c r="H46" s="11">
        <f>A46</f>
        <v/>
      </c>
      <c r="I46" s="121">
        <f>IF(J46="","",SUM(J46:M46))</f>
        <v/>
      </c>
      <c r="J46" s="121" t="n">
        <v>2683.38</v>
      </c>
      <c r="K46" s="121" t="n">
        <v>2117.54</v>
      </c>
      <c r="L46" s="121" t="n">
        <v>697.9099999999999</v>
      </c>
      <c r="M46" s="121" t="n">
        <v>131.47</v>
      </c>
      <c r="O46" s="11">
        <f>H46</f>
        <v/>
      </c>
      <c r="P46" s="28">
        <f>IF(I46="","",I46/消费汇总!I47)</f>
        <v/>
      </c>
      <c r="Q46" s="28">
        <f>IF(J46="","",J46/二级地市消费汇总!C48)</f>
        <v/>
      </c>
      <c r="R46" s="28">
        <f>IF(K46="","",新单数据!K46/二级地市消费汇总!M48)</f>
        <v/>
      </c>
      <c r="S46" s="28">
        <f>IF(L46="","",L46/二级地市消费汇总!W48)</f>
        <v/>
      </c>
      <c r="T46" s="28">
        <f>IF(M46="","",M46/二级地市消费汇总!AG48)</f>
        <v/>
      </c>
      <c r="V46" s="11">
        <f>O46</f>
        <v/>
      </c>
      <c r="W46" s="168">
        <f>IF(X46="","",SUM(X46:AA46))</f>
        <v/>
      </c>
      <c r="X46" s="32" t="n">
        <v>0</v>
      </c>
      <c r="Y46" s="32" t="n">
        <v>0</v>
      </c>
      <c r="Z46" s="32" t="n">
        <v>0</v>
      </c>
      <c r="AA46" s="32" t="n">
        <v>0</v>
      </c>
    </row>
    <row r="47">
      <c r="A47" s="11" t="n">
        <v>45241</v>
      </c>
      <c r="B47" s="121">
        <f>IF(C47="","",SUM(C47:F47))</f>
        <v/>
      </c>
      <c r="C47" s="170" t="n">
        <v>1</v>
      </c>
      <c r="D47" s="170" t="n">
        <v>1</v>
      </c>
      <c r="E47" s="170" t="n">
        <v>0</v>
      </c>
      <c r="F47" s="170" t="n">
        <v>0</v>
      </c>
      <c r="H47" s="11">
        <f>A47</f>
        <v/>
      </c>
      <c r="I47" s="121">
        <f>IF(J47="","",SUM(J47:M47))</f>
        <v/>
      </c>
      <c r="J47" s="121" t="n">
        <v>1311.47</v>
      </c>
      <c r="K47" s="121" t="n">
        <v>1839.54</v>
      </c>
      <c r="L47" s="121" t="n">
        <v>294.05</v>
      </c>
      <c r="M47" s="121" t="n">
        <v>91.18000000000001</v>
      </c>
      <c r="O47" s="11">
        <f>H47</f>
        <v/>
      </c>
      <c r="P47" s="28">
        <f>IF(I47="","",I47/消费汇总!I48)</f>
        <v/>
      </c>
      <c r="Q47" s="28">
        <f>IF(J47="","",J47/二级地市消费汇总!C49)</f>
        <v/>
      </c>
      <c r="R47" s="28">
        <f>IF(K47="","",新单数据!K47/二级地市消费汇总!M49)</f>
        <v/>
      </c>
      <c r="S47" s="28">
        <f>IF(L47="","",L47/二级地市消费汇总!W49)</f>
        <v/>
      </c>
      <c r="T47" s="28">
        <f>IF(M47="","",M47/二级地市消费汇总!AG49)</f>
        <v/>
      </c>
      <c r="V47" s="11">
        <f>O47</f>
        <v/>
      </c>
      <c r="W47" s="168">
        <f>IF(X47="","",SUM(X47:AA47))</f>
        <v/>
      </c>
      <c r="X47" s="32" t="n">
        <v>0</v>
      </c>
      <c r="Y47" s="32" t="n">
        <v>0</v>
      </c>
      <c r="Z47" s="32" t="n">
        <v>0</v>
      </c>
      <c r="AA47" s="32" t="n">
        <v>0</v>
      </c>
    </row>
    <row r="48">
      <c r="A48" s="11" t="n">
        <v>45242</v>
      </c>
      <c r="B48" s="121">
        <f>IF(C48="","",SUM(C48:F48))</f>
        <v/>
      </c>
      <c r="C48" s="170" t="n">
        <v>0</v>
      </c>
      <c r="D48" s="170" t="n">
        <v>0</v>
      </c>
      <c r="E48" s="170" t="n">
        <v>0</v>
      </c>
      <c r="F48" s="170" t="n">
        <v>0</v>
      </c>
      <c r="H48" s="11">
        <f>A48</f>
        <v/>
      </c>
      <c r="I48" s="121">
        <f>IF(J48="","",SUM(J48:M48))</f>
        <v/>
      </c>
      <c r="J48" s="121" t="n">
        <v>1370.92</v>
      </c>
      <c r="K48" s="121" t="n">
        <v>2329.27</v>
      </c>
      <c r="L48" s="121" t="n">
        <v>503.32</v>
      </c>
      <c r="M48" s="121" t="n">
        <v>127.2</v>
      </c>
      <c r="O48" s="11">
        <f>H48</f>
        <v/>
      </c>
      <c r="P48" s="28">
        <f>IF(I48="","",I48/消费汇总!I49)</f>
        <v/>
      </c>
      <c r="Q48" s="28">
        <f>IF(J48="","",J48/二级地市消费汇总!C50)</f>
        <v/>
      </c>
      <c r="R48" s="28">
        <f>IF(K48="","",新单数据!K48/二级地市消费汇总!M50)</f>
        <v/>
      </c>
      <c r="S48" s="28">
        <f>IF(L48="","",L48/二级地市消费汇总!W50)</f>
        <v/>
      </c>
      <c r="T48" s="28">
        <f>IF(M48="","",M48/二级地市消费汇总!AG50)</f>
        <v/>
      </c>
      <c r="V48" s="11">
        <f>O48</f>
        <v/>
      </c>
      <c r="W48" s="168">
        <f>IF(X48="","",SUM(X48:AA48))</f>
        <v/>
      </c>
      <c r="X48" s="32" t="n">
        <v>0</v>
      </c>
      <c r="Y48" s="32" t="n">
        <v>0</v>
      </c>
      <c r="Z48" s="32" t="n">
        <v>0</v>
      </c>
      <c r="AA48" s="32" t="n">
        <v>0</v>
      </c>
    </row>
    <row r="49">
      <c r="A49" s="11" t="n">
        <v>45243</v>
      </c>
      <c r="B49" s="121">
        <f>IF(C49="","",SUM(C49:F49))</f>
        <v/>
      </c>
      <c r="C49" s="170" t="n"/>
      <c r="D49" s="170" t="n"/>
      <c r="E49" s="170" t="n"/>
      <c r="F49" s="170" t="n"/>
      <c r="H49" s="11">
        <f>A49</f>
        <v/>
      </c>
      <c r="I49" s="121">
        <f>IF(J49="","",SUM(J49:M49))</f>
        <v/>
      </c>
      <c r="J49" s="121" t="n"/>
      <c r="K49" s="121" t="n"/>
      <c r="L49" s="121" t="n"/>
      <c r="M49" s="121" t="n"/>
      <c r="O49" s="11">
        <f>H49</f>
        <v/>
      </c>
      <c r="P49" s="28">
        <f>IF(I49="","",I49/消费汇总!I50)</f>
        <v/>
      </c>
      <c r="Q49" s="28">
        <f>IF(J49="","",J49/二级地市消费汇总!C51)</f>
        <v/>
      </c>
      <c r="R49" s="28">
        <f>IF(K49="","",新单数据!K49/二级地市消费汇总!M51)</f>
        <v/>
      </c>
      <c r="S49" s="28">
        <f>IF(L49="","",L49/二级地市消费汇总!W51)</f>
        <v/>
      </c>
      <c r="T49" s="28">
        <f>IF(M49="","",M49/二级地市消费汇总!AG51)</f>
        <v/>
      </c>
      <c r="V49" s="11">
        <f>O49</f>
        <v/>
      </c>
      <c r="W49" s="168">
        <f>IF(X49="","",SUM(X49:AA49))</f>
        <v/>
      </c>
      <c r="X49" s="32" t="n"/>
      <c r="Y49" s="32" t="n"/>
      <c r="Z49" s="32" t="n"/>
      <c r="AA49" s="32" t="n"/>
    </row>
    <row r="50">
      <c r="A50" s="11" t="n">
        <v>45244</v>
      </c>
      <c r="B50" s="121">
        <f>IF(C50="","",SUM(C50:F50))</f>
        <v/>
      </c>
      <c r="C50" s="170" t="n"/>
      <c r="D50" s="170" t="n"/>
      <c r="E50" s="170" t="n"/>
      <c r="F50" s="170" t="n"/>
      <c r="H50" s="11">
        <f>A50</f>
        <v/>
      </c>
      <c r="I50" s="121">
        <f>IF(J50="","",SUM(J50:M50))</f>
        <v/>
      </c>
      <c r="J50" s="121" t="n"/>
      <c r="K50" s="121" t="n"/>
      <c r="L50" s="121" t="n"/>
      <c r="M50" s="121" t="n"/>
      <c r="O50" s="11">
        <f>H50</f>
        <v/>
      </c>
      <c r="P50" s="28">
        <f>IF(I50="","",I50/消费汇总!I51)</f>
        <v/>
      </c>
      <c r="Q50" s="28">
        <f>IF(J50="","",J50/二级地市消费汇总!C52)</f>
        <v/>
      </c>
      <c r="R50" s="28">
        <f>IF(K50="","",新单数据!K50/二级地市消费汇总!M52)</f>
        <v/>
      </c>
      <c r="S50" s="28">
        <f>IF(L50="","",L50/二级地市消费汇总!W52)</f>
        <v/>
      </c>
      <c r="T50" s="28">
        <f>IF(M50="","",M50/二级地市消费汇总!AG52)</f>
        <v/>
      </c>
      <c r="V50" s="11">
        <f>O50</f>
        <v/>
      </c>
      <c r="W50" s="168">
        <f>IF(X50="","",SUM(X50:AA50))</f>
        <v/>
      </c>
      <c r="X50" s="32" t="n"/>
      <c r="Y50" s="32" t="n"/>
      <c r="Z50" s="32" t="n"/>
      <c r="AA50" s="32" t="n"/>
    </row>
    <row r="51">
      <c r="A51" s="11" t="n">
        <v>45245</v>
      </c>
      <c r="B51" s="121">
        <f>IF(C51="","",SUM(C51:F51))</f>
        <v/>
      </c>
      <c r="C51" s="170" t="n"/>
      <c r="D51" s="170" t="n"/>
      <c r="E51" s="170" t="n"/>
      <c r="F51" s="170" t="n"/>
      <c r="H51" s="11">
        <f>A51</f>
        <v/>
      </c>
      <c r="I51" s="121">
        <f>IF(J51="","",SUM(J51:M51))</f>
        <v/>
      </c>
      <c r="J51" s="121" t="n"/>
      <c r="K51" s="121" t="n"/>
      <c r="L51" s="121" t="n"/>
      <c r="M51" s="121" t="n"/>
      <c r="O51" s="11">
        <f>H51</f>
        <v/>
      </c>
      <c r="P51" s="28">
        <f>IF(I51="","",I51/消费汇总!I52)</f>
        <v/>
      </c>
      <c r="Q51" s="28">
        <f>IF(J51="","",J51/二级地市消费汇总!C53)</f>
        <v/>
      </c>
      <c r="R51" s="28">
        <f>IF(K51="","",新单数据!K51/二级地市消费汇总!M53)</f>
        <v/>
      </c>
      <c r="S51" s="28">
        <f>IF(L51="","",L51/二级地市消费汇总!W53)</f>
        <v/>
      </c>
      <c r="T51" s="28">
        <f>IF(M51="","",M51/二级地市消费汇总!AG53)</f>
        <v/>
      </c>
      <c r="V51" s="11">
        <f>O51</f>
        <v/>
      </c>
      <c r="W51" s="168">
        <f>IF(X51="","",SUM(X51:AA51))</f>
        <v/>
      </c>
      <c r="X51" s="32" t="n"/>
      <c r="Y51" s="32" t="n"/>
      <c r="Z51" s="32" t="n"/>
      <c r="AA51" s="32" t="n"/>
    </row>
    <row r="52">
      <c r="A52" s="11" t="n">
        <v>45246</v>
      </c>
      <c r="B52" s="121">
        <f>IF(C52="","",SUM(C52:F52))</f>
        <v/>
      </c>
      <c r="C52" s="170" t="n"/>
      <c r="D52" s="170" t="n"/>
      <c r="E52" s="170" t="n"/>
      <c r="F52" s="170" t="n"/>
      <c r="H52" s="11">
        <f>A52</f>
        <v/>
      </c>
      <c r="I52" s="121">
        <f>IF(J52="","",SUM(J52:M52))</f>
        <v/>
      </c>
      <c r="J52" s="121" t="n"/>
      <c r="K52" s="121" t="n"/>
      <c r="L52" s="121" t="n"/>
      <c r="M52" s="121" t="n"/>
      <c r="O52" s="11">
        <f>H52</f>
        <v/>
      </c>
      <c r="P52" s="28">
        <f>IF(I52="","",I52/消费汇总!I53)</f>
        <v/>
      </c>
      <c r="Q52" s="28">
        <f>IF(J52="","",J52/二级地市消费汇总!C54)</f>
        <v/>
      </c>
      <c r="R52" s="28">
        <f>IF(K52="","",新单数据!K52/二级地市消费汇总!M54)</f>
        <v/>
      </c>
      <c r="S52" s="28">
        <f>IF(L52="","",L52/二级地市消费汇总!W54)</f>
        <v/>
      </c>
      <c r="T52" s="28">
        <f>IF(M52="","",M52/二级地市消费汇总!AG54)</f>
        <v/>
      </c>
      <c r="V52" s="11">
        <f>O52</f>
        <v/>
      </c>
      <c r="W52" s="168">
        <f>IF(X52="","",SUM(X52:AA52))</f>
        <v/>
      </c>
      <c r="X52" s="32" t="n"/>
      <c r="Y52" s="32" t="n"/>
      <c r="Z52" s="32" t="n"/>
      <c r="AA52" s="32" t="n"/>
    </row>
    <row r="53">
      <c r="A53" s="11" t="n">
        <v>45247</v>
      </c>
      <c r="B53" s="121">
        <f>IF(C53="","",SUM(C53:F53))</f>
        <v/>
      </c>
      <c r="C53" s="170" t="n"/>
      <c r="D53" s="170" t="n"/>
      <c r="E53" s="170" t="n"/>
      <c r="F53" s="170" t="n"/>
      <c r="H53" s="11">
        <f>A53</f>
        <v/>
      </c>
      <c r="I53" s="121">
        <f>IF(J53="","",SUM(J53:M53))</f>
        <v/>
      </c>
      <c r="J53" s="121" t="n"/>
      <c r="K53" s="121" t="n"/>
      <c r="L53" s="121" t="n"/>
      <c r="M53" s="121" t="n"/>
      <c r="O53" s="11">
        <f>H53</f>
        <v/>
      </c>
      <c r="P53" s="28">
        <f>IF(I53="","",I53/消费汇总!I54)</f>
        <v/>
      </c>
      <c r="Q53" s="28">
        <f>IF(J53="","",J53/二级地市消费汇总!C55)</f>
        <v/>
      </c>
      <c r="R53" s="28">
        <f>IF(K53="","",新单数据!K53/二级地市消费汇总!M55)</f>
        <v/>
      </c>
      <c r="S53" s="28">
        <f>IF(L53="","",L53/二级地市消费汇总!W55)</f>
        <v/>
      </c>
      <c r="T53" s="28">
        <f>IF(M53="","",M53/二级地市消费汇总!AG55)</f>
        <v/>
      </c>
      <c r="V53" s="11">
        <f>O53</f>
        <v/>
      </c>
      <c r="W53" s="168">
        <f>IF(X53="","",SUM(X53:AA53))</f>
        <v/>
      </c>
      <c r="X53" s="32" t="n"/>
      <c r="Y53" s="32" t="n"/>
      <c r="Z53" s="32" t="n"/>
      <c r="AA53" s="32" t="n"/>
    </row>
    <row r="54">
      <c r="A54" s="11" t="n">
        <v>45248</v>
      </c>
      <c r="B54" s="121">
        <f>IF(C54="","",SUM(C54:F54))</f>
        <v/>
      </c>
      <c r="C54" s="170" t="n"/>
      <c r="D54" s="170" t="n"/>
      <c r="E54" s="170" t="n"/>
      <c r="F54" s="170" t="n"/>
      <c r="H54" s="11">
        <f>A54</f>
        <v/>
      </c>
      <c r="I54" s="121">
        <f>IF(J54="","",SUM(J54:M54))</f>
        <v/>
      </c>
      <c r="J54" s="121" t="n"/>
      <c r="K54" s="121" t="n"/>
      <c r="L54" s="121" t="n"/>
      <c r="M54" s="121" t="n"/>
      <c r="O54" s="11">
        <f>H54</f>
        <v/>
      </c>
      <c r="P54" s="28">
        <f>IF(I54="","",I54/消费汇总!I55)</f>
        <v/>
      </c>
      <c r="Q54" s="28">
        <f>IF(J54="","",J54/二级地市消费汇总!C56)</f>
        <v/>
      </c>
      <c r="R54" s="28">
        <f>IF(K54="","",新单数据!K54/二级地市消费汇总!M56)</f>
        <v/>
      </c>
      <c r="S54" s="28">
        <f>IF(L54="","",L54/二级地市消费汇总!W56)</f>
        <v/>
      </c>
      <c r="T54" s="28">
        <f>IF(M54="","",M54/二级地市消费汇总!AG56)</f>
        <v/>
      </c>
      <c r="V54" s="11">
        <f>O54</f>
        <v/>
      </c>
      <c r="W54" s="168">
        <f>IF(X54="","",SUM(X54:AA54))</f>
        <v/>
      </c>
      <c r="X54" s="32" t="n"/>
      <c r="Y54" s="32" t="n"/>
      <c r="Z54" s="32" t="n"/>
      <c r="AA54" s="32" t="n"/>
    </row>
    <row r="55">
      <c r="A55" s="11" t="n">
        <v>45249</v>
      </c>
      <c r="B55" s="121">
        <f>IF(C55="","",SUM(C55:F55))</f>
        <v/>
      </c>
      <c r="C55" s="170" t="n"/>
      <c r="D55" s="170" t="n"/>
      <c r="E55" s="170" t="n"/>
      <c r="F55" s="170" t="n"/>
      <c r="H55" s="11">
        <f>A55</f>
        <v/>
      </c>
      <c r="I55" s="121">
        <f>IF(J55="","",SUM(J55:M55))</f>
        <v/>
      </c>
      <c r="J55" s="121" t="n"/>
      <c r="K55" s="121" t="n"/>
      <c r="L55" s="121" t="n"/>
      <c r="M55" s="121" t="n"/>
      <c r="O55" s="11">
        <f>H55</f>
        <v/>
      </c>
      <c r="P55" s="28">
        <f>IF(I55="","",I55/消费汇总!I56)</f>
        <v/>
      </c>
      <c r="Q55" s="28">
        <f>IF(J55="","",J55/二级地市消费汇总!C57)</f>
        <v/>
      </c>
      <c r="R55" s="28">
        <f>IF(K55="","",新单数据!K55/二级地市消费汇总!M57)</f>
        <v/>
      </c>
      <c r="S55" s="28">
        <f>IF(L55="","",L55/二级地市消费汇总!W57)</f>
        <v/>
      </c>
      <c r="T55" s="28">
        <f>IF(M55="","",M55/二级地市消费汇总!AG57)</f>
        <v/>
      </c>
      <c r="V55" s="11">
        <f>O55</f>
        <v/>
      </c>
      <c r="W55" s="168">
        <f>IF(X55="","",SUM(X55:AA55))</f>
        <v/>
      </c>
      <c r="X55" s="32" t="n"/>
      <c r="Y55" s="32" t="n"/>
      <c r="Z55" s="32" t="n"/>
      <c r="AA55" s="32" t="n"/>
    </row>
    <row r="56">
      <c r="A56" s="11" t="n">
        <v>45250</v>
      </c>
      <c r="B56" s="121">
        <f>IF(C56="","",SUM(C56:F56))</f>
        <v/>
      </c>
      <c r="C56" s="170" t="n"/>
      <c r="D56" s="170" t="n"/>
      <c r="E56" s="170" t="n"/>
      <c r="F56" s="170" t="n"/>
      <c r="H56" s="11">
        <f>A56</f>
        <v/>
      </c>
      <c r="I56" s="121">
        <f>IF(J56="","",SUM(J56:M56))</f>
        <v/>
      </c>
      <c r="J56" s="121" t="n"/>
      <c r="K56" s="121" t="n"/>
      <c r="L56" s="121" t="n"/>
      <c r="M56" s="121" t="n"/>
      <c r="O56" s="11">
        <f>H56</f>
        <v/>
      </c>
      <c r="P56" s="28">
        <f>IF(I56="","",I56/消费汇总!I57)</f>
        <v/>
      </c>
      <c r="Q56" s="28">
        <f>IF(J56="","",J56/二级地市消费汇总!C58)</f>
        <v/>
      </c>
      <c r="R56" s="28">
        <f>IF(K56="","",新单数据!K56/二级地市消费汇总!M58)</f>
        <v/>
      </c>
      <c r="S56" s="28">
        <f>IF(L56="","",L56/二级地市消费汇总!W58)</f>
        <v/>
      </c>
      <c r="T56" s="28">
        <f>IF(M56="","",M56/二级地市消费汇总!AG58)</f>
        <v/>
      </c>
      <c r="V56" s="11">
        <f>O56</f>
        <v/>
      </c>
      <c r="W56" s="168">
        <f>IF(X56="","",SUM(X56:AA56))</f>
        <v/>
      </c>
      <c r="X56" s="32" t="n"/>
      <c r="Y56" s="32" t="n"/>
      <c r="Z56" s="32" t="n"/>
      <c r="AA56" s="32" t="n"/>
    </row>
    <row r="57">
      <c r="A57" s="11" t="n">
        <v>45251</v>
      </c>
      <c r="B57" s="121">
        <f>IF(C57="","",SUM(C57:F57))</f>
        <v/>
      </c>
      <c r="C57" s="170" t="n"/>
      <c r="D57" s="170" t="n"/>
      <c r="E57" s="170" t="n"/>
      <c r="F57" s="170" t="n"/>
      <c r="H57" s="11">
        <f>A57</f>
        <v/>
      </c>
      <c r="I57" s="121">
        <f>IF(J57="","",SUM(J57:M57))</f>
        <v/>
      </c>
      <c r="J57" s="121" t="n"/>
      <c r="K57" s="121" t="n"/>
      <c r="L57" s="121" t="n"/>
      <c r="M57" s="121" t="n"/>
      <c r="O57" s="11">
        <f>H57</f>
        <v/>
      </c>
      <c r="P57" s="28">
        <f>IF(I57="","",I57/消费汇总!I58)</f>
        <v/>
      </c>
      <c r="Q57" s="28">
        <f>IF(J57="","",J57/二级地市消费汇总!C59)</f>
        <v/>
      </c>
      <c r="R57" s="28">
        <f>IF(K57="","",新单数据!K57/二级地市消费汇总!M59)</f>
        <v/>
      </c>
      <c r="S57" s="28">
        <f>IF(L57="","",L57/二级地市消费汇总!W59)</f>
        <v/>
      </c>
      <c r="T57" s="28">
        <f>IF(M57="","",M57/二级地市消费汇总!AG59)</f>
        <v/>
      </c>
      <c r="V57" s="11">
        <f>O57</f>
        <v/>
      </c>
      <c r="W57" s="168">
        <f>IF(X57="","",SUM(X57:AA57))</f>
        <v/>
      </c>
      <c r="X57" s="32" t="n"/>
      <c r="Y57" s="32" t="n"/>
      <c r="Z57" s="32" t="n"/>
      <c r="AA57" s="32" t="n"/>
    </row>
    <row r="58">
      <c r="A58" s="11" t="n">
        <v>45252</v>
      </c>
      <c r="B58" s="121">
        <f>IF(C58="","",SUM(C58:F58))</f>
        <v/>
      </c>
      <c r="C58" s="170" t="n"/>
      <c r="D58" s="170" t="n"/>
      <c r="E58" s="170" t="n"/>
      <c r="F58" s="170" t="n"/>
      <c r="H58" s="11">
        <f>A58</f>
        <v/>
      </c>
      <c r="I58" s="121">
        <f>IF(J58="","",SUM(J58:M58))</f>
        <v/>
      </c>
      <c r="J58" s="121" t="n"/>
      <c r="K58" s="121" t="n"/>
      <c r="L58" s="121" t="n"/>
      <c r="M58" s="121" t="n"/>
      <c r="O58" s="11">
        <f>H58</f>
        <v/>
      </c>
      <c r="P58" s="28">
        <f>IF(I58="","",I58/消费汇总!I59)</f>
        <v/>
      </c>
      <c r="Q58" s="28">
        <f>IF(J58="","",J58/二级地市消费汇总!C60)</f>
        <v/>
      </c>
      <c r="R58" s="28">
        <f>IF(K58="","",新单数据!K58/二级地市消费汇总!M60)</f>
        <v/>
      </c>
      <c r="S58" s="28">
        <f>IF(L58="","",L58/二级地市消费汇总!W60)</f>
        <v/>
      </c>
      <c r="T58" s="28">
        <f>IF(M58="","",M58/二级地市消费汇总!AG60)</f>
        <v/>
      </c>
      <c r="V58" s="11">
        <f>O58</f>
        <v/>
      </c>
      <c r="W58" s="168">
        <f>IF(X58="","",SUM(X58:AA58))</f>
        <v/>
      </c>
      <c r="X58" s="32" t="n"/>
      <c r="Y58" s="32" t="n"/>
      <c r="Z58" s="32" t="n"/>
      <c r="AA58" s="32" t="n"/>
    </row>
    <row r="59">
      <c r="A59" s="11" t="n">
        <v>45253</v>
      </c>
      <c r="B59" s="121">
        <f>IF(C59="","",SUM(C59:F59))</f>
        <v/>
      </c>
      <c r="C59" s="170" t="n"/>
      <c r="D59" s="170" t="n"/>
      <c r="E59" s="170" t="n"/>
      <c r="F59" s="170" t="n"/>
      <c r="H59" s="11">
        <f>A59</f>
        <v/>
      </c>
      <c r="I59" s="121">
        <f>IF(J59="","",SUM(J59:M59))</f>
        <v/>
      </c>
      <c r="J59" s="121" t="n"/>
      <c r="K59" s="121" t="n"/>
      <c r="L59" s="121" t="n"/>
      <c r="M59" s="121" t="n"/>
      <c r="O59" s="11">
        <f>H59</f>
        <v/>
      </c>
      <c r="P59" s="28">
        <f>IF(I59="","",I59/消费汇总!I60)</f>
        <v/>
      </c>
      <c r="Q59" s="28">
        <f>IF(J59="","",J59/二级地市消费汇总!C61)</f>
        <v/>
      </c>
      <c r="R59" s="28">
        <f>IF(K59="","",新单数据!K59/二级地市消费汇总!M61)</f>
        <v/>
      </c>
      <c r="S59" s="28">
        <f>IF(L59="","",L59/二级地市消费汇总!W61)</f>
        <v/>
      </c>
      <c r="T59" s="28">
        <f>IF(M59="","",M59/二级地市消费汇总!AG61)</f>
        <v/>
      </c>
      <c r="V59" s="11">
        <f>O59</f>
        <v/>
      </c>
      <c r="W59" s="168">
        <f>IF(X59="","",SUM(X59:AA59))</f>
        <v/>
      </c>
      <c r="X59" s="32" t="n"/>
      <c r="Y59" s="32" t="n"/>
      <c r="Z59" s="32" t="n"/>
      <c r="AA59" s="32" t="n"/>
    </row>
    <row r="60">
      <c r="A60" s="11" t="n">
        <v>45254</v>
      </c>
      <c r="B60" s="121">
        <f>IF(C60="","",SUM(C60:F60))</f>
        <v/>
      </c>
      <c r="C60" s="170" t="n"/>
      <c r="D60" s="170" t="n"/>
      <c r="E60" s="170" t="n"/>
      <c r="F60" s="170" t="n"/>
      <c r="H60" s="11">
        <f>A60</f>
        <v/>
      </c>
      <c r="I60" s="121">
        <f>IF(J60="","",SUM(J60:M60))</f>
        <v/>
      </c>
      <c r="J60" s="121" t="n"/>
      <c r="K60" s="121" t="n"/>
      <c r="L60" s="121" t="n"/>
      <c r="M60" s="121" t="n"/>
      <c r="O60" s="11">
        <f>H60</f>
        <v/>
      </c>
      <c r="P60" s="28">
        <f>IF(I60="","",I60/消费汇总!I61)</f>
        <v/>
      </c>
      <c r="Q60" s="28">
        <f>IF(J60="","",J60/二级地市消费汇总!C62)</f>
        <v/>
      </c>
      <c r="R60" s="28">
        <f>IF(K60="","",新单数据!K60/二级地市消费汇总!M62)</f>
        <v/>
      </c>
      <c r="S60" s="28">
        <f>IF(L60="","",L60/二级地市消费汇总!W62)</f>
        <v/>
      </c>
      <c r="T60" s="28">
        <f>IF(M60="","",M60/二级地市消费汇总!AG62)</f>
        <v/>
      </c>
      <c r="V60" s="11">
        <f>O60</f>
        <v/>
      </c>
      <c r="W60" s="168">
        <f>IF(X60="","",SUM(X60:AA60))</f>
        <v/>
      </c>
      <c r="X60" s="32" t="n"/>
      <c r="Y60" s="32" t="n"/>
      <c r="Z60" s="32" t="n"/>
      <c r="AA60" s="32" t="n"/>
    </row>
    <row r="61">
      <c r="A61" s="11" t="n">
        <v>45255</v>
      </c>
      <c r="B61" s="121">
        <f>IF(C61="","",SUM(C61:F61))</f>
        <v/>
      </c>
      <c r="C61" s="170" t="n"/>
      <c r="D61" s="170" t="n"/>
      <c r="E61" s="170" t="n"/>
      <c r="F61" s="170" t="n"/>
      <c r="H61" s="11">
        <f>A61</f>
        <v/>
      </c>
      <c r="I61" s="121">
        <f>IF(J61="","",SUM(J61:M61))</f>
        <v/>
      </c>
      <c r="J61" s="121" t="n"/>
      <c r="K61" s="121" t="n"/>
      <c r="L61" s="121" t="n"/>
      <c r="M61" s="121" t="n"/>
      <c r="O61" s="11">
        <f>H61</f>
        <v/>
      </c>
      <c r="P61" s="28">
        <f>IF(I61="","",I61/消费汇总!I62)</f>
        <v/>
      </c>
      <c r="Q61" s="28">
        <f>IF(J61="","",J61/二级地市消费汇总!C63)</f>
        <v/>
      </c>
      <c r="R61" s="28">
        <f>IF(K61="","",新单数据!K61/二级地市消费汇总!M63)</f>
        <v/>
      </c>
      <c r="S61" s="28">
        <f>IF(L61="","",L61/二级地市消费汇总!W63)</f>
        <v/>
      </c>
      <c r="T61" s="28">
        <f>IF(M61="","",M61/二级地市消费汇总!AG63)</f>
        <v/>
      </c>
      <c r="V61" s="11">
        <f>O61</f>
        <v/>
      </c>
      <c r="W61" s="168">
        <f>IF(X61="","",SUM(X61:AA61))</f>
        <v/>
      </c>
      <c r="X61" s="32" t="n"/>
      <c r="Y61" s="32" t="n"/>
      <c r="Z61" s="32" t="n"/>
      <c r="AA61" s="32" t="n"/>
      <c r="AB61" s="13" t="n">
        <v>0</v>
      </c>
    </row>
    <row r="62">
      <c r="A62" s="11" t="n">
        <v>45256</v>
      </c>
      <c r="B62" s="121">
        <f>IF(C62="","",SUM(C62:F62))</f>
        <v/>
      </c>
      <c r="C62" s="170" t="n"/>
      <c r="D62" s="170" t="n"/>
      <c r="E62" s="170" t="n"/>
      <c r="F62" s="170" t="n"/>
      <c r="H62" s="11">
        <f>A62</f>
        <v/>
      </c>
      <c r="I62" s="121">
        <f>IF(J62="","",SUM(J62:M62))</f>
        <v/>
      </c>
      <c r="J62" s="121" t="n"/>
      <c r="K62" s="121" t="n"/>
      <c r="L62" s="121" t="n"/>
      <c r="M62" s="121" t="n"/>
      <c r="O62" s="11">
        <f>H62</f>
        <v/>
      </c>
      <c r="P62" s="28">
        <f>IF(I62="","",I62/消费汇总!I63)</f>
        <v/>
      </c>
      <c r="Q62" s="28">
        <f>IF(J62="","",J62/二级地市消费汇总!C64)</f>
        <v/>
      </c>
      <c r="R62" s="28">
        <f>IF(K62="","",新单数据!K62/二级地市消费汇总!M64)</f>
        <v/>
      </c>
      <c r="S62" s="28">
        <f>IF(L62="","",L62/二级地市消费汇总!W64)</f>
        <v/>
      </c>
      <c r="T62" s="28">
        <f>IF(M62="","",M62/二级地市消费汇总!AG64)</f>
        <v/>
      </c>
      <c r="V62" s="11">
        <f>O62</f>
        <v/>
      </c>
      <c r="W62" s="168">
        <f>IF(X62="","",SUM(X62:AA62))</f>
        <v/>
      </c>
      <c r="X62" s="32" t="n"/>
      <c r="Y62" s="32" t="n"/>
      <c r="Z62" s="32" t="n"/>
      <c r="AA62" s="32" t="n"/>
    </row>
    <row r="63">
      <c r="A63" s="11" t="n">
        <v>45257</v>
      </c>
      <c r="B63" s="121">
        <f>IF(C63="","",SUM(C63:F63))</f>
        <v/>
      </c>
      <c r="C63" s="170" t="n"/>
      <c r="D63" s="170" t="n"/>
      <c r="E63" s="170" t="n"/>
      <c r="F63" s="170" t="n"/>
      <c r="H63" s="11">
        <f>A63</f>
        <v/>
      </c>
      <c r="I63" s="121">
        <f>IF(J63="","",SUM(J63:M63))</f>
        <v/>
      </c>
      <c r="J63" s="121" t="n"/>
      <c r="K63" s="121" t="n"/>
      <c r="L63" s="121" t="n"/>
      <c r="M63" s="121" t="n"/>
      <c r="O63" s="11">
        <f>H63</f>
        <v/>
      </c>
      <c r="P63" s="28">
        <f>IF(I63="","",I63/消费汇总!I64)</f>
        <v/>
      </c>
      <c r="Q63" s="28">
        <f>IF(J63="","",J63/二级地市消费汇总!C65)</f>
        <v/>
      </c>
      <c r="R63" s="28">
        <f>IF(K63="","",新单数据!K63/二级地市消费汇总!M65)</f>
        <v/>
      </c>
      <c r="S63" s="28">
        <f>IF(L63="","",L63/二级地市消费汇总!W65)</f>
        <v/>
      </c>
      <c r="T63" s="28">
        <f>IF(M63="","",M63/二级地市消费汇总!AG65)</f>
        <v/>
      </c>
      <c r="V63" s="11">
        <f>O63</f>
        <v/>
      </c>
      <c r="W63" s="168">
        <f>IF(X63="","",SUM(X63:AA63))</f>
        <v/>
      </c>
      <c r="X63" s="32" t="n"/>
      <c r="Y63" s="32" t="n"/>
      <c r="Z63" s="32" t="n"/>
      <c r="AA63" s="32" t="n"/>
    </row>
    <row r="64">
      <c r="A64" s="11" t="n">
        <v>45258</v>
      </c>
      <c r="B64" s="121">
        <f>IF(C64="","",SUM(C64:F64))</f>
        <v/>
      </c>
      <c r="C64" s="170" t="n"/>
      <c r="D64" s="170" t="n"/>
      <c r="E64" s="170" t="n"/>
      <c r="F64" s="170" t="n"/>
      <c r="H64" s="11">
        <f>A64</f>
        <v/>
      </c>
      <c r="I64" s="121">
        <f>IF(J64="","",SUM(J64:M64))</f>
        <v/>
      </c>
      <c r="J64" s="121" t="n"/>
      <c r="K64" s="121" t="n"/>
      <c r="L64" s="121" t="n"/>
      <c r="M64" s="121" t="n"/>
      <c r="O64" s="11">
        <f>H64</f>
        <v/>
      </c>
      <c r="P64" s="28">
        <f>IF(I64="","",I64/消费汇总!I65)</f>
        <v/>
      </c>
      <c r="Q64" s="28">
        <f>IF(J64="","",J64/二级地市消费汇总!C66)</f>
        <v/>
      </c>
      <c r="R64" s="28">
        <f>IF(K64="","",新单数据!K64/二级地市消费汇总!M66)</f>
        <v/>
      </c>
      <c r="S64" s="28">
        <f>IF(L64="","",L64/二级地市消费汇总!W66)</f>
        <v/>
      </c>
      <c r="T64" s="28">
        <f>IF(M64="","",M64/二级地市消费汇总!AG66)</f>
        <v/>
      </c>
      <c r="V64" s="11">
        <f>O64</f>
        <v/>
      </c>
      <c r="W64" s="168">
        <f>IF(X64="","",SUM(X64:AA64))</f>
        <v/>
      </c>
      <c r="X64" s="32" t="n"/>
      <c r="Y64" s="32" t="n"/>
      <c r="Z64" s="32" t="n"/>
      <c r="AA64" s="32" t="n"/>
    </row>
    <row r="65">
      <c r="A65" s="11" t="n">
        <v>45259</v>
      </c>
      <c r="B65" s="121">
        <f>IF(C65="","",SUM(C65:F65))</f>
        <v/>
      </c>
      <c r="C65" s="170" t="n"/>
      <c r="D65" s="170" t="n"/>
      <c r="E65" s="170" t="n"/>
      <c r="F65" s="170" t="n"/>
      <c r="H65" s="11">
        <f>A65</f>
        <v/>
      </c>
      <c r="I65" s="121">
        <f>IF(J65="","",SUM(J65:M65))</f>
        <v/>
      </c>
      <c r="J65" s="121" t="n"/>
      <c r="K65" s="121" t="n"/>
      <c r="L65" s="121" t="n"/>
      <c r="M65" s="121" t="n"/>
      <c r="O65" s="11">
        <f>H65</f>
        <v/>
      </c>
      <c r="P65" s="28">
        <f>IF(I65="","",I65/消费汇总!I66)</f>
        <v/>
      </c>
      <c r="Q65" s="28">
        <f>IF(J65="","",J65/二级地市消费汇总!C67)</f>
        <v/>
      </c>
      <c r="R65" s="28">
        <f>IF(K65="","",新单数据!K65/二级地市消费汇总!M67)</f>
        <v/>
      </c>
      <c r="S65" s="28">
        <f>IF(L65="","",L65/二级地市消费汇总!W67)</f>
        <v/>
      </c>
      <c r="T65" s="28">
        <f>IF(M65="","",M65/二级地市消费汇总!AG67)</f>
        <v/>
      </c>
      <c r="V65" s="11">
        <f>O65</f>
        <v/>
      </c>
      <c r="W65" s="168">
        <f>IF(X65="","",SUM(X65:AA65))</f>
        <v/>
      </c>
      <c r="X65" s="32" t="n"/>
      <c r="Y65" s="32" t="n"/>
      <c r="Z65" s="32" t="n"/>
      <c r="AA65" s="32" t="n"/>
    </row>
    <row r="66">
      <c r="A66" s="11" t="n">
        <v>45260</v>
      </c>
      <c r="B66" s="121">
        <f>IF(C66="","",SUM(C66:F66))</f>
        <v/>
      </c>
      <c r="C66" s="170" t="n"/>
      <c r="D66" s="170" t="n"/>
      <c r="E66" s="170" t="n"/>
      <c r="F66" s="170" t="n"/>
      <c r="H66" s="11">
        <f>A66</f>
        <v/>
      </c>
      <c r="I66" s="121">
        <f>IF(J66="","",SUM(J66:M66))</f>
        <v/>
      </c>
      <c r="J66" s="121" t="n"/>
      <c r="K66" s="121" t="n"/>
      <c r="L66" s="121" t="n"/>
      <c r="M66" s="121" t="n"/>
      <c r="O66" s="11">
        <f>H66</f>
        <v/>
      </c>
      <c r="P66" s="28">
        <f>IF(I66="","",I66/消费汇总!I67)</f>
        <v/>
      </c>
      <c r="Q66" s="28">
        <f>IF(J66="","",J66/二级地市消费汇总!C68)</f>
        <v/>
      </c>
      <c r="R66" s="28">
        <f>IF(K66="","",新单数据!K66/二级地市消费汇总!M68)</f>
        <v/>
      </c>
      <c r="S66" s="28">
        <f>IF(L66="","",L66/二级地市消费汇总!W68)</f>
        <v/>
      </c>
      <c r="T66" s="28">
        <f>IF(M66="","",M66/二级地市消费汇总!AG68)</f>
        <v/>
      </c>
      <c r="V66" s="11">
        <f>O66</f>
        <v/>
      </c>
      <c r="W66" s="168">
        <f>IF(X66="","",SUM(X66:AA66))</f>
        <v/>
      </c>
      <c r="X66" s="32" t="n"/>
      <c r="Y66" s="32" t="n"/>
      <c r="Z66" s="32" t="n"/>
      <c r="AA66" s="32" t="n"/>
    </row>
    <row r="67">
      <c r="A67" s="11" t="n">
        <v>45261</v>
      </c>
      <c r="B67" s="121">
        <f>IF(C67="","",SUM(C67:F67))</f>
        <v/>
      </c>
      <c r="C67" s="170" t="n"/>
      <c r="D67" s="170" t="n"/>
      <c r="E67" s="170" t="n"/>
      <c r="F67" s="170" t="n"/>
      <c r="H67" s="11">
        <f>A67</f>
        <v/>
      </c>
      <c r="I67" s="121">
        <f>IF(J67="","",SUM(J67:M67))</f>
        <v/>
      </c>
      <c r="J67" s="121" t="n"/>
      <c r="K67" s="121" t="n"/>
      <c r="L67" s="121" t="n"/>
      <c r="M67" s="121" t="n"/>
      <c r="O67" s="11">
        <f>H67</f>
        <v/>
      </c>
      <c r="P67" s="28">
        <f>IF(I67="","",I67/消费汇总!I68)</f>
        <v/>
      </c>
      <c r="Q67" s="28">
        <f>IF(J67="","",J67/二级地市消费汇总!C69)</f>
        <v/>
      </c>
      <c r="R67" s="28">
        <f>IF(K67="","",新单数据!K67/二级地市消费汇总!M69)</f>
        <v/>
      </c>
      <c r="S67" s="28">
        <f>IF(L67="","",L67/二级地市消费汇总!W69)</f>
        <v/>
      </c>
      <c r="T67" s="28">
        <f>IF(M67="","",M67/二级地市消费汇总!AG69)</f>
        <v/>
      </c>
      <c r="V67" s="11">
        <f>O67</f>
        <v/>
      </c>
      <c r="W67" s="168">
        <f>IF(X67="","",SUM(X67:AA67))</f>
        <v/>
      </c>
      <c r="X67" s="32" t="n"/>
      <c r="Y67" s="32" t="n"/>
      <c r="Z67" s="32" t="n"/>
      <c r="AA67" s="32" t="n"/>
    </row>
    <row r="68">
      <c r="A68" s="11" t="n">
        <v>45262</v>
      </c>
      <c r="B68" s="121">
        <f>IF(C68="","",SUM(C68:F68))</f>
        <v/>
      </c>
      <c r="C68" s="170" t="n"/>
      <c r="D68" s="170" t="n"/>
      <c r="E68" s="170" t="n"/>
      <c r="F68" s="170" t="n"/>
      <c r="H68" s="11">
        <f>A68</f>
        <v/>
      </c>
      <c r="I68" s="121">
        <f>IF(J68="","",SUM(J68:M68))</f>
        <v/>
      </c>
      <c r="J68" s="121" t="n"/>
      <c r="K68" s="121" t="n"/>
      <c r="L68" s="121" t="n"/>
      <c r="M68" s="121" t="n"/>
      <c r="O68" s="11">
        <f>H68</f>
        <v/>
      </c>
      <c r="P68" s="28">
        <f>IF(I68="","",I68/消费汇总!I69)</f>
        <v/>
      </c>
      <c r="Q68" s="28">
        <f>IF(J68="","",J68/二级地市消费汇总!C70)</f>
        <v/>
      </c>
      <c r="R68" s="28">
        <f>IF(K68="","",新单数据!K68/二级地市消费汇总!M70)</f>
        <v/>
      </c>
      <c r="S68" s="28">
        <f>IF(L68="","",L68/二级地市消费汇总!W70)</f>
        <v/>
      </c>
      <c r="T68" s="28">
        <f>IF(M68="","",M68/二级地市消费汇总!AG70)</f>
        <v/>
      </c>
      <c r="V68" s="11">
        <f>O68</f>
        <v/>
      </c>
      <c r="W68" s="168">
        <f>IF(X68="","",SUM(X68:AA68))</f>
        <v/>
      </c>
      <c r="X68" s="32" t="n"/>
      <c r="Y68" s="32" t="n"/>
      <c r="Z68" s="32" t="n"/>
      <c r="AA68" s="32" t="n"/>
    </row>
    <row r="69">
      <c r="A69" s="11" t="n">
        <v>45263</v>
      </c>
      <c r="B69" s="121">
        <f>IF(C69="","",SUM(C69:F69))</f>
        <v/>
      </c>
      <c r="C69" s="170" t="n"/>
      <c r="D69" s="170" t="n"/>
      <c r="E69" s="170" t="n"/>
      <c r="F69" s="170" t="n"/>
      <c r="H69" s="11">
        <f>A69</f>
        <v/>
      </c>
      <c r="I69" s="121">
        <f>IF(J69="","",SUM(J69:M69))</f>
        <v/>
      </c>
      <c r="J69" s="121" t="n"/>
      <c r="K69" s="121" t="n"/>
      <c r="L69" s="121" t="n"/>
      <c r="M69" s="121" t="n"/>
      <c r="O69" s="11">
        <f>H69</f>
        <v/>
      </c>
      <c r="P69" s="28">
        <f>IF(I69="","",I69/消费汇总!I70)</f>
        <v/>
      </c>
      <c r="Q69" s="28">
        <f>IF(J69="","",J69/二级地市消费汇总!C71)</f>
        <v/>
      </c>
      <c r="R69" s="28">
        <f>IF(K69="","",新单数据!K69/二级地市消费汇总!M71)</f>
        <v/>
      </c>
      <c r="S69" s="28">
        <f>IF(L69="","",L69/二级地市消费汇总!W71)</f>
        <v/>
      </c>
      <c r="T69" s="28">
        <f>IF(M69="","",M69/二级地市消费汇总!AG71)</f>
        <v/>
      </c>
      <c r="V69" s="11">
        <f>O69</f>
        <v/>
      </c>
      <c r="W69" s="168">
        <f>IF(X69="","",SUM(X69:AA69))</f>
        <v/>
      </c>
      <c r="X69" s="32" t="n"/>
      <c r="Y69" s="32" t="n"/>
      <c r="Z69" s="32" t="n"/>
      <c r="AA69" s="32" t="n"/>
    </row>
    <row r="70">
      <c r="A70" s="11" t="n">
        <v>45264</v>
      </c>
      <c r="B70" s="121">
        <f>IF(C70="","",SUM(C70:F70))</f>
        <v/>
      </c>
      <c r="C70" s="170" t="n"/>
      <c r="D70" s="170" t="n"/>
      <c r="E70" s="170" t="n"/>
      <c r="F70" s="170" t="n"/>
      <c r="H70" s="11">
        <f>A70</f>
        <v/>
      </c>
      <c r="I70" s="121">
        <f>IF(J70="","",SUM(J70:M70))</f>
        <v/>
      </c>
      <c r="J70" s="121" t="n"/>
      <c r="K70" s="121" t="n"/>
      <c r="L70" s="121" t="n"/>
      <c r="M70" s="121" t="n"/>
      <c r="O70" s="11">
        <f>H70</f>
        <v/>
      </c>
      <c r="P70" s="28">
        <f>IF(I70="","",I70/消费汇总!I71)</f>
        <v/>
      </c>
      <c r="Q70" s="28">
        <f>IF(J70="","",J70/二级地市消费汇总!C72)</f>
        <v/>
      </c>
      <c r="R70" s="28">
        <f>IF(K70="","",新单数据!K70/二级地市消费汇总!M72)</f>
        <v/>
      </c>
      <c r="S70" s="28">
        <f>IF(L70="","",L70/二级地市消费汇总!W72)</f>
        <v/>
      </c>
      <c r="T70" s="28">
        <f>IF(M70="","",M70/二级地市消费汇总!AG72)</f>
        <v/>
      </c>
      <c r="V70" s="11">
        <f>O70</f>
        <v/>
      </c>
      <c r="W70" s="168">
        <f>IF(X70="","",SUM(X70:AA70))</f>
        <v/>
      </c>
      <c r="X70" s="32" t="n"/>
      <c r="Y70" s="32" t="n"/>
      <c r="Z70" s="32" t="n"/>
      <c r="AA70" s="32" t="n"/>
    </row>
    <row r="71">
      <c r="A71" s="11" t="n">
        <v>45265</v>
      </c>
      <c r="B71" s="121">
        <f>IF(C71="","",SUM(C71:F71))</f>
        <v/>
      </c>
      <c r="C71" s="170" t="n"/>
      <c r="D71" s="170" t="n"/>
      <c r="E71" s="170" t="n"/>
      <c r="F71" s="170" t="n"/>
      <c r="H71" s="11">
        <f>A71</f>
        <v/>
      </c>
      <c r="I71" s="121">
        <f>IF(J71="","",SUM(J71:M71))</f>
        <v/>
      </c>
      <c r="J71" s="121" t="n"/>
      <c r="K71" s="121" t="n"/>
      <c r="L71" s="121" t="n"/>
      <c r="M71" s="121" t="n"/>
      <c r="O71" s="11">
        <f>H71</f>
        <v/>
      </c>
      <c r="P71" s="28">
        <f>IF(I71="","",I71/消费汇总!I72)</f>
        <v/>
      </c>
      <c r="Q71" s="28">
        <f>IF(J71="","",J71/二级地市消费汇总!C73)</f>
        <v/>
      </c>
      <c r="R71" s="28">
        <f>IF(K71="","",新单数据!K71/二级地市消费汇总!M73)</f>
        <v/>
      </c>
      <c r="S71" s="28">
        <f>IF(L71="","",L71/二级地市消费汇总!W73)</f>
        <v/>
      </c>
      <c r="T71" s="28">
        <f>IF(M71="","",M71/二级地市消费汇总!AG73)</f>
        <v/>
      </c>
      <c r="V71" s="11">
        <f>O71</f>
        <v/>
      </c>
      <c r="W71" s="168">
        <f>IF(X71="","",SUM(X71:AA71))</f>
        <v/>
      </c>
      <c r="X71" s="32" t="n"/>
      <c r="Y71" s="32" t="n"/>
      <c r="Z71" s="32" t="n"/>
      <c r="AA71" s="32" t="n"/>
    </row>
    <row r="72">
      <c r="A72" s="11" t="n">
        <v>45266</v>
      </c>
      <c r="B72" s="121">
        <f>IF(C72="","",SUM(C72:F72))</f>
        <v/>
      </c>
      <c r="C72" s="170" t="n"/>
      <c r="D72" s="170" t="n"/>
      <c r="E72" s="170" t="n"/>
      <c r="F72" s="170" t="n"/>
      <c r="H72" s="11">
        <f>A72</f>
        <v/>
      </c>
      <c r="I72" s="121">
        <f>IF(J72="","",SUM(J72:M72))</f>
        <v/>
      </c>
      <c r="J72" s="121" t="n"/>
      <c r="K72" s="121" t="n"/>
      <c r="L72" s="121" t="n"/>
      <c r="M72" s="121" t="n"/>
      <c r="O72" s="11">
        <f>H72</f>
        <v/>
      </c>
      <c r="P72" s="28">
        <f>IF(I72="","",I72/消费汇总!I73)</f>
        <v/>
      </c>
      <c r="Q72" s="28">
        <f>IF(J72="","",J72/二级地市消费汇总!C74)</f>
        <v/>
      </c>
      <c r="R72" s="28">
        <f>IF(K72="","",新单数据!K72/二级地市消费汇总!M74)</f>
        <v/>
      </c>
      <c r="S72" s="28">
        <f>IF(L72="","",L72/二级地市消费汇总!W74)</f>
        <v/>
      </c>
      <c r="T72" s="28">
        <f>IF(M72="","",M72/二级地市消费汇总!AG74)</f>
        <v/>
      </c>
      <c r="V72" s="11">
        <f>O72</f>
        <v/>
      </c>
      <c r="W72" s="168">
        <f>IF(X72="","",SUM(X72:AA72))</f>
        <v/>
      </c>
      <c r="X72" s="32" t="n"/>
      <c r="Y72" s="32" t="n"/>
      <c r="Z72" s="32" t="n"/>
      <c r="AA72" s="32" t="n"/>
    </row>
    <row r="73">
      <c r="A73" s="11" t="n">
        <v>45267</v>
      </c>
      <c r="B73" s="121">
        <f>IF(C73="","",SUM(C73:F73))</f>
        <v/>
      </c>
      <c r="C73" s="170" t="n"/>
      <c r="D73" s="170" t="n"/>
      <c r="E73" s="170" t="n"/>
      <c r="F73" s="170" t="n"/>
      <c r="H73" s="11">
        <f>A73</f>
        <v/>
      </c>
      <c r="I73" s="121">
        <f>IF(J73="","",SUM(J73:M73))</f>
        <v/>
      </c>
      <c r="J73" s="121" t="n"/>
      <c r="K73" s="121" t="n"/>
      <c r="L73" s="121" t="n"/>
      <c r="M73" s="121" t="n"/>
      <c r="O73" s="11">
        <f>H73</f>
        <v/>
      </c>
      <c r="P73" s="28">
        <f>IF(I73="","",I73/消费汇总!I74)</f>
        <v/>
      </c>
      <c r="Q73" s="28">
        <f>IF(J73="","",J73/二级地市消费汇总!C75)</f>
        <v/>
      </c>
      <c r="R73" s="28">
        <f>IF(K73="","",新单数据!K73/二级地市消费汇总!M75)</f>
        <v/>
      </c>
      <c r="S73" s="28">
        <f>IF(L73="","",L73/二级地市消费汇总!W75)</f>
        <v/>
      </c>
      <c r="T73" s="28">
        <f>IF(M73="","",M73/二级地市消费汇总!AG75)</f>
        <v/>
      </c>
      <c r="V73" s="11">
        <f>O73</f>
        <v/>
      </c>
      <c r="W73" s="168">
        <f>IF(X73="","",SUM(X73:AA73))</f>
        <v/>
      </c>
      <c r="X73" s="32" t="n"/>
      <c r="Y73" s="32" t="n"/>
      <c r="Z73" s="32" t="n"/>
      <c r="AA73" s="32" t="n"/>
    </row>
    <row r="74">
      <c r="A74" s="11" t="n">
        <v>45268</v>
      </c>
      <c r="B74" s="121">
        <f>IF(C74="","",SUM(C74:F74))</f>
        <v/>
      </c>
      <c r="C74" s="170" t="n"/>
      <c r="D74" s="170" t="n"/>
      <c r="E74" s="170" t="n"/>
      <c r="F74" s="170" t="n"/>
      <c r="H74" s="11">
        <f>A74</f>
        <v/>
      </c>
      <c r="I74" s="121">
        <f>IF(J74="","",SUM(J74:M74))</f>
        <v/>
      </c>
      <c r="J74" s="121" t="n"/>
      <c r="K74" s="121" t="n"/>
      <c r="L74" s="121" t="n"/>
      <c r="M74" s="121" t="n"/>
      <c r="O74" s="11">
        <f>H74</f>
        <v/>
      </c>
      <c r="P74" s="28">
        <f>IF(I74="","",I74/消费汇总!I75)</f>
        <v/>
      </c>
      <c r="Q74" s="28">
        <f>IF(J74="","",J74/二级地市消费汇总!C76)</f>
        <v/>
      </c>
      <c r="R74" s="28">
        <f>IF(K74="","",新单数据!K74/二级地市消费汇总!M76)</f>
        <v/>
      </c>
      <c r="S74" s="28">
        <f>IF(L74="","",L74/二级地市消费汇总!W76)</f>
        <v/>
      </c>
      <c r="T74" s="28">
        <f>IF(M74="","",M74/二级地市消费汇总!AG76)</f>
        <v/>
      </c>
      <c r="V74" s="11">
        <f>O74</f>
        <v/>
      </c>
      <c r="W74" s="168">
        <f>IF(X74="","",SUM(X74:AA74))</f>
        <v/>
      </c>
      <c r="X74" s="32" t="n"/>
      <c r="Y74" s="32" t="n"/>
      <c r="Z74" s="32" t="n"/>
      <c r="AA74" s="32" t="n"/>
    </row>
    <row r="75">
      <c r="A75" s="11" t="n">
        <v>45269</v>
      </c>
      <c r="B75" s="121">
        <f>IF(C75="","",SUM(C75:F75))</f>
        <v/>
      </c>
      <c r="C75" s="170" t="n"/>
      <c r="D75" s="170" t="n"/>
      <c r="E75" s="170" t="n"/>
      <c r="F75" s="170" t="n"/>
      <c r="H75" s="11">
        <f>A75</f>
        <v/>
      </c>
      <c r="I75" s="121">
        <f>IF(J75="","",SUM(J75:M75))</f>
        <v/>
      </c>
      <c r="J75" s="121" t="n"/>
      <c r="K75" s="121" t="n"/>
      <c r="L75" s="121" t="n"/>
      <c r="M75" s="121" t="n"/>
      <c r="O75" s="11">
        <f>H75</f>
        <v/>
      </c>
      <c r="P75" s="28">
        <f>IF(I75="","",I75/消费汇总!I76)</f>
        <v/>
      </c>
      <c r="Q75" s="28">
        <f>IF(J75="","",J75/二级地市消费汇总!C77)</f>
        <v/>
      </c>
      <c r="R75" s="28">
        <f>IF(K75="","",新单数据!K75/二级地市消费汇总!M77)</f>
        <v/>
      </c>
      <c r="S75" s="28">
        <f>IF(L75="","",L75/二级地市消费汇总!W77)</f>
        <v/>
      </c>
      <c r="T75" s="28">
        <f>IF(M75="","",M75/二级地市消费汇总!AG77)</f>
        <v/>
      </c>
      <c r="V75" s="11">
        <f>O75</f>
        <v/>
      </c>
      <c r="W75" s="168">
        <f>IF(X75="","",SUM(X75:AA75))</f>
        <v/>
      </c>
      <c r="X75" s="32" t="n"/>
      <c r="Y75" s="32" t="n"/>
      <c r="Z75" s="32" t="n"/>
      <c r="AA75" s="32" t="n"/>
    </row>
    <row r="76">
      <c r="A76" s="11" t="n">
        <v>45270</v>
      </c>
      <c r="B76" s="121">
        <f>IF(C76="","",SUM(C76:F76))</f>
        <v/>
      </c>
      <c r="C76" s="170" t="n"/>
      <c r="D76" s="170" t="n"/>
      <c r="E76" s="170" t="n"/>
      <c r="F76" s="170" t="n"/>
      <c r="H76" s="11">
        <f>A76</f>
        <v/>
      </c>
      <c r="I76" s="121">
        <f>IF(J76="","",SUM(J76:M76))</f>
        <v/>
      </c>
      <c r="J76" s="121" t="n"/>
      <c r="K76" s="121" t="n"/>
      <c r="L76" s="121" t="n"/>
      <c r="M76" s="121" t="n"/>
      <c r="O76" s="11">
        <f>H76</f>
        <v/>
      </c>
      <c r="P76" s="28">
        <f>IF(I76="","",I76/消费汇总!I77)</f>
        <v/>
      </c>
      <c r="Q76" s="28">
        <f>IF(J76="","",J76/二级地市消费汇总!C78)</f>
        <v/>
      </c>
      <c r="R76" s="28">
        <f>IF(K76="","",新单数据!K76/二级地市消费汇总!M78)</f>
        <v/>
      </c>
      <c r="S76" s="28">
        <f>IF(L76="","",L76/二级地市消费汇总!W78)</f>
        <v/>
      </c>
      <c r="T76" s="28">
        <f>IF(M76="","",M76/二级地市消费汇总!AG78)</f>
        <v/>
      </c>
      <c r="V76" s="11">
        <f>O76</f>
        <v/>
      </c>
      <c r="W76" s="168">
        <f>IF(X76="","",SUM(X76:AA76))</f>
        <v/>
      </c>
      <c r="X76" s="32" t="n"/>
      <c r="Y76" s="32" t="n"/>
      <c r="Z76" s="32" t="n"/>
      <c r="AA76" s="32" t="n"/>
    </row>
    <row r="77">
      <c r="A77" s="11" t="n">
        <v>45271</v>
      </c>
      <c r="B77" s="121">
        <f>IF(C77="","",SUM(C77:F77))</f>
        <v/>
      </c>
      <c r="C77" s="170" t="n"/>
      <c r="D77" s="170" t="n"/>
      <c r="E77" s="170" t="n"/>
      <c r="F77" s="170" t="n"/>
      <c r="H77" s="11">
        <f>A77</f>
        <v/>
      </c>
      <c r="I77" s="121">
        <f>IF(J77="","",SUM(J77:M77))</f>
        <v/>
      </c>
      <c r="J77" s="121" t="n"/>
      <c r="K77" s="121" t="n"/>
      <c r="L77" s="121" t="n"/>
      <c r="M77" s="121" t="n"/>
      <c r="O77" s="11">
        <f>H77</f>
        <v/>
      </c>
      <c r="P77" s="28">
        <f>IF(I77="","",I77/消费汇总!I78)</f>
        <v/>
      </c>
      <c r="Q77" s="28">
        <f>IF(J77="","",J77/二级地市消费汇总!C79)</f>
        <v/>
      </c>
      <c r="R77" s="28">
        <f>IF(K77="","",新单数据!K77/二级地市消费汇总!M79)</f>
        <v/>
      </c>
      <c r="S77" s="28">
        <f>IF(L77="","",L77/二级地市消费汇总!W79)</f>
        <v/>
      </c>
      <c r="T77" s="28">
        <f>IF(M77="","",M77/二级地市消费汇总!AG79)</f>
        <v/>
      </c>
      <c r="V77" s="11">
        <f>O77</f>
        <v/>
      </c>
      <c r="W77" s="168">
        <f>IF(X77="","",SUM(X77:AA77))</f>
        <v/>
      </c>
      <c r="X77" s="32" t="n"/>
      <c r="Y77" s="32" t="n"/>
      <c r="Z77" s="32" t="n"/>
      <c r="AA77" s="32" t="n"/>
    </row>
    <row r="78">
      <c r="A78" s="11" t="n">
        <v>45272</v>
      </c>
      <c r="B78" s="121">
        <f>IF(C78="","",SUM(C78:F78))</f>
        <v/>
      </c>
      <c r="C78" s="170" t="n"/>
      <c r="D78" s="170" t="n"/>
      <c r="E78" s="170" t="n"/>
      <c r="F78" s="170" t="n"/>
      <c r="H78" s="11">
        <f>A78</f>
        <v/>
      </c>
      <c r="I78" s="121">
        <f>IF(J78="","",SUM(J78:M78))</f>
        <v/>
      </c>
      <c r="J78" s="121" t="n"/>
      <c r="K78" s="121" t="n"/>
      <c r="L78" s="121" t="n"/>
      <c r="M78" s="121" t="n"/>
      <c r="O78" s="11">
        <f>H78</f>
        <v/>
      </c>
      <c r="P78" s="28">
        <f>IF(I78="","",I78/消费汇总!I79)</f>
        <v/>
      </c>
      <c r="Q78" s="28">
        <f>IF(J78="","",J78/二级地市消费汇总!C80)</f>
        <v/>
      </c>
      <c r="R78" s="28">
        <f>IF(K78="","",新单数据!K78/二级地市消费汇总!M80)</f>
        <v/>
      </c>
      <c r="S78" s="28">
        <f>IF(L78="","",L78/二级地市消费汇总!W80)</f>
        <v/>
      </c>
      <c r="T78" s="28">
        <f>IF(M78="","",M78/二级地市消费汇总!AG80)</f>
        <v/>
      </c>
      <c r="V78" s="11">
        <f>O78</f>
        <v/>
      </c>
      <c r="W78" s="168">
        <f>IF(X78="","",SUM(X78:AA78))</f>
        <v/>
      </c>
      <c r="X78" s="32" t="n"/>
      <c r="Y78" s="32" t="n"/>
      <c r="Z78" s="32" t="n"/>
      <c r="AA78" s="32" t="n"/>
    </row>
    <row r="79">
      <c r="A79" s="11" t="n">
        <v>45273</v>
      </c>
      <c r="B79" s="121">
        <f>IF(C79="","",SUM(C79:F79))</f>
        <v/>
      </c>
      <c r="C79" s="170" t="n"/>
      <c r="D79" s="170" t="n"/>
      <c r="E79" s="170" t="n"/>
      <c r="F79" s="170" t="n"/>
      <c r="H79" s="11">
        <f>A79</f>
        <v/>
      </c>
      <c r="I79" s="121">
        <f>IF(J79="","",SUM(J79:M79))</f>
        <v/>
      </c>
      <c r="J79" s="121" t="n"/>
      <c r="K79" s="121" t="n"/>
      <c r="L79" s="121" t="n"/>
      <c r="M79" s="121" t="n"/>
      <c r="O79" s="11">
        <f>H79</f>
        <v/>
      </c>
      <c r="P79" s="28">
        <f>IF(I79="","",I79/消费汇总!I80)</f>
        <v/>
      </c>
      <c r="Q79" s="28">
        <f>IF(J79="","",J79/二级地市消费汇总!C81)</f>
        <v/>
      </c>
      <c r="R79" s="28">
        <f>IF(K79="","",新单数据!K79/二级地市消费汇总!M81)</f>
        <v/>
      </c>
      <c r="S79" s="28">
        <f>IF(L79="","",L79/二级地市消费汇总!W81)</f>
        <v/>
      </c>
      <c r="T79" s="28">
        <f>IF(M79="","",M79/二级地市消费汇总!AG81)</f>
        <v/>
      </c>
      <c r="V79" s="11">
        <f>O79</f>
        <v/>
      </c>
      <c r="W79" s="168">
        <f>IF(X79="","",SUM(X79:AA79))</f>
        <v/>
      </c>
      <c r="X79" s="32" t="n"/>
      <c r="Y79" s="32" t="n"/>
      <c r="Z79" s="32" t="n"/>
      <c r="AA79" s="32" t="n"/>
      <c r="AB79" s="13" t="n">
        <v>0</v>
      </c>
    </row>
    <row r="80">
      <c r="A80" s="11" t="n">
        <v>45274</v>
      </c>
      <c r="B80" s="121">
        <f>IF(C80="","",SUM(C80:F80))</f>
        <v/>
      </c>
      <c r="C80" s="170" t="n"/>
      <c r="D80" s="170" t="n"/>
      <c r="E80" s="170" t="n"/>
      <c r="F80" s="170" t="n"/>
      <c r="H80" s="11">
        <f>A80</f>
        <v/>
      </c>
      <c r="I80" s="121">
        <f>IF(J80="","",SUM(J80:M80))</f>
        <v/>
      </c>
      <c r="J80" s="121" t="n"/>
      <c r="K80" s="121" t="n"/>
      <c r="L80" s="121" t="n"/>
      <c r="M80" s="121" t="n"/>
      <c r="O80" s="11">
        <f>H80</f>
        <v/>
      </c>
      <c r="P80" s="28">
        <f>IF(I80="","",I80/消费汇总!I81)</f>
        <v/>
      </c>
      <c r="Q80" s="28">
        <f>IF(J80="","",J80/二级地市消费汇总!C82)</f>
        <v/>
      </c>
      <c r="R80" s="28">
        <f>IF(K80="","",新单数据!K80/二级地市消费汇总!M82)</f>
        <v/>
      </c>
      <c r="S80" s="28">
        <f>IF(L80="","",L80/二级地市消费汇总!W82)</f>
        <v/>
      </c>
      <c r="T80" s="28">
        <f>IF(M80="","",M80/二级地市消费汇总!AG82)</f>
        <v/>
      </c>
      <c r="V80" s="11">
        <f>O80</f>
        <v/>
      </c>
      <c r="W80" s="168">
        <f>IF(X80="","",SUM(X80:AA80))</f>
        <v/>
      </c>
      <c r="X80" s="32" t="n"/>
      <c r="Y80" s="32" t="n"/>
      <c r="Z80" s="32" t="n"/>
      <c r="AA80" s="32" t="n"/>
    </row>
    <row r="81">
      <c r="A81" s="11" t="n">
        <v>45275</v>
      </c>
      <c r="B81" s="121">
        <f>IF(C81="","",SUM(C81:F81))</f>
        <v/>
      </c>
      <c r="C81" s="172" t="n"/>
      <c r="D81" s="167" t="n"/>
      <c r="E81" s="167" t="n"/>
      <c r="F81" s="167" t="n"/>
      <c r="H81" s="11">
        <f>A81</f>
        <v/>
      </c>
      <c r="I81" s="121">
        <f>IF(J81="","",SUM(J81:M81))</f>
        <v/>
      </c>
      <c r="J81" s="121" t="n"/>
      <c r="K81" s="121" t="n"/>
      <c r="L81" s="121" t="n"/>
      <c r="M81" s="121" t="n"/>
      <c r="O81" s="11">
        <f>H81</f>
        <v/>
      </c>
      <c r="P81" s="28">
        <f>IF(I81="","",I81/消费汇总!I82)</f>
        <v/>
      </c>
      <c r="Q81" s="28">
        <f>IF(J81="","",J81/二级地市消费汇总!C83)</f>
        <v/>
      </c>
      <c r="R81" s="28">
        <f>IF(K81="","",新单数据!K81/二级地市消费汇总!M83)</f>
        <v/>
      </c>
      <c r="S81" s="28">
        <f>IF(L81="","",L81/二级地市消费汇总!W83)</f>
        <v/>
      </c>
      <c r="T81" s="28">
        <f>IF(M81="","",M81/二级地市消费汇总!AG83)</f>
        <v/>
      </c>
      <c r="V81" s="11">
        <f>O81</f>
        <v/>
      </c>
      <c r="W81" s="168">
        <f>IF(X81="","",SUM(X81:AA81))</f>
        <v/>
      </c>
      <c r="X81" s="32" t="n"/>
      <c r="Y81" s="32" t="n"/>
      <c r="Z81" s="32" t="n"/>
      <c r="AA81" s="32" t="n"/>
    </row>
    <row r="82">
      <c r="A82" s="11" t="n">
        <v>45276</v>
      </c>
      <c r="B82" s="121">
        <f>IF(C82="","",SUM(C82:F82))</f>
        <v/>
      </c>
      <c r="C82" s="170" t="n"/>
      <c r="D82" s="170" t="n"/>
      <c r="E82" s="170" t="n"/>
      <c r="F82" s="170" t="n"/>
      <c r="H82" s="11">
        <f>A82</f>
        <v/>
      </c>
      <c r="I82" s="121">
        <f>IF(J82="","",SUM(J82:M82))</f>
        <v/>
      </c>
      <c r="J82" s="121" t="n"/>
      <c r="K82" s="121" t="n"/>
      <c r="L82" s="121" t="n"/>
      <c r="M82" s="121" t="n"/>
      <c r="O82" s="11">
        <f>H82</f>
        <v/>
      </c>
      <c r="P82" s="28">
        <f>IF(I82="","",I82/消费汇总!I83)</f>
        <v/>
      </c>
      <c r="Q82" s="28">
        <f>IF(J82="","",J82/二级地市消费汇总!C84)</f>
        <v/>
      </c>
      <c r="R82" s="28">
        <f>IF(K82="","",新单数据!K82/二级地市消费汇总!M84)</f>
        <v/>
      </c>
      <c r="S82" s="28">
        <f>IF(L82="","",L82/二级地市消费汇总!W84)</f>
        <v/>
      </c>
      <c r="T82" s="28">
        <f>IF(M82="","",M82/二级地市消费汇总!AG84)</f>
        <v/>
      </c>
      <c r="V82" s="11">
        <f>O82</f>
        <v/>
      </c>
      <c r="W82" s="168">
        <f>IF(X82="","",SUM(X82:AA82))</f>
        <v/>
      </c>
      <c r="X82" s="32" t="n"/>
      <c r="Y82" s="32" t="n"/>
      <c r="Z82" s="32" t="n"/>
      <c r="AA82" s="32" t="n"/>
    </row>
    <row r="83">
      <c r="A83" s="11" t="n">
        <v>45277</v>
      </c>
      <c r="B83" s="121">
        <f>IF(C83="","",SUM(C83:F83))</f>
        <v/>
      </c>
      <c r="C83" s="170" t="n"/>
      <c r="D83" s="170" t="n"/>
      <c r="E83" s="170" t="n"/>
      <c r="F83" s="170" t="n"/>
      <c r="H83" s="11">
        <f>A83</f>
        <v/>
      </c>
      <c r="I83" s="121">
        <f>IF(J83="","",SUM(J83:M83))</f>
        <v/>
      </c>
      <c r="J83" s="121" t="n"/>
      <c r="K83" s="121" t="n"/>
      <c r="L83" s="121" t="n"/>
      <c r="M83" s="121" t="n"/>
      <c r="O83" s="11">
        <f>H83</f>
        <v/>
      </c>
      <c r="P83" s="28">
        <f>IF(I83="","",I83/消费汇总!I84)</f>
        <v/>
      </c>
      <c r="Q83" s="28">
        <f>IF(J83="","",J83/二级地市消费汇总!C85)</f>
        <v/>
      </c>
      <c r="R83" s="28">
        <f>IF(K83="","",新单数据!K83/二级地市消费汇总!M85)</f>
        <v/>
      </c>
      <c r="S83" s="28">
        <f>IF(L83="","",L83/二级地市消费汇总!W85)</f>
        <v/>
      </c>
      <c r="T83" s="28">
        <f>IF(M83="","",M83/二级地市消费汇总!AG85)</f>
        <v/>
      </c>
      <c r="V83" s="11">
        <f>O83</f>
        <v/>
      </c>
      <c r="W83" s="168">
        <f>IF(X83="","",SUM(X83:AA83))</f>
        <v/>
      </c>
      <c r="X83" s="32" t="n"/>
      <c r="Y83" s="32" t="n"/>
      <c r="Z83" s="32" t="n"/>
      <c r="AA83" s="32" t="n"/>
    </row>
    <row r="84">
      <c r="A84" s="11" t="n">
        <v>45278</v>
      </c>
      <c r="B84" s="121">
        <f>IF(C84="","",SUM(C84:F84))</f>
        <v/>
      </c>
      <c r="C84" s="170" t="n"/>
      <c r="D84" s="170" t="n"/>
      <c r="E84" s="170" t="n"/>
      <c r="F84" s="170" t="n"/>
      <c r="H84" s="11">
        <f>A84</f>
        <v/>
      </c>
      <c r="I84" s="121">
        <f>IF(J84="","",SUM(J84:M84))</f>
        <v/>
      </c>
      <c r="J84" s="121" t="n"/>
      <c r="K84" s="121" t="n"/>
      <c r="L84" s="121" t="n"/>
      <c r="M84" s="121" t="n"/>
      <c r="O84" s="11">
        <f>H84</f>
        <v/>
      </c>
      <c r="P84" s="28">
        <f>IF(I84="","",I84/消费汇总!I85)</f>
        <v/>
      </c>
      <c r="Q84" s="28">
        <f>IF(J84="","",J84/二级地市消费汇总!C86)</f>
        <v/>
      </c>
      <c r="R84" s="28">
        <f>IF(K84="","",新单数据!K84/二级地市消费汇总!M86)</f>
        <v/>
      </c>
      <c r="S84" s="28">
        <f>IF(L84="","",L84/二级地市消费汇总!W86)</f>
        <v/>
      </c>
      <c r="T84" s="28">
        <f>IF(M84="","",M84/二级地市消费汇总!AG86)</f>
        <v/>
      </c>
      <c r="V84" s="11">
        <f>O84</f>
        <v/>
      </c>
      <c r="W84" s="168">
        <f>IF(X84="","",SUM(X84:AA84))</f>
        <v/>
      </c>
      <c r="X84" s="32" t="n"/>
      <c r="Y84" s="32" t="n"/>
      <c r="Z84" s="32" t="n"/>
      <c r="AA84" s="32" t="n"/>
    </row>
    <row r="85">
      <c r="A85" s="11" t="n">
        <v>45279</v>
      </c>
      <c r="B85" s="121">
        <f>IF(C85="","",SUM(C85:F85))</f>
        <v/>
      </c>
      <c r="C85" s="170" t="n"/>
      <c r="D85" s="170" t="n"/>
      <c r="E85" s="170" t="n"/>
      <c r="F85" s="170" t="n"/>
      <c r="H85" s="11">
        <f>A85</f>
        <v/>
      </c>
      <c r="I85" s="121">
        <f>IF(J85="","",SUM(J85:M85))</f>
        <v/>
      </c>
      <c r="J85" s="121" t="n"/>
      <c r="K85" s="121" t="n"/>
      <c r="L85" s="121" t="n"/>
      <c r="M85" s="121" t="n"/>
      <c r="O85" s="11">
        <f>H85</f>
        <v/>
      </c>
      <c r="P85" s="28">
        <f>IF(I85="","",I85/消费汇总!I86)</f>
        <v/>
      </c>
      <c r="Q85" s="28">
        <f>IF(J85="","",J85/二级地市消费汇总!C87)</f>
        <v/>
      </c>
      <c r="R85" s="28">
        <f>IF(K85="","",新单数据!K85/二级地市消费汇总!M87)</f>
        <v/>
      </c>
      <c r="S85" s="28">
        <f>IF(L85="","",L85/二级地市消费汇总!W87)</f>
        <v/>
      </c>
      <c r="T85" s="28">
        <f>IF(M85="","",M85/二级地市消费汇总!AG87)</f>
        <v/>
      </c>
      <c r="V85" s="11">
        <f>O85</f>
        <v/>
      </c>
      <c r="W85" s="168">
        <f>IF(X85="","",SUM(X85:AA85))</f>
        <v/>
      </c>
      <c r="X85" s="32" t="n"/>
      <c r="Y85" s="32" t="n"/>
      <c r="Z85" s="32" t="n"/>
      <c r="AA85" s="32" t="n"/>
    </row>
    <row r="86">
      <c r="A86" s="11" t="n">
        <v>45280</v>
      </c>
      <c r="B86" s="121">
        <f>IF(C86="","",SUM(C86:F86))</f>
        <v/>
      </c>
      <c r="C86" s="170" t="n"/>
      <c r="D86" s="170" t="n"/>
      <c r="E86" s="170" t="n"/>
      <c r="F86" s="170" t="n"/>
      <c r="H86" s="11">
        <f>A86</f>
        <v/>
      </c>
      <c r="I86" s="121">
        <f>IF(J86="","",SUM(J86:M86))</f>
        <v/>
      </c>
      <c r="J86" s="121" t="n"/>
      <c r="K86" s="121" t="n"/>
      <c r="L86" s="121" t="n"/>
      <c r="M86" s="121" t="n"/>
      <c r="O86" s="11">
        <f>H86</f>
        <v/>
      </c>
      <c r="P86" s="28">
        <f>IF(I86="","",I86/消费汇总!I87)</f>
        <v/>
      </c>
      <c r="Q86" s="28">
        <f>IF(J86="","",J86/二级地市消费汇总!C88)</f>
        <v/>
      </c>
      <c r="R86" s="28">
        <f>IF(K86="","",新单数据!K86/二级地市消费汇总!M88)</f>
        <v/>
      </c>
      <c r="S86" s="28">
        <f>IF(L86="","",L86/二级地市消费汇总!W88)</f>
        <v/>
      </c>
      <c r="T86" s="28">
        <f>IF(M86="","",M86/二级地市消费汇总!AG88)</f>
        <v/>
      </c>
      <c r="V86" s="11">
        <f>O86</f>
        <v/>
      </c>
      <c r="W86" s="168">
        <f>IF(X86="","",SUM(X86:AA86))</f>
        <v/>
      </c>
      <c r="X86" s="32" t="n"/>
      <c r="Y86" s="32" t="n"/>
      <c r="Z86" s="32" t="n"/>
      <c r="AA86" s="32" t="n"/>
    </row>
    <row r="87">
      <c r="A87" s="11" t="n">
        <v>45281</v>
      </c>
      <c r="B87" s="121">
        <f>IF(C87="","",SUM(C87:F87))</f>
        <v/>
      </c>
      <c r="C87" s="170" t="n"/>
      <c r="D87" s="170" t="n"/>
      <c r="E87" s="170" t="n"/>
      <c r="F87" s="170" t="n"/>
      <c r="H87" s="11">
        <f>A87</f>
        <v/>
      </c>
      <c r="I87" s="121">
        <f>IF(J87="","",SUM(J87:M87))</f>
        <v/>
      </c>
      <c r="J87" s="121" t="n"/>
      <c r="K87" s="121" t="n"/>
      <c r="L87" s="121" t="n"/>
      <c r="M87" s="121" t="n"/>
      <c r="O87" s="11">
        <f>H87</f>
        <v/>
      </c>
      <c r="P87" s="28">
        <f>IF(I87="","",I87/消费汇总!I88)</f>
        <v/>
      </c>
      <c r="Q87" s="28">
        <f>IF(J87="","",J87/二级地市消费汇总!C89)</f>
        <v/>
      </c>
      <c r="R87" s="28">
        <f>IF(K87="","",新单数据!K87/二级地市消费汇总!M89)</f>
        <v/>
      </c>
      <c r="S87" s="28">
        <f>IF(L87="","",L87/二级地市消费汇总!W89)</f>
        <v/>
      </c>
      <c r="T87" s="28">
        <f>IF(M87="","",M87/二级地市消费汇总!AG89)</f>
        <v/>
      </c>
      <c r="V87" s="11">
        <f>O87</f>
        <v/>
      </c>
      <c r="W87" s="168">
        <f>IF(X87="","",SUM(X87:AA87))</f>
        <v/>
      </c>
      <c r="X87" s="32" t="n"/>
      <c r="Y87" s="32" t="n"/>
      <c r="Z87" s="32" t="n"/>
      <c r="AA87" s="32" t="n"/>
    </row>
    <row r="88">
      <c r="A88" s="11" t="n">
        <v>45282</v>
      </c>
      <c r="B88" s="121">
        <f>IF(C88="","",SUM(C88:F88))</f>
        <v/>
      </c>
      <c r="C88" s="170" t="n"/>
      <c r="D88" s="170" t="n"/>
      <c r="E88" s="170" t="n"/>
      <c r="F88" s="170" t="n"/>
      <c r="H88" s="11">
        <f>A88</f>
        <v/>
      </c>
      <c r="I88" s="121">
        <f>IF(J88="","",SUM(J88:M88))</f>
        <v/>
      </c>
      <c r="J88" s="121" t="n"/>
      <c r="K88" s="121" t="n"/>
      <c r="L88" s="121" t="n"/>
      <c r="M88" s="121" t="n"/>
      <c r="O88" s="11">
        <f>H88</f>
        <v/>
      </c>
      <c r="P88" s="28">
        <f>IF(I88="","",I88/消费汇总!I89)</f>
        <v/>
      </c>
      <c r="Q88" s="28">
        <f>IF(J88="","",J88/二级地市消费汇总!C90)</f>
        <v/>
      </c>
      <c r="R88" s="28">
        <f>IF(K88="","",新单数据!K88/二级地市消费汇总!M90)</f>
        <v/>
      </c>
      <c r="S88" s="28">
        <f>IF(L88="","",L88/二级地市消费汇总!W90)</f>
        <v/>
      </c>
      <c r="T88" s="28">
        <f>IF(M88="","",M88/二级地市消费汇总!AG90)</f>
        <v/>
      </c>
      <c r="V88" s="11">
        <f>O88</f>
        <v/>
      </c>
      <c r="W88" s="168">
        <f>IF(X88="","",SUM(X88:AA88))</f>
        <v/>
      </c>
      <c r="X88" s="32" t="n"/>
      <c r="Y88" s="32" t="n"/>
      <c r="Z88" s="32" t="n"/>
      <c r="AA88" s="32" t="n"/>
    </row>
    <row r="89">
      <c r="A89" s="11" t="n">
        <v>45283</v>
      </c>
      <c r="B89" s="121">
        <f>IF(C89="","",SUM(C89:F89))</f>
        <v/>
      </c>
      <c r="C89" s="170" t="n"/>
      <c r="D89" s="170" t="n"/>
      <c r="E89" s="170" t="n"/>
      <c r="F89" s="170" t="n"/>
      <c r="H89" s="11">
        <f>A89</f>
        <v/>
      </c>
      <c r="I89" s="121">
        <f>IF(J89="","",SUM(J89:M89))</f>
        <v/>
      </c>
      <c r="J89" s="121" t="n"/>
      <c r="K89" s="121" t="n"/>
      <c r="L89" s="121" t="n"/>
      <c r="M89" s="121" t="n"/>
      <c r="O89" s="11">
        <f>H89</f>
        <v/>
      </c>
      <c r="P89" s="28">
        <f>IF(I89="","",I89/消费汇总!I90)</f>
        <v/>
      </c>
      <c r="Q89" s="28">
        <f>IF(J89="","",J89/二级地市消费汇总!C91)</f>
        <v/>
      </c>
      <c r="R89" s="28">
        <f>IF(K89="","",新单数据!K89/二级地市消费汇总!M91)</f>
        <v/>
      </c>
      <c r="S89" s="28">
        <f>IF(L89="","",L89/二级地市消费汇总!W91)</f>
        <v/>
      </c>
      <c r="T89" s="28">
        <f>IF(M89="","",M89/二级地市消费汇总!AG91)</f>
        <v/>
      </c>
      <c r="V89" s="11">
        <f>O89</f>
        <v/>
      </c>
      <c r="W89" s="168">
        <f>IF(X89="","",SUM(X89:AA89))</f>
        <v/>
      </c>
      <c r="X89" s="32" t="n"/>
      <c r="Y89" s="32" t="n"/>
      <c r="Z89" s="32" t="n"/>
      <c r="AA89" s="32" t="n"/>
      <c r="AB89" s="13" t="n">
        <v>0</v>
      </c>
    </row>
    <row r="90">
      <c r="A90" s="11" t="n">
        <v>45284</v>
      </c>
      <c r="B90" s="121">
        <f>IF(C90="","",SUM(C90:F90))</f>
        <v/>
      </c>
      <c r="C90" s="170" t="n"/>
      <c r="D90" s="170" t="n"/>
      <c r="E90" s="170" t="n"/>
      <c r="F90" s="170" t="n"/>
      <c r="H90" s="11">
        <f>A90</f>
        <v/>
      </c>
      <c r="I90" s="121">
        <f>IF(J90="","",SUM(J90:M90))</f>
        <v/>
      </c>
      <c r="J90" s="121" t="n"/>
      <c r="K90" s="121" t="n"/>
      <c r="L90" s="121" t="n"/>
      <c r="M90" s="121" t="n"/>
      <c r="O90" s="11">
        <f>H90</f>
        <v/>
      </c>
      <c r="P90" s="28">
        <f>IF(I90="","",I90/消费汇总!I91)</f>
        <v/>
      </c>
      <c r="Q90" s="28">
        <f>IF(J90="","",J90/二级地市消费汇总!C92)</f>
        <v/>
      </c>
      <c r="R90" s="28">
        <f>IF(K90="","",新单数据!K90/二级地市消费汇总!M92)</f>
        <v/>
      </c>
      <c r="S90" s="28">
        <f>IF(L90="","",L90/二级地市消费汇总!W92)</f>
        <v/>
      </c>
      <c r="T90" s="28">
        <f>IF(M90="","",M90/二级地市消费汇总!AG92)</f>
        <v/>
      </c>
      <c r="V90" s="11">
        <f>O90</f>
        <v/>
      </c>
      <c r="W90" s="168">
        <f>IF(X90="","",SUM(X90:AA90))</f>
        <v/>
      </c>
      <c r="X90" s="32" t="n"/>
      <c r="Y90" s="32" t="n"/>
      <c r="Z90" s="32" t="n"/>
      <c r="AA90" s="32" t="n"/>
      <c r="AB90" s="13" t="n">
        <v>0</v>
      </c>
    </row>
    <row r="91">
      <c r="A91" s="11" t="n">
        <v>45285</v>
      </c>
      <c r="B91" s="121">
        <f>IF(C91="","",SUM(C91:F91))</f>
        <v/>
      </c>
      <c r="C91" s="170" t="n"/>
      <c r="D91" s="170" t="n"/>
      <c r="E91" s="170" t="n"/>
      <c r="F91" s="170" t="n"/>
      <c r="H91" s="11">
        <f>A91</f>
        <v/>
      </c>
      <c r="I91" s="121">
        <f>IF(J91="","",SUM(J91:M91))</f>
        <v/>
      </c>
      <c r="J91" s="121" t="n"/>
      <c r="K91" s="121" t="n"/>
      <c r="L91" s="121" t="n"/>
      <c r="M91" s="121" t="n"/>
      <c r="O91" s="11">
        <f>H91</f>
        <v/>
      </c>
      <c r="P91" s="28">
        <f>IF(I91="","",I91/消费汇总!I92)</f>
        <v/>
      </c>
      <c r="Q91" s="28">
        <f>IF(J91="","",J91/二级地市消费汇总!C93)</f>
        <v/>
      </c>
      <c r="R91" s="28">
        <f>IF(K91="","",新单数据!K91/二级地市消费汇总!M93)</f>
        <v/>
      </c>
      <c r="S91" s="28">
        <f>IF(L91="","",L91/二级地市消费汇总!W93)</f>
        <v/>
      </c>
      <c r="T91" s="28">
        <f>IF(M91="","",M91/二级地市消费汇总!AG93)</f>
        <v/>
      </c>
      <c r="V91" s="11">
        <f>O91</f>
        <v/>
      </c>
      <c r="W91" s="168">
        <f>IF(X91="","",SUM(X91:AA91))</f>
        <v/>
      </c>
      <c r="X91" s="32" t="n"/>
      <c r="Y91" s="32" t="n"/>
      <c r="Z91" s="32" t="n"/>
      <c r="AA91" s="32" t="n"/>
      <c r="AB91" s="13" t="n">
        <v>0</v>
      </c>
    </row>
    <row r="92">
      <c r="A92" s="11" t="n">
        <v>45286</v>
      </c>
      <c r="B92" s="121">
        <f>IF(C92="","",SUM(C92:F92))</f>
        <v/>
      </c>
      <c r="C92" s="170" t="n"/>
      <c r="D92" s="170" t="n"/>
      <c r="E92" s="170" t="n"/>
      <c r="F92" s="170" t="n"/>
      <c r="H92" s="11">
        <f>A92</f>
        <v/>
      </c>
      <c r="I92" s="121">
        <f>IF(J92="","",SUM(J92:M92))</f>
        <v/>
      </c>
      <c r="J92" s="121" t="n"/>
      <c r="K92" s="121" t="n"/>
      <c r="L92" s="121" t="n"/>
      <c r="M92" s="121" t="n"/>
      <c r="O92" s="11">
        <f>H92</f>
        <v/>
      </c>
      <c r="P92" s="28">
        <f>IF(I92="","",I92/消费汇总!I93)</f>
        <v/>
      </c>
      <c r="Q92" s="28">
        <f>IF(J92="","",J92/二级地市消费汇总!C94)</f>
        <v/>
      </c>
      <c r="R92" s="28">
        <f>IF(K92="","",新单数据!K92/二级地市消费汇总!M94)</f>
        <v/>
      </c>
      <c r="S92" s="28">
        <f>IF(L92="","",L92/二级地市消费汇总!W94)</f>
        <v/>
      </c>
      <c r="T92" s="28">
        <f>IF(M92="","",M92/二级地市消费汇总!AG94)</f>
        <v/>
      </c>
      <c r="V92" s="11">
        <f>O92</f>
        <v/>
      </c>
      <c r="W92" s="168">
        <f>IF(X92="","",SUM(X92:AA92))</f>
        <v/>
      </c>
      <c r="X92" s="32" t="n"/>
      <c r="Y92" s="32" t="n"/>
      <c r="Z92" s="32" t="n"/>
      <c r="AA92" s="32" t="n"/>
    </row>
    <row r="93">
      <c r="A93" s="11" t="n">
        <v>45287</v>
      </c>
      <c r="B93" s="121">
        <f>IF(C93="","",SUM(C93:F93))</f>
        <v/>
      </c>
      <c r="C93" s="170" t="n"/>
      <c r="D93" s="170" t="n"/>
      <c r="E93" s="170" t="n"/>
      <c r="F93" s="170" t="n"/>
      <c r="H93" s="11">
        <f>A93</f>
        <v/>
      </c>
      <c r="I93" s="121">
        <f>IF(J93="","",SUM(J93:M93))</f>
        <v/>
      </c>
      <c r="J93" s="121" t="n"/>
      <c r="K93" s="121" t="n"/>
      <c r="L93" s="121" t="n"/>
      <c r="M93" s="121" t="n"/>
      <c r="O93" s="11">
        <f>H93</f>
        <v/>
      </c>
      <c r="P93" s="28">
        <f>IF(I93="","",I93/消费汇总!I94)</f>
        <v/>
      </c>
      <c r="Q93" s="28">
        <f>IF(J93="","",J93/二级地市消费汇总!C95)</f>
        <v/>
      </c>
      <c r="R93" s="28">
        <f>IF(K93="","",新单数据!K93/二级地市消费汇总!M95)</f>
        <v/>
      </c>
      <c r="S93" s="28">
        <f>IF(L93="","",L93/二级地市消费汇总!W95)</f>
        <v/>
      </c>
      <c r="T93" s="28">
        <f>IF(M93="","",M93/二级地市消费汇总!AG95)</f>
        <v/>
      </c>
      <c r="V93" s="11">
        <f>O93</f>
        <v/>
      </c>
      <c r="W93" s="168">
        <f>IF(X93="","",SUM(X93:AA93))</f>
        <v/>
      </c>
      <c r="X93" s="32" t="n"/>
      <c r="Y93" s="32" t="n"/>
      <c r="Z93" s="32" t="n"/>
      <c r="AA93" s="32" t="n"/>
    </row>
    <row r="94">
      <c r="A94" s="11" t="n">
        <v>45288</v>
      </c>
      <c r="B94" s="121">
        <f>IF(C94="","",SUM(C94:F94))</f>
        <v/>
      </c>
      <c r="C94" s="170" t="n"/>
      <c r="D94" s="170" t="n"/>
      <c r="E94" s="170" t="n"/>
      <c r="F94" s="170" t="n"/>
      <c r="H94" s="11">
        <f>A94</f>
        <v/>
      </c>
      <c r="I94" s="121">
        <f>IF(J94="","",SUM(J94:M94))</f>
        <v/>
      </c>
      <c r="J94" s="121" t="n"/>
      <c r="K94" s="121" t="n"/>
      <c r="L94" s="121" t="n"/>
      <c r="M94" s="121" t="n"/>
      <c r="O94" s="11">
        <f>H94</f>
        <v/>
      </c>
      <c r="P94" s="28">
        <f>IF(I94="","",I94/消费汇总!I95)</f>
        <v/>
      </c>
      <c r="Q94" s="28">
        <f>IF(J94="","",J94/二级地市消费汇总!C96)</f>
        <v/>
      </c>
      <c r="R94" s="28">
        <f>IF(K94="","",新单数据!K94/二级地市消费汇总!M96)</f>
        <v/>
      </c>
      <c r="S94" s="28">
        <f>IF(L94="","",L94/二级地市消费汇总!W96)</f>
        <v/>
      </c>
      <c r="T94" s="28">
        <f>IF(M94="","",M94/二级地市消费汇总!AG96)</f>
        <v/>
      </c>
      <c r="V94" s="11">
        <f>O94</f>
        <v/>
      </c>
      <c r="W94" s="168">
        <f>IF(X94="","",SUM(X94:AA94))</f>
        <v/>
      </c>
      <c r="X94" s="32" t="n"/>
      <c r="Y94" s="32" t="n"/>
      <c r="Z94" s="32" t="n"/>
      <c r="AA94" s="32" t="n"/>
    </row>
    <row r="95">
      <c r="A95" s="11" t="n">
        <v>45289</v>
      </c>
      <c r="B95" s="121">
        <f>IF(C95="","",SUM(C95:F95))</f>
        <v/>
      </c>
      <c r="C95" s="170" t="n"/>
      <c r="D95" s="170" t="n"/>
      <c r="E95" s="170" t="n"/>
      <c r="F95" s="170" t="n"/>
      <c r="H95" s="11">
        <f>A95</f>
        <v/>
      </c>
      <c r="I95" s="121">
        <f>IF(J95="","",SUM(J95:M95))</f>
        <v/>
      </c>
      <c r="J95" s="121" t="n"/>
      <c r="K95" s="121" t="n"/>
      <c r="L95" s="121" t="n"/>
      <c r="M95" s="121" t="n"/>
      <c r="O95" s="11">
        <f>H95</f>
        <v/>
      </c>
      <c r="P95" s="28">
        <f>IF(I95="","",I95/消费汇总!I96)</f>
        <v/>
      </c>
      <c r="Q95" s="28">
        <f>IF(J95="","",J95/二级地市消费汇总!C97)</f>
        <v/>
      </c>
      <c r="R95" s="28">
        <f>IF(K95="","",新单数据!K95/二级地市消费汇总!M97)</f>
        <v/>
      </c>
      <c r="S95" s="28">
        <f>IF(L95="","",L95/二级地市消费汇总!W97)</f>
        <v/>
      </c>
      <c r="T95" s="28">
        <f>IF(M95="","",M95/二级地市消费汇总!AG97)</f>
        <v/>
      </c>
      <c r="V95" s="11">
        <f>O95</f>
        <v/>
      </c>
      <c r="W95" s="168">
        <f>IF(X95="","",SUM(X95:AA95))</f>
        <v/>
      </c>
      <c r="X95" s="32" t="n"/>
      <c r="Y95" s="32" t="n"/>
      <c r="Z95" s="32" t="n"/>
      <c r="AA95" s="32" t="n"/>
    </row>
    <row r="96">
      <c r="A96" s="11" t="n">
        <v>45290</v>
      </c>
      <c r="B96" s="121">
        <f>IF(C96="","",SUM(C96:F96))</f>
        <v/>
      </c>
      <c r="C96" s="170" t="n"/>
      <c r="D96" s="170" t="n"/>
      <c r="E96" s="170" t="n"/>
      <c r="F96" s="170" t="n"/>
      <c r="H96" s="11">
        <f>A96</f>
        <v/>
      </c>
      <c r="I96" s="121">
        <f>IF(J96="","",SUM(J96:M96))</f>
        <v/>
      </c>
      <c r="J96" s="121" t="n"/>
      <c r="K96" s="121" t="n"/>
      <c r="L96" s="121" t="n"/>
      <c r="M96" s="121" t="n"/>
      <c r="O96" s="11">
        <f>H96</f>
        <v/>
      </c>
      <c r="P96" s="28">
        <f>IF(I96="","",I96/消费汇总!I97)</f>
        <v/>
      </c>
      <c r="Q96" s="28">
        <f>IF(J96="","",J96/二级地市消费汇总!C98)</f>
        <v/>
      </c>
      <c r="R96" s="28">
        <f>IF(K96="","",新单数据!K96/二级地市消费汇总!M98)</f>
        <v/>
      </c>
      <c r="S96" s="28">
        <f>IF(L96="","",L96/二级地市消费汇总!W98)</f>
        <v/>
      </c>
      <c r="T96" s="28">
        <f>IF(M96="","",M96/二级地市消费汇总!AG98)</f>
        <v/>
      </c>
      <c r="V96" s="11">
        <f>O96</f>
        <v/>
      </c>
      <c r="W96" s="168">
        <f>IF(X96="","",SUM(X96:AA96))</f>
        <v/>
      </c>
      <c r="X96" s="32" t="n"/>
      <c r="Y96" s="32" t="n"/>
      <c r="Z96" s="32" t="n"/>
      <c r="AA96" s="32" t="n"/>
    </row>
    <row r="97">
      <c r="A97" s="11" t="n">
        <v>45291</v>
      </c>
      <c r="B97" s="121">
        <f>IF(C97="","",SUM(C97:F97))</f>
        <v/>
      </c>
      <c r="C97" s="170" t="n"/>
      <c r="D97" s="170" t="n"/>
      <c r="E97" s="170" t="n"/>
      <c r="F97" s="170" t="n"/>
      <c r="H97" s="11">
        <f>A97</f>
        <v/>
      </c>
      <c r="I97" s="121">
        <f>IF(J97="","",SUM(J97:M97))</f>
        <v/>
      </c>
      <c r="J97" s="121" t="n"/>
      <c r="K97" s="121" t="n"/>
      <c r="L97" s="121" t="n"/>
      <c r="M97" s="121" t="n"/>
      <c r="O97" s="11">
        <f>H97</f>
        <v/>
      </c>
      <c r="P97" s="28">
        <f>IF(I97="","",I97/消费汇总!I98)</f>
        <v/>
      </c>
      <c r="Q97" s="28">
        <f>IF(J97="","",J97/二级地市消费汇总!C99)</f>
        <v/>
      </c>
      <c r="R97" s="28">
        <f>IF(K97="","",新单数据!K97/二级地市消费汇总!M99)</f>
        <v/>
      </c>
      <c r="S97" s="28">
        <f>IF(L97="","",L97/二级地市消费汇总!W99)</f>
        <v/>
      </c>
      <c r="T97" s="28">
        <f>IF(M97="","",M97/二级地市消费汇总!AG99)</f>
        <v/>
      </c>
      <c r="V97" s="11">
        <f>O97</f>
        <v/>
      </c>
      <c r="W97" s="168">
        <f>IF(X97="","",SUM(X97:AA97))</f>
        <v/>
      </c>
      <c r="X97" s="32" t="n"/>
      <c r="Y97" s="32" t="n"/>
      <c r="Z97" s="32" t="n"/>
      <c r="AA97" s="32" t="n"/>
    </row>
  </sheetData>
  <conditionalFormatting sqref="A6:A97 H6:H97 O6:O97 V6:V97">
    <cfRule type="expression" priority="14" dxfId="10">
      <formula>OR(WEEKDAY(A6)=1,WEEKDAY(A6)=7)</formula>
    </cfRule>
  </conditionalFormatting>
  <pageMargins left="0.699305555555556" right="0.699305555555556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tabColor rgb="FF002060"/>
    <outlinePr summaryBelow="1" summaryRight="1"/>
    <pageSetUpPr/>
  </sheetPr>
  <dimension ref="A1:H98"/>
  <sheetViews>
    <sheetView showGridLines="0" workbookViewId="0">
      <pane ySplit="6" topLeftCell="A19" activePane="bottomLeft" state="frozen"/>
      <selection activeCell="A1" sqref="A1"/>
      <selection pane="bottomLeft" activeCell="B5" sqref="B5:H5"/>
    </sheetView>
  </sheetViews>
  <sheetFormatPr baseColWidth="8" defaultColWidth="9" defaultRowHeight="13.5"/>
  <cols>
    <col width="12.75" customWidth="1" style="146" min="2" max="2"/>
    <col width="10.25" customWidth="1" style="146" min="3" max="3"/>
    <col width="10.5" customWidth="1" style="146" min="4" max="4"/>
    <col width="12.75" customWidth="1" style="146" min="5" max="5"/>
    <col width="10.375" customWidth="1" style="146" min="6" max="6"/>
    <col width="10.5" customWidth="1" style="146" min="7" max="7"/>
    <col width="11.125" customWidth="1" style="146" min="8" max="8"/>
  </cols>
  <sheetData>
    <row r="1" ht="17.25" customHeight="1" s="34">
      <c r="A1" s="3" t="inlineStr">
        <is>
          <t>潜力行业</t>
        </is>
      </c>
      <c r="B1" s="4" t="n"/>
      <c r="C1" s="4" t="n"/>
      <c r="D1" s="4" t="n"/>
      <c r="E1" s="4" t="n"/>
      <c r="F1" s="4" t="n"/>
      <c r="G1" s="4" t="n"/>
      <c r="H1" s="4" t="n"/>
    </row>
    <row r="2" ht="16.5" customFormat="1" customHeight="1" s="1">
      <c r="A2" s="5" t="n"/>
      <c r="B2" s="173" t="inlineStr">
        <is>
          <t>整体消费</t>
        </is>
      </c>
      <c r="C2" s="173" t="inlineStr">
        <is>
          <t>整形美容</t>
        </is>
      </c>
      <c r="D2" s="173" t="inlineStr">
        <is>
          <t>口腔科</t>
        </is>
      </c>
      <c r="E2" s="173" t="inlineStr">
        <is>
          <t>眼科</t>
        </is>
      </c>
      <c r="F2" s="173" t="inlineStr">
        <is>
          <t>职业培训</t>
        </is>
      </c>
      <c r="G2" s="173" t="inlineStr">
        <is>
          <t>房地产开发商</t>
        </is>
      </c>
      <c r="H2" s="173" t="inlineStr">
        <is>
          <t>房产中介</t>
        </is>
      </c>
    </row>
    <row r="3" ht="16.5" customFormat="1" customHeight="1" s="1">
      <c r="A3" s="174" t="inlineStr">
        <is>
          <t>2023Q4</t>
        </is>
      </c>
      <c r="B3" s="175">
        <f>IF(B4="","",SUM(B4:B6))</f>
        <v/>
      </c>
      <c r="C3" s="175">
        <f>IF(C4="","",SUM(C4:C6))</f>
        <v/>
      </c>
      <c r="D3" s="175">
        <f>IF(D4="","",SUM(D4:D6))</f>
        <v/>
      </c>
      <c r="E3" s="175">
        <f>IF(E4="","",SUM(E4:E6))</f>
        <v/>
      </c>
      <c r="F3" s="175">
        <f>IF(F4="","",SUM(F4:F6))</f>
        <v/>
      </c>
      <c r="G3" s="175">
        <f>IF(G4="","",SUM(G4:G6))</f>
        <v/>
      </c>
      <c r="H3" s="175">
        <f>IF(H4="","",SUM(H4:H6))</f>
        <v/>
      </c>
    </row>
    <row r="4" ht="16.5" customFormat="1" customHeight="1" s="1">
      <c r="A4" s="9" t="inlineStr">
        <is>
          <t>10月份</t>
        </is>
      </c>
      <c r="B4" s="157">
        <f>IF(B7="","",SUM(B7:B37))</f>
        <v/>
      </c>
      <c r="C4" s="157">
        <f>IF(C7="","",SUM(C7:C37))</f>
        <v/>
      </c>
      <c r="D4" s="157">
        <f>IF(D7="","",SUM(D7:D37))</f>
        <v/>
      </c>
      <c r="E4" s="157">
        <f>IF(E7="","",SUM(E7:E37))</f>
        <v/>
      </c>
      <c r="F4" s="157">
        <f>IF(F7="","",SUM(F7:F37))</f>
        <v/>
      </c>
      <c r="G4" s="157">
        <f>IF(G7="","",SUM(G7:G37))</f>
        <v/>
      </c>
      <c r="H4" s="157">
        <f>IF(H7="","",SUM(H7:H37))</f>
        <v/>
      </c>
    </row>
    <row r="5" ht="16.5" customFormat="1" customHeight="1" s="1">
      <c r="A5" s="9" t="inlineStr">
        <is>
          <t>11月份</t>
        </is>
      </c>
      <c r="B5" s="157">
        <f>IF(B38="","",SUM(B38:B67))</f>
        <v/>
      </c>
      <c r="C5" s="157">
        <f>IF(C38="","",SUM(C38:C67))</f>
        <v/>
      </c>
      <c r="D5" s="157">
        <f>IF(D38="","",SUM(D38:D67))</f>
        <v/>
      </c>
      <c r="E5" s="157">
        <f>IF(E38="","",SUM(E38:E67))</f>
        <v/>
      </c>
      <c r="F5" s="157">
        <f>IF(F38="","",SUM(F38:F67))</f>
        <v/>
      </c>
      <c r="G5" s="157">
        <f>IF(G38="","",SUM(G38:G67))</f>
        <v/>
      </c>
      <c r="H5" s="157">
        <f>IF(H38="","",SUM(H38:H67))</f>
        <v/>
      </c>
    </row>
    <row r="6" ht="16.5" customHeight="1" s="34">
      <c r="A6" s="9" t="inlineStr">
        <is>
          <t>12月份</t>
        </is>
      </c>
      <c r="B6" s="157">
        <f>IF(B68="","",SUM(B68:B97))</f>
        <v/>
      </c>
      <c r="C6" s="157">
        <f>IF(C68="","",SUM(C68:C97))</f>
        <v/>
      </c>
      <c r="D6" s="157">
        <f>IF(D68="","",SUM(D68:D97))</f>
        <v/>
      </c>
      <c r="E6" s="157">
        <f>IF(E68="","",SUM(E68:E97))</f>
        <v/>
      </c>
      <c r="F6" s="157">
        <f>IF(F68="","",SUM(F68:F97))</f>
        <v/>
      </c>
      <c r="G6" s="157">
        <f>IF(G68="","",SUM(G68:G97))</f>
        <v/>
      </c>
      <c r="H6" s="157">
        <f>IF(H68="","",SUM(H68:H97))</f>
        <v/>
      </c>
    </row>
    <row r="7" ht="16.5" customHeight="1" s="34">
      <c r="A7" s="11" t="n">
        <v>45200</v>
      </c>
      <c r="B7" s="176" t="n">
        <v>446520.57</v>
      </c>
      <c r="C7" s="176" t="n">
        <v>370144.72</v>
      </c>
      <c r="D7" s="176" t="n">
        <v>0</v>
      </c>
      <c r="E7" s="176" t="n">
        <v>46251.52</v>
      </c>
      <c r="F7" s="176" t="n">
        <v>12326.87</v>
      </c>
      <c r="G7" s="176" t="n">
        <v>373.98</v>
      </c>
      <c r="H7" s="176" t="n">
        <v>17423.48</v>
      </c>
    </row>
    <row r="8" ht="16.5" customHeight="1" s="34">
      <c r="A8" s="11" t="n">
        <v>45201</v>
      </c>
      <c r="B8" s="176" t="n">
        <v>478374.21</v>
      </c>
      <c r="C8" s="176" t="n">
        <v>402095.05</v>
      </c>
      <c r="D8" s="176" t="n">
        <v>0</v>
      </c>
      <c r="E8" s="176" t="n">
        <v>47920.55</v>
      </c>
      <c r="F8" s="176" t="n">
        <v>11550.01</v>
      </c>
      <c r="G8" s="176" t="n">
        <v>382.26</v>
      </c>
      <c r="H8" s="176" t="n">
        <v>16426.34</v>
      </c>
    </row>
    <row r="9" ht="16.5" customHeight="1" s="34">
      <c r="A9" s="11" t="n">
        <v>45202</v>
      </c>
      <c r="B9" s="176" t="n">
        <v>465538.82</v>
      </c>
      <c r="C9" s="176" t="n">
        <v>389410.6</v>
      </c>
      <c r="D9" s="176" t="n">
        <v>0</v>
      </c>
      <c r="E9" s="176" t="n">
        <v>47945.15</v>
      </c>
      <c r="F9" s="176" t="n">
        <v>11210.54</v>
      </c>
      <c r="G9" s="176" t="n">
        <v>425.08</v>
      </c>
      <c r="H9" s="176" t="n">
        <v>16547.45</v>
      </c>
    </row>
    <row r="10" ht="16.5" customHeight="1" s="34">
      <c r="A10" s="11" t="n">
        <v>45203</v>
      </c>
      <c r="B10" s="176" t="n">
        <v>448489.81</v>
      </c>
      <c r="C10" s="176" t="n">
        <v>367280.19</v>
      </c>
      <c r="D10" s="176" t="n">
        <v>0</v>
      </c>
      <c r="E10" s="176" t="n">
        <v>50305.02</v>
      </c>
      <c r="F10" s="176" t="n">
        <v>15930.43</v>
      </c>
      <c r="G10" s="176" t="n">
        <v>547.12</v>
      </c>
      <c r="H10" s="176" t="n">
        <v>14427.05</v>
      </c>
    </row>
    <row r="11" ht="16.5" customHeight="1" s="34">
      <c r="A11" s="11" t="n">
        <v>45204</v>
      </c>
      <c r="B11" s="176" t="n">
        <v>383679.35</v>
      </c>
      <c r="C11" s="176" t="n">
        <v>311497.67</v>
      </c>
      <c r="D11" s="176" t="n">
        <v>0</v>
      </c>
      <c r="E11" s="176" t="n">
        <v>46702.01</v>
      </c>
      <c r="F11" s="176" t="n">
        <v>13869.54</v>
      </c>
      <c r="G11" s="176" t="n">
        <v>397.04</v>
      </c>
      <c r="H11" s="176" t="n">
        <v>11213.09</v>
      </c>
    </row>
    <row r="12" ht="16.5" customHeight="1" s="34">
      <c r="A12" s="11" t="n">
        <v>45205</v>
      </c>
      <c r="B12" s="176" t="n">
        <v>424427.41</v>
      </c>
      <c r="C12" s="176" t="n">
        <v>352181.85</v>
      </c>
      <c r="D12" s="176" t="n">
        <v>0</v>
      </c>
      <c r="E12" s="176" t="n">
        <v>44495.54</v>
      </c>
      <c r="F12" s="176" t="n">
        <v>18262.54</v>
      </c>
      <c r="G12" s="176" t="n">
        <v>384.06</v>
      </c>
      <c r="H12" s="176" t="n">
        <v>9103.42</v>
      </c>
    </row>
    <row r="13" ht="16.5" customHeight="1" s="34">
      <c r="A13" s="11" t="n">
        <v>45206</v>
      </c>
      <c r="B13" s="176" t="n">
        <v>402450.42</v>
      </c>
      <c r="C13" s="176" t="n">
        <v>308654.16</v>
      </c>
      <c r="D13" s="176" t="n">
        <v>0</v>
      </c>
      <c r="E13" s="176" t="n">
        <v>44740.17</v>
      </c>
      <c r="F13" s="176" t="n">
        <v>38484.05</v>
      </c>
      <c r="G13" s="176" t="n">
        <v>578.92</v>
      </c>
      <c r="H13" s="176" t="n">
        <v>9993.120000000001</v>
      </c>
    </row>
    <row r="14" ht="16.5" customHeight="1" s="34">
      <c r="A14" s="11" t="n">
        <v>45207</v>
      </c>
      <c r="B14" s="176" t="n">
        <v>389314.45</v>
      </c>
      <c r="C14" s="176" t="n">
        <v>300880.3</v>
      </c>
      <c r="D14" s="176" t="n">
        <v>0</v>
      </c>
      <c r="E14" s="176" t="n">
        <v>45625.5</v>
      </c>
      <c r="F14" s="176" t="n">
        <v>33136.88</v>
      </c>
      <c r="G14" s="176" t="n">
        <v>286.48</v>
      </c>
      <c r="H14" s="176" t="n">
        <v>9385.290000000001</v>
      </c>
    </row>
    <row r="15" ht="16.5" customHeight="1" s="34">
      <c r="A15" s="11" t="n">
        <v>45208</v>
      </c>
      <c r="B15" s="176" t="n">
        <v>396030.07</v>
      </c>
      <c r="C15" s="176" t="n">
        <v>313398.08</v>
      </c>
      <c r="D15" s="176" t="n">
        <v>0</v>
      </c>
      <c r="E15" s="176" t="n">
        <v>44012.22</v>
      </c>
      <c r="F15" s="176" t="n">
        <v>30428.28</v>
      </c>
      <c r="G15" s="176" t="n">
        <v>312.24</v>
      </c>
      <c r="H15" s="176" t="n">
        <v>7879.25</v>
      </c>
    </row>
    <row r="16" ht="16.5" customHeight="1" s="34">
      <c r="A16" s="11" t="n">
        <v>45209</v>
      </c>
      <c r="B16" s="176" t="n">
        <v>376746.33</v>
      </c>
      <c r="C16" s="176" t="n">
        <v>289306.75</v>
      </c>
      <c r="D16" s="176" t="n">
        <v>0</v>
      </c>
      <c r="E16" s="176" t="n">
        <v>43788.01</v>
      </c>
      <c r="F16" s="176" t="n">
        <v>34462.82</v>
      </c>
      <c r="G16" s="176" t="n">
        <v>350.42</v>
      </c>
      <c r="H16" s="176" t="n">
        <v>8838.33</v>
      </c>
    </row>
    <row r="17" ht="16.5" customHeight="1" s="34">
      <c r="A17" s="11" t="n">
        <v>45210</v>
      </c>
      <c r="B17" s="176" t="n">
        <v>366326.85</v>
      </c>
      <c r="C17" s="176" t="n">
        <v>282713.51</v>
      </c>
      <c r="D17" s="176" t="n">
        <v>0</v>
      </c>
      <c r="E17" s="176" t="n">
        <v>42366.28</v>
      </c>
      <c r="F17" s="176" t="n">
        <v>31748.36</v>
      </c>
      <c r="G17" s="176" t="n">
        <v>414.07</v>
      </c>
      <c r="H17" s="176" t="n">
        <v>9084.629999999999</v>
      </c>
    </row>
    <row r="18" ht="16.5" customHeight="1" s="34">
      <c r="A18" s="11" t="n">
        <v>45211</v>
      </c>
      <c r="B18" s="176" t="n">
        <v>381516.34</v>
      </c>
      <c r="C18" s="176" t="n">
        <v>298081.34</v>
      </c>
      <c r="D18" s="176" t="n">
        <v>0</v>
      </c>
      <c r="E18" s="176" t="n">
        <v>47121.9</v>
      </c>
      <c r="F18" s="176" t="n">
        <v>27263.56</v>
      </c>
      <c r="G18" s="176" t="n">
        <v>482.44</v>
      </c>
      <c r="H18" s="176" t="n">
        <v>8567.1</v>
      </c>
    </row>
    <row r="19" ht="16.5" customHeight="1" s="34">
      <c r="A19" s="11" t="n">
        <v>45212</v>
      </c>
      <c r="B19" s="176" t="n">
        <v>418579.19</v>
      </c>
      <c r="C19" s="176" t="n">
        <v>330594.91</v>
      </c>
      <c r="D19" s="176" t="n">
        <v>0</v>
      </c>
      <c r="E19" s="176" t="n">
        <v>47348.06</v>
      </c>
      <c r="F19" s="176" t="n">
        <v>28492.45</v>
      </c>
      <c r="G19" s="176" t="n">
        <v>394.33</v>
      </c>
      <c r="H19" s="176" t="n">
        <v>11749.44</v>
      </c>
    </row>
    <row r="20" ht="16.5" customHeight="1" s="34">
      <c r="A20" s="11" t="n">
        <v>45213</v>
      </c>
      <c r="B20" s="176" t="n">
        <v>438183.06</v>
      </c>
      <c r="C20" s="176" t="n">
        <v>343839.19</v>
      </c>
      <c r="D20" s="176" t="n">
        <v>0</v>
      </c>
      <c r="E20" s="176" t="n">
        <v>55434.41</v>
      </c>
      <c r="F20" s="176" t="n">
        <v>25992.08</v>
      </c>
      <c r="G20" s="176" t="n">
        <v>375.24</v>
      </c>
      <c r="H20" s="176" t="n">
        <v>12542.14</v>
      </c>
    </row>
    <row r="21" ht="16.5" customHeight="1" s="34">
      <c r="A21" s="11" t="n">
        <v>45214</v>
      </c>
      <c r="B21" s="176" t="n">
        <v>419287.81</v>
      </c>
      <c r="C21" s="176" t="n">
        <v>325535.07</v>
      </c>
      <c r="D21" s="176" t="n">
        <v>0</v>
      </c>
      <c r="E21" s="176" t="n">
        <v>51451.81</v>
      </c>
      <c r="F21" s="176" t="n">
        <v>28859.21</v>
      </c>
      <c r="G21" s="176" t="n">
        <v>347.69</v>
      </c>
      <c r="H21" s="176" t="n">
        <v>13094.03</v>
      </c>
    </row>
    <row r="22" ht="16.5" customHeight="1" s="34">
      <c r="A22" s="11" t="n">
        <v>45215</v>
      </c>
      <c r="B22" s="176" t="n">
        <v>408759.54</v>
      </c>
      <c r="C22" s="176" t="n">
        <v>314273.66</v>
      </c>
      <c r="D22" s="176" t="n">
        <v>0</v>
      </c>
      <c r="E22" s="176" t="n">
        <v>45206.92</v>
      </c>
      <c r="F22" s="176" t="n">
        <v>38264.36</v>
      </c>
      <c r="G22" s="176" t="n">
        <v>612.5599999999999</v>
      </c>
      <c r="H22" s="176" t="n">
        <v>10402.04</v>
      </c>
    </row>
    <row r="23" ht="16.5" customHeight="1" s="34">
      <c r="A23" s="11" t="n">
        <v>45216</v>
      </c>
      <c r="B23" s="176" t="n">
        <v>403280.84</v>
      </c>
      <c r="C23" s="176" t="n">
        <v>302062.41</v>
      </c>
      <c r="D23" s="176" t="n">
        <v>0</v>
      </c>
      <c r="E23" s="176" t="n">
        <v>47670.99</v>
      </c>
      <c r="F23" s="176" t="n">
        <v>42836.76</v>
      </c>
      <c r="G23" s="176" t="n">
        <v>337.11</v>
      </c>
      <c r="H23" s="176" t="n">
        <v>10373.57</v>
      </c>
    </row>
    <row r="24" ht="16.5" customHeight="1" s="34">
      <c r="A24" s="11" t="n">
        <v>45217</v>
      </c>
      <c r="B24" s="176" t="n">
        <v>403298.91</v>
      </c>
      <c r="C24" s="176" t="n">
        <v>305174.5</v>
      </c>
      <c r="D24" s="176" t="n">
        <v>0</v>
      </c>
      <c r="E24" s="176" t="n">
        <v>50246.95</v>
      </c>
      <c r="F24" s="176" t="n">
        <v>36377</v>
      </c>
      <c r="G24" s="176" t="n">
        <v>309.99</v>
      </c>
      <c r="H24" s="176" t="n">
        <v>11190.47</v>
      </c>
    </row>
    <row r="25" ht="16.5" customHeight="1" s="34">
      <c r="A25" s="11" t="n">
        <v>45218</v>
      </c>
      <c r="B25" s="176" t="n">
        <v>437846.47</v>
      </c>
      <c r="C25" s="176" t="n">
        <v>337225.97</v>
      </c>
      <c r="D25" s="176" t="n">
        <v>0</v>
      </c>
      <c r="E25" s="176" t="n">
        <v>48946.36</v>
      </c>
      <c r="F25" s="176" t="n">
        <v>36844.23</v>
      </c>
      <c r="G25" s="176" t="n">
        <v>514.16</v>
      </c>
      <c r="H25" s="176" t="n">
        <v>14315.75</v>
      </c>
    </row>
    <row r="26" ht="16.5" customHeight="1" s="34">
      <c r="A26" s="11" t="n">
        <v>45219</v>
      </c>
      <c r="B26" s="176" t="n">
        <v>410046.83</v>
      </c>
      <c r="C26" s="176" t="n">
        <v>308547.7</v>
      </c>
      <c r="D26" s="176" t="n">
        <v>0</v>
      </c>
      <c r="E26" s="176" t="n">
        <v>50777.89</v>
      </c>
      <c r="F26" s="176" t="n">
        <v>35610.7</v>
      </c>
      <c r="G26" s="176" t="n">
        <v>350.62</v>
      </c>
      <c r="H26" s="176" t="n">
        <v>14759.92</v>
      </c>
    </row>
    <row r="27" ht="16.5" customHeight="1" s="34">
      <c r="A27" s="11" t="n">
        <v>45220</v>
      </c>
      <c r="B27" s="176" t="n">
        <v>406084.38</v>
      </c>
      <c r="C27" s="176" t="n">
        <v>312067.81</v>
      </c>
      <c r="D27" s="176" t="n">
        <v>0</v>
      </c>
      <c r="E27" s="176" t="n">
        <v>53407.65</v>
      </c>
      <c r="F27" s="176" t="n">
        <v>25050.87</v>
      </c>
      <c r="G27" s="176" t="n">
        <v>340.91</v>
      </c>
      <c r="H27" s="176" t="n">
        <v>15217.14</v>
      </c>
    </row>
    <row r="28" ht="16.5" customHeight="1" s="34">
      <c r="A28" s="11" t="n">
        <v>45221</v>
      </c>
      <c r="B28" s="176" t="n">
        <v>417348.69</v>
      </c>
      <c r="C28" s="176" t="n">
        <v>317554.45</v>
      </c>
      <c r="D28" s="176" t="n">
        <v>0</v>
      </c>
      <c r="E28" s="176" t="n">
        <v>54921.56</v>
      </c>
      <c r="F28" s="176" t="n">
        <v>29340.95</v>
      </c>
      <c r="G28" s="176" t="n">
        <v>369.84</v>
      </c>
      <c r="H28" s="176" t="n">
        <v>15161.89</v>
      </c>
    </row>
    <row r="29" ht="16.5" customHeight="1" s="34">
      <c r="A29" s="11" t="n">
        <v>45222</v>
      </c>
      <c r="B29" s="176" t="n">
        <v>419196.73</v>
      </c>
      <c r="C29" s="176" t="n">
        <v>316058.24</v>
      </c>
      <c r="D29" s="176" t="n">
        <v>0</v>
      </c>
      <c r="E29" s="176" t="n">
        <v>52000.23</v>
      </c>
      <c r="F29" s="176" t="n">
        <v>37117.78</v>
      </c>
      <c r="G29" s="176" t="n">
        <v>398.56</v>
      </c>
      <c r="H29" s="176" t="n">
        <v>13621.92</v>
      </c>
    </row>
    <row r="30" ht="16.5" customHeight="1" s="34">
      <c r="A30" s="11" t="n">
        <v>45223</v>
      </c>
      <c r="B30" s="176" t="n">
        <v>441772.68</v>
      </c>
      <c r="C30" s="176" t="n">
        <v>342775.4</v>
      </c>
      <c r="D30" s="176" t="n">
        <v>0</v>
      </c>
      <c r="E30" s="176" t="n">
        <v>46857.19</v>
      </c>
      <c r="F30" s="176" t="n">
        <v>36860.96</v>
      </c>
      <c r="G30" s="176" t="n">
        <v>339.47</v>
      </c>
      <c r="H30" s="176" t="n">
        <v>14939.66</v>
      </c>
    </row>
    <row r="31" ht="16.5" customHeight="1" s="34">
      <c r="A31" s="11" t="n">
        <v>45224</v>
      </c>
      <c r="B31" s="176" t="n">
        <v>387550.05</v>
      </c>
      <c r="C31" s="176" t="n">
        <v>283966.06</v>
      </c>
      <c r="D31" s="176" t="n">
        <v>0</v>
      </c>
      <c r="E31" s="176" t="n">
        <v>49141.48</v>
      </c>
      <c r="F31" s="176" t="n">
        <v>38958.02</v>
      </c>
      <c r="G31" s="176" t="n">
        <v>260.87</v>
      </c>
      <c r="H31" s="176" t="n">
        <v>15223.62</v>
      </c>
    </row>
    <row r="32" ht="16.5" customHeight="1" s="34">
      <c r="A32" s="11" t="n">
        <v>45225</v>
      </c>
      <c r="B32" s="176" t="n">
        <v>419437.74</v>
      </c>
      <c r="C32" s="176" t="n">
        <v>318235.96</v>
      </c>
      <c r="D32" s="176" t="n">
        <v>0</v>
      </c>
      <c r="E32" s="176" t="n">
        <v>47064.05</v>
      </c>
      <c r="F32" s="176" t="n">
        <v>39140.1</v>
      </c>
      <c r="G32" s="176" t="n">
        <v>368.61</v>
      </c>
      <c r="H32" s="176" t="n">
        <v>14629.02</v>
      </c>
    </row>
    <row r="33" ht="16.5" customHeight="1" s="34">
      <c r="A33" s="11" t="n">
        <v>45226</v>
      </c>
      <c r="B33" s="176" t="n">
        <v>419130.24</v>
      </c>
      <c r="C33" s="176" t="n">
        <v>321550.19</v>
      </c>
      <c r="D33" s="176" t="n">
        <v>0</v>
      </c>
      <c r="E33" s="176" t="n">
        <v>49896.28</v>
      </c>
      <c r="F33" s="176" t="n">
        <v>33679.54</v>
      </c>
      <c r="G33" s="176" t="n">
        <v>324.94</v>
      </c>
      <c r="H33" s="176" t="n">
        <v>13679.29</v>
      </c>
    </row>
    <row r="34" ht="16.5" customHeight="1" s="34">
      <c r="A34" s="11" t="n">
        <v>45227</v>
      </c>
      <c r="B34" s="176" t="n">
        <v>472190.83</v>
      </c>
      <c r="C34" s="176" t="n">
        <v>371617.76</v>
      </c>
      <c r="D34" s="176" t="n">
        <v>0</v>
      </c>
      <c r="E34" s="176" t="n">
        <v>56499.59</v>
      </c>
      <c r="F34" s="176" t="n">
        <v>28503.85</v>
      </c>
      <c r="G34" s="176" t="n">
        <v>292.27</v>
      </c>
      <c r="H34" s="176" t="n">
        <v>15277.36</v>
      </c>
    </row>
    <row r="35" ht="16.5" customHeight="1" s="34">
      <c r="A35" s="11" t="n">
        <v>45228</v>
      </c>
      <c r="B35" s="176" t="n">
        <v>443082.65</v>
      </c>
      <c r="C35" s="176" t="n">
        <v>348325.77</v>
      </c>
      <c r="D35" s="176" t="n">
        <v>0</v>
      </c>
      <c r="E35" s="176" t="n">
        <v>57650.15</v>
      </c>
      <c r="F35" s="176" t="n">
        <v>22917.52</v>
      </c>
      <c r="G35" s="176" t="n">
        <v>197.81</v>
      </c>
      <c r="H35" s="176" t="n">
        <v>13991.4</v>
      </c>
    </row>
    <row r="36" ht="16.5" customHeight="1" s="34">
      <c r="A36" s="11" t="n">
        <v>45229</v>
      </c>
      <c r="B36" s="176" t="n">
        <v>421271.77</v>
      </c>
      <c r="C36" s="176" t="n">
        <v>310677.16</v>
      </c>
      <c r="D36" s="176" t="n">
        <v>0</v>
      </c>
      <c r="E36" s="176" t="n">
        <v>54132.95</v>
      </c>
      <c r="F36" s="176" t="n">
        <v>42403.3</v>
      </c>
      <c r="G36" s="176" t="n">
        <v>314.05</v>
      </c>
      <c r="H36" s="176" t="n">
        <v>13744.31</v>
      </c>
    </row>
    <row r="37" ht="16.5" customHeight="1" s="34">
      <c r="A37" s="11" t="n">
        <v>45230</v>
      </c>
      <c r="B37" s="176" t="n">
        <v>393802.79</v>
      </c>
      <c r="C37" s="176" t="n">
        <v>296835.44</v>
      </c>
      <c r="D37" s="176" t="n">
        <v>0</v>
      </c>
      <c r="E37" s="176" t="n">
        <v>46139.28</v>
      </c>
      <c r="F37" s="176" t="n">
        <v>37653.9</v>
      </c>
      <c r="G37" s="176" t="n">
        <v>333.39</v>
      </c>
      <c r="H37" s="176" t="n">
        <v>12840.78</v>
      </c>
    </row>
    <row r="38" ht="16.5" customHeight="1" s="34">
      <c r="A38" s="11" t="n">
        <v>45231</v>
      </c>
      <c r="B38" s="176" t="n">
        <v>399381.1</v>
      </c>
      <c r="C38" s="176" t="n">
        <v>300982.47</v>
      </c>
      <c r="D38" s="176" t="n">
        <v>0</v>
      </c>
      <c r="E38" s="176" t="n">
        <v>46964.43</v>
      </c>
      <c r="F38" s="176" t="n">
        <v>38502.44999999998</v>
      </c>
      <c r="G38" s="176" t="n">
        <v>312.41</v>
      </c>
      <c r="H38" s="176" t="n">
        <v>12619.34</v>
      </c>
    </row>
    <row r="39" ht="16.5" customHeight="1" s="34">
      <c r="A39" s="11" t="n">
        <v>45232</v>
      </c>
      <c r="B39" s="176" t="n">
        <v>378508.25</v>
      </c>
      <c r="C39" s="176" t="n">
        <v>283984.98</v>
      </c>
      <c r="D39" s="176" t="n">
        <v>0</v>
      </c>
      <c r="E39" s="176" t="n">
        <v>44186.6</v>
      </c>
      <c r="F39" s="176" t="n">
        <v>34597.77</v>
      </c>
      <c r="G39" s="176" t="n">
        <v>284.64</v>
      </c>
      <c r="H39" s="176" t="n">
        <v>15454.26</v>
      </c>
    </row>
    <row r="40" ht="16.5" customHeight="1" s="34">
      <c r="A40" s="11" t="n">
        <v>45233</v>
      </c>
      <c r="B40" s="176" t="n">
        <v>371396.61</v>
      </c>
      <c r="C40" s="176" t="n">
        <v>268414.15</v>
      </c>
      <c r="D40" s="176" t="n">
        <v>0</v>
      </c>
      <c r="E40" s="176" t="n">
        <v>46444.86</v>
      </c>
      <c r="F40" s="176" t="n">
        <v>43484.25999999999</v>
      </c>
      <c r="G40" s="176" t="n">
        <v>245.38</v>
      </c>
      <c r="H40" s="176" t="n">
        <v>12807.96</v>
      </c>
    </row>
    <row r="41" ht="16.5" customHeight="1" s="34">
      <c r="A41" s="11" t="n">
        <v>45234</v>
      </c>
      <c r="B41" s="176" t="n">
        <v>372684.9399999999</v>
      </c>
      <c r="C41" s="176" t="n">
        <v>276245.5499999999</v>
      </c>
      <c r="D41" s="176" t="n">
        <v>0</v>
      </c>
      <c r="E41" s="176" t="n">
        <v>48968.2</v>
      </c>
      <c r="F41" s="176" t="n">
        <v>31465.84</v>
      </c>
      <c r="G41" s="176" t="n">
        <v>243.91</v>
      </c>
      <c r="H41" s="176" t="n">
        <v>15761.44</v>
      </c>
    </row>
    <row r="42" ht="16.5" customHeight="1" s="34">
      <c r="A42" s="11" t="n">
        <v>45235</v>
      </c>
      <c r="B42" s="176" t="n">
        <v>388291.65</v>
      </c>
      <c r="C42" s="176" t="n">
        <v>303088.5600000001</v>
      </c>
      <c r="D42" s="176" t="n">
        <v>0</v>
      </c>
      <c r="E42" s="176" t="n">
        <v>47276.48000000001</v>
      </c>
      <c r="F42" s="176" t="n">
        <v>25599.62</v>
      </c>
      <c r="G42" s="176" t="n">
        <v>184.61</v>
      </c>
      <c r="H42" s="176" t="n">
        <v>12142.38</v>
      </c>
    </row>
    <row r="43" ht="16.5" customHeight="1" s="34">
      <c r="A43" s="11" t="n">
        <v>45236</v>
      </c>
      <c r="B43" s="176" t="n">
        <v>363980.2000000001</v>
      </c>
      <c r="C43" s="176" t="n">
        <v>270345.3500000001</v>
      </c>
      <c r="D43" s="176" t="n">
        <v>0</v>
      </c>
      <c r="E43" s="176" t="n">
        <v>39913.19</v>
      </c>
      <c r="F43" s="176" t="n">
        <v>40102.46999999999</v>
      </c>
      <c r="G43" s="176" t="n">
        <v>181.3</v>
      </c>
      <c r="H43" s="176" t="n">
        <v>13437.89</v>
      </c>
    </row>
    <row r="44" ht="16.5" customHeight="1" s="34">
      <c r="A44" s="11" t="n">
        <v>45237</v>
      </c>
      <c r="B44" s="176" t="n">
        <v>349269.19</v>
      </c>
      <c r="C44" s="176" t="n">
        <v>264687.37</v>
      </c>
      <c r="D44" s="176" t="n">
        <v>0</v>
      </c>
      <c r="E44" s="176" t="n">
        <v>37818.63</v>
      </c>
      <c r="F44" s="176" t="n">
        <v>33674.61000000001</v>
      </c>
      <c r="G44" s="176" t="n">
        <v>279.53</v>
      </c>
      <c r="H44" s="176" t="n">
        <v>12809.05</v>
      </c>
    </row>
    <row r="45" ht="16.5" customHeight="1" s="34">
      <c r="A45" s="11" t="n">
        <v>45238</v>
      </c>
      <c r="B45" s="176" t="n">
        <v>345087.3800000001</v>
      </c>
      <c r="C45" s="176" t="n">
        <v>258637.74</v>
      </c>
      <c r="D45" s="176" t="n">
        <v>0</v>
      </c>
      <c r="E45" s="176" t="n">
        <v>41073.41</v>
      </c>
      <c r="F45" s="176" t="n">
        <v>32951.77</v>
      </c>
      <c r="G45" s="176" t="n">
        <v>287.06</v>
      </c>
      <c r="H45" s="176" t="n">
        <v>12137.4</v>
      </c>
    </row>
    <row r="46" ht="16.5" customHeight="1" s="34">
      <c r="A46" s="11" t="n">
        <v>45239</v>
      </c>
      <c r="B46" s="176" t="n">
        <v>355552.9399999999</v>
      </c>
      <c r="C46" s="176" t="n">
        <v>271148.0499999999</v>
      </c>
      <c r="D46" s="176" t="n">
        <v>0</v>
      </c>
      <c r="E46" s="176" t="n">
        <v>37372.24999999999</v>
      </c>
      <c r="F46" s="176" t="n">
        <v>33503.86</v>
      </c>
      <c r="G46" s="176" t="n">
        <v>270.42</v>
      </c>
      <c r="H46" s="176" t="n">
        <v>13258.36</v>
      </c>
    </row>
    <row r="47" ht="16.5" customHeight="1" s="34">
      <c r="A47" s="11" t="n">
        <v>45240</v>
      </c>
      <c r="B47" s="176" t="n">
        <v>340361.3699999999</v>
      </c>
      <c r="C47" s="176" t="n">
        <v>259617.08</v>
      </c>
      <c r="D47" s="176" t="n">
        <v>0</v>
      </c>
      <c r="E47" s="176" t="n">
        <v>38019.67</v>
      </c>
      <c r="F47" s="176" t="n">
        <v>30724.47</v>
      </c>
      <c r="G47" s="176" t="n">
        <v>205.92</v>
      </c>
      <c r="H47" s="176" t="n">
        <v>11794.23</v>
      </c>
    </row>
    <row r="48" ht="16.5" customHeight="1" s="34">
      <c r="A48" s="11" t="n">
        <v>45241</v>
      </c>
      <c r="B48" s="176" t="n">
        <v>340739.57</v>
      </c>
      <c r="C48" s="176" t="n">
        <v>260164.01</v>
      </c>
      <c r="D48" s="176" t="n">
        <v>0</v>
      </c>
      <c r="E48" s="176" t="n">
        <v>44725.9</v>
      </c>
      <c r="F48" s="176" t="n">
        <v>22735.02000000001</v>
      </c>
      <c r="G48" s="176" t="n">
        <v>342.96</v>
      </c>
      <c r="H48" s="176" t="n">
        <v>12771.68</v>
      </c>
    </row>
    <row r="49" ht="16.5" customHeight="1" s="34">
      <c r="A49" s="11" t="n">
        <v>45242</v>
      </c>
      <c r="B49" s="176" t="n">
        <v>369318.9799999999</v>
      </c>
      <c r="C49" s="176" t="n">
        <v>285266.2899999999</v>
      </c>
      <c r="D49" s="176" t="n">
        <v>0</v>
      </c>
      <c r="E49" s="176" t="n">
        <v>46035.38</v>
      </c>
      <c r="F49" s="176" t="n">
        <v>23903.03999999999</v>
      </c>
      <c r="G49" s="176" t="n">
        <v>282.86</v>
      </c>
      <c r="H49" s="176" t="n">
        <v>13831.41</v>
      </c>
    </row>
    <row r="50" ht="16.5" customHeight="1" s="34">
      <c r="A50" s="11" t="n">
        <v>45243</v>
      </c>
      <c r="B50" s="176" t="n"/>
      <c r="C50" s="176" t="n"/>
      <c r="D50" s="176" t="n"/>
      <c r="E50" s="176" t="n"/>
      <c r="F50" s="176" t="n"/>
      <c r="G50" s="176" t="n"/>
      <c r="H50" s="176" t="n"/>
    </row>
    <row r="51" ht="16.5" customHeight="1" s="34">
      <c r="A51" s="11" t="n">
        <v>45244</v>
      </c>
      <c r="B51" s="176" t="n"/>
      <c r="C51" s="176" t="n"/>
      <c r="D51" s="176" t="n"/>
      <c r="E51" s="176" t="n"/>
      <c r="F51" s="176" t="n"/>
      <c r="G51" s="176" t="n"/>
      <c r="H51" s="176" t="n"/>
    </row>
    <row r="52" ht="16.5" customHeight="1" s="34">
      <c r="A52" s="11" t="n">
        <v>45245</v>
      </c>
      <c r="B52" s="176" t="n"/>
      <c r="C52" s="176" t="n"/>
      <c r="D52" s="176" t="n"/>
      <c r="E52" s="176" t="n"/>
      <c r="F52" s="176" t="n"/>
      <c r="G52" s="176" t="n"/>
      <c r="H52" s="176" t="n"/>
    </row>
    <row r="53" ht="16.5" customHeight="1" s="34">
      <c r="A53" s="11" t="n">
        <v>45246</v>
      </c>
      <c r="B53" s="176" t="n"/>
      <c r="C53" s="176" t="n"/>
      <c r="D53" s="176" t="n"/>
      <c r="E53" s="176" t="n"/>
      <c r="F53" s="176" t="n"/>
      <c r="G53" s="176" t="n"/>
      <c r="H53" s="176" t="n"/>
    </row>
    <row r="54" ht="16.5" customHeight="1" s="34">
      <c r="A54" s="11" t="n">
        <v>45247</v>
      </c>
      <c r="B54" s="176" t="n"/>
      <c r="C54" s="176" t="n"/>
      <c r="D54" s="176" t="n"/>
      <c r="E54" s="176" t="n"/>
      <c r="F54" s="176" t="n"/>
      <c r="G54" s="176" t="n"/>
      <c r="H54" s="176" t="n"/>
    </row>
    <row r="55" ht="16.5" customHeight="1" s="34">
      <c r="A55" s="11" t="n">
        <v>45248</v>
      </c>
      <c r="B55" s="176" t="n"/>
      <c r="C55" s="176" t="n"/>
      <c r="D55" s="176" t="n"/>
      <c r="E55" s="176" t="n"/>
      <c r="F55" s="176" t="n"/>
      <c r="G55" s="176" t="n"/>
      <c r="H55" s="176" t="n"/>
    </row>
    <row r="56" ht="16.5" customHeight="1" s="34">
      <c r="A56" s="11" t="n">
        <v>45249</v>
      </c>
      <c r="B56" s="176" t="n"/>
      <c r="C56" s="176" t="n"/>
      <c r="D56" s="176" t="n"/>
      <c r="E56" s="176" t="n"/>
      <c r="F56" s="176" t="n"/>
      <c r="G56" s="176" t="n"/>
      <c r="H56" s="176" t="n"/>
    </row>
    <row r="57" ht="16.5" customHeight="1" s="34">
      <c r="A57" s="11" t="n">
        <v>45250</v>
      </c>
      <c r="B57" s="176" t="n"/>
      <c r="C57" s="176" t="n"/>
      <c r="D57" s="176" t="n"/>
      <c r="E57" s="176" t="n"/>
      <c r="F57" s="176" t="n"/>
      <c r="G57" s="176" t="n"/>
      <c r="H57" s="176" t="n"/>
    </row>
    <row r="58" ht="16.5" customHeight="1" s="34">
      <c r="A58" s="11" t="n">
        <v>45251</v>
      </c>
      <c r="B58" s="176" t="n"/>
      <c r="C58" s="176" t="n"/>
      <c r="D58" s="176" t="n"/>
      <c r="E58" s="176" t="n"/>
      <c r="F58" s="176" t="n"/>
      <c r="G58" s="176" t="n"/>
      <c r="H58" s="176" t="n"/>
    </row>
    <row r="59" ht="16.5" customHeight="1" s="34">
      <c r="A59" s="11" t="n">
        <v>45252</v>
      </c>
      <c r="B59" s="176" t="n"/>
      <c r="C59" s="176" t="n"/>
      <c r="D59" s="176" t="n"/>
      <c r="E59" s="176" t="n"/>
      <c r="F59" s="176" t="n"/>
      <c r="G59" s="176" t="n"/>
      <c r="H59" s="176" t="n"/>
    </row>
    <row r="60" ht="16.5" customHeight="1" s="34">
      <c r="A60" s="11" t="n">
        <v>45253</v>
      </c>
      <c r="B60" s="176" t="n"/>
      <c r="C60" s="176" t="n"/>
      <c r="D60" s="176" t="n"/>
      <c r="E60" s="176" t="n"/>
      <c r="F60" s="176" t="n"/>
      <c r="G60" s="176" t="n"/>
      <c r="H60" s="176" t="n"/>
    </row>
    <row r="61" ht="16.5" customHeight="1" s="34">
      <c r="A61" s="11" t="n">
        <v>45254</v>
      </c>
      <c r="B61" s="176" t="n"/>
      <c r="C61" s="176" t="n"/>
      <c r="D61" s="176" t="n"/>
      <c r="E61" s="176" t="n"/>
      <c r="F61" s="176" t="n"/>
      <c r="G61" s="176" t="n"/>
      <c r="H61" s="176" t="n"/>
    </row>
    <row r="62" ht="16.5" customHeight="1" s="34">
      <c r="A62" s="11" t="n">
        <v>45255</v>
      </c>
      <c r="B62" s="176" t="n"/>
      <c r="C62" s="176" t="n"/>
      <c r="D62" s="176" t="n"/>
      <c r="E62" s="176" t="n"/>
      <c r="F62" s="176" t="n"/>
      <c r="G62" s="176" t="n"/>
      <c r="H62" s="176" t="n"/>
    </row>
    <row r="63" ht="16.5" customHeight="1" s="34">
      <c r="A63" s="11" t="n">
        <v>45256</v>
      </c>
      <c r="B63" s="176" t="n"/>
      <c r="C63" s="176" t="n"/>
      <c r="D63" s="176" t="n"/>
      <c r="E63" s="176" t="n"/>
      <c r="F63" s="176" t="n"/>
      <c r="G63" s="176" t="n"/>
      <c r="H63" s="176" t="n"/>
    </row>
    <row r="64" ht="16.5" customHeight="1" s="34">
      <c r="A64" s="11" t="n">
        <v>45257</v>
      </c>
      <c r="B64" s="176" t="n"/>
      <c r="C64" s="176" t="n"/>
      <c r="D64" s="176" t="n"/>
      <c r="E64" s="176" t="n"/>
      <c r="F64" s="176" t="n"/>
      <c r="G64" s="176" t="n"/>
      <c r="H64" s="176" t="n"/>
    </row>
    <row r="65" ht="16.5" customHeight="1" s="34">
      <c r="A65" s="11" t="n">
        <v>45258</v>
      </c>
      <c r="B65" s="176" t="n"/>
      <c r="C65" s="176" t="n"/>
      <c r="D65" s="176" t="n"/>
      <c r="E65" s="176" t="n"/>
      <c r="F65" s="176" t="n"/>
      <c r="G65" s="176" t="n"/>
      <c r="H65" s="176" t="n"/>
    </row>
    <row r="66" ht="16.5" customHeight="1" s="34">
      <c r="A66" s="11" t="n">
        <v>45259</v>
      </c>
      <c r="B66" s="176" t="n"/>
      <c r="C66" s="176" t="n"/>
      <c r="D66" s="176" t="n"/>
      <c r="E66" s="176" t="n"/>
      <c r="F66" s="176" t="n"/>
      <c r="G66" s="176" t="n"/>
      <c r="H66" s="176" t="n"/>
    </row>
    <row r="67" ht="16.5" customHeight="1" s="34">
      <c r="A67" s="11" t="n">
        <v>45260</v>
      </c>
      <c r="B67" s="176" t="n"/>
      <c r="C67" s="176" t="n"/>
      <c r="D67" s="176" t="n"/>
      <c r="E67" s="176" t="n"/>
      <c r="F67" s="176" t="n"/>
      <c r="G67" s="176" t="n"/>
      <c r="H67" s="176" t="n"/>
    </row>
    <row r="68" ht="16.5" customHeight="1" s="34">
      <c r="A68" s="11" t="n">
        <v>45261</v>
      </c>
      <c r="B68" s="176" t="n"/>
      <c r="C68" s="176" t="n"/>
      <c r="D68" s="176" t="n"/>
      <c r="E68" s="176" t="n"/>
      <c r="F68" s="176" t="n"/>
      <c r="G68" s="176" t="n"/>
      <c r="H68" s="176" t="n"/>
    </row>
    <row r="69" ht="16.5" customHeight="1" s="34">
      <c r="A69" s="11" t="n">
        <v>45262</v>
      </c>
      <c r="B69" s="176" t="n"/>
      <c r="C69" s="176" t="n"/>
      <c r="D69" s="176" t="n"/>
      <c r="E69" s="176" t="n"/>
      <c r="F69" s="176" t="n"/>
      <c r="G69" s="176" t="n"/>
      <c r="H69" s="176" t="n"/>
    </row>
    <row r="70" ht="16.5" customHeight="1" s="34">
      <c r="A70" s="11" t="n">
        <v>45263</v>
      </c>
      <c r="B70" s="176" t="n"/>
      <c r="C70" s="176" t="n"/>
      <c r="D70" s="176" t="n"/>
      <c r="E70" s="176" t="n"/>
      <c r="F70" s="176" t="n"/>
      <c r="G70" s="176" t="n"/>
      <c r="H70" s="176" t="n"/>
    </row>
    <row r="71" ht="16.5" customHeight="1" s="34">
      <c r="A71" s="11" t="n">
        <v>45264</v>
      </c>
      <c r="B71" s="176" t="n"/>
      <c r="C71" s="176" t="n"/>
      <c r="D71" s="176" t="n"/>
      <c r="E71" s="176" t="n"/>
      <c r="F71" s="176" t="n"/>
      <c r="G71" s="176" t="n"/>
      <c r="H71" s="176" t="n"/>
    </row>
    <row r="72" ht="16.5" customHeight="1" s="34">
      <c r="A72" s="11" t="n">
        <v>45265</v>
      </c>
      <c r="B72" s="176" t="n"/>
      <c r="C72" s="176" t="n"/>
      <c r="D72" s="176" t="n"/>
      <c r="E72" s="176" t="n"/>
      <c r="F72" s="176" t="n"/>
      <c r="G72" s="176" t="n"/>
      <c r="H72" s="176" t="n"/>
    </row>
    <row r="73" ht="16.5" customHeight="1" s="34">
      <c r="A73" s="11" t="n">
        <v>45266</v>
      </c>
      <c r="B73" s="176" t="n"/>
      <c r="C73" s="176" t="n"/>
      <c r="D73" s="176" t="n"/>
      <c r="E73" s="176" t="n"/>
      <c r="F73" s="176" t="n"/>
      <c r="G73" s="176" t="n"/>
      <c r="H73" s="176" t="n"/>
    </row>
    <row r="74" ht="16.5" customHeight="1" s="34">
      <c r="A74" s="11" t="n">
        <v>45267</v>
      </c>
      <c r="B74" s="176" t="n"/>
      <c r="C74" s="176" t="n"/>
      <c r="D74" s="176" t="n"/>
      <c r="E74" s="176" t="n"/>
      <c r="F74" s="176" t="n"/>
      <c r="G74" s="176" t="n"/>
      <c r="H74" s="176" t="n"/>
    </row>
    <row r="75" ht="16.5" customHeight="1" s="34">
      <c r="A75" s="11" t="n">
        <v>45268</v>
      </c>
      <c r="B75" s="176" t="n"/>
      <c r="C75" s="176" t="n"/>
      <c r="D75" s="176" t="n"/>
      <c r="E75" s="176" t="n"/>
      <c r="F75" s="176" t="n"/>
      <c r="G75" s="176" t="n"/>
      <c r="H75" s="176" t="n"/>
    </row>
    <row r="76" ht="16.5" customHeight="1" s="34">
      <c r="A76" s="11" t="n">
        <v>45269</v>
      </c>
      <c r="B76" s="176" t="n"/>
      <c r="C76" s="176" t="n"/>
      <c r="D76" s="176" t="n"/>
      <c r="E76" s="176" t="n"/>
      <c r="F76" s="176" t="n"/>
      <c r="G76" s="176" t="n"/>
      <c r="H76" s="176" t="n"/>
    </row>
    <row r="77" ht="16.5" customHeight="1" s="34">
      <c r="A77" s="11" t="n">
        <v>45270</v>
      </c>
      <c r="B77" s="176" t="n"/>
      <c r="C77" s="176" t="n"/>
      <c r="D77" s="176" t="n"/>
      <c r="E77" s="176" t="n"/>
      <c r="F77" s="176" t="n"/>
      <c r="G77" s="176" t="n"/>
      <c r="H77" s="176" t="n"/>
    </row>
    <row r="78" ht="16.5" customHeight="1" s="34">
      <c r="A78" s="11" t="n">
        <v>45271</v>
      </c>
      <c r="B78" s="176" t="n"/>
      <c r="C78" s="176" t="n"/>
      <c r="D78" s="176" t="n"/>
      <c r="E78" s="176" t="n"/>
      <c r="F78" s="176" t="n"/>
      <c r="G78" s="176" t="n"/>
      <c r="H78" s="176" t="n"/>
    </row>
    <row r="79" ht="16.5" customHeight="1" s="34">
      <c r="A79" s="11" t="n">
        <v>45272</v>
      </c>
      <c r="B79" s="176" t="n"/>
      <c r="C79" s="176" t="n"/>
      <c r="D79" s="176" t="n"/>
      <c r="E79" s="176" t="n"/>
      <c r="F79" s="176" t="n"/>
      <c r="G79" s="176" t="n"/>
      <c r="H79" s="176" t="n"/>
    </row>
    <row r="80" ht="16.5" customHeight="1" s="34">
      <c r="A80" s="11" t="n">
        <v>45273</v>
      </c>
      <c r="B80" s="176" t="n"/>
      <c r="C80" s="176" t="n"/>
      <c r="D80" s="176" t="n"/>
      <c r="E80" s="176" t="n"/>
      <c r="F80" s="176" t="n"/>
      <c r="G80" s="176" t="n"/>
      <c r="H80" s="176" t="n"/>
    </row>
    <row r="81" ht="16.5" customHeight="1" s="34">
      <c r="A81" s="11" t="n">
        <v>45274</v>
      </c>
      <c r="B81" s="176" t="n"/>
      <c r="C81" s="176" t="n"/>
      <c r="D81" s="176" t="n"/>
      <c r="E81" s="176" t="n"/>
      <c r="F81" s="176" t="n"/>
      <c r="G81" s="176" t="n"/>
      <c r="H81" s="176" t="n"/>
    </row>
    <row r="82" ht="16.5" customHeight="1" s="34">
      <c r="A82" s="11" t="n">
        <v>45275</v>
      </c>
      <c r="B82" s="176" t="n"/>
      <c r="C82" s="176" t="n"/>
      <c r="D82" s="176" t="n"/>
      <c r="E82" s="176" t="n"/>
      <c r="F82" s="176" t="n"/>
      <c r="G82" s="176" t="n"/>
      <c r="H82" s="176" t="n"/>
    </row>
    <row r="83" ht="16.5" customHeight="1" s="34">
      <c r="A83" s="11" t="n">
        <v>45276</v>
      </c>
      <c r="B83" s="176" t="n"/>
      <c r="C83" s="176" t="n"/>
      <c r="D83" s="176" t="n"/>
      <c r="E83" s="176" t="n"/>
      <c r="F83" s="176" t="n"/>
      <c r="G83" s="176" t="n"/>
      <c r="H83" s="176" t="n"/>
    </row>
    <row r="84" ht="16.5" customHeight="1" s="34">
      <c r="A84" s="11" t="n">
        <v>45277</v>
      </c>
      <c r="B84" s="176" t="n"/>
      <c r="C84" s="176" t="n"/>
      <c r="D84" s="176" t="n"/>
      <c r="E84" s="176" t="n"/>
      <c r="F84" s="176" t="n"/>
      <c r="G84" s="176" t="n"/>
      <c r="H84" s="176" t="n"/>
    </row>
    <row r="85" ht="16.5" customHeight="1" s="34">
      <c r="A85" s="11" t="n">
        <v>45278</v>
      </c>
      <c r="B85" s="176" t="n"/>
      <c r="C85" s="176" t="n"/>
      <c r="D85" s="176" t="n"/>
      <c r="E85" s="176" t="n"/>
      <c r="F85" s="176" t="n"/>
      <c r="G85" s="176" t="n"/>
      <c r="H85" s="176" t="n"/>
    </row>
    <row r="86" ht="16.5" customHeight="1" s="34">
      <c r="A86" s="11" t="n">
        <v>45279</v>
      </c>
      <c r="B86" s="176" t="n"/>
      <c r="C86" s="176" t="n"/>
      <c r="D86" s="176" t="n"/>
      <c r="E86" s="176" t="n"/>
      <c r="F86" s="176" t="n"/>
      <c r="G86" s="176" t="n"/>
      <c r="H86" s="176" t="n"/>
    </row>
    <row r="87" ht="16.5" customHeight="1" s="34">
      <c r="A87" s="11" t="n">
        <v>45280</v>
      </c>
      <c r="B87" s="176" t="n"/>
      <c r="C87" s="176" t="n"/>
      <c r="D87" s="176" t="n"/>
      <c r="E87" s="176" t="n"/>
      <c r="F87" s="176" t="n"/>
      <c r="G87" s="176" t="n"/>
      <c r="H87" s="176" t="n"/>
    </row>
    <row r="88" ht="16.5" customHeight="1" s="34">
      <c r="A88" s="11" t="n">
        <v>45281</v>
      </c>
      <c r="B88" s="176" t="n"/>
      <c r="C88" s="176" t="n"/>
      <c r="D88" s="176" t="n"/>
      <c r="E88" s="176" t="n"/>
      <c r="F88" s="176" t="n"/>
      <c r="G88" s="176" t="n"/>
      <c r="H88" s="176" t="n"/>
    </row>
    <row r="89" ht="16.5" customHeight="1" s="34">
      <c r="A89" s="11" t="n">
        <v>45282</v>
      </c>
      <c r="B89" s="176" t="n"/>
      <c r="C89" s="176" t="n"/>
      <c r="D89" s="176" t="n"/>
      <c r="E89" s="176" t="n"/>
      <c r="F89" s="176" t="n"/>
      <c r="G89" s="176" t="n"/>
      <c r="H89" s="176" t="n"/>
    </row>
    <row r="90" ht="16.5" customHeight="1" s="34">
      <c r="A90" s="11" t="n">
        <v>45283</v>
      </c>
      <c r="B90" s="176" t="n"/>
      <c r="C90" s="176" t="n"/>
      <c r="D90" s="176" t="n"/>
      <c r="E90" s="176" t="n"/>
      <c r="F90" s="176" t="n"/>
      <c r="G90" s="176" t="n"/>
      <c r="H90" s="176" t="n"/>
    </row>
    <row r="91" ht="16.5" customHeight="1" s="34">
      <c r="A91" s="11" t="n">
        <v>45284</v>
      </c>
      <c r="B91" s="176" t="n"/>
      <c r="C91" s="176" t="n"/>
      <c r="D91" s="176" t="n"/>
      <c r="E91" s="176" t="n"/>
      <c r="F91" s="176" t="n"/>
      <c r="G91" s="176" t="n"/>
      <c r="H91" s="176" t="n"/>
    </row>
    <row r="92" ht="16.5" customHeight="1" s="34">
      <c r="A92" s="11" t="n">
        <v>45285</v>
      </c>
      <c r="B92" s="176" t="n"/>
      <c r="C92" s="176" t="n"/>
      <c r="D92" s="176" t="n"/>
      <c r="E92" s="176" t="n"/>
      <c r="F92" s="176" t="n"/>
      <c r="G92" s="176" t="n"/>
      <c r="H92" s="176" t="n"/>
    </row>
    <row r="93" ht="16.5" customHeight="1" s="34">
      <c r="A93" s="11" t="n">
        <v>45286</v>
      </c>
      <c r="B93" s="176" t="n"/>
      <c r="C93" s="176" t="n"/>
      <c r="D93" s="176" t="n"/>
      <c r="E93" s="176" t="n"/>
      <c r="F93" s="176" t="n"/>
      <c r="G93" s="176" t="n"/>
      <c r="H93" s="176" t="n"/>
    </row>
    <row r="94" ht="16.5" customHeight="1" s="34">
      <c r="A94" s="11" t="n">
        <v>45287</v>
      </c>
      <c r="B94" s="176" t="n"/>
      <c r="C94" s="176" t="n"/>
      <c r="D94" s="176" t="n"/>
      <c r="E94" s="176" t="n"/>
      <c r="F94" s="176" t="n"/>
      <c r="G94" s="176" t="n"/>
      <c r="H94" s="176" t="n"/>
    </row>
    <row r="95" ht="16.5" customHeight="1" s="34">
      <c r="A95" s="11" t="n">
        <v>45288</v>
      </c>
      <c r="B95" s="176" t="n"/>
      <c r="C95" s="176" t="n"/>
      <c r="D95" s="176" t="n"/>
      <c r="E95" s="176" t="n"/>
      <c r="F95" s="176" t="n"/>
      <c r="G95" s="176" t="n"/>
      <c r="H95" s="176" t="n"/>
    </row>
    <row r="96" ht="16.5" customHeight="1" s="34">
      <c r="A96" s="11" t="n">
        <v>45289</v>
      </c>
      <c r="B96" s="176" t="n"/>
      <c r="C96" s="176" t="n"/>
      <c r="D96" s="176" t="n"/>
      <c r="E96" s="176" t="n"/>
      <c r="F96" s="176" t="n"/>
      <c r="G96" s="176" t="n"/>
      <c r="H96" s="176" t="n"/>
    </row>
    <row r="97" ht="16.5" customHeight="1" s="34">
      <c r="A97" s="11" t="n">
        <v>45290</v>
      </c>
      <c r="B97" s="176" t="n"/>
      <c r="C97" s="176" t="n"/>
      <c r="D97" s="176" t="n"/>
      <c r="E97" s="176" t="n"/>
      <c r="F97" s="176" t="n"/>
      <c r="G97" s="176" t="n"/>
      <c r="H97" s="176" t="n"/>
    </row>
    <row r="98" ht="16.5" customHeight="1" s="34">
      <c r="A98" s="11" t="n">
        <v>45291</v>
      </c>
      <c r="B98" s="176" t="n"/>
      <c r="C98" s="176" t="n"/>
      <c r="D98" s="176" t="n"/>
      <c r="E98" s="176" t="n"/>
      <c r="F98" s="176" t="n"/>
      <c r="G98" s="176" t="n"/>
      <c r="H98" s="176" t="n"/>
    </row>
  </sheetData>
  <mergeCells count="1">
    <mergeCell ref="A1:H1"/>
  </mergeCells>
  <conditionalFormatting sqref="A7:A98">
    <cfRule type="expression" priority="3" dxfId="10">
      <formula>OR(WEEKDAY(A7,2)=6,WEEKDAY(A7,2)=7)</formula>
    </cfRule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licc</dc:creator>
  <dcterms:created xmlns:dcterms="http://purl.org/dc/terms/" xmlns:xsi="http://www.w3.org/2001/XMLSchema-instance" xsi:type="dcterms:W3CDTF">2006-09-13T11:21:00Z</dcterms:created>
  <dcterms:modified xmlns:dcterms="http://purl.org/dc/terms/" xmlns:xsi="http://www.w3.org/2001/XMLSchema-instance" xsi:type="dcterms:W3CDTF">2023-11-13T00:57:18Z</dcterms:modified>
  <cp:lastModifiedBy>user</cp:lastModifiedBy>
  <cp:lastPrinted>2021-09-23T01:55:00Z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2052-11.8.2.8053</vt:lpwstr>
  </property>
</Properties>
</file>