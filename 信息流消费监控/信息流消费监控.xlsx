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桌面\日报\信息流消费监控\"/>
    </mc:Choice>
  </mc:AlternateContent>
  <bookViews>
    <workbookView xWindow="0" yWindow="0" windowWidth="23040" windowHeight="8970" tabRatio="759"/>
  </bookViews>
  <sheets>
    <sheet name="总消费监控" sheetId="1" r:id="rId1"/>
    <sheet name="消费任务拆解" sheetId="2" state="hidden" r:id="rId2"/>
    <sheet name="客服部门消费监控" sheetId="3" r:id="rId3"/>
    <sheet name="分地区消费" sheetId="4" r:id="rId4"/>
  </sheets>
  <calcPr calcId="152511"/>
</workbook>
</file>

<file path=xl/calcChain.xml><?xml version="1.0" encoding="utf-8"?>
<calcChain xmlns="http://schemas.openxmlformats.org/spreadsheetml/2006/main">
  <c r="K3" i="1" l="1"/>
  <c r="M25" i="1"/>
  <c r="M24" i="1"/>
  <c r="M23" i="1"/>
  <c r="M22" i="1"/>
  <c r="M21" i="1"/>
  <c r="M20" i="1"/>
  <c r="M19" i="1"/>
  <c r="M18" i="1"/>
  <c r="M17" i="1"/>
  <c r="M16" i="1"/>
  <c r="M15" i="1"/>
  <c r="M11" i="1"/>
  <c r="M10" i="1"/>
  <c r="M9" i="1"/>
  <c r="M8" i="1"/>
  <c r="M7" i="1"/>
  <c r="M6" i="1"/>
  <c r="D22" i="2"/>
  <c r="E22" i="2" s="1"/>
  <c r="E21" i="2"/>
  <c r="E20" i="2"/>
  <c r="E19" i="2"/>
  <c r="E18" i="2"/>
  <c r="E17" i="2"/>
  <c r="E16" i="2"/>
  <c r="E15" i="2"/>
  <c r="G12" i="2"/>
  <c r="E12" i="2"/>
  <c r="D12" i="2"/>
  <c r="J11" i="2"/>
  <c r="J10" i="2"/>
  <c r="J9" i="2"/>
  <c r="J8" i="2"/>
  <c r="J7" i="2"/>
  <c r="J6" i="2"/>
  <c r="J5" i="2"/>
  <c r="G2" i="2"/>
  <c r="E2" i="2"/>
  <c r="F2" i="2" s="1"/>
  <c r="F93" i="1"/>
  <c r="E93" i="1"/>
  <c r="D93" i="1"/>
  <c r="C93" i="1"/>
  <c r="B93" i="1"/>
  <c r="F92" i="1"/>
  <c r="E92" i="1"/>
  <c r="D92" i="1"/>
  <c r="C92" i="1"/>
  <c r="B92" i="1"/>
  <c r="F91" i="1"/>
  <c r="E91" i="1"/>
  <c r="D91" i="1"/>
  <c r="C91" i="1"/>
  <c r="B91" i="1" s="1"/>
  <c r="F90" i="1"/>
  <c r="E90" i="1"/>
  <c r="D90" i="1"/>
  <c r="C90" i="1"/>
  <c r="B90" i="1" s="1"/>
  <c r="F89" i="1"/>
  <c r="E89" i="1"/>
  <c r="D89" i="1"/>
  <c r="C89" i="1"/>
  <c r="B89" i="1" s="1"/>
  <c r="F88" i="1"/>
  <c r="E88" i="1"/>
  <c r="D88" i="1"/>
  <c r="C88" i="1"/>
  <c r="B88" i="1" s="1"/>
  <c r="F87" i="1"/>
  <c r="E87" i="1"/>
  <c r="D87" i="1"/>
  <c r="C87" i="1"/>
  <c r="B87" i="1" s="1"/>
  <c r="F86" i="1"/>
  <c r="E86" i="1"/>
  <c r="D86" i="1"/>
  <c r="C86" i="1"/>
  <c r="B86" i="1" s="1"/>
  <c r="F85" i="1"/>
  <c r="E85" i="1"/>
  <c r="D85" i="1"/>
  <c r="C85" i="1"/>
  <c r="B85" i="1"/>
  <c r="F84" i="1"/>
  <c r="E84" i="1"/>
  <c r="D84" i="1"/>
  <c r="C84" i="1"/>
  <c r="B84" i="1" s="1"/>
  <c r="F83" i="1"/>
  <c r="E83" i="1"/>
  <c r="D83" i="1"/>
  <c r="C83" i="1"/>
  <c r="B83" i="1" s="1"/>
  <c r="F82" i="1"/>
  <c r="E82" i="1"/>
  <c r="D82" i="1"/>
  <c r="C82" i="1"/>
  <c r="B82" i="1" s="1"/>
  <c r="F81" i="1"/>
  <c r="E81" i="1"/>
  <c r="D81" i="1"/>
  <c r="C81" i="1"/>
  <c r="B81" i="1" s="1"/>
  <c r="F80" i="1"/>
  <c r="E80" i="1"/>
  <c r="D80" i="1"/>
  <c r="C80" i="1"/>
  <c r="B80" i="1" s="1"/>
  <c r="F79" i="1"/>
  <c r="E79" i="1"/>
  <c r="D79" i="1"/>
  <c r="C79" i="1"/>
  <c r="B79" i="1" s="1"/>
  <c r="F78" i="1"/>
  <c r="E78" i="1"/>
  <c r="D78" i="1"/>
  <c r="C78" i="1"/>
  <c r="B78" i="1" s="1"/>
  <c r="F77" i="1"/>
  <c r="E77" i="1"/>
  <c r="D77" i="1"/>
  <c r="C77" i="1"/>
  <c r="B77" i="1"/>
  <c r="F76" i="1"/>
  <c r="E76" i="1"/>
  <c r="D76" i="1"/>
  <c r="C76" i="1"/>
  <c r="B76" i="1" s="1"/>
  <c r="F75" i="1"/>
  <c r="E75" i="1"/>
  <c r="D75" i="1"/>
  <c r="C75" i="1"/>
  <c r="B75" i="1" s="1"/>
  <c r="F74" i="1"/>
  <c r="E74" i="1"/>
  <c r="D74" i="1"/>
  <c r="C74" i="1"/>
  <c r="B74" i="1" s="1"/>
  <c r="F73" i="1"/>
  <c r="E73" i="1"/>
  <c r="D73" i="1"/>
  <c r="C73" i="1"/>
  <c r="B73" i="1" s="1"/>
  <c r="F72" i="1"/>
  <c r="E72" i="1"/>
  <c r="D72" i="1"/>
  <c r="C72" i="1"/>
  <c r="B72" i="1" s="1"/>
  <c r="F71" i="1"/>
  <c r="E71" i="1"/>
  <c r="D71" i="1"/>
  <c r="C71" i="1"/>
  <c r="B71" i="1" s="1"/>
  <c r="F70" i="1"/>
  <c r="E70" i="1"/>
  <c r="D70" i="1"/>
  <c r="C70" i="1"/>
  <c r="B70" i="1" s="1"/>
  <c r="F69" i="1"/>
  <c r="E69" i="1"/>
  <c r="D69" i="1"/>
  <c r="C69" i="1"/>
  <c r="B69" i="1"/>
  <c r="F68" i="1"/>
  <c r="E68" i="1"/>
  <c r="D68" i="1"/>
  <c r="C68" i="1"/>
  <c r="B68" i="1" s="1"/>
  <c r="F67" i="1"/>
  <c r="E67" i="1"/>
  <c r="D67" i="1"/>
  <c r="C67" i="1"/>
  <c r="B67" i="1" s="1"/>
  <c r="F66" i="1"/>
  <c r="E66" i="1"/>
  <c r="D66" i="1"/>
  <c r="C66" i="1"/>
  <c r="B66" i="1" s="1"/>
  <c r="F65" i="1"/>
  <c r="E65" i="1"/>
  <c r="D65" i="1"/>
  <c r="C65" i="1"/>
  <c r="B65" i="1" s="1"/>
  <c r="F64" i="1"/>
  <c r="E64" i="1"/>
  <c r="D64" i="1"/>
  <c r="C64" i="1"/>
  <c r="B64" i="1" s="1"/>
  <c r="F63" i="1"/>
  <c r="E63" i="1"/>
  <c r="D63" i="1"/>
  <c r="C63" i="1"/>
  <c r="B63" i="1" s="1"/>
  <c r="X3" i="1" s="1"/>
  <c r="F62" i="1"/>
  <c r="E62" i="1"/>
  <c r="D62" i="1"/>
  <c r="C62" i="1"/>
  <c r="B62" i="1" s="1"/>
  <c r="F61" i="1"/>
  <c r="E61" i="1"/>
  <c r="D61" i="1"/>
  <c r="C61" i="1"/>
  <c r="B61" i="1"/>
  <c r="F60" i="1"/>
  <c r="E60" i="1"/>
  <c r="D60" i="1"/>
  <c r="C60" i="1"/>
  <c r="B60" i="1" s="1"/>
  <c r="F59" i="1"/>
  <c r="E59" i="1"/>
  <c r="D59" i="1"/>
  <c r="C59" i="1"/>
  <c r="B59" i="1" s="1"/>
  <c r="F58" i="1"/>
  <c r="E58" i="1"/>
  <c r="D58" i="1"/>
  <c r="C58" i="1"/>
  <c r="B58" i="1" s="1"/>
  <c r="F57" i="1"/>
  <c r="E57" i="1"/>
  <c r="D57" i="1"/>
  <c r="C57" i="1"/>
  <c r="B57" i="1"/>
  <c r="F56" i="1"/>
  <c r="E56" i="1"/>
  <c r="D56" i="1"/>
  <c r="C56" i="1"/>
  <c r="B56" i="1"/>
  <c r="F55" i="1"/>
  <c r="E55" i="1"/>
  <c r="D55" i="1"/>
  <c r="C55" i="1"/>
  <c r="B55" i="1" s="1"/>
  <c r="F54" i="1"/>
  <c r="E54" i="1"/>
  <c r="D54" i="1"/>
  <c r="C54" i="1"/>
  <c r="B54" i="1" s="1"/>
  <c r="F53" i="1"/>
  <c r="E53" i="1"/>
  <c r="D53" i="1"/>
  <c r="C53" i="1"/>
  <c r="B53" i="1"/>
  <c r="F52" i="1"/>
  <c r="E52" i="1"/>
  <c r="D52" i="1"/>
  <c r="C52" i="1"/>
  <c r="B52" i="1" s="1"/>
  <c r="F51" i="1"/>
  <c r="E51" i="1"/>
  <c r="D51" i="1"/>
  <c r="C51" i="1"/>
  <c r="B51" i="1" s="1"/>
  <c r="F50" i="1"/>
  <c r="E50" i="1"/>
  <c r="D50" i="1"/>
  <c r="C50" i="1"/>
  <c r="B50" i="1" s="1"/>
  <c r="F49" i="1"/>
  <c r="E49" i="1"/>
  <c r="D49" i="1"/>
  <c r="C49" i="1"/>
  <c r="B49" i="1" s="1"/>
  <c r="F48" i="1"/>
  <c r="E48" i="1"/>
  <c r="D48" i="1"/>
  <c r="C48" i="1"/>
  <c r="B48" i="1" s="1"/>
  <c r="F47" i="1"/>
  <c r="E47" i="1"/>
  <c r="D47" i="1"/>
  <c r="C47" i="1"/>
  <c r="B47" i="1" s="1"/>
  <c r="F46" i="1"/>
  <c r="E46" i="1"/>
  <c r="D46" i="1"/>
  <c r="C46" i="1"/>
  <c r="B46" i="1" s="1"/>
  <c r="F45" i="1"/>
  <c r="E45" i="1"/>
  <c r="D45" i="1"/>
  <c r="C45" i="1"/>
  <c r="B45" i="1" s="1"/>
  <c r="F44" i="1"/>
  <c r="E44" i="1"/>
  <c r="D44" i="1"/>
  <c r="C44" i="1"/>
  <c r="B44" i="1"/>
  <c r="F43" i="1"/>
  <c r="E43" i="1"/>
  <c r="D43" i="1"/>
  <c r="C43" i="1"/>
  <c r="B43" i="1" s="1"/>
  <c r="F42" i="1"/>
  <c r="E42" i="1"/>
  <c r="D42" i="1"/>
  <c r="C42" i="1"/>
  <c r="B42" i="1"/>
  <c r="F41" i="1"/>
  <c r="E41" i="1"/>
  <c r="D41" i="1"/>
  <c r="C41" i="1"/>
  <c r="B41" i="1" s="1"/>
  <c r="F40" i="1"/>
  <c r="E40" i="1"/>
  <c r="D40" i="1"/>
  <c r="C40" i="1"/>
  <c r="B40" i="1" s="1"/>
  <c r="F39" i="1"/>
  <c r="E39" i="1"/>
  <c r="D39" i="1"/>
  <c r="C39" i="1"/>
  <c r="B39" i="1" s="1"/>
  <c r="F38" i="1"/>
  <c r="E38" i="1"/>
  <c r="D38" i="1"/>
  <c r="C38" i="1"/>
  <c r="B38" i="1" s="1"/>
  <c r="F37" i="1"/>
  <c r="E37" i="1"/>
  <c r="D37" i="1"/>
  <c r="C37" i="1"/>
  <c r="B37" i="1" s="1"/>
  <c r="F36" i="1"/>
  <c r="E36" i="1"/>
  <c r="D36" i="1"/>
  <c r="C36" i="1"/>
  <c r="B36" i="1"/>
  <c r="F35" i="1"/>
  <c r="E35" i="1"/>
  <c r="D35" i="1"/>
  <c r="C35" i="1"/>
  <c r="B35" i="1" s="1"/>
  <c r="F34" i="1"/>
  <c r="E34" i="1"/>
  <c r="D34" i="1"/>
  <c r="C34" i="1"/>
  <c r="B34" i="1"/>
  <c r="F33" i="1"/>
  <c r="E33" i="1"/>
  <c r="D33" i="1"/>
  <c r="C33" i="1"/>
  <c r="B33" i="1" s="1"/>
  <c r="F32" i="1"/>
  <c r="E32" i="1"/>
  <c r="D32" i="1"/>
  <c r="C32" i="1"/>
  <c r="B32" i="1" s="1"/>
  <c r="F31" i="1"/>
  <c r="E31" i="1"/>
  <c r="D31" i="1"/>
  <c r="C31" i="1"/>
  <c r="B31" i="1" s="1"/>
  <c r="F30" i="1"/>
  <c r="E30" i="1"/>
  <c r="D30" i="1"/>
  <c r="C30" i="1"/>
  <c r="B30" i="1" s="1"/>
  <c r="F29" i="1"/>
  <c r="E29" i="1"/>
  <c r="D29" i="1"/>
  <c r="C29" i="1"/>
  <c r="B29" i="1" s="1"/>
  <c r="F28" i="1"/>
  <c r="E28" i="1"/>
  <c r="D28" i="1"/>
  <c r="C28" i="1"/>
  <c r="B28" i="1"/>
  <c r="F27" i="1"/>
  <c r="E27" i="1"/>
  <c r="D27" i="1"/>
  <c r="C27" i="1"/>
  <c r="B27" i="1" s="1"/>
  <c r="F26" i="1"/>
  <c r="E26" i="1"/>
  <c r="D26" i="1"/>
  <c r="C26" i="1"/>
  <c r="B26" i="1" s="1"/>
  <c r="K25" i="1"/>
  <c r="J25" i="1"/>
  <c r="I25" i="1"/>
  <c r="F25" i="1"/>
  <c r="E25" i="1"/>
  <c r="D25" i="1"/>
  <c r="C25" i="1"/>
  <c r="B25" i="1" s="1"/>
  <c r="K24" i="1"/>
  <c r="J24" i="1"/>
  <c r="I24" i="1"/>
  <c r="F24" i="1"/>
  <c r="E24" i="1"/>
  <c r="D24" i="1"/>
  <c r="C24" i="1"/>
  <c r="B24" i="1" s="1"/>
  <c r="K23" i="1"/>
  <c r="J23" i="1"/>
  <c r="I23" i="1"/>
  <c r="F23" i="1"/>
  <c r="E23" i="1"/>
  <c r="D23" i="1"/>
  <c r="C23" i="1"/>
  <c r="B23" i="1" s="1"/>
  <c r="K22" i="1"/>
  <c r="J22" i="1"/>
  <c r="I22" i="1"/>
  <c r="F22" i="1"/>
  <c r="E22" i="1"/>
  <c r="D22" i="1"/>
  <c r="C22" i="1"/>
  <c r="B22" i="1" s="1"/>
  <c r="K21" i="1"/>
  <c r="J21" i="1"/>
  <c r="I21" i="1"/>
  <c r="F21" i="1"/>
  <c r="E21" i="1"/>
  <c r="D21" i="1"/>
  <c r="C21" i="1"/>
  <c r="B21" i="1" s="1"/>
  <c r="K20" i="1"/>
  <c r="J20" i="1"/>
  <c r="I20" i="1"/>
  <c r="F20" i="1"/>
  <c r="E20" i="1"/>
  <c r="D20" i="1"/>
  <c r="C20" i="1"/>
  <c r="B20" i="1" s="1"/>
  <c r="K19" i="1"/>
  <c r="J19" i="1"/>
  <c r="I19" i="1"/>
  <c r="F19" i="1"/>
  <c r="E19" i="1"/>
  <c r="D19" i="1"/>
  <c r="C19" i="1"/>
  <c r="B19" i="1" s="1"/>
  <c r="K18" i="1"/>
  <c r="J18" i="1"/>
  <c r="I18" i="1"/>
  <c r="F18" i="1"/>
  <c r="E18" i="1"/>
  <c r="D18" i="1"/>
  <c r="C18" i="1"/>
  <c r="B18" i="1" s="1"/>
  <c r="K17" i="1"/>
  <c r="J17" i="1"/>
  <c r="I17" i="1"/>
  <c r="F17" i="1"/>
  <c r="E17" i="1"/>
  <c r="D17" i="1"/>
  <c r="C17" i="1"/>
  <c r="B17" i="1" s="1"/>
  <c r="K16" i="1"/>
  <c r="I16" i="1"/>
  <c r="L16" i="1" s="1"/>
  <c r="F16" i="1"/>
  <c r="E16" i="1"/>
  <c r="D16" i="1"/>
  <c r="C16" i="1"/>
  <c r="B16" i="1"/>
  <c r="K15" i="1"/>
  <c r="J15" i="1"/>
  <c r="I15" i="1"/>
  <c r="F15" i="1"/>
  <c r="E15" i="1"/>
  <c r="D15" i="1"/>
  <c r="C15" i="1"/>
  <c r="B15" i="1"/>
  <c r="F14" i="1"/>
  <c r="E14" i="1"/>
  <c r="D14" i="1"/>
  <c r="C14" i="1"/>
  <c r="B14" i="1" s="1"/>
  <c r="F13" i="1"/>
  <c r="E13" i="1"/>
  <c r="D13" i="1"/>
  <c r="C13" i="1"/>
  <c r="B13" i="1"/>
  <c r="F12" i="1"/>
  <c r="E12" i="1"/>
  <c r="D12" i="1"/>
  <c r="C12" i="1"/>
  <c r="B12" i="1" s="1"/>
  <c r="K11" i="1"/>
  <c r="J11" i="1"/>
  <c r="I11" i="1"/>
  <c r="F11" i="1"/>
  <c r="E11" i="1"/>
  <c r="D11" i="1"/>
  <c r="C11" i="1"/>
  <c r="B11" i="1" s="1"/>
  <c r="K10" i="1"/>
  <c r="J10" i="1"/>
  <c r="I10" i="1"/>
  <c r="F10" i="1"/>
  <c r="E10" i="1"/>
  <c r="D10" i="1"/>
  <c r="C10" i="1"/>
  <c r="B10" i="1"/>
  <c r="K9" i="1"/>
  <c r="J9" i="1"/>
  <c r="I9" i="1"/>
  <c r="F9" i="1"/>
  <c r="E9" i="1"/>
  <c r="D9" i="1"/>
  <c r="C9" i="1"/>
  <c r="B9" i="1"/>
  <c r="K8" i="1"/>
  <c r="J8" i="1"/>
  <c r="I8" i="1"/>
  <c r="F8" i="1"/>
  <c r="E8" i="1"/>
  <c r="D8" i="1"/>
  <c r="C8" i="1"/>
  <c r="B8" i="1" s="1"/>
  <c r="K7" i="1"/>
  <c r="J7" i="1"/>
  <c r="I7" i="1"/>
  <c r="F7" i="1"/>
  <c r="E7" i="1"/>
  <c r="D7" i="1"/>
  <c r="C7" i="1"/>
  <c r="B7" i="1"/>
  <c r="K6" i="1"/>
  <c r="J6" i="1"/>
  <c r="I6" i="1"/>
  <c r="F6" i="1"/>
  <c r="E6" i="1"/>
  <c r="D6" i="1"/>
  <c r="C6" i="1"/>
  <c r="B6" i="1"/>
  <c r="F5" i="1"/>
  <c r="E5" i="1"/>
  <c r="D5" i="1"/>
  <c r="C5" i="1"/>
  <c r="B5" i="1" s="1"/>
  <c r="F4" i="1"/>
  <c r="E4" i="1"/>
  <c r="D4" i="1"/>
  <c r="C4" i="1"/>
  <c r="B4" i="1"/>
  <c r="P3" i="1"/>
  <c r="O3" i="1"/>
  <c r="N3" i="1"/>
  <c r="L3" i="1"/>
  <c r="F3" i="1"/>
  <c r="E3" i="1"/>
  <c r="D3" i="1"/>
  <c r="C3" i="1"/>
  <c r="B3" i="1" s="1"/>
  <c r="F2" i="1"/>
  <c r="E2" i="1"/>
  <c r="D2" i="1"/>
  <c r="C2" i="1"/>
  <c r="L11" i="1" l="1"/>
  <c r="L7" i="1"/>
  <c r="M26" i="1"/>
  <c r="B2" i="1"/>
  <c r="V3" i="1" s="1"/>
  <c r="Y3" i="1"/>
  <c r="L10" i="1"/>
  <c r="I12" i="1"/>
  <c r="J3" i="1" s="1"/>
  <c r="L9" i="1"/>
  <c r="L15" i="1"/>
  <c r="J26" i="1"/>
  <c r="M12" i="1"/>
  <c r="L8" i="1"/>
  <c r="J12" i="1"/>
  <c r="L17" i="1"/>
  <c r="L18" i="1"/>
  <c r="L19" i="1"/>
  <c r="L20" i="1"/>
  <c r="L21" i="1"/>
  <c r="L22" i="1"/>
  <c r="L23" i="1"/>
  <c r="L24" i="1"/>
  <c r="L25" i="1"/>
  <c r="K12" i="1"/>
  <c r="K26" i="1"/>
  <c r="L6" i="1"/>
  <c r="W3" i="1"/>
  <c r="T3" i="1" s="1"/>
  <c r="S3" i="1" s="1"/>
  <c r="Q3" i="1" s="1"/>
  <c r="I26" i="1"/>
  <c r="L12" i="1" l="1"/>
  <c r="L26" i="1"/>
  <c r="M3" i="1"/>
</calcChain>
</file>

<file path=xl/sharedStrings.xml><?xml version="1.0" encoding="utf-8"?>
<sst xmlns="http://schemas.openxmlformats.org/spreadsheetml/2006/main" count="193" uniqueCount="101">
  <si>
    <t>日期</t>
  </si>
  <si>
    <t>feed竞价总消费</t>
  </si>
  <si>
    <t>feed竞价企业总消费</t>
  </si>
  <si>
    <t>feed竞价企业账户数</t>
  </si>
  <si>
    <t>feed企业ARPU</t>
  </si>
  <si>
    <t>框架消费</t>
  </si>
  <si>
    <t>Q4feed总消费</t>
  </si>
  <si>
    <t>完成分数</t>
  </si>
  <si>
    <t>feed总任务</t>
  </si>
  <si>
    <t>昨日总消费</t>
  </si>
  <si>
    <t>剩余天数</t>
  </si>
  <si>
    <t>当前完成率</t>
  </si>
  <si>
    <t>预计可完成</t>
  </si>
  <si>
    <t>预计完成率</t>
  </si>
  <si>
    <t>预计总差额</t>
  </si>
  <si>
    <t>当前日均差额</t>
  </si>
  <si>
    <t>Q2合计消费(扣除罚款）</t>
  </si>
  <si>
    <t>Q2判罚金额</t>
  </si>
  <si>
    <t>Q2总消费</t>
  </si>
  <si>
    <t>Q2feed竞价消费</t>
  </si>
  <si>
    <t>Q2feedGD消费</t>
  </si>
  <si>
    <t>4月feed竞价消费</t>
  </si>
  <si>
    <t>5月feed竞价消费</t>
  </si>
  <si>
    <t>6月feed竞价消费</t>
  </si>
  <si>
    <t>时间进度差额</t>
  </si>
  <si>
    <t>地区</t>
  </si>
  <si>
    <t>昨日feed竞价消费</t>
  </si>
  <si>
    <t>昨日feed竞价账户数</t>
  </si>
  <si>
    <t>feed竞价消费环比</t>
  </si>
  <si>
    <t>feed竞价户均</t>
  </si>
  <si>
    <t>本月各渠道总消费</t>
  </si>
  <si>
    <t>厦门</t>
  </si>
  <si>
    <t>泉州</t>
  </si>
  <si>
    <t>漳州</t>
  </si>
  <si>
    <t>龙岩</t>
  </si>
  <si>
    <t>框架</t>
  </si>
  <si>
    <t>其他</t>
  </si>
  <si>
    <t>总计</t>
  </si>
  <si>
    <t>部门</t>
  </si>
  <si>
    <t>昨日feed消费</t>
  </si>
  <si>
    <t>feed消费环比</t>
  </si>
  <si>
    <t>feed户均</t>
  </si>
  <si>
    <t>大客部门</t>
  </si>
  <si>
    <t>培训部</t>
  </si>
  <si>
    <t>泉州中小企业增值部</t>
  </si>
  <si>
    <t>失效挽救部</t>
  </si>
  <si>
    <t>维护部门</t>
  </si>
  <si>
    <t>新开部门</t>
  </si>
  <si>
    <t>行发维护大区</t>
  </si>
  <si>
    <t>医疗事业部</t>
  </si>
  <si>
    <t>漳州客服部</t>
  </si>
  <si>
    <t>运营策略中心</t>
  </si>
  <si>
    <t>Feed总消费</t>
  </si>
  <si>
    <t>4月完成</t>
  </si>
  <si>
    <t>5月完成</t>
  </si>
  <si>
    <t>6月目标</t>
  </si>
  <si>
    <t>总完成</t>
  </si>
  <si>
    <t>完成率</t>
  </si>
  <si>
    <t>任务缺口</t>
  </si>
  <si>
    <t>责任区</t>
  </si>
  <si>
    <t>4月己消费</t>
  </si>
  <si>
    <t>5月当前总消费</t>
  </si>
  <si>
    <t>5月份目标</t>
  </si>
  <si>
    <t>5月剩余任务</t>
  </si>
  <si>
    <t>5月剩余天数</t>
  </si>
  <si>
    <t>5月剩余日均</t>
  </si>
  <si>
    <t>最高日消费</t>
  </si>
  <si>
    <t>现有客户数</t>
  </si>
  <si>
    <t>现有ARPU</t>
  </si>
  <si>
    <t>考核方向</t>
  </si>
  <si>
    <t>指标设定</t>
  </si>
  <si>
    <t>客服一区</t>
  </si>
  <si>
    <t>户均提升
大户覆盖</t>
  </si>
  <si>
    <t>消费完成</t>
  </si>
  <si>
    <t>大客户部</t>
  </si>
  <si>
    <t>新户教育</t>
  </si>
  <si>
    <t>客服二区</t>
  </si>
  <si>
    <t>客户引入
大户保育</t>
  </si>
  <si>
    <t>10家</t>
  </si>
  <si>
    <t>客服三区</t>
  </si>
  <si>
    <t>5家</t>
  </si>
  <si>
    <t>泉州大区</t>
  </si>
  <si>
    <t>20家</t>
  </si>
  <si>
    <t>漳龙大区</t>
  </si>
  <si>
    <t>5月己消费</t>
  </si>
  <si>
    <t>6月份目标</t>
  </si>
  <si>
    <t>6月份所需日均</t>
  </si>
  <si>
    <t>1，根据目前公司任务要求和进度影响，6月份任务有做调整。请注意。
2，5月9日后由销售方合作的feed新用户不计任务完成。
3，维护大区客户引入以上线消费为准，如暂不能上线的客户不计入任务完成。</t>
  </si>
  <si>
    <t>35家</t>
  </si>
  <si>
    <t>30家</t>
  </si>
  <si>
    <t>品牌部</t>
  </si>
  <si>
    <t>企业总计</t>
  </si>
  <si>
    <t>feed竞价消费</t>
  </si>
  <si>
    <t>feed竞价账户数</t>
  </si>
  <si>
    <t>竞价账户数</t>
  </si>
  <si>
    <t>厦门市</t>
  </si>
  <si>
    <t>泉州市</t>
  </si>
  <si>
    <t>漳州市</t>
  </si>
  <si>
    <t>龙岩市</t>
  </si>
  <si>
    <t>其他市</t>
  </si>
  <si>
    <t>企业总消费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</si>
</sst>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76" formatCode="#,##0_);[Red]\(#,##0\)"/>
    <numFmt numFmtId="177" formatCode="#,##0_ ;[Red]\-#,##0\ "/>
    <numFmt numFmtId="178" formatCode="#,##0.00_ "/>
    <numFmt numFmtId="179" formatCode="0.00_);[Red]\(0.00\)"/>
    <numFmt numFmtId="180" formatCode="#,##0.00_);[Red]\(#,##0.00\)"/>
    <numFmt numFmtId="181" formatCode="#,##0_ "/>
    <numFmt numFmtId="182" formatCode="#,##0.00_ ;[Red]\-#,##0.00\ "/>
    <numFmt numFmtId="183" formatCode="#,##0.0000000000_ "/>
    <numFmt numFmtId="184" formatCode="#,##0.000000000_ "/>
    <numFmt numFmtId="185" formatCode="0.00_ "/>
    <numFmt numFmtId="186" formatCode="0.00_ ;[Red]\-0.00\ "/>
  </numFmts>
  <fonts count="30" x14ac:knownFonts="1">
    <font>
      <sz val="11"/>
      <color theme="1"/>
      <name val="Tahoma"/>
      <charset val="134"/>
    </font>
    <font>
      <sz val="10"/>
      <color theme="1"/>
      <name val="微软雅黑"/>
      <family val="2"/>
      <charset val="134"/>
    </font>
    <font>
      <b/>
      <sz val="10"/>
      <color theme="0"/>
      <name val="微软雅黑"/>
      <family val="2"/>
      <charset val="134"/>
    </font>
    <font>
      <sz val="10"/>
      <color rgb="FFFF0000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9"/>
      <color theme="1"/>
      <name val="微软雅黑"/>
      <family val="2"/>
      <charset val="134"/>
    </font>
    <font>
      <sz val="10"/>
      <name val="微软雅黑"/>
      <family val="2"/>
      <charset val="134"/>
    </font>
    <font>
      <b/>
      <sz val="10"/>
      <color theme="0"/>
      <name val="宋体"/>
      <family val="3"/>
      <charset val="134"/>
    </font>
    <font>
      <sz val="10"/>
      <color theme="0"/>
      <name val="微软雅黑"/>
      <family val="2"/>
      <charset val="134"/>
    </font>
    <font>
      <sz val="10"/>
      <color rgb="FFFFFFFF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1"/>
      <color rgb="FFFA7D00"/>
      <name val="宋体"/>
      <family val="3"/>
      <charset val="134"/>
      <scheme val="minor"/>
    </font>
    <font>
      <sz val="11"/>
      <color theme="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rgb="FFFA7D00"/>
      <name val="宋体"/>
      <family val="3"/>
      <charset val="134"/>
      <scheme val="minor"/>
    </font>
    <font>
      <b/>
      <sz val="15"/>
      <color theme="3"/>
      <name val="宋体"/>
      <family val="3"/>
      <charset val="134"/>
      <scheme val="minor"/>
    </font>
    <font>
      <sz val="11"/>
      <color rgb="FF3F3F76"/>
      <name val="宋体"/>
      <family val="3"/>
      <charset val="134"/>
      <scheme val="minor"/>
    </font>
    <font>
      <b/>
      <sz val="11"/>
      <color rgb="FF3F3F3F"/>
      <name val="宋体"/>
      <family val="3"/>
      <charset val="134"/>
      <scheme val="minor"/>
    </font>
    <font>
      <sz val="11"/>
      <color rgb="FF9C6500"/>
      <name val="宋体"/>
      <family val="3"/>
      <charset val="134"/>
      <scheme val="minor"/>
    </font>
    <font>
      <b/>
      <sz val="13"/>
      <color theme="3"/>
      <name val="宋体"/>
      <family val="3"/>
      <charset val="134"/>
      <scheme val="minor"/>
    </font>
    <font>
      <b/>
      <sz val="11"/>
      <color theme="3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sz val="11"/>
      <color rgb="FF006100"/>
      <name val="宋体"/>
      <family val="3"/>
      <charset val="134"/>
      <scheme val="minor"/>
    </font>
    <font>
      <b/>
      <sz val="11"/>
      <color theme="0"/>
      <name val="宋体"/>
      <family val="3"/>
      <charset val="134"/>
      <scheme val="minor"/>
    </font>
    <font>
      <i/>
      <sz val="11"/>
      <color rgb="FF7F7F7F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theme="1"/>
      <name val="Tahoma"/>
      <family val="2"/>
    </font>
    <font>
      <sz val="9"/>
      <name val="Tahoma"/>
      <family val="2"/>
    </font>
    <font>
      <b/>
      <sz val="10"/>
      <name val="微软雅黑"/>
      <family val="2"/>
      <charset val="134"/>
    </font>
    <font>
      <sz val="9"/>
      <name val="微软雅黑"/>
      <family val="2"/>
      <charset val="134"/>
    </font>
  </fonts>
  <fills count="37">
    <fill>
      <patternFill patternType="none"/>
    </fill>
    <fill>
      <patternFill patternType="gray125"/>
    </fill>
    <fill>
      <patternFill patternType="solid">
        <fgColor theme="3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4506668294322"/>
        <bgColor indexed="64"/>
      </patternFill>
    </fill>
  </fills>
  <borders count="23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39994506668294322"/>
      </bottom>
      <diagonal/>
    </border>
    <border>
      <left/>
      <right/>
      <top/>
      <bottom style="thick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8">
    <xf numFmtId="0" fontId="0" fillId="0" borderId="0"/>
    <xf numFmtId="0" fontId="10" fillId="9" borderId="0">
      <alignment vertical="center"/>
    </xf>
    <xf numFmtId="0" fontId="14" fillId="12" borderId="13">
      <alignment vertical="center"/>
    </xf>
    <xf numFmtId="0" fontId="10" fillId="32" borderId="0">
      <alignment vertical="center"/>
    </xf>
    <xf numFmtId="0" fontId="10" fillId="31" borderId="0">
      <alignment vertical="center"/>
    </xf>
    <xf numFmtId="0" fontId="10" fillId="29" borderId="0">
      <alignment vertical="center"/>
    </xf>
    <xf numFmtId="0" fontId="10" fillId="8" borderId="0">
      <alignment vertical="center"/>
    </xf>
    <xf numFmtId="0" fontId="10" fillId="10" borderId="0">
      <alignment vertical="center"/>
    </xf>
    <xf numFmtId="0" fontId="10" fillId="33" borderId="0">
      <alignment vertical="center"/>
    </xf>
    <xf numFmtId="0" fontId="10" fillId="22" borderId="0">
      <alignment vertical="center"/>
    </xf>
    <xf numFmtId="0" fontId="17" fillId="12" borderId="15">
      <alignment vertical="center"/>
    </xf>
    <xf numFmtId="0" fontId="10" fillId="9" borderId="0">
      <alignment vertical="center"/>
    </xf>
    <xf numFmtId="0" fontId="18" fillId="16" borderId="0">
      <alignment vertical="center"/>
    </xf>
    <xf numFmtId="0" fontId="10" fillId="29" borderId="0">
      <alignment vertical="center"/>
    </xf>
    <xf numFmtId="0" fontId="10" fillId="10" borderId="0">
      <alignment vertical="center"/>
    </xf>
    <xf numFmtId="0" fontId="10" fillId="20" borderId="0">
      <alignment vertical="center"/>
    </xf>
    <xf numFmtId="0" fontId="26" fillId="0" borderId="0">
      <alignment vertical="center"/>
    </xf>
    <xf numFmtId="0" fontId="10" fillId="20" borderId="0">
      <alignment vertical="center"/>
    </xf>
    <xf numFmtId="0" fontId="10" fillId="0" borderId="0">
      <alignment vertical="center"/>
    </xf>
    <xf numFmtId="0" fontId="10" fillId="31" borderId="0">
      <alignment vertical="center"/>
    </xf>
    <xf numFmtId="0" fontId="10" fillId="22" borderId="0">
      <alignment vertical="center"/>
    </xf>
    <xf numFmtId="0" fontId="10" fillId="8" borderId="0">
      <alignment vertical="center"/>
    </xf>
    <xf numFmtId="0" fontId="10" fillId="33" borderId="0">
      <alignment vertical="center"/>
    </xf>
    <xf numFmtId="0" fontId="10" fillId="11" borderId="0">
      <alignment vertical="center"/>
    </xf>
    <xf numFmtId="0" fontId="10" fillId="11" borderId="0">
      <alignment vertical="center"/>
    </xf>
    <xf numFmtId="0" fontId="10" fillId="32" borderId="0">
      <alignment vertical="center"/>
    </xf>
    <xf numFmtId="0" fontId="10" fillId="24" borderId="0">
      <alignment vertical="center"/>
    </xf>
    <xf numFmtId="0" fontId="10" fillId="24" borderId="0">
      <alignment vertical="center"/>
    </xf>
    <xf numFmtId="0" fontId="10" fillId="35" borderId="0">
      <alignment vertical="center"/>
    </xf>
    <xf numFmtId="0" fontId="10" fillId="35" borderId="0">
      <alignment vertical="center"/>
    </xf>
    <xf numFmtId="0" fontId="12" fillId="25" borderId="0">
      <alignment vertical="center"/>
    </xf>
    <xf numFmtId="0" fontId="12" fillId="23" borderId="0">
      <alignment vertical="center"/>
    </xf>
    <xf numFmtId="0" fontId="10" fillId="0" borderId="0">
      <alignment vertical="center"/>
    </xf>
    <xf numFmtId="0" fontId="12" fillId="18" borderId="0">
      <alignment vertical="center"/>
    </xf>
    <xf numFmtId="0" fontId="12" fillId="27" borderId="0">
      <alignment vertical="center"/>
    </xf>
    <xf numFmtId="0" fontId="12" fillId="15" borderId="0">
      <alignment vertical="center"/>
    </xf>
    <xf numFmtId="0" fontId="12" fillId="36" borderId="0">
      <alignment vertical="center"/>
    </xf>
    <xf numFmtId="0" fontId="15" fillId="0" borderId="16">
      <alignment vertical="center"/>
    </xf>
    <xf numFmtId="0" fontId="19" fillId="0" borderId="19">
      <alignment vertical="center"/>
    </xf>
    <xf numFmtId="0" fontId="20" fillId="0" borderId="18">
      <alignment vertical="center"/>
    </xf>
    <xf numFmtId="0" fontId="20" fillId="0" borderId="0">
      <alignment vertical="center"/>
    </xf>
    <xf numFmtId="0" fontId="21" fillId="13" borderId="0">
      <alignment vertical="center"/>
    </xf>
    <xf numFmtId="0" fontId="26" fillId="0" borderId="0">
      <alignment vertical="center"/>
    </xf>
    <xf numFmtId="0" fontId="22" fillId="28" borderId="0">
      <alignment vertical="center"/>
    </xf>
    <xf numFmtId="0" fontId="13" fillId="0" borderId="14">
      <alignment vertical="center"/>
    </xf>
    <xf numFmtId="0" fontId="23" fillId="30" borderId="20">
      <alignment vertical="center"/>
    </xf>
    <xf numFmtId="0" fontId="24" fillId="0" borderId="0">
      <alignment vertical="center"/>
    </xf>
    <xf numFmtId="0" fontId="25" fillId="0" borderId="0">
      <alignment vertical="center"/>
    </xf>
    <xf numFmtId="0" fontId="11" fillId="0" borderId="12">
      <alignment vertical="center"/>
    </xf>
    <xf numFmtId="0" fontId="12" fillId="21" borderId="0">
      <alignment vertical="center"/>
    </xf>
    <xf numFmtId="0" fontId="12" fillId="17" borderId="0">
      <alignment vertical="center"/>
    </xf>
    <xf numFmtId="0" fontId="12" fillId="34" borderId="0">
      <alignment vertical="center"/>
    </xf>
    <xf numFmtId="0" fontId="12" fillId="6" borderId="0">
      <alignment vertical="center"/>
    </xf>
    <xf numFmtId="0" fontId="12" fillId="26" borderId="0">
      <alignment vertical="center"/>
    </xf>
    <xf numFmtId="0" fontId="12" fillId="14" borderId="0">
      <alignment vertical="center"/>
    </xf>
    <xf numFmtId="0" fontId="16" fillId="7" borderId="13">
      <alignment vertical="center"/>
    </xf>
    <xf numFmtId="0" fontId="10" fillId="19" borderId="17">
      <alignment vertical="center"/>
    </xf>
    <xf numFmtId="0" fontId="10" fillId="19" borderId="17">
      <alignment vertical="center"/>
    </xf>
  </cellStyleXfs>
  <cellXfs count="79">
    <xf numFmtId="0" fontId="0" fillId="0" borderId="0" xfId="0"/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8" fillId="3" borderId="2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4" fontId="1" fillId="0" borderId="2" xfId="0" applyNumberFormat="1" applyFont="1" applyBorder="1" applyAlignment="1">
      <alignment horizontal="center"/>
    </xf>
    <xf numFmtId="10" fontId="1" fillId="0" borderId="2" xfId="0" applyNumberFormat="1" applyFont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8" fillId="3" borderId="5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 vertical="center" wrapText="1"/>
    </xf>
    <xf numFmtId="4" fontId="1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8" fillId="2" borderId="2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/>
    </xf>
    <xf numFmtId="3" fontId="1" fillId="0" borderId="2" xfId="0" applyNumberFormat="1" applyFont="1" applyBorder="1" applyAlignment="1">
      <alignment horizontal="center"/>
    </xf>
    <xf numFmtId="3" fontId="1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58" fontId="1" fillId="0" borderId="2" xfId="0" applyNumberFormat="1" applyFont="1" applyBorder="1" applyAlignment="1">
      <alignment horizontal="center" vertical="center"/>
    </xf>
    <xf numFmtId="0" fontId="1" fillId="0" borderId="0" xfId="0" applyFont="1"/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8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76" fontId="1" fillId="0" borderId="2" xfId="0" applyNumberFormat="1" applyFont="1" applyBorder="1" applyAlignment="1">
      <alignment horizontal="center" vertical="center"/>
    </xf>
    <xf numFmtId="177" fontId="1" fillId="0" borderId="2" xfId="0" applyNumberFormat="1" applyFont="1" applyBorder="1" applyAlignment="1">
      <alignment horizontal="center"/>
    </xf>
    <xf numFmtId="178" fontId="1" fillId="0" borderId="0" xfId="0" applyNumberFormat="1" applyFont="1" applyAlignment="1">
      <alignment horizontal="center"/>
    </xf>
    <xf numFmtId="176" fontId="1" fillId="0" borderId="2" xfId="0" applyNumberFormat="1" applyFont="1" applyBorder="1" applyAlignment="1">
      <alignment horizontal="center"/>
    </xf>
    <xf numFmtId="179" fontId="1" fillId="0" borderId="0" xfId="0" applyNumberFormat="1" applyFont="1" applyAlignment="1">
      <alignment horizontal="center"/>
    </xf>
    <xf numFmtId="180" fontId="1" fillId="0" borderId="0" xfId="0" applyNumberFormat="1" applyFont="1" applyAlignment="1">
      <alignment horizontal="center"/>
    </xf>
    <xf numFmtId="181" fontId="1" fillId="0" borderId="2" xfId="0" applyNumberFormat="1" applyFont="1" applyBorder="1" applyAlignment="1">
      <alignment horizontal="center"/>
    </xf>
    <xf numFmtId="182" fontId="1" fillId="0" borderId="0" xfId="0" applyNumberFormat="1" applyFont="1" applyAlignment="1">
      <alignment horizontal="center"/>
    </xf>
    <xf numFmtId="183" fontId="1" fillId="0" borderId="0" xfId="0" applyNumberFormat="1" applyFont="1" applyAlignment="1">
      <alignment horizontal="center"/>
    </xf>
    <xf numFmtId="184" fontId="1" fillId="0" borderId="0" xfId="0" applyNumberFormat="1" applyFont="1" applyAlignment="1">
      <alignment horizontal="center"/>
    </xf>
    <xf numFmtId="178" fontId="1" fillId="0" borderId="2" xfId="0" applyNumberFormat="1" applyFont="1" applyBorder="1" applyAlignment="1">
      <alignment horizontal="center"/>
    </xf>
    <xf numFmtId="178" fontId="1" fillId="4" borderId="2" xfId="0" applyNumberFormat="1" applyFont="1" applyFill="1" applyBorder="1" applyAlignment="1">
      <alignment horizontal="center"/>
    </xf>
    <xf numFmtId="185" fontId="3" fillId="0" borderId="2" xfId="0" applyNumberFormat="1" applyFont="1" applyBorder="1" applyAlignment="1">
      <alignment horizontal="center"/>
    </xf>
    <xf numFmtId="185" fontId="1" fillId="0" borderId="2" xfId="0" applyNumberFormat="1" applyFont="1" applyBorder="1" applyAlignment="1">
      <alignment horizontal="center"/>
    </xf>
    <xf numFmtId="185" fontId="3" fillId="4" borderId="0" xfId="0" applyNumberFormat="1" applyFont="1" applyFill="1" applyAlignment="1">
      <alignment horizontal="center"/>
    </xf>
    <xf numFmtId="185" fontId="1" fillId="4" borderId="0" xfId="0" applyNumberFormat="1" applyFont="1" applyFill="1" applyAlignment="1">
      <alignment horizontal="center"/>
    </xf>
    <xf numFmtId="185" fontId="1" fillId="0" borderId="0" xfId="0" applyNumberFormat="1" applyFont="1" applyAlignment="1">
      <alignment horizontal="center"/>
    </xf>
    <xf numFmtId="185" fontId="8" fillId="3" borderId="2" xfId="0" applyNumberFormat="1" applyFont="1" applyFill="1" applyBorder="1" applyAlignment="1">
      <alignment horizontal="center"/>
    </xf>
    <xf numFmtId="185" fontId="6" fillId="0" borderId="2" xfId="0" applyNumberFormat="1" applyFont="1" applyBorder="1" applyAlignment="1">
      <alignment horizontal="center"/>
    </xf>
    <xf numFmtId="186" fontId="1" fillId="0" borderId="0" xfId="0" applyNumberFormat="1" applyFont="1" applyAlignment="1">
      <alignment horizontal="center"/>
    </xf>
    <xf numFmtId="185" fontId="5" fillId="0" borderId="0" xfId="0" applyNumberFormat="1" applyFont="1" applyAlignment="1">
      <alignment horizontal="center"/>
    </xf>
    <xf numFmtId="176" fontId="6" fillId="0" borderId="2" xfId="0" applyNumberFormat="1" applyFont="1" applyBorder="1" applyAlignment="1">
      <alignment horizontal="center" vertical="center"/>
    </xf>
    <xf numFmtId="178" fontId="5" fillId="0" borderId="0" xfId="0" applyNumberFormat="1" applyFont="1" applyAlignment="1">
      <alignment horizontal="center"/>
    </xf>
    <xf numFmtId="176" fontId="1" fillId="0" borderId="11" xfId="0" applyNumberFormat="1" applyFont="1" applyBorder="1" applyAlignment="1">
      <alignment horizontal="center" vertical="center"/>
    </xf>
    <xf numFmtId="176" fontId="6" fillId="0" borderId="11" xfId="0" applyNumberFormat="1" applyFont="1" applyBorder="1" applyAlignment="1">
      <alignment horizontal="center" vertical="center"/>
    </xf>
    <xf numFmtId="185" fontId="1" fillId="0" borderId="0" xfId="0" applyNumberFormat="1" applyFont="1"/>
    <xf numFmtId="185" fontId="2" fillId="2" borderId="2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21" xfId="0" applyBorder="1"/>
    <xf numFmtId="0" fontId="0" fillId="0" borderId="22" xfId="0" applyBorder="1"/>
    <xf numFmtId="0" fontId="1" fillId="0" borderId="2" xfId="0" applyFont="1" applyBorder="1" applyAlignment="1">
      <alignment horizontal="left" vertical="top" wrapText="1"/>
    </xf>
    <xf numFmtId="0" fontId="0" fillId="0" borderId="9" xfId="0" applyBorder="1"/>
    <xf numFmtId="0" fontId="0" fillId="0" borderId="8" xfId="0" applyBorder="1"/>
    <xf numFmtId="0" fontId="0" fillId="0" borderId="10" xfId="0" applyBorder="1"/>
    <xf numFmtId="0" fontId="0" fillId="0" borderId="7" xfId="0" applyBorder="1"/>
    <xf numFmtId="0" fontId="0" fillId="0" borderId="4" xfId="0" applyBorder="1"/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0" fillId="0" borderId="6" xfId="0" applyBorder="1"/>
    <xf numFmtId="0" fontId="0" fillId="0" borderId="1" xfId="0" applyBorder="1"/>
    <xf numFmtId="0" fontId="2" fillId="2" borderId="7" xfId="0" applyFont="1" applyFill="1" applyBorder="1" applyAlignment="1">
      <alignment horizontal="center"/>
    </xf>
    <xf numFmtId="0" fontId="0" fillId="0" borderId="3" xfId="0" applyBorder="1"/>
    <xf numFmtId="0" fontId="28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58">
    <cellStyle name="20% - 强调文字颜色 1 2" xfId="1"/>
    <cellStyle name="20% - 强调文字颜色 1 3" xfId="11"/>
    <cellStyle name="20% - 强调文字颜色 2 2" xfId="13"/>
    <cellStyle name="20% - 强调文字颜色 2 3" xfId="5"/>
    <cellStyle name="20% - 强调文字颜色 3 2" xfId="14"/>
    <cellStyle name="20% - 强调文字颜色 3 3" xfId="7"/>
    <cellStyle name="20% - 强调文字颜色 4 2" xfId="15"/>
    <cellStyle name="20% - 强调文字颜色 4 3" xfId="17"/>
    <cellStyle name="20% - 强调文字颜色 5 2" xfId="19"/>
    <cellStyle name="20% - 强调文字颜色 5 3" xfId="4"/>
    <cellStyle name="20% - 强调文字颜色 6 2" xfId="20"/>
    <cellStyle name="20% - 强调文字颜色 6 3" xfId="9"/>
    <cellStyle name="40% - 强调文字颜色 1 2" xfId="6"/>
    <cellStyle name="40% - 强调文字颜色 1 3" xfId="21"/>
    <cellStyle name="40% - 强调文字颜色 2 2" xfId="8"/>
    <cellStyle name="40% - 强调文字颜色 2 3" xfId="22"/>
    <cellStyle name="40% - 强调文字颜色 3 2" xfId="23"/>
    <cellStyle name="40% - 强调文字颜色 3 3" xfId="24"/>
    <cellStyle name="40% - 强调文字颜色 4 2" xfId="3"/>
    <cellStyle name="40% - 强调文字颜色 4 3" xfId="25"/>
    <cellStyle name="40% - 强调文字颜色 5 2" xfId="26"/>
    <cellStyle name="40% - 强调文字颜色 5 3" xfId="27"/>
    <cellStyle name="40% - 强调文字颜色 6 2" xfId="28"/>
    <cellStyle name="40% - 强调文字颜色 6 3" xfId="29"/>
    <cellStyle name="60% - 强调文字颜色 1 2" xfId="30"/>
    <cellStyle name="60% - 强调文字颜色 2 2" xfId="31"/>
    <cellStyle name="60% - 强调文字颜色 3 2" xfId="33"/>
    <cellStyle name="60% - 强调文字颜色 4 2" xfId="34"/>
    <cellStyle name="60% - 强调文字颜色 5 2" xfId="35"/>
    <cellStyle name="60% - 强调文字颜色 6 2" xfId="36"/>
    <cellStyle name="标题 1 2" xfId="37"/>
    <cellStyle name="标题 2 2" xfId="38"/>
    <cellStyle name="标题 3 2" xfId="39"/>
    <cellStyle name="标题 4 2" xfId="40"/>
    <cellStyle name="差 2" xfId="41"/>
    <cellStyle name="常规" xfId="0" builtinId="0"/>
    <cellStyle name="常规 2" xfId="42"/>
    <cellStyle name="常规 3" xfId="16"/>
    <cellStyle name="常规 4" xfId="18"/>
    <cellStyle name="常规 5" xfId="32"/>
    <cellStyle name="好 2" xfId="43"/>
    <cellStyle name="汇总 2" xfId="44"/>
    <cellStyle name="计算 2" xfId="2"/>
    <cellStyle name="检查单元格 2" xfId="45"/>
    <cellStyle name="解释性文本 2" xfId="46"/>
    <cellStyle name="警告文本 2" xfId="47"/>
    <cellStyle name="链接单元格 2" xfId="48"/>
    <cellStyle name="强调文字颜色 1 2" xfId="49"/>
    <cellStyle name="强调文字颜色 2 2" xfId="50"/>
    <cellStyle name="强调文字颜色 3 2" xfId="51"/>
    <cellStyle name="强调文字颜色 4 2" xfId="52"/>
    <cellStyle name="强调文字颜色 5 2" xfId="53"/>
    <cellStyle name="强调文字颜色 6 2" xfId="54"/>
    <cellStyle name="适中 2" xfId="12"/>
    <cellStyle name="输出 2" xfId="10"/>
    <cellStyle name="输入 2" xfId="55"/>
    <cellStyle name="注释 2" xfId="56"/>
    <cellStyle name="注释 3" xfId="57"/>
  </cellStyles>
  <dxfs count="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93"/>
  <sheetViews>
    <sheetView tabSelected="1" zoomScale="91" zoomScaleNormal="91" workbookViewId="0">
      <pane ySplit="1" topLeftCell="A2" activePane="bottomLeft" state="frozen"/>
      <selection pane="bottomLeft"/>
    </sheetView>
  </sheetViews>
  <sheetFormatPr defaultColWidth="9" defaultRowHeight="16.5" x14ac:dyDescent="0.35"/>
  <cols>
    <col min="1" max="1" width="11.375" style="21" customWidth="1"/>
    <col min="2" max="2" width="13.75" style="4" customWidth="1"/>
    <col min="3" max="4" width="16" style="4" customWidth="1"/>
    <col min="5" max="5" width="12.75" style="4" customWidth="1"/>
    <col min="6" max="6" width="8.375" style="4" customWidth="1"/>
    <col min="7" max="7" width="3.375" style="4" customWidth="1"/>
    <col min="8" max="8" width="17" style="4" customWidth="1"/>
    <col min="9" max="9" width="15.375" style="4" customWidth="1"/>
    <col min="10" max="10" width="17.125" style="4" customWidth="1"/>
    <col min="11" max="11" width="15.375" style="4" customWidth="1"/>
    <col min="12" max="12" width="13.625" style="4" customWidth="1"/>
    <col min="13" max="13" width="16.125" style="4" customWidth="1"/>
    <col min="14" max="14" width="13" style="4" hidden="1" customWidth="1"/>
    <col min="15" max="15" width="13.625" style="4" hidden="1" customWidth="1"/>
    <col min="16" max="16" width="11.75" style="4" hidden="1" customWidth="1"/>
    <col min="17" max="17" width="17.625" style="4" customWidth="1"/>
    <col min="18" max="18" width="12.625" style="4" customWidth="1"/>
    <col min="19" max="19" width="12" style="4" customWidth="1"/>
    <col min="20" max="20" width="12.875" style="4" customWidth="1"/>
    <col min="21" max="24" width="13.25" style="4" customWidth="1"/>
    <col min="25" max="25" width="11.75" style="4" customWidth="1"/>
    <col min="26" max="28" width="9" style="4" customWidth="1"/>
    <col min="29" max="29" width="12.875" style="4" customWidth="1"/>
    <col min="30" max="30" width="12.375" style="4" customWidth="1"/>
    <col min="31" max="32" width="12.75" style="4" hidden="1" customWidth="1"/>
    <col min="33" max="33" width="9" style="4" hidden="1" customWidth="1"/>
    <col min="34" max="54" width="9" style="4" customWidth="1"/>
    <col min="55" max="16384" width="9" style="4"/>
  </cols>
  <sheetData>
    <row r="1" spans="1:33" s="1" customFormat="1" ht="19.5" customHeight="1" x14ac:dyDescent="0.2">
      <c r="A1" s="29" t="s">
        <v>0</v>
      </c>
      <c r="B1" s="77" t="s">
        <v>1</v>
      </c>
      <c r="C1" s="77" t="s">
        <v>2</v>
      </c>
      <c r="D1" s="77" t="s">
        <v>3</v>
      </c>
      <c r="E1" s="77" t="s">
        <v>4</v>
      </c>
      <c r="F1" s="78" t="s">
        <v>5</v>
      </c>
      <c r="AE1" s="1" t="s">
        <v>6</v>
      </c>
      <c r="AF1" s="1" t="s">
        <v>6</v>
      </c>
      <c r="AG1" s="1" t="s">
        <v>6</v>
      </c>
    </row>
    <row r="2" spans="1:33" x14ac:dyDescent="0.35">
      <c r="A2" s="24">
        <v>45108</v>
      </c>
      <c r="B2" s="31" t="str">
        <f t="shared" ref="B2:B33" si="0">IF(C2="","",C2+F2)</f>
        <v/>
      </c>
      <c r="C2" s="31" t="str">
        <f>IF(客服部门消费监控!AI3="","",客服部门消费监控!AI3)</f>
        <v/>
      </c>
      <c r="D2" s="31" t="str">
        <f>IF(客服部门消费监控!AI3="","",客服部门消费监控!AJ3)</f>
        <v/>
      </c>
      <c r="E2" s="31" t="str">
        <f>IF(客服部门消费监控!AI3="","",客服部门消费监控!AK3)</f>
        <v/>
      </c>
      <c r="F2" s="31" t="str">
        <f>IF(客服部门消费监控!AI3="","",客服部门消费监控!AC3)</f>
        <v/>
      </c>
      <c r="H2" s="13" t="s">
        <v>7</v>
      </c>
      <c r="I2" s="17" t="s">
        <v>8</v>
      </c>
      <c r="J2" s="13" t="s">
        <v>9</v>
      </c>
      <c r="K2" s="13" t="s">
        <v>10</v>
      </c>
      <c r="L2" s="13" t="s">
        <v>11</v>
      </c>
      <c r="M2" s="18" t="s">
        <v>12</v>
      </c>
      <c r="N2" s="18" t="s">
        <v>13</v>
      </c>
      <c r="O2" s="18" t="s">
        <v>14</v>
      </c>
      <c r="P2" s="18" t="s">
        <v>15</v>
      </c>
      <c r="Q2" s="13" t="s">
        <v>16</v>
      </c>
      <c r="R2" s="13" t="s">
        <v>17</v>
      </c>
      <c r="S2" s="13" t="s">
        <v>18</v>
      </c>
      <c r="T2" s="13" t="s">
        <v>19</v>
      </c>
      <c r="U2" s="13" t="s">
        <v>20</v>
      </c>
      <c r="V2" s="18" t="s">
        <v>21</v>
      </c>
      <c r="W2" s="18" t="s">
        <v>22</v>
      </c>
      <c r="X2" s="18" t="s">
        <v>23</v>
      </c>
      <c r="Y2" s="18" t="s">
        <v>24</v>
      </c>
      <c r="AE2" s="15">
        <v>0</v>
      </c>
      <c r="AF2" s="15">
        <v>0</v>
      </c>
      <c r="AG2" s="4">
        <v>0</v>
      </c>
    </row>
    <row r="3" spans="1:33" x14ac:dyDescent="0.35">
      <c r="A3" s="24">
        <v>45109</v>
      </c>
      <c r="B3" s="31" t="str">
        <f t="shared" si="0"/>
        <v/>
      </c>
      <c r="C3" s="31" t="str">
        <f>IF(客服部门消费监控!AI4="","",客服部门消费监控!AI4)</f>
        <v/>
      </c>
      <c r="D3" s="31" t="str">
        <f>IF(客服部门消费监控!AI4="","",客服部门消费监控!AJ4)</f>
        <v/>
      </c>
      <c r="E3" s="31" t="str">
        <f>IF(客服部门消费监控!AI4="","",客服部门消费监控!AK4)</f>
        <v/>
      </c>
      <c r="F3" s="31" t="str">
        <f>IF(客服部门消费监控!AI4="","",客服部门消费监控!AC4)</f>
        <v/>
      </c>
      <c r="H3" s="26">
        <v>100</v>
      </c>
      <c r="I3" s="19"/>
      <c r="J3" s="19">
        <f ca="1">I12</f>
        <v>0</v>
      </c>
      <c r="K3" s="26">
        <f>92-COUNTIF(C:C,"&gt;0")</f>
        <v>92</v>
      </c>
      <c r="L3" s="8" t="str">
        <f>IF(I3="","",Q3/I3)</f>
        <v/>
      </c>
      <c r="M3" s="19">
        <f ca="1">Q3+J3*K3</f>
        <v>0</v>
      </c>
      <c r="N3" s="8" t="str">
        <f>IF(I3="","",M3/I3)</f>
        <v/>
      </c>
      <c r="O3" s="32" t="str">
        <f>IF(I3="","",I3-M3)</f>
        <v/>
      </c>
      <c r="P3" s="32" t="str">
        <f>IF(I3="","",O3/K3)</f>
        <v/>
      </c>
      <c r="Q3" s="19">
        <f>S3+R3</f>
        <v>0</v>
      </c>
      <c r="R3" s="19">
        <v>0</v>
      </c>
      <c r="S3" s="19">
        <f>T3+U3</f>
        <v>0</v>
      </c>
      <c r="T3" s="19">
        <f>SUM(V3+W3+X3)</f>
        <v>0</v>
      </c>
      <c r="U3" s="19"/>
      <c r="V3" s="19">
        <f>SUMIFS($B$2:$B$93,$A$2:$A$93,"&gt;="&amp;DATE(2023,LEFT(V2,1),1),$A$2:$A$93,"&lt;"&amp;DATE(2023,LEFT(V2,1)+1,1))</f>
        <v>0</v>
      </c>
      <c r="W3" s="19">
        <f>SUMIFS($B$2:$B$93,$A$2:$A$93,"&gt;="&amp;DATE(2023,LEFT(W2,1),1),$A$2:$A$93,"&lt;"&amp;DATE(2023,LEFT(W2,1)+1,1))</f>
        <v>0</v>
      </c>
      <c r="X3" s="19">
        <f>SUMIFS($B$2:$B$93,$A$2:$A$93,"&gt;="&amp;DATE(2023,LEFT(X2,1),1),$A$2:$A$93,"&lt;"&amp;DATE(2023,LEFT(X2,1)+1,1))</f>
        <v>0</v>
      </c>
      <c r="Y3" s="8" t="e">
        <f>(90-K3)/90-L3</f>
        <v>#VALUE!</v>
      </c>
    </row>
    <row r="4" spans="1:33" x14ac:dyDescent="0.35">
      <c r="A4" s="24">
        <v>45110</v>
      </c>
      <c r="B4" s="31" t="str">
        <f t="shared" si="0"/>
        <v/>
      </c>
      <c r="C4" s="31" t="str">
        <f>IF(客服部门消费监控!AI5="","",客服部门消费监控!AI5)</f>
        <v/>
      </c>
      <c r="D4" s="31" t="str">
        <f>IF(客服部门消费监控!AI5="","",客服部门消费监控!AJ5)</f>
        <v/>
      </c>
      <c r="E4" s="31" t="str">
        <f>IF(客服部门消费监控!AI5="","",客服部门消费监控!AK5)</f>
        <v/>
      </c>
      <c r="F4" s="31" t="str">
        <f>IF(客服部门消费监控!AI5="","",客服部门消费监控!AC5)</f>
        <v/>
      </c>
      <c r="M4" s="33"/>
      <c r="N4" s="33"/>
      <c r="O4" s="33"/>
      <c r="P4" s="33"/>
      <c r="Q4" s="33"/>
      <c r="R4" s="33"/>
      <c r="S4" s="15"/>
      <c r="T4" s="15"/>
    </row>
    <row r="5" spans="1:33" x14ac:dyDescent="0.35">
      <c r="A5" s="24">
        <v>45111</v>
      </c>
      <c r="B5" s="31" t="str">
        <f t="shared" si="0"/>
        <v/>
      </c>
      <c r="C5" s="31" t="str">
        <f>IF(客服部门消费监控!AI6="","",客服部门消费监控!AI6)</f>
        <v/>
      </c>
      <c r="D5" s="31" t="str">
        <f>IF(客服部门消费监控!AI6="","",客服部门消费监控!AJ6)</f>
        <v/>
      </c>
      <c r="E5" s="31" t="str">
        <f>IF(客服部门消费监控!AI6="","",客服部门消费监控!AK6)</f>
        <v/>
      </c>
      <c r="F5" s="31" t="str">
        <f>IF(客服部门消费监控!AI6="","",客服部门消费监控!AC6)</f>
        <v/>
      </c>
      <c r="H5" s="14" t="s">
        <v>25</v>
      </c>
      <c r="I5" s="14" t="s">
        <v>26</v>
      </c>
      <c r="J5" s="14" t="s">
        <v>27</v>
      </c>
      <c r="K5" s="14" t="s">
        <v>28</v>
      </c>
      <c r="L5" s="14" t="s">
        <v>29</v>
      </c>
      <c r="M5" s="14" t="s">
        <v>30</v>
      </c>
      <c r="Q5" s="20"/>
      <c r="S5" s="15"/>
      <c r="T5" s="15"/>
    </row>
    <row r="6" spans="1:33" x14ac:dyDescent="0.35">
      <c r="A6" s="24">
        <v>45112</v>
      </c>
      <c r="B6" s="31" t="str">
        <f t="shared" si="0"/>
        <v/>
      </c>
      <c r="C6" s="31" t="str">
        <f>IF(客服部门消费监控!AI7="","",客服部门消费监控!AI7)</f>
        <v/>
      </c>
      <c r="D6" s="31" t="str">
        <f>IF(客服部门消费监控!AI7="","",客服部门消费监控!AJ7)</f>
        <v/>
      </c>
      <c r="E6" s="31" t="str">
        <f>IF(客服部门消费监控!AI7="","",客服部门消费监控!AK7)</f>
        <v/>
      </c>
      <c r="F6" s="31" t="str">
        <f>IF(客服部门消费监控!AI7="","",客服部门消费监控!AC7)</f>
        <v/>
      </c>
      <c r="H6" s="26" t="s">
        <v>31</v>
      </c>
      <c r="I6" s="34" t="str">
        <f ca="1">OFFSET(分地区消费!$B$3,COUNTIFS(分地区消费!$B$3:$B$94,"&gt;=0")-1,0,1,1)</f>
        <v>feed竞价消费</v>
      </c>
      <c r="J6" s="34" t="str">
        <f ca="1">OFFSET(分地区消费!$C$3,COUNTIFS(分地区消费!$C$3:$C$94,"&gt;=0")-1,,1,1)</f>
        <v>feed竞价账户数</v>
      </c>
      <c r="K6" s="32" t="e">
        <f ca="1">OFFSET(分地区消费!$B$3,COUNTIFS(分地区消费!$B$3:$B$92,"&gt;=0")-1,,1,1)-OFFSET(分地区消费!$B$3,COUNTIFS(分地区消费!$B$3:$B$92,"&gt;=0")-2,,1,1)</f>
        <v>#VALUE!</v>
      </c>
      <c r="L6" s="34" t="e">
        <f ca="1">I6/J6</f>
        <v>#VALUE!</v>
      </c>
      <c r="M6" s="34">
        <f>SUMIFS(分地区消费!$B$3:$B$94,分地区消费!$A$3:$A$94,"&gt;="&amp;DATE(2023,7,1))</f>
        <v>0</v>
      </c>
      <c r="Q6" s="35"/>
    </row>
    <row r="7" spans="1:33" x14ac:dyDescent="0.35">
      <c r="A7" s="24">
        <v>45113</v>
      </c>
      <c r="B7" s="31" t="str">
        <f t="shared" si="0"/>
        <v/>
      </c>
      <c r="C7" s="31" t="str">
        <f>IF(客服部门消费监控!AI8="","",客服部门消费监控!AI8)</f>
        <v/>
      </c>
      <c r="D7" s="31" t="str">
        <f>IF(客服部门消费监控!AI8="","",客服部门消费监控!AJ8)</f>
        <v/>
      </c>
      <c r="E7" s="31" t="str">
        <f>IF(客服部门消费监控!AI8="","",客服部门消费监控!AK8)</f>
        <v/>
      </c>
      <c r="F7" s="31" t="str">
        <f>IF(客服部门消费监控!AI8="","",客服部门消费监控!AC8)</f>
        <v/>
      </c>
      <c r="H7" s="26" t="s">
        <v>32</v>
      </c>
      <c r="I7" s="34" t="str">
        <f ca="1">OFFSET(分地区消费!$E$3,COUNTIFS(分地区消费!$E$3:$E$94,"&gt;=0")-1,,1,1)</f>
        <v>feed竞价消费</v>
      </c>
      <c r="J7" s="34" t="str">
        <f ca="1">OFFSET(分地区消费!$F$3,COUNTIFS(分地区消费!$F$3:$F$94,"&gt;=0")-1,,1,1)</f>
        <v>feed竞价账户数</v>
      </c>
      <c r="K7" s="32" t="e">
        <f ca="1">OFFSET(分地区消费!$E$3,COUNTIFS(分地区消费!$E$3:$E$92,"&gt;=0")-1,,1,1)-OFFSET(分地区消费!$E$3,COUNTIFS(分地区消费!$E$3:$E$92,"&gt;=0")-2,,1,1)</f>
        <v>#VALUE!</v>
      </c>
      <c r="L7" s="34" t="e">
        <f ca="1">I7/J7</f>
        <v>#VALUE!</v>
      </c>
      <c r="M7" s="34">
        <f>SUMIFS(分地区消费!$E$3:$E$94,分地区消费!$A$3:$A$94,"&gt;="&amp;DATE(2023,7,1))</f>
        <v>0</v>
      </c>
      <c r="S7" s="15"/>
    </row>
    <row r="8" spans="1:33" x14ac:dyDescent="0.35">
      <c r="A8" s="24">
        <v>45114</v>
      </c>
      <c r="B8" s="31" t="str">
        <f t="shared" si="0"/>
        <v/>
      </c>
      <c r="C8" s="31" t="str">
        <f>IF(客服部门消费监控!AI9="","",客服部门消费监控!AI9)</f>
        <v/>
      </c>
      <c r="D8" s="31" t="str">
        <f>IF(客服部门消费监控!AI9="","",客服部门消费监控!AJ9)</f>
        <v/>
      </c>
      <c r="E8" s="31" t="str">
        <f>IF(客服部门消费监控!AI9="","",客服部门消费监控!AK9)</f>
        <v/>
      </c>
      <c r="F8" s="31" t="str">
        <f>IF(客服部门消费监控!AI9="","",客服部门消费监控!AC9)</f>
        <v/>
      </c>
      <c r="H8" s="26" t="s">
        <v>33</v>
      </c>
      <c r="I8" s="34" t="str">
        <f ca="1">OFFSET(分地区消费!$H$3,COUNTIFS(分地区消费!$H$3:$H$94,"&gt;=0")-1,,1,1)</f>
        <v>feed竞价消费</v>
      </c>
      <c r="J8" s="34" t="str">
        <f ca="1">OFFSET(分地区消费!$I$3,COUNTIFS(分地区消费!$I$3:$I$94,"&gt;0")-1,,1,1)</f>
        <v>feed竞价账户数</v>
      </c>
      <c r="K8" s="32" t="e">
        <f ca="1">OFFSET(分地区消费!$H$3,COUNTIFS(分地区消费!$H$3:$H$92,"&gt;0")-1,,1,1)-OFFSET(分地区消费!$H$3,COUNTIFS(分地区消费!$H$3:$H$92,"&gt;0")-2,,1,1)</f>
        <v>#VALUE!</v>
      </c>
      <c r="L8" s="34" t="e">
        <f ca="1">I8/J8</f>
        <v>#VALUE!</v>
      </c>
      <c r="M8" s="34">
        <f>SUMIFS(分地区消费!$H$3:$H$94,分地区消费!$A$3:$A$94,"&gt;="&amp;DATE(2023,7,1))</f>
        <v>0</v>
      </c>
    </row>
    <row r="9" spans="1:33" x14ac:dyDescent="0.35">
      <c r="A9" s="24">
        <v>45115</v>
      </c>
      <c r="B9" s="31" t="str">
        <f t="shared" si="0"/>
        <v/>
      </c>
      <c r="C9" s="31" t="str">
        <f>IF(客服部门消费监控!AI10="","",客服部门消费监控!AI10)</f>
        <v/>
      </c>
      <c r="D9" s="31" t="str">
        <f>IF(客服部门消费监控!AI10="","",客服部门消费监控!AJ10)</f>
        <v/>
      </c>
      <c r="E9" s="31" t="str">
        <f>IF(客服部门消费监控!AI10="","",客服部门消费监控!AK10)</f>
        <v/>
      </c>
      <c r="F9" s="31" t="str">
        <f>IF(客服部门消费监控!AI10="","",客服部门消费监控!AC10)</f>
        <v/>
      </c>
      <c r="H9" s="26" t="s">
        <v>34</v>
      </c>
      <c r="I9" s="34" t="str">
        <f ca="1">OFFSET(分地区消费!$K$3,COUNTIFS(分地区消费!$K$3:$K$94,"&gt;=0")-1,,1,1)</f>
        <v>feed竞价消费</v>
      </c>
      <c r="J9" s="34" t="str">
        <f ca="1">OFFSET(分地区消费!$L$3,COUNTIFS(分地区消费!$L$3:$L$94,"&gt;=0")-1,,1,1)</f>
        <v>feed竞价账户数</v>
      </c>
      <c r="K9" s="32" t="e">
        <f ca="1">OFFSET(分地区消费!$K$3,COUNTIFS(分地区消费!$K$3:$K$92,"&gt;=0")-1,,1,1)-OFFSET(分地区消费!$K$3,COUNTIFS(分地区消费!$K$3:$K$92,"&gt;=0")-2,,1,1)</f>
        <v>#VALUE!</v>
      </c>
      <c r="L9" s="34" t="e">
        <f ca="1">I9/J9</f>
        <v>#VALUE!</v>
      </c>
      <c r="M9" s="34">
        <f>SUMIFS(分地区消费!$K$3:$K$94,分地区消费!$A$3:$A$94,"&gt;="&amp;DATE(2023,7,1))</f>
        <v>0</v>
      </c>
    </row>
    <row r="10" spans="1:33" x14ac:dyDescent="0.35">
      <c r="A10" s="24">
        <v>45116</v>
      </c>
      <c r="B10" s="31" t="str">
        <f t="shared" si="0"/>
        <v/>
      </c>
      <c r="C10" s="31" t="str">
        <f>IF(客服部门消费监控!AI11="","",客服部门消费监控!AI11)</f>
        <v/>
      </c>
      <c r="D10" s="31" t="str">
        <f>IF(客服部门消费监控!AI11="","",客服部门消费监控!AJ11)</f>
        <v/>
      </c>
      <c r="E10" s="31" t="str">
        <f>IF(客服部门消费监控!AI11="","",客服部门消费监控!AK11)</f>
        <v/>
      </c>
      <c r="F10" s="31" t="str">
        <f>IF(客服部门消费监控!AI11="","",客服部门消费监控!AC11)</f>
        <v/>
      </c>
      <c r="H10" s="26" t="s">
        <v>35</v>
      </c>
      <c r="I10" s="34" t="str">
        <f ca="1">OFFSET(分地区消费!$N$3,COUNTIFS(分地区消费!$N$3:$N$94,"&gt;=0")-1,,1,1)</f>
        <v>feed竞价消费</v>
      </c>
      <c r="J10" s="34" t="str">
        <f ca="1">OFFSET(分地区消费!$O$3,COUNTIFS(分地区消费!$O$3:$O$94,"&gt;=0")-1,,1,1)</f>
        <v>feed竞价账户数</v>
      </c>
      <c r="K10" s="32" t="e">
        <f ca="1">OFFSET(分地区消费!$N$3,COUNTIFS(分地区消费!$N$3:$N$92,"&gt;=0")-1,,1,1)-OFFSET(分地区消费!$N$3,COUNTIFS(分地区消费!$N$3:$N$92,"&gt;=0")-2,,1,1)</f>
        <v>#VALUE!</v>
      </c>
      <c r="L10" s="34" t="e">
        <f ca="1">I10/J10</f>
        <v>#VALUE!</v>
      </c>
      <c r="M10" s="34">
        <f>SUMIFS(分地区消费!$N$3:$N$94,分地区消费!$A$3:$A$94,"&gt;="&amp;DATE(2023,7,1))</f>
        <v>0</v>
      </c>
    </row>
    <row r="11" spans="1:33" x14ac:dyDescent="0.35">
      <c r="A11" s="24">
        <v>45117</v>
      </c>
      <c r="B11" s="31" t="str">
        <f t="shared" si="0"/>
        <v/>
      </c>
      <c r="C11" s="31" t="str">
        <f>IF(客服部门消费监控!AI12="","",客服部门消费监控!AI12)</f>
        <v/>
      </c>
      <c r="D11" s="31" t="str">
        <f>IF(客服部门消费监控!AI12="","",客服部门消费监控!AJ12)</f>
        <v/>
      </c>
      <c r="E11" s="31" t="str">
        <f>IF(客服部门消费监控!AI12="","",客服部门消费监控!AK12)</f>
        <v/>
      </c>
      <c r="F11" s="31" t="str">
        <f>IF(客服部门消费监控!AI12="","",客服部门消费监控!AC12)</f>
        <v/>
      </c>
      <c r="H11" s="26" t="s">
        <v>36</v>
      </c>
      <c r="I11" s="34" t="str">
        <f ca="1">OFFSET(分地区消费!$Q$3,COUNTIFS(分地区消费!$Q$3:$Q$94,"&gt;=0")-1,,1,1)</f>
        <v>feed竞价消费</v>
      </c>
      <c r="J11" s="34" t="str">
        <f ca="1">OFFSET(分地区消费!$R$3,COUNTIFS(分地区消费!$R$3:$R$94,"&gt;=0")-1,,1,1)</f>
        <v>feed竞价账户数</v>
      </c>
      <c r="K11" s="32" t="e">
        <f ca="1">OFFSET(分地区消费!$Q$3,COUNTIFS(分地区消费!$Q$3:$Q$92,"&gt;=0")-1,,1,1)-OFFSET(分地区消费!$Q$3,COUNTIFS(分地区消费!$Q$3:$Q$92,"&gt;=0")-2,,1,1)</f>
        <v>#VALUE!</v>
      </c>
      <c r="L11" s="34" t="e">
        <f ca="1">IF(J11=0,"-",I11/J11)</f>
        <v>#VALUE!</v>
      </c>
      <c r="M11" s="34">
        <f>SUMIFS(分地区消费!$Q$3:$Q$94,分地区消费!$A$3:$A$94,"&gt;="&amp;DATE(2023,7,1))</f>
        <v>0</v>
      </c>
      <c r="R11" s="36"/>
    </row>
    <row r="12" spans="1:33" x14ac:dyDescent="0.35">
      <c r="A12" s="24">
        <v>45118</v>
      </c>
      <c r="B12" s="31" t="str">
        <f t="shared" si="0"/>
        <v/>
      </c>
      <c r="C12" s="31" t="str">
        <f>IF(客服部门消费监控!AI13="","",客服部门消费监控!AI13)</f>
        <v/>
      </c>
      <c r="D12" s="31" t="str">
        <f>IF(客服部门消费监控!AI13="","",客服部门消费监控!AJ13)</f>
        <v/>
      </c>
      <c r="E12" s="31" t="str">
        <f>IF(客服部门消费监控!AI13="","",客服部门消费监控!AK13)</f>
        <v/>
      </c>
      <c r="F12" s="31" t="str">
        <f>IF(客服部门消费监控!AI13="","",客服部门消费监控!AC13)</f>
        <v/>
      </c>
      <c r="H12" s="26" t="s">
        <v>37</v>
      </c>
      <c r="I12" s="37">
        <f ca="1">SUM(I6:I11)</f>
        <v>0</v>
      </c>
      <c r="J12" s="26">
        <f ca="1">SUM(J6:J11)</f>
        <v>0</v>
      </c>
      <c r="K12" s="32" t="e">
        <f ca="1">SUM(K6:K11)</f>
        <v>#VALUE!</v>
      </c>
      <c r="L12" s="34" t="e">
        <f ca="1">I12/J12</f>
        <v>#DIV/0!</v>
      </c>
      <c r="M12" s="34">
        <f>SUM(M6:M11)</f>
        <v>0</v>
      </c>
      <c r="Q12" s="35"/>
      <c r="S12" s="33"/>
    </row>
    <row r="13" spans="1:33" x14ac:dyDescent="0.35">
      <c r="A13" s="24">
        <v>45119</v>
      </c>
      <c r="B13" s="31" t="str">
        <f t="shared" si="0"/>
        <v/>
      </c>
      <c r="C13" s="31" t="str">
        <f>IF(客服部门消费监控!AI14="","",客服部门消费监控!AI14)</f>
        <v/>
      </c>
      <c r="D13" s="31" t="str">
        <f>IF(客服部门消费监控!AI14="","",客服部门消费监控!AJ14)</f>
        <v/>
      </c>
      <c r="E13" s="31" t="str">
        <f>IF(客服部门消费监控!AI14="","",客服部门消费监控!AK14)</f>
        <v/>
      </c>
      <c r="F13" s="31" t="str">
        <f>IF(客服部门消费监控!AI14="","",客服部门消费监控!AC14)</f>
        <v/>
      </c>
      <c r="R13" s="33"/>
    </row>
    <row r="14" spans="1:33" x14ac:dyDescent="0.35">
      <c r="A14" s="24">
        <v>45120</v>
      </c>
      <c r="B14" s="31" t="str">
        <f t="shared" si="0"/>
        <v/>
      </c>
      <c r="C14" s="31" t="str">
        <f>IF(客服部门消费监控!AI15="","",客服部门消费监控!AI15)</f>
        <v/>
      </c>
      <c r="D14" s="31" t="str">
        <f>IF(客服部门消费监控!AI15="","",客服部门消费监控!AJ15)</f>
        <v/>
      </c>
      <c r="E14" s="31" t="str">
        <f>IF(客服部门消费监控!AI15="","",客服部门消费监控!AK15)</f>
        <v/>
      </c>
      <c r="F14" s="31" t="str">
        <f>IF(客服部门消费监控!AI15="","",客服部门消费监控!AC15)</f>
        <v/>
      </c>
      <c r="H14" s="14" t="s">
        <v>38</v>
      </c>
      <c r="I14" s="14" t="s">
        <v>39</v>
      </c>
      <c r="J14" s="14" t="s">
        <v>27</v>
      </c>
      <c r="K14" s="14" t="s">
        <v>40</v>
      </c>
      <c r="L14" s="14" t="s">
        <v>41</v>
      </c>
      <c r="M14" s="14" t="s">
        <v>30</v>
      </c>
    </row>
    <row r="15" spans="1:33" x14ac:dyDescent="0.35">
      <c r="A15" s="24">
        <v>45121</v>
      </c>
      <c r="B15" s="31" t="str">
        <f t="shared" si="0"/>
        <v/>
      </c>
      <c r="C15" s="31" t="str">
        <f>IF(客服部门消费监控!AI16="","",客服部门消费监控!AI16)</f>
        <v/>
      </c>
      <c r="D15" s="31" t="str">
        <f>IF(客服部门消费监控!AI16="","",客服部门消费监控!AJ16)</f>
        <v/>
      </c>
      <c r="E15" s="31" t="str">
        <f>IF(客服部门消费监控!AI16="","",客服部门消费监控!AK16)</f>
        <v/>
      </c>
      <c r="F15" s="31" t="str">
        <f>IF(客服部门消费监控!AI16="","",客服部门消费监控!AC16)</f>
        <v/>
      </c>
      <c r="H15" s="26" t="s">
        <v>42</v>
      </c>
      <c r="I15" s="34" t="str">
        <f ca="1">OFFSET(客服部门消费监控!$B$3,COUNTIF(客服部门消费监控!$B$3:$B$94,"&gt;=0")-1,,1,1)</f>
        <v>feed竞价消费</v>
      </c>
      <c r="J15" s="34" t="str">
        <f ca="1">OFFSET(客服部门消费监控!$C$3,COUNTIF(客服部门消费监控!$C$3:$C$94,"&gt;=0")-1,,1,1)</f>
        <v>feed竞价账户数</v>
      </c>
      <c r="K15" s="32" t="e">
        <f ca="1">OFFSET(客服部门消费监控!$B$3,COUNTIF(客服部门消费监控!$B$3:$B$92,"&gt;=0")-1,,1,1)-OFFSET(客服部门消费监控!$B$3,COUNTIF(客服部门消费监控!$B$3:$B$92,"&gt;=0")-2,,1,1)</f>
        <v>#VALUE!</v>
      </c>
      <c r="L15" s="34" t="str">
        <f t="shared" ref="L15:L24" ca="1" si="1">IFERROR(I15/J15,"")</f>
        <v/>
      </c>
      <c r="M15" s="37">
        <f>SUMIFS(客服部门消费监控!$B$3:$B$94,客服部门消费监控!$A$3:$A$94,"&gt;="&amp;DATE(2023,7,1))</f>
        <v>0</v>
      </c>
      <c r="Q15" s="35"/>
    </row>
    <row r="16" spans="1:33" x14ac:dyDescent="0.35">
      <c r="A16" s="24">
        <v>45122</v>
      </c>
      <c r="B16" s="31" t="str">
        <f t="shared" si="0"/>
        <v/>
      </c>
      <c r="C16" s="31" t="str">
        <f>IF(客服部门消费监控!AI17="","",客服部门消费监控!AI17)</f>
        <v/>
      </c>
      <c r="D16" s="31" t="str">
        <f>IF(客服部门消费监控!AI17="","",客服部门消费监控!AJ17)</f>
        <v/>
      </c>
      <c r="E16" s="31" t="str">
        <f>IF(客服部门消费监控!AI17="","",客服部门消费监控!AK17)</f>
        <v/>
      </c>
      <c r="F16" s="31" t="str">
        <f>IF(客服部门消费监控!AI17="","",客服部门消费监控!AC17)</f>
        <v/>
      </c>
      <c r="G16" s="15"/>
      <c r="H16" s="26" t="s">
        <v>43</v>
      </c>
      <c r="I16" s="34" t="str">
        <f ca="1">OFFSET(客服部门消费监控!$E$3,COUNTIF(客服部门消费监控!$E$3:$E$94,"&gt;=0")-1,,1,1)</f>
        <v>feed竞价消费</v>
      </c>
      <c r="J16" s="34"/>
      <c r="K16" s="32" t="e">
        <f ca="1">OFFSET(客服部门消费监控!$E$3,COUNTIF(客服部门消费监控!$E$3:$E$92,"&gt;=0")-1,,1,1)-OFFSET(客服部门消费监控!$E$3,COUNTIF(客服部门消费监控!$E$3:$E$92,"&gt;=0")-2,,1,1)</f>
        <v>#VALUE!</v>
      </c>
      <c r="L16" s="34" t="str">
        <f t="shared" ca="1" si="1"/>
        <v/>
      </c>
      <c r="M16" s="37">
        <f>SUMIFS(客服部门消费监控!$E$3:$E$94,客服部门消费监控!$A$3:$A$94,"&gt;="&amp;DATE(2023,7,1))</f>
        <v>0</v>
      </c>
      <c r="T16" s="33"/>
    </row>
    <row r="17" spans="1:19" x14ac:dyDescent="0.35">
      <c r="A17" s="24">
        <v>45123</v>
      </c>
      <c r="B17" s="31" t="str">
        <f t="shared" si="0"/>
        <v/>
      </c>
      <c r="C17" s="31" t="str">
        <f>IF(客服部门消费监控!AI18="","",客服部门消费监控!AI18)</f>
        <v/>
      </c>
      <c r="D17" s="31" t="str">
        <f>IF(客服部门消费监控!AI18="","",客服部门消费监控!AJ18)</f>
        <v/>
      </c>
      <c r="E17" s="31" t="str">
        <f>IF(客服部门消费监控!AI18="","",客服部门消费监控!AK18)</f>
        <v/>
      </c>
      <c r="F17" s="31" t="str">
        <f>IF(客服部门消费监控!AI18="","",客服部门消费监控!AC18)</f>
        <v/>
      </c>
      <c r="H17" s="26" t="s">
        <v>44</v>
      </c>
      <c r="I17" s="34" t="str">
        <f ca="1">OFFSET(客服部门消费监控!$H$3,COUNTIF(客服部门消费监控!$H$3:$H$94,"&gt;=0")-1,,1,1)</f>
        <v>feed竞价消费</v>
      </c>
      <c r="J17" s="34" t="str">
        <f ca="1">OFFSET(客服部门消费监控!$I$3,COUNTIF(客服部门消费监控!$I$3:$I$94,"&gt;=0")-1,,1,1)</f>
        <v>feed竞价账户数</v>
      </c>
      <c r="K17" s="32" t="e">
        <f ca="1">OFFSET(客服部门消费监控!$H$3,COUNTIF(客服部门消费监控!$H$3:$H$92,"&gt;=0")-1,,1,1)-OFFSET(客服部门消费监控!$H$3,COUNTIF(客服部门消费监控!$H$3:$H$92,"&gt;=0")-2,,1,1)</f>
        <v>#VALUE!</v>
      </c>
      <c r="L17" s="34" t="str">
        <f t="shared" ca="1" si="1"/>
        <v/>
      </c>
      <c r="M17" s="37">
        <f>SUMIFS(客服部门消费监控!$H$3:$H$94,客服部门消费监控!$A$3:$A$94,"&gt;="&amp;DATE(2023,7,1))</f>
        <v>0</v>
      </c>
      <c r="S17" s="33"/>
    </row>
    <row r="18" spans="1:19" x14ac:dyDescent="0.35">
      <c r="A18" s="24">
        <v>45124</v>
      </c>
      <c r="B18" s="31" t="str">
        <f t="shared" si="0"/>
        <v/>
      </c>
      <c r="C18" s="31" t="str">
        <f>IF(客服部门消费监控!AI19="","",客服部门消费监控!AI19)</f>
        <v/>
      </c>
      <c r="D18" s="31" t="str">
        <f>IF(客服部门消费监控!AI19="","",客服部门消费监控!AJ19)</f>
        <v/>
      </c>
      <c r="E18" s="31" t="str">
        <f>IF(客服部门消费监控!AI19="","",客服部门消费监控!AK19)</f>
        <v/>
      </c>
      <c r="F18" s="31" t="str">
        <f>IF(客服部门消费监控!AI19="","",客服部门消费监控!AC19)</f>
        <v/>
      </c>
      <c r="H18" s="26" t="s">
        <v>45</v>
      </c>
      <c r="I18" s="34" t="str">
        <f ca="1">OFFSET(客服部门消费监控!$K$3,COUNTIF(客服部门消费监控!$K$3:$K$94,"&gt;=0")-1,,1,1)</f>
        <v>feed竞价消费</v>
      </c>
      <c r="J18" s="34" t="str">
        <f ca="1">OFFSET(客服部门消费监控!$L$3,COUNTIF(客服部门消费监控!$L$3:$L$94,"&gt;=0")-1,,1,1)</f>
        <v>feed竞价账户数</v>
      </c>
      <c r="K18" s="32" t="e">
        <f ca="1">OFFSET(客服部门消费监控!$K$3,COUNTIF(客服部门消费监控!$K$3:$K$92,"&gt;=0")-1,,1,1)-OFFSET(客服部门消费监控!$K$3,COUNTIF(客服部门消费监控!$K$3:$K$92,"&gt;=0")-2,,1,1)</f>
        <v>#VALUE!</v>
      </c>
      <c r="L18" s="34" t="str">
        <f t="shared" ca="1" si="1"/>
        <v/>
      </c>
      <c r="M18" s="37">
        <f>SUMIFS(客服部门消费监控!$K$3:$K$94,客服部门消费监控!$A$3:$A$94,"&gt;="&amp;DATE(2023,7,1))</f>
        <v>0</v>
      </c>
      <c r="R18" s="33"/>
      <c r="S18" s="33"/>
    </row>
    <row r="19" spans="1:19" x14ac:dyDescent="0.35">
      <c r="A19" s="24">
        <v>45125</v>
      </c>
      <c r="B19" s="31" t="str">
        <f t="shared" si="0"/>
        <v/>
      </c>
      <c r="C19" s="31" t="str">
        <f>IF(客服部门消费监控!AI20="","",客服部门消费监控!AI20)</f>
        <v/>
      </c>
      <c r="D19" s="31" t="str">
        <f>IF(客服部门消费监控!AI20="","",客服部门消费监控!AJ20)</f>
        <v/>
      </c>
      <c r="E19" s="31" t="str">
        <f>IF(客服部门消费监控!AI20="","",客服部门消费监控!AK20)</f>
        <v/>
      </c>
      <c r="F19" s="31" t="str">
        <f>IF(客服部门消费监控!AI20="","",客服部门消费监控!AC20)</f>
        <v/>
      </c>
      <c r="H19" s="26" t="s">
        <v>46</v>
      </c>
      <c r="I19" s="34" t="str">
        <f ca="1">OFFSET(客服部门消费监控!$N$3,COUNTIF(客服部门消费监控!$N$3:$N$94,"&gt;=0")-1,,1,1)</f>
        <v>feed竞价消费</v>
      </c>
      <c r="J19" s="34" t="str">
        <f ca="1">OFFSET(客服部门消费监控!$O$3,COUNTIF(客服部门消费监控!$O$3:$O$94,"&gt;=0")-1,,1,1)</f>
        <v>feed竞价账户数</v>
      </c>
      <c r="K19" s="32" t="e">
        <f ca="1">OFFSET(客服部门消费监控!$N$3,COUNTIF(客服部门消费监控!$N$3:$N$92,"&gt;=0")-1,,1,1)-OFFSET(客服部门消费监控!$N$3,COUNTIF(客服部门消费监控!$N$3:$N$92,"&gt;=0")-2,,1,1)</f>
        <v>#VALUE!</v>
      </c>
      <c r="L19" s="34" t="str">
        <f t="shared" ca="1" si="1"/>
        <v/>
      </c>
      <c r="M19" s="37">
        <f>SUMIFS(客服部门消费监控!$N$3:$N$94,客服部门消费监控!$A$3:$A$94,"&gt;="&amp;DATE(2023,7,1))</f>
        <v>0</v>
      </c>
      <c r="R19" s="33"/>
      <c r="S19" s="33"/>
    </row>
    <row r="20" spans="1:19" x14ac:dyDescent="0.35">
      <c r="A20" s="24">
        <v>45126</v>
      </c>
      <c r="B20" s="31" t="str">
        <f t="shared" si="0"/>
        <v/>
      </c>
      <c r="C20" s="31" t="str">
        <f>IF(客服部门消费监控!AI21="","",客服部门消费监控!AI21)</f>
        <v/>
      </c>
      <c r="D20" s="31" t="str">
        <f>IF(客服部门消费监控!AI21="","",客服部门消费监控!AJ21)</f>
        <v/>
      </c>
      <c r="E20" s="31" t="str">
        <f>IF(客服部门消费监控!AI21="","",客服部门消费监控!AK21)</f>
        <v/>
      </c>
      <c r="F20" s="31" t="str">
        <f>IF(客服部门消费监控!AI21="","",客服部门消费监控!AC21)</f>
        <v/>
      </c>
      <c r="H20" s="26" t="s">
        <v>47</v>
      </c>
      <c r="I20" s="34" t="str">
        <f ca="1">OFFSET(客服部门消费监控!$Q$3,COUNTIF(客服部门消费监控!$Q$3:$Q$94,"&gt;=0")-1,,1,1)</f>
        <v>feed竞价消费</v>
      </c>
      <c r="J20" s="34" t="str">
        <f ca="1">OFFSET(客服部门消费监控!$R$3,COUNTIF(客服部门消费监控!$R$3:$R$94,"&gt;=0")-1,,1,1)</f>
        <v>feed竞价账户数</v>
      </c>
      <c r="K20" s="32" t="e">
        <f ca="1">OFFSET(客服部门消费监控!$Q$3,COUNTIF(客服部门消费监控!$Q$3:$Q$92,"&gt;=0")-1,,1,1)-OFFSET(客服部门消费监控!$Q$3,COUNTIF(客服部门消费监控!$Q$3:$Q$92,"&gt;=0")-2,,1,1)</f>
        <v>#VALUE!</v>
      </c>
      <c r="L20" s="34" t="str">
        <f t="shared" ca="1" si="1"/>
        <v/>
      </c>
      <c r="M20" s="37">
        <f>SUMIFS(客服部门消费监控!$Q$3:$Q$94,客服部门消费监控!$A$3:$A$94,"&gt;="&amp;DATE(2023,7,1))</f>
        <v>0</v>
      </c>
      <c r="R20" s="33"/>
      <c r="S20" s="33"/>
    </row>
    <row r="21" spans="1:19" x14ac:dyDescent="0.35">
      <c r="A21" s="24">
        <v>45127</v>
      </c>
      <c r="B21" s="31" t="str">
        <f t="shared" si="0"/>
        <v/>
      </c>
      <c r="C21" s="31" t="str">
        <f>IF(客服部门消费监控!AI22="","",客服部门消费监控!AI22)</f>
        <v/>
      </c>
      <c r="D21" s="31" t="str">
        <f>IF(客服部门消费监控!AI22="","",客服部门消费监控!AJ22)</f>
        <v/>
      </c>
      <c r="E21" s="31" t="str">
        <f>IF(客服部门消费监控!AI22="","",客服部门消费监控!AK22)</f>
        <v/>
      </c>
      <c r="F21" s="31" t="str">
        <f>IF(客服部门消费监控!AI22="","",客服部门消费监控!AC22)</f>
        <v/>
      </c>
      <c r="H21" s="26" t="s">
        <v>48</v>
      </c>
      <c r="I21" s="34" t="str">
        <f ca="1">OFFSET(客服部门消费监控!$T$3,COUNTIF(客服部门消费监控!$T$3:$T$94,"&gt;=0")-1,,1,1)</f>
        <v>feed竞价消费</v>
      </c>
      <c r="J21" s="34" t="str">
        <f ca="1">OFFSET(客服部门消费监控!$U$3,COUNTIF(客服部门消费监控!$U$3:$U$94,"&gt;=0")-1,,1,1)</f>
        <v>feed竞价账户数</v>
      </c>
      <c r="K21" s="32" t="e">
        <f ca="1">OFFSET(客服部门消费监控!$T$3,COUNTIF(客服部门消费监控!$T$3:$T$92,"&gt;=0")-1,,1,1)-OFFSET(客服部门消费监控!$T$3,COUNTIF(客服部门消费监控!$T$3:$T$92,"&gt;=0")-2,,1,1)</f>
        <v>#VALUE!</v>
      </c>
      <c r="L21" s="34" t="str">
        <f t="shared" ca="1" si="1"/>
        <v/>
      </c>
      <c r="M21" s="37">
        <f>SUMIFS(客服部门消费监控!$T$3:$T$94,客服部门消费监控!$A$3:$A$94,"&gt;="&amp;DATE(2023,7,1))</f>
        <v>0</v>
      </c>
      <c r="R21" s="33"/>
      <c r="S21" s="33"/>
    </row>
    <row r="22" spans="1:19" x14ac:dyDescent="0.35">
      <c r="A22" s="24">
        <v>45128</v>
      </c>
      <c r="B22" s="31" t="str">
        <f t="shared" si="0"/>
        <v/>
      </c>
      <c r="C22" s="31" t="str">
        <f>IF(客服部门消费监控!AI23="","",客服部门消费监控!AI23)</f>
        <v/>
      </c>
      <c r="D22" s="31" t="str">
        <f>IF(客服部门消费监控!AI23="","",客服部门消费监控!AJ23)</f>
        <v/>
      </c>
      <c r="E22" s="31" t="str">
        <f>IF(客服部门消费监控!AI23="","",客服部门消费监控!AK23)</f>
        <v/>
      </c>
      <c r="F22" s="31" t="str">
        <f>IF(客服部门消费监控!AI23="","",客服部门消费监控!AC23)</f>
        <v/>
      </c>
      <c r="H22" s="26" t="s">
        <v>49</v>
      </c>
      <c r="I22" s="34" t="str">
        <f ca="1">OFFSET(客服部门消费监控!$W$3,COUNTIF(客服部门消费监控!$W$3:$W$94,"&gt;=0")-1,,1,1)</f>
        <v>feed竞价消费</v>
      </c>
      <c r="J22" s="34" t="str">
        <f ca="1">OFFSET(客服部门消费监控!$X$3,COUNTIF(客服部门消费监控!$X$3:$X$94,"&gt;=0")-1,,1,1)</f>
        <v>feed竞价账户数</v>
      </c>
      <c r="K22" s="32" t="e">
        <f ca="1">OFFSET(客服部门消费监控!$W$3,COUNTIF(客服部门消费监控!$W$3:$W$92,"&gt;=0")-1,,1,1)-OFFSET(客服部门消费监控!$W$3,COUNTIF(客服部门消费监控!$W$3:$W$92,"&gt;=0")-2,,1,1)</f>
        <v>#VALUE!</v>
      </c>
      <c r="L22" s="34" t="str">
        <f t="shared" ca="1" si="1"/>
        <v/>
      </c>
      <c r="M22" s="37">
        <f>SUMIFS(客服部门消费监控!$W$3:$W$94,客服部门消费监控!$A$3:$A$94,"&gt;="&amp;DATE(2023,7,1))</f>
        <v>0</v>
      </c>
      <c r="S22" s="33"/>
    </row>
    <row r="23" spans="1:19" x14ac:dyDescent="0.35">
      <c r="A23" s="24">
        <v>45129</v>
      </c>
      <c r="B23" s="31" t="str">
        <f t="shared" si="0"/>
        <v/>
      </c>
      <c r="C23" s="31" t="str">
        <f>IF(客服部门消费监控!AI24="","",客服部门消费监控!AI24)</f>
        <v/>
      </c>
      <c r="D23" s="31" t="str">
        <f>IF(客服部门消费监控!AI24="","",客服部门消费监控!AJ24)</f>
        <v/>
      </c>
      <c r="E23" s="31" t="str">
        <f>IF(客服部门消费监控!AI24="","",客服部门消费监控!AK24)</f>
        <v/>
      </c>
      <c r="F23" s="31" t="str">
        <f>IF(客服部门消费监控!AI24="","",客服部门消费监控!AC24)</f>
        <v/>
      </c>
      <c r="H23" s="26" t="s">
        <v>50</v>
      </c>
      <c r="I23" s="34" t="str">
        <f ca="1">OFFSET(客服部门消费监控!$Z$3,COUNTIF(客服部门消费监控!$Z$3:$Z$94,"&gt;=0")-1,,1,1)</f>
        <v>feed竞价消费</v>
      </c>
      <c r="J23" s="34" t="str">
        <f ca="1">OFFSET(客服部门消费监控!$AA$3,COUNTIF(客服部门消费监控!$AA$3:$AA$94,"&gt;=0")-1,,1,1)</f>
        <v>feed竞价账户数</v>
      </c>
      <c r="K23" s="32" t="e">
        <f ca="1">OFFSET(客服部门消费监控!$Z$3,COUNTIF(客服部门消费监控!$Z$3:$Z$92,"&gt;=0")-1,,1,1)-OFFSET(客服部门消费监控!$Z$3,COUNTIF(客服部门消费监控!$Z$3:$Z$92,"&gt;=0")-2,,1,1)</f>
        <v>#VALUE!</v>
      </c>
      <c r="L23" s="34" t="str">
        <f t="shared" ca="1" si="1"/>
        <v/>
      </c>
      <c r="M23" s="37">
        <f>SUMIFS(客服部门消费监控!$Z$3:$Z$94,客服部门消费监控!$A$3:$A$94,"&gt;="&amp;DATE(2023,7,1))</f>
        <v>0</v>
      </c>
      <c r="S23" s="33"/>
    </row>
    <row r="24" spans="1:19" x14ac:dyDescent="0.35">
      <c r="A24" s="24">
        <v>45130</v>
      </c>
      <c r="B24" s="31" t="str">
        <f t="shared" si="0"/>
        <v/>
      </c>
      <c r="C24" s="31" t="str">
        <f>IF(客服部门消费监控!AI25="","",客服部门消费监控!AI25)</f>
        <v/>
      </c>
      <c r="D24" s="31" t="str">
        <f>IF(客服部门消费监控!AI25="","",客服部门消费监控!AJ25)</f>
        <v/>
      </c>
      <c r="E24" s="31" t="str">
        <f>IF(客服部门消费监控!AI25="","",客服部门消费监控!AK25)</f>
        <v/>
      </c>
      <c r="F24" s="31" t="str">
        <f>IF(客服部门消费监控!AI25="","",客服部门消费监控!AC25)</f>
        <v/>
      </c>
      <c r="H24" s="26" t="s">
        <v>35</v>
      </c>
      <c r="I24" s="34" t="str">
        <f ca="1">OFFSET(客服部门消费监控!$AC$3,COUNTIF(客服部门消费监控!$AC$3:$AC$94,"&gt;=0")-1,,1,1)</f>
        <v>feed竞价消费</v>
      </c>
      <c r="J24" s="34" t="str">
        <f ca="1">OFFSET(客服部门消费监控!$AD$3,COUNTIF(客服部门消费监控!$AD$3:$AD$94,"&gt;=0")-1,,1,1)</f>
        <v>feed竞价账户数</v>
      </c>
      <c r="K24" s="32" t="e">
        <f ca="1">OFFSET(客服部门消费监控!$AC$3,COUNTIF(客服部门消费监控!$AC$3:$AC$92,"&gt;=0")-1,,1,1)-OFFSET(客服部门消费监控!$AC$3,COUNTIF(客服部门消费监控!$AC$3:$AC$92,"&gt;=0")-2,,1,1)</f>
        <v>#VALUE!</v>
      </c>
      <c r="L24" s="34" t="str">
        <f t="shared" ca="1" si="1"/>
        <v/>
      </c>
      <c r="M24" s="37">
        <f>SUMIFS(客服部门消费监控!$AC$3:$AC$94,客服部门消费监控!$A$3:$A$94,"&gt;="&amp;DATE(2023,7,1))</f>
        <v>0</v>
      </c>
      <c r="S24" s="33"/>
    </row>
    <row r="25" spans="1:19" x14ac:dyDescent="0.35">
      <c r="A25" s="24">
        <v>45131</v>
      </c>
      <c r="B25" s="31" t="str">
        <f t="shared" si="0"/>
        <v/>
      </c>
      <c r="C25" s="31" t="str">
        <f>IF(客服部门消费监控!AI26="","",客服部门消费监控!AI26)</f>
        <v/>
      </c>
      <c r="D25" s="31" t="str">
        <f>IF(客服部门消费监控!AI26="","",客服部门消费监控!AJ26)</f>
        <v/>
      </c>
      <c r="E25" s="31" t="str">
        <f>IF(客服部门消费监控!AI26="","",客服部门消费监控!AK26)</f>
        <v/>
      </c>
      <c r="F25" s="31" t="str">
        <f>IF(客服部门消费监控!AI26="","",客服部门消费监控!AC26)</f>
        <v/>
      </c>
      <c r="H25" s="26" t="s">
        <v>51</v>
      </c>
      <c r="I25" s="34" t="str">
        <f ca="1">OFFSET(客服部门消费监控!$AF$3,COUNTIF(客服部门消费监控!$AF$3:$AF$94,"&gt;=0")-1,,1,1)</f>
        <v>feed竞价消费</v>
      </c>
      <c r="J25" s="34" t="str">
        <f ca="1">OFFSET(客服部门消费监控!$AG$3,COUNTIF(客服部门消费监控!$AG$3:$AG$94,"&gt;=0")-1,,1,1)</f>
        <v>feed竞价账户数</v>
      </c>
      <c r="K25" s="32" t="e">
        <f ca="1">OFFSET(客服部门消费监控!$AF$3,COUNTIF(客服部门消费监控!$AF$3:$AF$92,"&gt;=0")-1,,1,1)-OFFSET(客服部门消费监控!$AF$3,COUNTIF(客服部门消费监控!$AF$3:$AF$92,"&gt;=0")-2,,1,1)</f>
        <v>#VALUE!</v>
      </c>
      <c r="L25" s="34" t="str">
        <f ca="1">IFERROR(I25/J25,"-")</f>
        <v>-</v>
      </c>
      <c r="M25" s="37">
        <f>SUMIFS(客服部门消费监控!$AF$3:$AF$94,客服部门消费监控!$A$3:$A$94,"&gt;="&amp;DATE(2023,7,1))</f>
        <v>0</v>
      </c>
      <c r="S25" s="33"/>
    </row>
    <row r="26" spans="1:19" x14ac:dyDescent="0.35">
      <c r="A26" s="24">
        <v>45132</v>
      </c>
      <c r="B26" s="31" t="str">
        <f t="shared" si="0"/>
        <v/>
      </c>
      <c r="C26" s="31" t="str">
        <f>IF(客服部门消费监控!AI27="","",客服部门消费监控!AI27)</f>
        <v/>
      </c>
      <c r="D26" s="31" t="str">
        <f>IF(客服部门消费监控!AI27="","",客服部门消费监控!AJ27)</f>
        <v/>
      </c>
      <c r="E26" s="31" t="str">
        <f>IF(客服部门消费监控!AI27="","",客服部门消费监控!AK27)</f>
        <v/>
      </c>
      <c r="F26" s="31" t="str">
        <f>IF(客服部门消费监控!AI27="","",客服部门消费监控!AC27)</f>
        <v/>
      </c>
      <c r="H26" s="26" t="s">
        <v>37</v>
      </c>
      <c r="I26" s="37">
        <f ca="1">SUM(I15:I25)</f>
        <v>0</v>
      </c>
      <c r="J26" s="26">
        <f ca="1">SUM(J15:J25)</f>
        <v>0</v>
      </c>
      <c r="K26" s="32" t="e">
        <f ca="1">SUM(K15:K25)</f>
        <v>#VALUE!</v>
      </c>
      <c r="L26" s="32" t="e">
        <f ca="1">I26/J26</f>
        <v>#DIV/0!</v>
      </c>
      <c r="M26" s="37">
        <f>SUM(M15:M25)</f>
        <v>0</v>
      </c>
      <c r="Q26" s="35"/>
      <c r="R26" s="33"/>
      <c r="S26" s="33"/>
    </row>
    <row r="27" spans="1:19" x14ac:dyDescent="0.35">
      <c r="A27" s="24">
        <v>45133</v>
      </c>
      <c r="B27" s="31" t="str">
        <f t="shared" si="0"/>
        <v/>
      </c>
      <c r="C27" s="31" t="str">
        <f>IF(客服部门消费监控!AI28="","",客服部门消费监控!AI28)</f>
        <v/>
      </c>
      <c r="D27" s="31" t="str">
        <f>IF(客服部门消费监控!AI28="","",客服部门消费监控!AJ28)</f>
        <v/>
      </c>
      <c r="E27" s="31" t="str">
        <f>IF(客服部门消费监控!AI28="","",客服部门消费监控!AK28)</f>
        <v/>
      </c>
      <c r="F27" s="31" t="str">
        <f>IF(客服部门消费监控!AI28="","",客服部门消费监控!AC28)</f>
        <v/>
      </c>
    </row>
    <row r="28" spans="1:19" x14ac:dyDescent="0.35">
      <c r="A28" s="24">
        <v>45134</v>
      </c>
      <c r="B28" s="31" t="str">
        <f t="shared" si="0"/>
        <v/>
      </c>
      <c r="C28" s="31" t="str">
        <f>IF(客服部门消费监控!AI29="","",客服部门消费监控!AI29)</f>
        <v/>
      </c>
      <c r="D28" s="31" t="str">
        <f>IF(客服部门消费监控!AI29="","",客服部门消费监控!AJ29)</f>
        <v/>
      </c>
      <c r="E28" s="31" t="str">
        <f>IF(客服部门消费监控!AI29="","",客服部门消费监控!AK29)</f>
        <v/>
      </c>
      <c r="F28" s="31" t="str">
        <f>IF(客服部门消费监控!AI29="","",客服部门消费监控!AC29)</f>
        <v/>
      </c>
    </row>
    <row r="29" spans="1:19" x14ac:dyDescent="0.35">
      <c r="A29" s="24">
        <v>45135</v>
      </c>
      <c r="B29" s="31" t="str">
        <f t="shared" si="0"/>
        <v/>
      </c>
      <c r="C29" s="31" t="str">
        <f>IF(客服部门消费监控!AI30="","",客服部门消费监控!AI30)</f>
        <v/>
      </c>
      <c r="D29" s="31" t="str">
        <f>IF(客服部门消费监控!AI30="","",客服部门消费监控!AJ30)</f>
        <v/>
      </c>
      <c r="E29" s="31" t="str">
        <f>IF(客服部门消费监控!AI30="","",客服部门消费监控!AK30)</f>
        <v/>
      </c>
      <c r="F29" s="31" t="str">
        <f>IF(客服部门消费监控!AI30="","",客服部门消费监控!AC30)</f>
        <v/>
      </c>
      <c r="R29" s="33"/>
    </row>
    <row r="30" spans="1:19" x14ac:dyDescent="0.35">
      <c r="A30" s="24">
        <v>45136</v>
      </c>
      <c r="B30" s="31" t="str">
        <f t="shared" si="0"/>
        <v/>
      </c>
      <c r="C30" s="31" t="str">
        <f>IF(客服部门消费监控!AI31="","",客服部门消费监控!AI31)</f>
        <v/>
      </c>
      <c r="D30" s="31" t="str">
        <f>IF(客服部门消费监控!AI31="","",客服部门消费监控!AJ31)</f>
        <v/>
      </c>
      <c r="E30" s="31" t="str">
        <f>IF(客服部门消费监控!AI31="","",客服部门消费监控!AK31)</f>
        <v/>
      </c>
      <c r="F30" s="31" t="str">
        <f>IF(客服部门消费监控!AI31="","",客服部门消费监控!AC31)</f>
        <v/>
      </c>
    </row>
    <row r="31" spans="1:19" x14ac:dyDescent="0.35">
      <c r="A31" s="24">
        <v>45137</v>
      </c>
      <c r="B31" s="31" t="str">
        <f t="shared" si="0"/>
        <v/>
      </c>
      <c r="C31" s="31" t="str">
        <f>IF(客服部门消费监控!AI32="","",客服部门消费监控!AI32)</f>
        <v/>
      </c>
      <c r="D31" s="31" t="str">
        <f>IF(客服部门消费监控!AI32="","",客服部门消费监控!AJ32)</f>
        <v/>
      </c>
      <c r="E31" s="31" t="str">
        <f>IF(客服部门消费监控!AI32="","",客服部门消费监控!AK32)</f>
        <v/>
      </c>
      <c r="F31" s="31" t="str">
        <f>IF(客服部门消费监控!AI32="","",客服部门消费监控!AC32)</f>
        <v/>
      </c>
      <c r="S31" s="33"/>
    </row>
    <row r="32" spans="1:19" x14ac:dyDescent="0.35">
      <c r="A32" s="24">
        <v>45138</v>
      </c>
      <c r="B32" s="31" t="str">
        <f t="shared" si="0"/>
        <v/>
      </c>
      <c r="C32" s="31" t="str">
        <f>IF(客服部门消费监控!AI33="","",客服部门消费监控!AI33)</f>
        <v/>
      </c>
      <c r="D32" s="31" t="str">
        <f>IF(客服部门消费监控!AI33="","",客服部门消费监控!AJ33)</f>
        <v/>
      </c>
      <c r="E32" s="31" t="str">
        <f>IF(客服部门消费监控!AI33="","",客服部门消费监控!AK33)</f>
        <v/>
      </c>
      <c r="F32" s="31" t="str">
        <f>IF(客服部门消费监控!AI33="","",客服部门消费监控!AC33)</f>
        <v/>
      </c>
    </row>
    <row r="33" spans="1:11" x14ac:dyDescent="0.35">
      <c r="A33" s="24">
        <v>45139</v>
      </c>
      <c r="B33" s="31" t="str">
        <f t="shared" si="0"/>
        <v/>
      </c>
      <c r="C33" s="31" t="str">
        <f>IF(客服部门消费监控!AI34="","",客服部门消费监控!AI34)</f>
        <v/>
      </c>
      <c r="D33" s="31" t="str">
        <f>IF(客服部门消费监控!AI34="","",客服部门消费监控!AJ34)</f>
        <v/>
      </c>
      <c r="E33" s="31" t="str">
        <f>IF(客服部门消费监控!AI34="","",客服部门消费监控!AK34)</f>
        <v/>
      </c>
      <c r="F33" s="31" t="str">
        <f>IF(客服部门消费监控!AI34="","",客服部门消费监控!AC34)</f>
        <v/>
      </c>
    </row>
    <row r="34" spans="1:11" x14ac:dyDescent="0.35">
      <c r="A34" s="24">
        <v>45140</v>
      </c>
      <c r="B34" s="31" t="str">
        <f t="shared" ref="B34:B65" si="2">IF(C34="","",C34+F34)</f>
        <v/>
      </c>
      <c r="C34" s="31" t="str">
        <f>IF(客服部门消费监控!AI35="","",客服部门消费监控!AI35)</f>
        <v/>
      </c>
      <c r="D34" s="31" t="str">
        <f>IF(客服部门消费监控!AI35="","",客服部门消费监控!AJ35)</f>
        <v/>
      </c>
      <c r="E34" s="31" t="str">
        <f>IF(客服部门消费监控!AI35="","",客服部门消费监控!AK35)</f>
        <v/>
      </c>
      <c r="F34" s="31" t="str">
        <f>IF(客服部门消费监控!AI35="","",客服部门消费监控!AC35)</f>
        <v/>
      </c>
    </row>
    <row r="35" spans="1:11" x14ac:dyDescent="0.35">
      <c r="A35" s="24">
        <v>45141</v>
      </c>
      <c r="B35" s="31" t="str">
        <f t="shared" si="2"/>
        <v/>
      </c>
      <c r="C35" s="31" t="str">
        <f>IF(客服部门消费监控!AI36="","",客服部门消费监控!AI36)</f>
        <v/>
      </c>
      <c r="D35" s="31" t="str">
        <f>IF(客服部门消费监控!AI36="","",客服部门消费监控!AJ36)</f>
        <v/>
      </c>
      <c r="E35" s="31" t="str">
        <f>IF(客服部门消费监控!AI36="","",客服部门消费监控!AK36)</f>
        <v/>
      </c>
      <c r="F35" s="31" t="str">
        <f>IF(客服部门消费监控!AI36="","",客服部门消费监控!AC36)</f>
        <v/>
      </c>
    </row>
    <row r="36" spans="1:11" ht="18" customHeight="1" x14ac:dyDescent="0.35">
      <c r="A36" s="24">
        <v>45142</v>
      </c>
      <c r="B36" s="31" t="str">
        <f t="shared" si="2"/>
        <v/>
      </c>
      <c r="C36" s="31" t="str">
        <f>IF(客服部门消费监控!AI37="","",客服部门消费监控!AI37)</f>
        <v/>
      </c>
      <c r="D36" s="31" t="str">
        <f>IF(客服部门消费监控!AI37="","",客服部门消费监控!AJ37)</f>
        <v/>
      </c>
      <c r="E36" s="31" t="str">
        <f>IF(客服部门消费监控!AI37="","",客服部门消费监控!AK37)</f>
        <v/>
      </c>
      <c r="F36" s="31" t="str">
        <f>IF(客服部门消费监控!AI37="","",客服部门消费监控!AC37)</f>
        <v/>
      </c>
      <c r="H36" s="33"/>
    </row>
    <row r="37" spans="1:11" x14ac:dyDescent="0.35">
      <c r="A37" s="24">
        <v>45143</v>
      </c>
      <c r="B37" s="31" t="str">
        <f t="shared" si="2"/>
        <v/>
      </c>
      <c r="C37" s="31" t="str">
        <f>IF(客服部门消费监控!AI38="","",客服部门消费监控!AI38)</f>
        <v/>
      </c>
      <c r="D37" s="31" t="str">
        <f>IF(客服部门消费监控!AI38="","",客服部门消费监控!AJ38)</f>
        <v/>
      </c>
      <c r="E37" s="31" t="str">
        <f>IF(客服部门消费监控!AI38="","",客服部门消费监控!AK38)</f>
        <v/>
      </c>
      <c r="F37" s="31" t="str">
        <f>IF(客服部门消费监控!AI38="","",客服部门消费监控!AC38)</f>
        <v/>
      </c>
      <c r="H37" s="33"/>
    </row>
    <row r="38" spans="1:11" x14ac:dyDescent="0.35">
      <c r="A38" s="24">
        <v>45144</v>
      </c>
      <c r="B38" s="31" t="str">
        <f t="shared" si="2"/>
        <v/>
      </c>
      <c r="C38" s="31" t="str">
        <f>IF(客服部门消费监控!AI39="","",客服部门消费监控!AI39)</f>
        <v/>
      </c>
      <c r="D38" s="31" t="str">
        <f>IF(客服部门消费监控!AI39="","",客服部门消费监控!AJ39)</f>
        <v/>
      </c>
      <c r="E38" s="31" t="str">
        <f>IF(客服部门消费监控!AI39="","",客服部门消费监控!AK39)</f>
        <v/>
      </c>
      <c r="F38" s="31" t="str">
        <f>IF(客服部门消费监控!AI39="","",客服部门消费监控!AC39)</f>
        <v/>
      </c>
      <c r="H38" s="33"/>
    </row>
    <row r="39" spans="1:11" x14ac:dyDescent="0.35">
      <c r="A39" s="24">
        <v>45145</v>
      </c>
      <c r="B39" s="31" t="str">
        <f t="shared" si="2"/>
        <v/>
      </c>
      <c r="C39" s="31" t="str">
        <f>IF(客服部门消费监控!AI40="","",客服部门消费监控!AI40)</f>
        <v/>
      </c>
      <c r="D39" s="31" t="str">
        <f>IF(客服部门消费监控!AI40="","",客服部门消费监控!AJ40)</f>
        <v/>
      </c>
      <c r="E39" s="31" t="str">
        <f>IF(客服部门消费监控!AI40="","",客服部门消费监控!AK40)</f>
        <v/>
      </c>
      <c r="F39" s="31" t="str">
        <f>IF(客服部门消费监控!AI40="","",客服部门消费监控!AC40)</f>
        <v/>
      </c>
      <c r="H39" s="33"/>
    </row>
    <row r="40" spans="1:11" x14ac:dyDescent="0.35">
      <c r="A40" s="24">
        <v>45146</v>
      </c>
      <c r="B40" s="31" t="str">
        <f t="shared" si="2"/>
        <v/>
      </c>
      <c r="C40" s="31" t="str">
        <f>IF(客服部门消费监控!AI41="","",客服部门消费监控!AI41)</f>
        <v/>
      </c>
      <c r="D40" s="31" t="str">
        <f>IF(客服部门消费监控!AI41="","",客服部门消费监控!AJ41)</f>
        <v/>
      </c>
      <c r="E40" s="31" t="str">
        <f>IF(客服部门消费监控!AI41="","",客服部门消费监控!AK41)</f>
        <v/>
      </c>
      <c r="F40" s="31" t="str">
        <f>IF(客服部门消费监控!AI41="","",客服部门消费监控!AC41)</f>
        <v/>
      </c>
      <c r="H40" s="33"/>
      <c r="I40" s="33"/>
      <c r="J40" s="33"/>
      <c r="K40" s="33"/>
    </row>
    <row r="41" spans="1:11" x14ac:dyDescent="0.35">
      <c r="A41" s="24">
        <v>45147</v>
      </c>
      <c r="B41" s="31" t="str">
        <f t="shared" si="2"/>
        <v/>
      </c>
      <c r="C41" s="31" t="str">
        <f>IF(客服部门消费监控!AI42="","",客服部门消费监控!AI42)</f>
        <v/>
      </c>
      <c r="D41" s="31" t="str">
        <f>IF(客服部门消费监控!AI42="","",客服部门消费监控!AJ42)</f>
        <v/>
      </c>
      <c r="E41" s="31" t="str">
        <f>IF(客服部门消费监控!AI42="","",客服部门消费监控!AK42)</f>
        <v/>
      </c>
      <c r="F41" s="31" t="str">
        <f>IF(客服部门消费监控!AI42="","",客服部门消费监控!AC42)</f>
        <v/>
      </c>
      <c r="H41" s="33"/>
    </row>
    <row r="42" spans="1:11" x14ac:dyDescent="0.35">
      <c r="A42" s="24">
        <v>45148</v>
      </c>
      <c r="B42" s="31" t="str">
        <f t="shared" si="2"/>
        <v/>
      </c>
      <c r="C42" s="31" t="str">
        <f>IF(客服部门消费监控!AI43="","",客服部门消费监控!AI43)</f>
        <v/>
      </c>
      <c r="D42" s="31" t="str">
        <f>IF(客服部门消费监控!AI43="","",客服部门消费监控!AJ43)</f>
        <v/>
      </c>
      <c r="E42" s="31" t="str">
        <f>IF(客服部门消费监控!AI43="","",客服部门消费监控!AK43)</f>
        <v/>
      </c>
      <c r="F42" s="31" t="str">
        <f>IF(客服部门消费监控!AI43="","",客服部门消费监控!AC43)</f>
        <v/>
      </c>
      <c r="H42" s="33"/>
    </row>
    <row r="43" spans="1:11" x14ac:dyDescent="0.35">
      <c r="A43" s="24">
        <v>45149</v>
      </c>
      <c r="B43" s="31" t="str">
        <f t="shared" si="2"/>
        <v/>
      </c>
      <c r="C43" s="31" t="str">
        <f>IF(客服部门消费监控!AI44="","",客服部门消费监控!AI44)</f>
        <v/>
      </c>
      <c r="D43" s="31" t="str">
        <f>IF(客服部门消费监控!AI44="","",客服部门消费监控!AJ44)</f>
        <v/>
      </c>
      <c r="E43" s="31" t="str">
        <f>IF(客服部门消费监控!AI44="","",客服部门消费监控!AK44)</f>
        <v/>
      </c>
      <c r="F43" s="31" t="str">
        <f>IF(客服部门消费监控!AI44="","",客服部门消费监控!AC44)</f>
        <v/>
      </c>
      <c r="H43" s="33"/>
    </row>
    <row r="44" spans="1:11" x14ac:dyDescent="0.35">
      <c r="A44" s="24">
        <v>45150</v>
      </c>
      <c r="B44" s="31" t="str">
        <f t="shared" si="2"/>
        <v/>
      </c>
      <c r="C44" s="31" t="str">
        <f>IF(客服部门消费监控!AI45="","",客服部门消费监控!AI45)</f>
        <v/>
      </c>
      <c r="D44" s="31" t="str">
        <f>IF(客服部门消费监控!AI45="","",客服部门消费监控!AJ45)</f>
        <v/>
      </c>
      <c r="E44" s="31" t="str">
        <f>IF(客服部门消费监控!AI45="","",客服部门消费监控!AK45)</f>
        <v/>
      </c>
      <c r="F44" s="31" t="str">
        <f>IF(客服部门消费监控!AI45="","",客服部门消费监控!AC45)</f>
        <v/>
      </c>
      <c r="H44" s="33"/>
    </row>
    <row r="45" spans="1:11" x14ac:dyDescent="0.35">
      <c r="A45" s="24">
        <v>45151</v>
      </c>
      <c r="B45" s="31" t="str">
        <f t="shared" si="2"/>
        <v/>
      </c>
      <c r="C45" s="31" t="str">
        <f>IF(客服部门消费监控!AI46="","",客服部门消费监控!AI46)</f>
        <v/>
      </c>
      <c r="D45" s="31" t="str">
        <f>IF(客服部门消费监控!AI46="","",客服部门消费监控!AJ46)</f>
        <v/>
      </c>
      <c r="E45" s="31" t="str">
        <f>IF(客服部门消费监控!AI46="","",客服部门消费监控!AK46)</f>
        <v/>
      </c>
      <c r="F45" s="31" t="str">
        <f>IF(客服部门消费监控!AI46="","",客服部门消费监控!AC46)</f>
        <v/>
      </c>
      <c r="G45" s="16"/>
      <c r="H45" s="33"/>
    </row>
    <row r="46" spans="1:11" x14ac:dyDescent="0.35">
      <c r="A46" s="24">
        <v>45152</v>
      </c>
      <c r="B46" s="31" t="str">
        <f t="shared" si="2"/>
        <v/>
      </c>
      <c r="C46" s="31" t="str">
        <f>IF(客服部门消费监控!AI47="","",客服部门消费监控!AI47)</f>
        <v/>
      </c>
      <c r="D46" s="31" t="str">
        <f>IF(客服部门消费监控!AI47="","",客服部门消费监控!AJ47)</f>
        <v/>
      </c>
      <c r="E46" s="31" t="str">
        <f>IF(客服部门消费监控!AI47="","",客服部门消费监控!AK47)</f>
        <v/>
      </c>
      <c r="F46" s="31" t="str">
        <f>IF(客服部门消费监控!AI47="","",客服部门消费监控!AC47)</f>
        <v/>
      </c>
      <c r="H46" s="33"/>
    </row>
    <row r="47" spans="1:11" x14ac:dyDescent="0.35">
      <c r="A47" s="24">
        <v>45153</v>
      </c>
      <c r="B47" s="31" t="str">
        <f t="shared" si="2"/>
        <v/>
      </c>
      <c r="C47" s="31" t="str">
        <f>IF(客服部门消费监控!AI48="","",客服部门消费监控!AI48)</f>
        <v/>
      </c>
      <c r="D47" s="31" t="str">
        <f>IF(客服部门消费监控!AI48="","",客服部门消费监控!AJ48)</f>
        <v/>
      </c>
      <c r="E47" s="31" t="str">
        <f>IF(客服部门消费监控!AI48="","",客服部门消费监控!AK48)</f>
        <v/>
      </c>
      <c r="F47" s="31" t="str">
        <f>IF(客服部门消费监控!AI48="","",客服部门消费监控!AC48)</f>
        <v/>
      </c>
      <c r="G47" s="15"/>
      <c r="H47" s="33"/>
    </row>
    <row r="48" spans="1:11" x14ac:dyDescent="0.35">
      <c r="A48" s="24">
        <v>45154</v>
      </c>
      <c r="B48" s="31" t="str">
        <f t="shared" si="2"/>
        <v/>
      </c>
      <c r="C48" s="31" t="str">
        <f>IF(客服部门消费监控!AI49="","",客服部门消费监控!AI49)</f>
        <v/>
      </c>
      <c r="D48" s="31" t="str">
        <f>IF(客服部门消费监控!AI49="","",客服部门消费监控!AJ49)</f>
        <v/>
      </c>
      <c r="E48" s="31" t="str">
        <f>IF(客服部门消费监控!AI49="","",客服部门消费监控!AK49)</f>
        <v/>
      </c>
      <c r="F48" s="31" t="str">
        <f>IF(客服部门消费监控!AI49="","",客服部门消费监控!AC49)</f>
        <v/>
      </c>
      <c r="G48" s="33"/>
      <c r="H48" s="33"/>
    </row>
    <row r="49" spans="1:8" x14ac:dyDescent="0.35">
      <c r="A49" s="24">
        <v>45155</v>
      </c>
      <c r="B49" s="31" t="str">
        <f t="shared" si="2"/>
        <v/>
      </c>
      <c r="C49" s="31" t="str">
        <f>IF(客服部门消费监控!AI50="","",客服部门消费监控!AI50)</f>
        <v/>
      </c>
      <c r="D49" s="31" t="str">
        <f>IF(客服部门消费监控!AI50="","",客服部门消费监控!AJ50)</f>
        <v/>
      </c>
      <c r="E49" s="31" t="str">
        <f>IF(客服部门消费监控!AI50="","",客服部门消费监控!AK50)</f>
        <v/>
      </c>
      <c r="F49" s="31" t="str">
        <f>IF(客服部门消费监控!AI50="","",客服部门消费监控!AC50)</f>
        <v/>
      </c>
      <c r="H49" s="33"/>
    </row>
    <row r="50" spans="1:8" x14ac:dyDescent="0.35">
      <c r="A50" s="24">
        <v>45156</v>
      </c>
      <c r="B50" s="31" t="str">
        <f t="shared" si="2"/>
        <v/>
      </c>
      <c r="C50" s="31" t="str">
        <f>IF(客服部门消费监控!AI51="","",客服部门消费监控!AI51)</f>
        <v/>
      </c>
      <c r="D50" s="31" t="str">
        <f>IF(客服部门消费监控!AI51="","",客服部门消费监控!AJ51)</f>
        <v/>
      </c>
      <c r="E50" s="31" t="str">
        <f>IF(客服部门消费监控!AI51="","",客服部门消费监控!AK51)</f>
        <v/>
      </c>
      <c r="F50" s="31" t="str">
        <f>IF(客服部门消费监控!AI51="","",客服部门消费监控!AC51)</f>
        <v/>
      </c>
      <c r="H50" s="33"/>
    </row>
    <row r="51" spans="1:8" x14ac:dyDescent="0.35">
      <c r="A51" s="24">
        <v>45157</v>
      </c>
      <c r="B51" s="31" t="str">
        <f t="shared" si="2"/>
        <v/>
      </c>
      <c r="C51" s="31" t="str">
        <f>IF(客服部门消费监控!AI52="","",客服部门消费监控!AI52)</f>
        <v/>
      </c>
      <c r="D51" s="31" t="str">
        <f>IF(客服部门消费监控!AI52="","",客服部门消费监控!AJ52)</f>
        <v/>
      </c>
      <c r="E51" s="31" t="str">
        <f>IF(客服部门消费监控!AI52="","",客服部门消费监控!AK52)</f>
        <v/>
      </c>
      <c r="F51" s="31" t="str">
        <f>IF(客服部门消费监控!AI52="","",客服部门消费监控!AC52)</f>
        <v/>
      </c>
      <c r="H51" s="33"/>
    </row>
    <row r="52" spans="1:8" x14ac:dyDescent="0.35">
      <c r="A52" s="24">
        <v>45158</v>
      </c>
      <c r="B52" s="31" t="str">
        <f t="shared" si="2"/>
        <v/>
      </c>
      <c r="C52" s="31" t="str">
        <f>IF(客服部门消费监控!AI53="","",客服部门消费监控!AI53)</f>
        <v/>
      </c>
      <c r="D52" s="31" t="str">
        <f>IF(客服部门消费监控!AI53="","",客服部门消费监控!AJ53)</f>
        <v/>
      </c>
      <c r="E52" s="31" t="str">
        <f>IF(客服部门消费监控!AI53="","",客服部门消费监控!AK53)</f>
        <v/>
      </c>
      <c r="F52" s="31" t="str">
        <f>IF(客服部门消费监控!AI53="","",客服部门消费监控!AC53)</f>
        <v/>
      </c>
      <c r="H52" s="33"/>
    </row>
    <row r="53" spans="1:8" x14ac:dyDescent="0.35">
      <c r="A53" s="24">
        <v>45159</v>
      </c>
      <c r="B53" s="31" t="str">
        <f t="shared" si="2"/>
        <v/>
      </c>
      <c r="C53" s="31" t="str">
        <f>IF(客服部门消费监控!AI54="","",客服部门消费监控!AI54)</f>
        <v/>
      </c>
      <c r="D53" s="31" t="str">
        <f>IF(客服部门消费监控!AI54="","",客服部门消费监控!AJ54)</f>
        <v/>
      </c>
      <c r="E53" s="31" t="str">
        <f>IF(客服部门消费监控!AI54="","",客服部门消费监控!AK54)</f>
        <v/>
      </c>
      <c r="F53" s="31" t="str">
        <f>IF(客服部门消费监控!AI54="","",客服部门消费监控!AC54)</f>
        <v/>
      </c>
      <c r="G53" s="15"/>
      <c r="H53" s="33"/>
    </row>
    <row r="54" spans="1:8" x14ac:dyDescent="0.35">
      <c r="A54" s="24">
        <v>45160</v>
      </c>
      <c r="B54" s="31" t="str">
        <f t="shared" si="2"/>
        <v/>
      </c>
      <c r="C54" s="31" t="str">
        <f>IF(客服部门消费监控!AI55="","",客服部门消费监控!AI55)</f>
        <v/>
      </c>
      <c r="D54" s="31" t="str">
        <f>IF(客服部门消费监控!AI55="","",客服部门消费监控!AJ55)</f>
        <v/>
      </c>
      <c r="E54" s="31" t="str">
        <f>IF(客服部门消费监控!AI55="","",客服部门消费监控!AK55)</f>
        <v/>
      </c>
      <c r="F54" s="31" t="str">
        <f>IF(客服部门消费监控!AI55="","",客服部门消费监控!AC55)</f>
        <v/>
      </c>
      <c r="G54" s="15"/>
      <c r="H54" s="33"/>
    </row>
    <row r="55" spans="1:8" x14ac:dyDescent="0.35">
      <c r="A55" s="24">
        <v>45161</v>
      </c>
      <c r="B55" s="31" t="str">
        <f t="shared" si="2"/>
        <v/>
      </c>
      <c r="C55" s="31" t="str">
        <f>IF(客服部门消费监控!AI56="","",客服部门消费监控!AI56)</f>
        <v/>
      </c>
      <c r="D55" s="31" t="str">
        <f>IF(客服部门消费监控!AI56="","",客服部门消费监控!AJ56)</f>
        <v/>
      </c>
      <c r="E55" s="31" t="str">
        <f>IF(客服部门消费监控!AI56="","",客服部门消费监控!AK56)</f>
        <v/>
      </c>
      <c r="F55" s="31" t="str">
        <f>IF(客服部门消费监控!AI56="","",客服部门消费监控!AC56)</f>
        <v/>
      </c>
      <c r="H55" s="33"/>
    </row>
    <row r="56" spans="1:8" x14ac:dyDescent="0.35">
      <c r="A56" s="24">
        <v>45162</v>
      </c>
      <c r="B56" s="31" t="str">
        <f t="shared" si="2"/>
        <v/>
      </c>
      <c r="C56" s="31" t="str">
        <f>IF(客服部门消费监控!AI57="","",客服部门消费监控!AI57)</f>
        <v/>
      </c>
      <c r="D56" s="31" t="str">
        <f>IF(客服部门消费监控!AI57="","",客服部门消费监控!AJ57)</f>
        <v/>
      </c>
      <c r="E56" s="31" t="str">
        <f>IF(客服部门消费监控!AI57="","",客服部门消费监控!AK57)</f>
        <v/>
      </c>
      <c r="F56" s="31" t="str">
        <f>IF(客服部门消费监控!AI57="","",客服部门消费监控!AC57)</f>
        <v/>
      </c>
      <c r="H56" s="33"/>
    </row>
    <row r="57" spans="1:8" x14ac:dyDescent="0.35">
      <c r="A57" s="24">
        <v>45163</v>
      </c>
      <c r="B57" s="31" t="str">
        <f t="shared" si="2"/>
        <v/>
      </c>
      <c r="C57" s="31" t="str">
        <f>IF(客服部门消费监控!AI58="","",客服部门消费监控!AI58)</f>
        <v/>
      </c>
      <c r="D57" s="31" t="str">
        <f>IF(客服部门消费监控!AI58="","",客服部门消费监控!AJ58)</f>
        <v/>
      </c>
      <c r="E57" s="31" t="str">
        <f>IF(客服部门消费监控!AI58="","",客服部门消费监控!AK58)</f>
        <v/>
      </c>
      <c r="F57" s="31" t="str">
        <f>IF(客服部门消费监控!AI58="","",客服部门消费监控!AC58)</f>
        <v/>
      </c>
      <c r="G57" s="38"/>
      <c r="H57" s="33"/>
    </row>
    <row r="58" spans="1:8" x14ac:dyDescent="0.35">
      <c r="A58" s="24">
        <v>45164</v>
      </c>
      <c r="B58" s="31" t="str">
        <f t="shared" si="2"/>
        <v/>
      </c>
      <c r="C58" s="31" t="str">
        <f>IF(客服部门消费监控!AI59="","",客服部门消费监控!AI59)</f>
        <v/>
      </c>
      <c r="D58" s="31" t="str">
        <f>IF(客服部门消费监控!AI59="","",客服部门消费监控!AJ59)</f>
        <v/>
      </c>
      <c r="E58" s="31" t="str">
        <f>IF(客服部门消费监控!AI59="","",客服部门消费监控!AK59)</f>
        <v/>
      </c>
      <c r="F58" s="31" t="str">
        <f>IF(客服部门消费监控!AI59="","",客服部门消费监控!AC59)</f>
        <v/>
      </c>
      <c r="H58" s="33"/>
    </row>
    <row r="59" spans="1:8" x14ac:dyDescent="0.35">
      <c r="A59" s="24">
        <v>45165</v>
      </c>
      <c r="B59" s="31" t="str">
        <f t="shared" si="2"/>
        <v/>
      </c>
      <c r="C59" s="31" t="str">
        <f>IF(客服部门消费监控!AI60="","",客服部门消费监控!AI60)</f>
        <v/>
      </c>
      <c r="D59" s="31" t="str">
        <f>IF(客服部门消费监控!AI60="","",客服部门消费监控!AJ60)</f>
        <v/>
      </c>
      <c r="E59" s="31" t="str">
        <f>IF(客服部门消费监控!AI60="","",客服部门消费监控!AK60)</f>
        <v/>
      </c>
      <c r="F59" s="31" t="str">
        <f>IF(客服部门消费监控!AI60="","",客服部门消费监控!AC60)</f>
        <v/>
      </c>
      <c r="G59" s="33"/>
      <c r="H59" s="33"/>
    </row>
    <row r="60" spans="1:8" x14ac:dyDescent="0.35">
      <c r="A60" s="24">
        <v>45166</v>
      </c>
      <c r="B60" s="31" t="str">
        <f t="shared" si="2"/>
        <v/>
      </c>
      <c r="C60" s="31" t="str">
        <f>IF(客服部门消费监控!AI61="","",客服部门消费监控!AI61)</f>
        <v/>
      </c>
      <c r="D60" s="31" t="str">
        <f>IF(客服部门消费监控!AI61="","",客服部门消费监控!AJ61)</f>
        <v/>
      </c>
      <c r="E60" s="31" t="str">
        <f>IF(客服部门消费监控!AI61="","",客服部门消费监控!AK61)</f>
        <v/>
      </c>
      <c r="F60" s="31" t="str">
        <f>IF(客服部门消费监控!AI61="","",客服部门消费监控!AC61)</f>
        <v/>
      </c>
      <c r="G60" s="38"/>
      <c r="H60" s="33"/>
    </row>
    <row r="61" spans="1:8" x14ac:dyDescent="0.35">
      <c r="A61" s="24">
        <v>45167</v>
      </c>
      <c r="B61" s="31" t="str">
        <f t="shared" si="2"/>
        <v/>
      </c>
      <c r="C61" s="31" t="str">
        <f>IF(客服部门消费监控!AI62="","",客服部门消费监控!AI62)</f>
        <v/>
      </c>
      <c r="D61" s="31" t="str">
        <f>IF(客服部门消费监控!AI62="","",客服部门消费监控!AJ62)</f>
        <v/>
      </c>
      <c r="E61" s="31" t="str">
        <f>IF(客服部门消费监控!AI62="","",客服部门消费监控!AK62)</f>
        <v/>
      </c>
      <c r="F61" s="31" t="str">
        <f>IF(客服部门消费监控!AI62="","",客服部门消费监控!AC62)</f>
        <v/>
      </c>
      <c r="H61" s="33"/>
    </row>
    <row r="62" spans="1:8" x14ac:dyDescent="0.35">
      <c r="A62" s="24">
        <v>45168</v>
      </c>
      <c r="B62" s="31" t="str">
        <f t="shared" si="2"/>
        <v/>
      </c>
      <c r="C62" s="31" t="str">
        <f>IF(客服部门消费监控!AI63="","",客服部门消费监控!AI63)</f>
        <v/>
      </c>
      <c r="D62" s="31" t="str">
        <f>IF(客服部门消费监控!AI63="","",客服部门消费监控!AJ63)</f>
        <v/>
      </c>
      <c r="E62" s="31" t="str">
        <f>IF(客服部门消费监控!AI63="","",客服部门消费监控!AK63)</f>
        <v/>
      </c>
      <c r="F62" s="31" t="str">
        <f>IF(客服部门消费监控!AI63="","",客服部门消费监控!AC63)</f>
        <v/>
      </c>
      <c r="G62" s="33"/>
      <c r="H62" s="33"/>
    </row>
    <row r="63" spans="1:8" x14ac:dyDescent="0.35">
      <c r="A63" s="24">
        <v>45169</v>
      </c>
      <c r="B63" s="31" t="str">
        <f t="shared" si="2"/>
        <v/>
      </c>
      <c r="C63" s="31" t="str">
        <f>IF(客服部门消费监控!AI64="","",客服部门消费监控!AI64)</f>
        <v/>
      </c>
      <c r="D63" s="31" t="str">
        <f>IF(客服部门消费监控!AI64="","",客服部门消费监控!AJ64)</f>
        <v/>
      </c>
      <c r="E63" s="31" t="str">
        <f>IF(客服部门消费监控!AI64="","",客服部门消费监控!AK64)</f>
        <v/>
      </c>
      <c r="F63" s="31" t="str">
        <f>IF(客服部门消费监控!AI64="","",客服部门消费监控!AC64)</f>
        <v/>
      </c>
      <c r="G63" s="15"/>
      <c r="H63" s="33"/>
    </row>
    <row r="64" spans="1:8" x14ac:dyDescent="0.35">
      <c r="A64" s="24">
        <v>45170</v>
      </c>
      <c r="B64" s="31" t="str">
        <f t="shared" si="2"/>
        <v/>
      </c>
      <c r="C64" s="31" t="str">
        <f>IF(客服部门消费监控!AI65="","",客服部门消费监控!AI65)</f>
        <v/>
      </c>
      <c r="D64" s="31" t="str">
        <f>IF(客服部门消费监控!AI65="","",客服部门消费监控!AJ65)</f>
        <v/>
      </c>
      <c r="E64" s="31" t="str">
        <f>IF(客服部门消费监控!AI65="","",客服部门消费监控!AK65)</f>
        <v/>
      </c>
      <c r="F64" s="31" t="str">
        <f>IF(客服部门消费监控!AI65="","",客服部门消费监控!AC65)</f>
        <v/>
      </c>
      <c r="G64" s="33"/>
      <c r="H64" s="33"/>
    </row>
    <row r="65" spans="1:8" x14ac:dyDescent="0.35">
      <c r="A65" s="24">
        <v>45171</v>
      </c>
      <c r="B65" s="31" t="str">
        <f t="shared" si="2"/>
        <v/>
      </c>
      <c r="C65" s="31" t="str">
        <f>IF(客服部门消费监控!AI66="","",客服部门消费监控!AI66)</f>
        <v/>
      </c>
      <c r="D65" s="31" t="str">
        <f>IF(客服部门消费监控!AI66="","",客服部门消费监控!AJ66)</f>
        <v/>
      </c>
      <c r="E65" s="31" t="str">
        <f>IF(客服部门消费监控!AI66="","",客服部门消费监控!AK66)</f>
        <v/>
      </c>
      <c r="F65" s="31" t="str">
        <f>IF(客服部门消费监控!AI66="","",客服部门消费监控!AC66)</f>
        <v/>
      </c>
      <c r="H65" s="33"/>
    </row>
    <row r="66" spans="1:8" x14ac:dyDescent="0.35">
      <c r="A66" s="24">
        <v>45172</v>
      </c>
      <c r="B66" s="31" t="str">
        <f t="shared" ref="B66:B97" si="3">IF(C66="","",C66+F66)</f>
        <v/>
      </c>
      <c r="C66" s="31" t="str">
        <f>IF(客服部门消费监控!AI67="","",客服部门消费监控!AI67)</f>
        <v/>
      </c>
      <c r="D66" s="31" t="str">
        <f>IF(客服部门消费监控!AI67="","",客服部门消费监控!AJ67)</f>
        <v/>
      </c>
      <c r="E66" s="31" t="str">
        <f>IF(客服部门消费监控!AI67="","",客服部门消费监控!AK67)</f>
        <v/>
      </c>
      <c r="F66" s="31" t="str">
        <f>IF(客服部门消费监控!AI67="","",客服部门消费监控!AC67)</f>
        <v/>
      </c>
      <c r="G66" s="39"/>
      <c r="H66" s="33"/>
    </row>
    <row r="67" spans="1:8" x14ac:dyDescent="0.35">
      <c r="A67" s="24">
        <v>45173</v>
      </c>
      <c r="B67" s="31" t="str">
        <f t="shared" si="3"/>
        <v/>
      </c>
      <c r="C67" s="31" t="str">
        <f>IF(客服部门消费监控!AI68="","",客服部门消费监控!AI68)</f>
        <v/>
      </c>
      <c r="D67" s="31" t="str">
        <f>IF(客服部门消费监控!AI68="","",客服部门消费监控!AJ68)</f>
        <v/>
      </c>
      <c r="E67" s="31" t="str">
        <f>IF(客服部门消费监控!AI68="","",客服部门消费监控!AK68)</f>
        <v/>
      </c>
      <c r="F67" s="31" t="str">
        <f>IF(客服部门消费监控!AI68="","",客服部门消费监控!AC68)</f>
        <v/>
      </c>
      <c r="H67" s="33"/>
    </row>
    <row r="68" spans="1:8" x14ac:dyDescent="0.35">
      <c r="A68" s="24">
        <v>45174</v>
      </c>
      <c r="B68" s="31" t="str">
        <f t="shared" si="3"/>
        <v/>
      </c>
      <c r="C68" s="31" t="str">
        <f>IF(客服部门消费监控!AI69="","",客服部门消费监控!AI69)</f>
        <v/>
      </c>
      <c r="D68" s="31" t="str">
        <f>IF(客服部门消费监控!AI69="","",客服部门消费监控!AJ69)</f>
        <v/>
      </c>
      <c r="E68" s="31" t="str">
        <f>IF(客服部门消费监控!AI69="","",客服部门消费监控!AK69)</f>
        <v/>
      </c>
      <c r="F68" s="31" t="str">
        <f>IF(客服部门消费监控!AI69="","",客服部门消费监控!AC69)</f>
        <v/>
      </c>
      <c r="H68" s="33"/>
    </row>
    <row r="69" spans="1:8" x14ac:dyDescent="0.35">
      <c r="A69" s="24">
        <v>45175</v>
      </c>
      <c r="B69" s="31" t="str">
        <f t="shared" si="3"/>
        <v/>
      </c>
      <c r="C69" s="31" t="str">
        <f>IF(客服部门消费监控!AI70="","",客服部门消费监控!AI70)</f>
        <v/>
      </c>
      <c r="D69" s="31" t="str">
        <f>IF(客服部门消费监控!AI70="","",客服部门消费监控!AJ70)</f>
        <v/>
      </c>
      <c r="E69" s="31" t="str">
        <f>IF(客服部门消费监控!AI70="","",客服部门消费监控!AK70)</f>
        <v/>
      </c>
      <c r="F69" s="31" t="str">
        <f>IF(客服部门消费监控!AI70="","",客服部门消费监控!AC70)</f>
        <v/>
      </c>
      <c r="H69" s="33"/>
    </row>
    <row r="70" spans="1:8" x14ac:dyDescent="0.35">
      <c r="A70" s="24">
        <v>45176</v>
      </c>
      <c r="B70" s="31" t="str">
        <f t="shared" si="3"/>
        <v/>
      </c>
      <c r="C70" s="31" t="str">
        <f>IF(客服部门消费监控!AI71="","",客服部门消费监控!AI71)</f>
        <v/>
      </c>
      <c r="D70" s="31" t="str">
        <f>IF(客服部门消费监控!AI71="","",客服部门消费监控!AJ71)</f>
        <v/>
      </c>
      <c r="E70" s="31" t="str">
        <f>IF(客服部门消费监控!AI71="","",客服部门消费监控!AK71)</f>
        <v/>
      </c>
      <c r="F70" s="31" t="str">
        <f>IF(客服部门消费监控!AI71="","",客服部门消费监控!AC71)</f>
        <v/>
      </c>
      <c r="G70" s="40"/>
      <c r="H70" s="33"/>
    </row>
    <row r="71" spans="1:8" x14ac:dyDescent="0.35">
      <c r="A71" s="24">
        <v>45177</v>
      </c>
      <c r="B71" s="31" t="str">
        <f t="shared" si="3"/>
        <v/>
      </c>
      <c r="C71" s="31" t="str">
        <f>IF(客服部门消费监控!AI72="","",客服部门消费监控!AI72)</f>
        <v/>
      </c>
      <c r="D71" s="31" t="str">
        <f>IF(客服部门消费监控!AI72="","",客服部门消费监控!AJ72)</f>
        <v/>
      </c>
      <c r="E71" s="31" t="str">
        <f>IF(客服部门消费监控!AI72="","",客服部门消费监控!AK72)</f>
        <v/>
      </c>
      <c r="F71" s="31" t="str">
        <f>IF(客服部门消费监控!AI72="","",客服部门消费监控!AC72)</f>
        <v/>
      </c>
      <c r="H71" s="33"/>
    </row>
    <row r="72" spans="1:8" x14ac:dyDescent="0.35">
      <c r="A72" s="24">
        <v>45178</v>
      </c>
      <c r="B72" s="31" t="str">
        <f t="shared" si="3"/>
        <v/>
      </c>
      <c r="C72" s="31" t="str">
        <f>IF(客服部门消费监控!AI73="","",客服部门消费监控!AI73)</f>
        <v/>
      </c>
      <c r="D72" s="31" t="str">
        <f>IF(客服部门消费监控!AI73="","",客服部门消费监控!AJ73)</f>
        <v/>
      </c>
      <c r="E72" s="31" t="str">
        <f>IF(客服部门消费监控!AI73="","",客服部门消费监控!AK73)</f>
        <v/>
      </c>
      <c r="F72" s="31" t="str">
        <f>IF(客服部门消费监控!AI73="","",客服部门消费监控!AC73)</f>
        <v/>
      </c>
      <c r="H72" s="33"/>
    </row>
    <row r="73" spans="1:8" x14ac:dyDescent="0.35">
      <c r="A73" s="24">
        <v>45179</v>
      </c>
      <c r="B73" s="31" t="str">
        <f t="shared" si="3"/>
        <v/>
      </c>
      <c r="C73" s="31" t="str">
        <f>IF(客服部门消费监控!AI74="","",客服部门消费监控!AI74)</f>
        <v/>
      </c>
      <c r="D73" s="31" t="str">
        <f>IF(客服部门消费监控!AI74="","",客服部门消费监控!AJ74)</f>
        <v/>
      </c>
      <c r="E73" s="31" t="str">
        <f>IF(客服部门消费监控!AI74="","",客服部门消费监控!AK74)</f>
        <v/>
      </c>
      <c r="F73" s="31" t="str">
        <f>IF(客服部门消费监控!AI74="","",客服部门消费监控!AC74)</f>
        <v/>
      </c>
      <c r="H73" s="33"/>
    </row>
    <row r="74" spans="1:8" x14ac:dyDescent="0.35">
      <c r="A74" s="24">
        <v>45180</v>
      </c>
      <c r="B74" s="31" t="str">
        <f t="shared" si="3"/>
        <v/>
      </c>
      <c r="C74" s="31" t="str">
        <f>IF(客服部门消费监控!AI75="","",客服部门消费监控!AI75)</f>
        <v/>
      </c>
      <c r="D74" s="31" t="str">
        <f>IF(客服部门消费监控!AI75="","",客服部门消费监控!AJ75)</f>
        <v/>
      </c>
      <c r="E74" s="31" t="str">
        <f>IF(客服部门消费监控!AI75="","",客服部门消费监控!AK75)</f>
        <v/>
      </c>
      <c r="F74" s="31" t="str">
        <f>IF(客服部门消费监控!AI75="","",客服部门消费监控!AC75)</f>
        <v/>
      </c>
      <c r="G74" s="38"/>
      <c r="H74" s="33"/>
    </row>
    <row r="75" spans="1:8" x14ac:dyDescent="0.35">
      <c r="A75" s="24">
        <v>45181</v>
      </c>
      <c r="B75" s="31" t="str">
        <f t="shared" si="3"/>
        <v/>
      </c>
      <c r="C75" s="31" t="str">
        <f>IF(客服部门消费监控!AI76="","",客服部门消费监控!AI76)</f>
        <v/>
      </c>
      <c r="D75" s="31" t="str">
        <f>IF(客服部门消费监控!AI76="","",客服部门消费监控!AJ76)</f>
        <v/>
      </c>
      <c r="E75" s="31" t="str">
        <f>IF(客服部门消费监控!AI76="","",客服部门消费监控!AK76)</f>
        <v/>
      </c>
      <c r="F75" s="31" t="str">
        <f>IF(客服部门消费监控!AI76="","",客服部门消费监控!AC76)</f>
        <v/>
      </c>
      <c r="G75" s="33"/>
      <c r="H75" s="33"/>
    </row>
    <row r="76" spans="1:8" x14ac:dyDescent="0.35">
      <c r="A76" s="24">
        <v>45182</v>
      </c>
      <c r="B76" s="31" t="str">
        <f t="shared" si="3"/>
        <v/>
      </c>
      <c r="C76" s="31" t="str">
        <f>IF(客服部门消费监控!AI77="","",客服部门消费监控!AI77)</f>
        <v/>
      </c>
      <c r="D76" s="31" t="str">
        <f>IF(客服部门消费监控!AI77="","",客服部门消费监控!AJ77)</f>
        <v/>
      </c>
      <c r="E76" s="31" t="str">
        <f>IF(客服部门消费监控!AI77="","",客服部门消费监控!AK77)</f>
        <v/>
      </c>
      <c r="F76" s="31" t="str">
        <f>IF(客服部门消费监控!AI77="","",客服部门消费监控!AC77)</f>
        <v/>
      </c>
      <c r="H76" s="33"/>
    </row>
    <row r="77" spans="1:8" x14ac:dyDescent="0.35">
      <c r="A77" s="24">
        <v>45183</v>
      </c>
      <c r="B77" s="31" t="str">
        <f t="shared" si="3"/>
        <v/>
      </c>
      <c r="C77" s="31" t="str">
        <f>IF(客服部门消费监控!AI78="","",客服部门消费监控!AI78)</f>
        <v/>
      </c>
      <c r="D77" s="31" t="str">
        <f>IF(客服部门消费监控!AI78="","",客服部门消费监控!AJ78)</f>
        <v/>
      </c>
      <c r="E77" s="31" t="str">
        <f>IF(客服部门消费监控!AI78="","",客服部门消费监控!AK78)</f>
        <v/>
      </c>
      <c r="F77" s="31" t="str">
        <f>IF(客服部门消费监控!AI78="","",客服部门消费监控!AC78)</f>
        <v/>
      </c>
      <c r="G77" s="33"/>
      <c r="H77" s="33"/>
    </row>
    <row r="78" spans="1:8" x14ac:dyDescent="0.35">
      <c r="A78" s="24">
        <v>45184</v>
      </c>
      <c r="B78" s="31" t="str">
        <f t="shared" si="3"/>
        <v/>
      </c>
      <c r="C78" s="31" t="str">
        <f>IF(客服部门消费监控!AI79="","",客服部门消费监控!AI79)</f>
        <v/>
      </c>
      <c r="D78" s="31" t="str">
        <f>IF(客服部门消费监控!AI79="","",客服部门消费监控!AJ79)</f>
        <v/>
      </c>
      <c r="E78" s="31" t="str">
        <f>IF(客服部门消费监控!AI79="","",客服部门消费监控!AK79)</f>
        <v/>
      </c>
      <c r="F78" s="31" t="str">
        <f>IF(客服部门消费监控!AI79="","",客服部门消费监控!AC79)</f>
        <v/>
      </c>
      <c r="G78" s="33"/>
      <c r="H78" s="33"/>
    </row>
    <row r="79" spans="1:8" x14ac:dyDescent="0.35">
      <c r="A79" s="24">
        <v>45185</v>
      </c>
      <c r="B79" s="31" t="str">
        <f t="shared" si="3"/>
        <v/>
      </c>
      <c r="C79" s="31" t="str">
        <f>IF(客服部门消费监控!AI80="","",客服部门消费监控!AI80)</f>
        <v/>
      </c>
      <c r="D79" s="31" t="str">
        <f>IF(客服部门消费监控!AI80="","",客服部门消费监控!AJ80)</f>
        <v/>
      </c>
      <c r="E79" s="31" t="str">
        <f>IF(客服部门消费监控!AI80="","",客服部门消费监控!AK80)</f>
        <v/>
      </c>
      <c r="F79" s="31" t="str">
        <f>IF(客服部门消费监控!AI80="","",客服部门消费监控!AC80)</f>
        <v/>
      </c>
      <c r="H79" s="33"/>
    </row>
    <row r="80" spans="1:8" x14ac:dyDescent="0.35">
      <c r="A80" s="24">
        <v>45186</v>
      </c>
      <c r="B80" s="31" t="str">
        <f t="shared" si="3"/>
        <v/>
      </c>
      <c r="C80" s="31" t="str">
        <f>IF(客服部门消费监控!AI81="","",客服部门消费监控!AI81)</f>
        <v/>
      </c>
      <c r="D80" s="31" t="str">
        <f>IF(客服部门消费监控!AI81="","",客服部门消费监控!AJ81)</f>
        <v/>
      </c>
      <c r="E80" s="31" t="str">
        <f>IF(客服部门消费监控!AI81="","",客服部门消费监控!AK81)</f>
        <v/>
      </c>
      <c r="F80" s="31" t="str">
        <f>IF(客服部门消费监控!AI81="","",客服部门消费监控!AC81)</f>
        <v/>
      </c>
      <c r="G80" s="15"/>
      <c r="H80" s="33"/>
    </row>
    <row r="81" spans="1:8" x14ac:dyDescent="0.35">
      <c r="A81" s="24">
        <v>45187</v>
      </c>
      <c r="B81" s="31" t="str">
        <f t="shared" si="3"/>
        <v/>
      </c>
      <c r="C81" s="31" t="str">
        <f>IF(客服部门消费监控!AI82="","",客服部门消费监控!AI82)</f>
        <v/>
      </c>
      <c r="D81" s="31" t="str">
        <f>IF(客服部门消费监控!AI82="","",客服部门消费监控!AJ82)</f>
        <v/>
      </c>
      <c r="E81" s="31" t="str">
        <f>IF(客服部门消费监控!AI82="","",客服部门消费监控!AK82)</f>
        <v/>
      </c>
      <c r="F81" s="31" t="str">
        <f>IF(客服部门消费监控!AI82="","",客服部门消费监控!AC82)</f>
        <v/>
      </c>
      <c r="G81" s="33"/>
      <c r="H81" s="33"/>
    </row>
    <row r="82" spans="1:8" x14ac:dyDescent="0.35">
      <c r="A82" s="24">
        <v>45188</v>
      </c>
      <c r="B82" s="31" t="str">
        <f t="shared" si="3"/>
        <v/>
      </c>
      <c r="C82" s="31" t="str">
        <f>IF(客服部门消费监控!AI83="","",客服部门消费监控!AI83)</f>
        <v/>
      </c>
      <c r="D82" s="31" t="str">
        <f>IF(客服部门消费监控!AI83="","",客服部门消费监控!AJ83)</f>
        <v/>
      </c>
      <c r="E82" s="31" t="str">
        <f>IF(客服部门消费监控!AI83="","",客服部门消费监控!AK83)</f>
        <v/>
      </c>
      <c r="F82" s="31" t="str">
        <f>IF(客服部门消费监控!AI83="","",客服部门消费监控!AC83)</f>
        <v/>
      </c>
      <c r="H82" s="33"/>
    </row>
    <row r="83" spans="1:8" x14ac:dyDescent="0.35">
      <c r="A83" s="24">
        <v>45189</v>
      </c>
      <c r="B83" s="31" t="str">
        <f t="shared" si="3"/>
        <v/>
      </c>
      <c r="C83" s="31" t="str">
        <f>IF(客服部门消费监控!AI84="","",客服部门消费监控!AI84)</f>
        <v/>
      </c>
      <c r="D83" s="31" t="str">
        <f>IF(客服部门消费监控!AI84="","",客服部门消费监控!AJ84)</f>
        <v/>
      </c>
      <c r="E83" s="31" t="str">
        <f>IF(客服部门消费监控!AI84="","",客服部门消费监控!AK84)</f>
        <v/>
      </c>
      <c r="F83" s="31" t="str">
        <f>IF(客服部门消费监控!AI84="","",客服部门消费监控!AC84)</f>
        <v/>
      </c>
      <c r="H83" s="33"/>
    </row>
    <row r="84" spans="1:8" x14ac:dyDescent="0.35">
      <c r="A84" s="24">
        <v>45190</v>
      </c>
      <c r="B84" s="31" t="str">
        <f t="shared" si="3"/>
        <v/>
      </c>
      <c r="C84" s="31" t="str">
        <f>IF(客服部门消费监控!AI85="","",客服部门消费监控!AI85)</f>
        <v/>
      </c>
      <c r="D84" s="31" t="str">
        <f>IF(客服部门消费监控!AI85="","",客服部门消费监控!AJ85)</f>
        <v/>
      </c>
      <c r="E84" s="31" t="str">
        <f>IF(客服部门消费监控!AI85="","",客服部门消费监控!AK85)</f>
        <v/>
      </c>
      <c r="F84" s="31" t="str">
        <f>IF(客服部门消费监控!AI85="","",客服部门消费监控!AC85)</f>
        <v/>
      </c>
      <c r="H84" s="33"/>
    </row>
    <row r="85" spans="1:8" x14ac:dyDescent="0.35">
      <c r="A85" s="24">
        <v>45191</v>
      </c>
      <c r="B85" s="31" t="str">
        <f t="shared" si="3"/>
        <v/>
      </c>
      <c r="C85" s="31" t="str">
        <f>IF(客服部门消费监控!AI86="","",客服部门消费监控!AI86)</f>
        <v/>
      </c>
      <c r="D85" s="31" t="str">
        <f>IF(客服部门消费监控!AI86="","",客服部门消费监控!AJ86)</f>
        <v/>
      </c>
      <c r="E85" s="31" t="str">
        <f>IF(客服部门消费监控!AI86="","",客服部门消费监控!AK86)</f>
        <v/>
      </c>
      <c r="F85" s="31" t="str">
        <f>IF(客服部门消费监控!AI86="","",客服部门消费监控!AC86)</f>
        <v/>
      </c>
      <c r="H85" s="33"/>
    </row>
    <row r="86" spans="1:8" x14ac:dyDescent="0.35">
      <c r="A86" s="24">
        <v>45192</v>
      </c>
      <c r="B86" s="31" t="str">
        <f t="shared" si="3"/>
        <v/>
      </c>
      <c r="C86" s="31" t="str">
        <f>IF(客服部门消费监控!AI87="","",客服部门消费监控!AI87)</f>
        <v/>
      </c>
      <c r="D86" s="31" t="str">
        <f>IF(客服部门消费监控!AI87="","",客服部门消费监控!AJ87)</f>
        <v/>
      </c>
      <c r="E86" s="31" t="str">
        <f>IF(客服部门消费监控!AI87="","",客服部门消费监控!AK87)</f>
        <v/>
      </c>
      <c r="F86" s="31" t="str">
        <f>IF(客服部门消费监控!AI87="","",客服部门消费监控!AC87)</f>
        <v/>
      </c>
      <c r="H86" s="33"/>
    </row>
    <row r="87" spans="1:8" x14ac:dyDescent="0.35">
      <c r="A87" s="24">
        <v>45193</v>
      </c>
      <c r="B87" s="31" t="str">
        <f t="shared" si="3"/>
        <v/>
      </c>
      <c r="C87" s="31" t="str">
        <f>IF(客服部门消费监控!AI88="","",客服部门消费监控!AI88)</f>
        <v/>
      </c>
      <c r="D87" s="31" t="str">
        <f>IF(客服部门消费监控!AI88="","",客服部门消费监控!AJ88)</f>
        <v/>
      </c>
      <c r="E87" s="31" t="str">
        <f>IF(客服部门消费监控!AI88="","",客服部门消费监控!AK88)</f>
        <v/>
      </c>
      <c r="F87" s="31" t="str">
        <f>IF(客服部门消费监控!AI88="","",客服部门消费监控!AC88)</f>
        <v/>
      </c>
    </row>
    <row r="88" spans="1:8" x14ac:dyDescent="0.35">
      <c r="A88" s="24">
        <v>45194</v>
      </c>
      <c r="B88" s="31" t="str">
        <f t="shared" si="3"/>
        <v/>
      </c>
      <c r="C88" s="31" t="str">
        <f>IF(客服部门消费监控!AI89="","",客服部门消费监控!AI89)</f>
        <v/>
      </c>
      <c r="D88" s="31" t="str">
        <f>IF(客服部门消费监控!AI89="","",客服部门消费监控!AJ89)</f>
        <v/>
      </c>
      <c r="E88" s="31" t="str">
        <f>IF(客服部门消费监控!AI89="","",客服部门消费监控!AK89)</f>
        <v/>
      </c>
      <c r="F88" s="31" t="str">
        <f>IF(客服部门消费监控!AI89="","",客服部门消费监控!AC89)</f>
        <v/>
      </c>
    </row>
    <row r="89" spans="1:8" x14ac:dyDescent="0.35">
      <c r="A89" s="24">
        <v>45195</v>
      </c>
      <c r="B89" s="31" t="str">
        <f t="shared" si="3"/>
        <v/>
      </c>
      <c r="C89" s="31" t="str">
        <f>IF(客服部门消费监控!AI90="","",客服部门消费监控!AI90)</f>
        <v/>
      </c>
      <c r="D89" s="31" t="str">
        <f>IF(客服部门消费监控!AI90="","",客服部门消费监控!AJ90)</f>
        <v/>
      </c>
      <c r="E89" s="31" t="str">
        <f>IF(客服部门消费监控!AI90="","",客服部门消费监控!AK90)</f>
        <v/>
      </c>
      <c r="F89" s="31" t="str">
        <f>IF(客服部门消费监控!AI90="","",客服部门消费监控!AC90)</f>
        <v/>
      </c>
    </row>
    <row r="90" spans="1:8" x14ac:dyDescent="0.35">
      <c r="A90" s="24">
        <v>45196</v>
      </c>
      <c r="B90" s="31" t="str">
        <f t="shared" si="3"/>
        <v/>
      </c>
      <c r="C90" s="31" t="str">
        <f>IF(客服部门消费监控!AI91="","",客服部门消费监控!AI91)</f>
        <v/>
      </c>
      <c r="D90" s="31" t="str">
        <f>IF(客服部门消费监控!AI91="","",客服部门消费监控!AJ91)</f>
        <v/>
      </c>
      <c r="E90" s="31" t="str">
        <f>IF(客服部门消费监控!AI91="","",客服部门消费监控!AK91)</f>
        <v/>
      </c>
      <c r="F90" s="31" t="str">
        <f>IF(客服部门消费监控!AI91="","",客服部门消费监控!AC91)</f>
        <v/>
      </c>
    </row>
    <row r="91" spans="1:8" x14ac:dyDescent="0.35">
      <c r="A91" s="24">
        <v>45197</v>
      </c>
      <c r="B91" s="31" t="str">
        <f t="shared" si="3"/>
        <v/>
      </c>
      <c r="C91" s="31" t="str">
        <f>IF(客服部门消费监控!AI92="","",客服部门消费监控!AI92)</f>
        <v/>
      </c>
      <c r="D91" s="31" t="str">
        <f>IF(客服部门消费监控!AI92="","",客服部门消费监控!AJ92)</f>
        <v/>
      </c>
      <c r="E91" s="31" t="str">
        <f>IF(客服部门消费监控!AI92="","",客服部门消费监控!AK92)</f>
        <v/>
      </c>
      <c r="F91" s="31" t="str">
        <f>IF(客服部门消费监控!AI92="","",客服部门消费监控!AC92)</f>
        <v/>
      </c>
    </row>
    <row r="92" spans="1:8" x14ac:dyDescent="0.35">
      <c r="A92" s="24">
        <v>45198</v>
      </c>
      <c r="B92" s="31" t="str">
        <f t="shared" si="3"/>
        <v/>
      </c>
      <c r="C92" s="31" t="str">
        <f>IF(客服部门消费监控!AI93="","",客服部门消费监控!AI93)</f>
        <v/>
      </c>
      <c r="D92" s="31" t="str">
        <f>IF(客服部门消费监控!AI93="","",客服部门消费监控!AJ93)</f>
        <v/>
      </c>
      <c r="E92" s="31" t="str">
        <f>IF(客服部门消费监控!AI93="","",客服部门消费监控!AK93)</f>
        <v/>
      </c>
      <c r="F92" s="31" t="str">
        <f>IF(客服部门消费监控!AI93="","",客服部门消费监控!AC93)</f>
        <v/>
      </c>
    </row>
    <row r="93" spans="1:8" x14ac:dyDescent="0.35">
      <c r="A93" s="24"/>
      <c r="B93" s="31" t="str">
        <f t="shared" si="3"/>
        <v/>
      </c>
      <c r="C93" s="31" t="str">
        <f>IF(客服部门消费监控!AI94="","",客服部门消费监控!AI94)</f>
        <v/>
      </c>
      <c r="D93" s="31" t="str">
        <f>IF(客服部门消费监控!AI94="","",客服部门消费监控!AJ94)</f>
        <v/>
      </c>
      <c r="E93" s="31" t="str">
        <f>IF(客服部门消费监控!AI94="","",客服部门消费监控!AK94)</f>
        <v/>
      </c>
      <c r="F93" s="31" t="str">
        <f>IF(客服部门消费监控!AI94="","",客服部门消费监控!AC94)</f>
        <v/>
      </c>
    </row>
  </sheetData>
  <phoneticPr fontId="27" type="noConversion"/>
  <conditionalFormatting sqref="A2:A93">
    <cfRule type="expression" dxfId="7" priority="1">
      <formula>OR(WEEKDAY(A2,2)=6,WEEKDAY(A2,2)=7)</formula>
    </cfRule>
  </conditionalFormatting>
  <pageMargins left="0.7" right="0.7" top="0.75" bottom="0.75" header="0.3" footer="0.3"/>
  <pageSetup paperSize="9" orientation="portrait" horizontalDpi="150" verticalDpi="15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22"/>
  <sheetViews>
    <sheetView workbookViewId="0">
      <selection activeCell="D28" sqref="D28"/>
    </sheetView>
  </sheetViews>
  <sheetFormatPr defaultColWidth="9" defaultRowHeight="16.5" x14ac:dyDescent="0.35"/>
  <cols>
    <col min="1" max="1" width="13.25" style="4" customWidth="1"/>
    <col min="2" max="2" width="11.875" style="4" customWidth="1"/>
    <col min="3" max="3" width="12.25" style="4" customWidth="1"/>
    <col min="4" max="4" width="11.5" style="4" customWidth="1"/>
    <col min="5" max="5" width="12.375" style="4" customWidth="1"/>
    <col min="6" max="6" width="12.625" style="4" customWidth="1"/>
    <col min="7" max="8" width="13.75" style="4" customWidth="1"/>
    <col min="9" max="9" width="12.625" style="4" customWidth="1"/>
    <col min="10" max="10" width="14.5" style="4" customWidth="1"/>
    <col min="11" max="12" width="9" style="4" customWidth="1"/>
    <col min="13" max="13" width="12.375" style="4" customWidth="1"/>
    <col min="14" max="34" width="9" style="4" customWidth="1"/>
    <col min="35" max="16384" width="9" style="4"/>
  </cols>
  <sheetData>
    <row r="1" spans="1:12" x14ac:dyDescent="0.35">
      <c r="A1" s="5" t="s">
        <v>52</v>
      </c>
      <c r="B1" s="5" t="s">
        <v>53</v>
      </c>
      <c r="C1" s="5" t="s">
        <v>54</v>
      </c>
      <c r="D1" s="5" t="s">
        <v>55</v>
      </c>
      <c r="E1" s="5" t="s">
        <v>56</v>
      </c>
      <c r="F1" s="5" t="s">
        <v>57</v>
      </c>
      <c r="G1" s="6" t="s">
        <v>58</v>
      </c>
    </row>
    <row r="2" spans="1:12" x14ac:dyDescent="0.35">
      <c r="A2" s="26">
        <v>3294493</v>
      </c>
      <c r="B2" s="7">
        <v>173603.11</v>
      </c>
      <c r="C2" s="7">
        <v>655232.69999999995</v>
      </c>
      <c r="D2" s="41">
        <v>1000000</v>
      </c>
      <c r="E2" s="7">
        <f>SUM(B2:D2)</f>
        <v>1828835.81</v>
      </c>
      <c r="F2" s="8">
        <f>E2/A2</f>
        <v>0.55511904563160408</v>
      </c>
      <c r="G2" s="42">
        <f>A2-E2</f>
        <v>1465657.19</v>
      </c>
    </row>
    <row r="4" spans="1:12" hidden="1" x14ac:dyDescent="0.35">
      <c r="A4" s="5" t="s">
        <v>59</v>
      </c>
      <c r="B4" s="5" t="s">
        <v>60</v>
      </c>
      <c r="C4" s="5" t="s">
        <v>61</v>
      </c>
      <c r="D4" s="9" t="s">
        <v>62</v>
      </c>
      <c r="E4" s="5" t="s">
        <v>63</v>
      </c>
      <c r="F4" s="5" t="s">
        <v>64</v>
      </c>
      <c r="G4" s="5" t="s">
        <v>65</v>
      </c>
      <c r="H4" s="5" t="s">
        <v>66</v>
      </c>
      <c r="I4" s="5" t="s">
        <v>67</v>
      </c>
      <c r="J4" s="5" t="s">
        <v>68</v>
      </c>
      <c r="K4" s="5" t="s">
        <v>69</v>
      </c>
      <c r="L4" s="5" t="s">
        <v>70</v>
      </c>
    </row>
    <row r="5" spans="1:12" hidden="1" x14ac:dyDescent="0.35">
      <c r="A5" s="26" t="s">
        <v>71</v>
      </c>
      <c r="B5" s="26">
        <v>66725.289999999994</v>
      </c>
      <c r="C5" s="26">
        <v>46560</v>
      </c>
      <c r="D5" s="43">
        <v>448486.09558249603</v>
      </c>
      <c r="E5" s="44">
        <v>401926.09558249603</v>
      </c>
      <c r="F5" s="26">
        <v>24</v>
      </c>
      <c r="G5" s="44">
        <v>16746.920649270702</v>
      </c>
      <c r="H5" s="44">
        <v>8860.08</v>
      </c>
      <c r="I5" s="26">
        <v>11</v>
      </c>
      <c r="J5" s="44">
        <f t="shared" ref="J5:J11" si="0">H5/I5</f>
        <v>805.46181818181822</v>
      </c>
      <c r="K5" s="67" t="s">
        <v>72</v>
      </c>
      <c r="L5" s="58" t="s">
        <v>73</v>
      </c>
    </row>
    <row r="6" spans="1:12" hidden="1" x14ac:dyDescent="0.35">
      <c r="A6" s="26" t="s">
        <v>74</v>
      </c>
      <c r="B6" s="26">
        <v>58859.7</v>
      </c>
      <c r="C6" s="26">
        <v>20239.740000000002</v>
      </c>
      <c r="D6" s="43">
        <v>194957.94605251</v>
      </c>
      <c r="E6" s="44">
        <v>174718.20605251001</v>
      </c>
      <c r="F6" s="26">
        <v>24</v>
      </c>
      <c r="G6" s="44">
        <v>7279.9252521879198</v>
      </c>
      <c r="H6" s="44">
        <v>4443.42</v>
      </c>
      <c r="I6" s="26">
        <v>13</v>
      </c>
      <c r="J6" s="44">
        <f t="shared" si="0"/>
        <v>341.80153846153848</v>
      </c>
      <c r="K6" s="60"/>
      <c r="L6" s="59"/>
    </row>
    <row r="7" spans="1:12" hidden="1" x14ac:dyDescent="0.35">
      <c r="A7" s="26" t="s">
        <v>47</v>
      </c>
      <c r="B7" s="26">
        <v>9397.08</v>
      </c>
      <c r="C7" s="26">
        <v>2834.31</v>
      </c>
      <c r="D7" s="43">
        <v>27301.302095584699</v>
      </c>
      <c r="E7" s="44">
        <v>24466.992095584701</v>
      </c>
      <c r="F7" s="26">
        <v>24</v>
      </c>
      <c r="G7" s="44">
        <v>1019.4580039827</v>
      </c>
      <c r="H7" s="44">
        <v>394.23</v>
      </c>
      <c r="I7" s="26">
        <v>3</v>
      </c>
      <c r="J7" s="44">
        <f t="shared" si="0"/>
        <v>131.41</v>
      </c>
      <c r="K7" s="26" t="s">
        <v>75</v>
      </c>
      <c r="L7" s="60"/>
    </row>
    <row r="8" spans="1:12" hidden="1" x14ac:dyDescent="0.35">
      <c r="A8" s="26" t="s">
        <v>76</v>
      </c>
      <c r="B8" s="26">
        <v>2057.35</v>
      </c>
      <c r="C8" s="26">
        <v>678.38</v>
      </c>
      <c r="D8" s="43">
        <v>6534.4501185836298</v>
      </c>
      <c r="E8" s="44">
        <v>5856.0701185836297</v>
      </c>
      <c r="F8" s="26">
        <v>24</v>
      </c>
      <c r="G8" s="44">
        <v>244.00292160765099</v>
      </c>
      <c r="H8" s="44">
        <v>114.2</v>
      </c>
      <c r="I8" s="26">
        <v>1</v>
      </c>
      <c r="J8" s="44">
        <f t="shared" si="0"/>
        <v>114.2</v>
      </c>
      <c r="K8" s="67" t="s">
        <v>77</v>
      </c>
      <c r="L8" s="26" t="s">
        <v>78</v>
      </c>
    </row>
    <row r="9" spans="1:12" hidden="1" x14ac:dyDescent="0.35">
      <c r="A9" s="26" t="s">
        <v>79</v>
      </c>
      <c r="B9" s="26">
        <v>20497.29</v>
      </c>
      <c r="C9" s="26">
        <v>240.77</v>
      </c>
      <c r="D9" s="43">
        <v>4000</v>
      </c>
      <c r="E9" s="44">
        <v>3759.23</v>
      </c>
      <c r="F9" s="26">
        <v>24</v>
      </c>
      <c r="G9" s="44">
        <v>156.63458333333301</v>
      </c>
      <c r="H9" s="44">
        <v>42.42</v>
      </c>
      <c r="I9" s="26">
        <v>1</v>
      </c>
      <c r="J9" s="44">
        <f t="shared" si="0"/>
        <v>42.42</v>
      </c>
      <c r="K9" s="59"/>
      <c r="L9" s="26" t="s">
        <v>80</v>
      </c>
    </row>
    <row r="10" spans="1:12" hidden="1" x14ac:dyDescent="0.35">
      <c r="A10" s="26" t="s">
        <v>81</v>
      </c>
      <c r="B10" s="26">
        <v>5174.29</v>
      </c>
      <c r="C10" s="26">
        <v>789.14</v>
      </c>
      <c r="D10" s="43">
        <v>7601.3384335904402</v>
      </c>
      <c r="E10" s="44">
        <v>6812.1984335904399</v>
      </c>
      <c r="F10" s="26">
        <v>24</v>
      </c>
      <c r="G10" s="44">
        <v>283.84160139960198</v>
      </c>
      <c r="H10" s="44">
        <v>134.13999999999999</v>
      </c>
      <c r="I10" s="26">
        <v>2</v>
      </c>
      <c r="J10" s="44">
        <f t="shared" si="0"/>
        <v>67.069999999999993</v>
      </c>
      <c r="K10" s="59"/>
      <c r="L10" s="26" t="s">
        <v>82</v>
      </c>
    </row>
    <row r="11" spans="1:12" hidden="1" x14ac:dyDescent="0.35">
      <c r="A11" s="26" t="s">
        <v>83</v>
      </c>
      <c r="B11" s="26">
        <v>2530.85</v>
      </c>
      <c r="C11" s="26">
        <v>226.42</v>
      </c>
      <c r="D11" s="43">
        <v>3000</v>
      </c>
      <c r="E11" s="44">
        <v>2773.58</v>
      </c>
      <c r="F11" s="26">
        <v>24</v>
      </c>
      <c r="G11" s="44">
        <v>115.565833333333</v>
      </c>
      <c r="H11" s="44">
        <v>50.61</v>
      </c>
      <c r="I11" s="26">
        <v>1</v>
      </c>
      <c r="J11" s="44">
        <f t="shared" si="0"/>
        <v>50.61</v>
      </c>
      <c r="K11" s="60"/>
      <c r="L11" s="26" t="s">
        <v>80</v>
      </c>
    </row>
    <row r="12" spans="1:12" hidden="1" x14ac:dyDescent="0.35">
      <c r="D12" s="45">
        <f>SUM(D5:D11)</f>
        <v>691881.13228276477</v>
      </c>
      <c r="E12" s="46">
        <f>SUM(E5:E11)</f>
        <v>620312.37228276476</v>
      </c>
      <c r="F12" s="10">
        <v>24</v>
      </c>
      <c r="G12" s="46">
        <f>SUM(G5:G11)</f>
        <v>25846.348845115244</v>
      </c>
      <c r="H12" s="47"/>
    </row>
    <row r="13" spans="1:12" hidden="1" x14ac:dyDescent="0.35"/>
    <row r="14" spans="1:12" x14ac:dyDescent="0.35">
      <c r="A14" s="5" t="s">
        <v>59</v>
      </c>
      <c r="B14" s="5" t="s">
        <v>60</v>
      </c>
      <c r="C14" s="5" t="s">
        <v>84</v>
      </c>
      <c r="D14" s="48" t="s">
        <v>85</v>
      </c>
      <c r="E14" s="5" t="s">
        <v>86</v>
      </c>
      <c r="F14" s="5" t="s">
        <v>69</v>
      </c>
      <c r="G14" s="11" t="s">
        <v>70</v>
      </c>
      <c r="H14" s="61" t="s">
        <v>87</v>
      </c>
      <c r="I14" s="62"/>
    </row>
    <row r="15" spans="1:12" x14ac:dyDescent="0.35">
      <c r="A15" s="26" t="s">
        <v>71</v>
      </c>
      <c r="B15" s="26">
        <v>66725.289999999994</v>
      </c>
      <c r="C15" s="49">
        <v>379845.23</v>
      </c>
      <c r="D15" s="49">
        <v>580360.76081277896</v>
      </c>
      <c r="E15" s="44">
        <f t="shared" ref="E15:E22" si="1">D15/30</f>
        <v>19345.358693759299</v>
      </c>
      <c r="F15" s="67" t="s">
        <v>72</v>
      </c>
      <c r="G15" s="68" t="s">
        <v>73</v>
      </c>
      <c r="H15" s="63"/>
      <c r="I15" s="64"/>
    </row>
    <row r="16" spans="1:12" x14ac:dyDescent="0.35">
      <c r="A16" s="26" t="s">
        <v>74</v>
      </c>
      <c r="B16" s="26">
        <v>58859.7</v>
      </c>
      <c r="C16" s="49">
        <v>167543.94</v>
      </c>
      <c r="D16" s="49">
        <v>255988.28367008999</v>
      </c>
      <c r="E16" s="44">
        <f t="shared" si="1"/>
        <v>8532.9427890030001</v>
      </c>
      <c r="F16" s="60"/>
      <c r="G16" s="63"/>
      <c r="H16" s="63"/>
      <c r="I16" s="64"/>
    </row>
    <row r="17" spans="1:9" x14ac:dyDescent="0.35">
      <c r="A17" s="26" t="s">
        <v>47</v>
      </c>
      <c r="B17" s="26">
        <v>9397.08</v>
      </c>
      <c r="C17" s="49">
        <v>54879.79</v>
      </c>
      <c r="D17" s="49">
        <v>83850.142537384396</v>
      </c>
      <c r="E17" s="44">
        <f t="shared" si="1"/>
        <v>2795.0047512461465</v>
      </c>
      <c r="F17" s="26" t="s">
        <v>75</v>
      </c>
      <c r="G17" s="65"/>
      <c r="H17" s="63"/>
      <c r="I17" s="64"/>
    </row>
    <row r="18" spans="1:9" x14ac:dyDescent="0.35">
      <c r="A18" s="26" t="s">
        <v>76</v>
      </c>
      <c r="B18" s="26">
        <v>2057.35</v>
      </c>
      <c r="C18" s="49">
        <v>15244.97</v>
      </c>
      <c r="D18" s="49">
        <v>23292.598376891499</v>
      </c>
      <c r="E18" s="44">
        <f t="shared" si="1"/>
        <v>776.4199458963833</v>
      </c>
      <c r="F18" s="67" t="s">
        <v>77</v>
      </c>
      <c r="G18" s="12" t="s">
        <v>88</v>
      </c>
      <c r="H18" s="63"/>
      <c r="I18" s="64"/>
    </row>
    <row r="19" spans="1:9" x14ac:dyDescent="0.35">
      <c r="A19" s="26" t="s">
        <v>79</v>
      </c>
      <c r="B19" s="26">
        <v>20497.29</v>
      </c>
      <c r="C19" s="49">
        <v>4407.3</v>
      </c>
      <c r="D19" s="49">
        <v>6733.85836944737</v>
      </c>
      <c r="E19" s="44">
        <f t="shared" si="1"/>
        <v>224.46194564824566</v>
      </c>
      <c r="F19" s="59"/>
      <c r="G19" s="12" t="s">
        <v>82</v>
      </c>
      <c r="H19" s="63"/>
      <c r="I19" s="64"/>
    </row>
    <row r="20" spans="1:9" x14ac:dyDescent="0.35">
      <c r="A20" s="26" t="s">
        <v>81</v>
      </c>
      <c r="B20" s="26">
        <v>5174.29</v>
      </c>
      <c r="C20" s="49">
        <v>24425.13</v>
      </c>
      <c r="D20" s="49">
        <v>37318.849652925899</v>
      </c>
      <c r="E20" s="44">
        <f t="shared" si="1"/>
        <v>1243.96165509753</v>
      </c>
      <c r="F20" s="59"/>
      <c r="G20" s="12" t="s">
        <v>88</v>
      </c>
      <c r="H20" s="63"/>
      <c r="I20" s="64"/>
    </row>
    <row r="21" spans="1:9" x14ac:dyDescent="0.35">
      <c r="A21" s="26" t="s">
        <v>83</v>
      </c>
      <c r="B21" s="26">
        <v>2530.85</v>
      </c>
      <c r="C21" s="49">
        <v>8152.11</v>
      </c>
      <c r="D21" s="49">
        <v>12455.5065804814</v>
      </c>
      <c r="E21" s="44">
        <f t="shared" si="1"/>
        <v>415.18355268271335</v>
      </c>
      <c r="F21" s="60"/>
      <c r="G21" s="12" t="s">
        <v>89</v>
      </c>
      <c r="H21" s="65"/>
      <c r="I21" s="66"/>
    </row>
    <row r="22" spans="1:9" x14ac:dyDescent="0.35">
      <c r="C22" s="47"/>
      <c r="D22" s="46">
        <f>SUM(D15:D21)</f>
        <v>999999.99999999953</v>
      </c>
      <c r="E22" s="46">
        <f t="shared" si="1"/>
        <v>33333.333333333321</v>
      </c>
    </row>
  </sheetData>
  <mergeCells count="7">
    <mergeCell ref="L5:L7"/>
    <mergeCell ref="H14:I21"/>
    <mergeCell ref="F15:F16"/>
    <mergeCell ref="F18:F21"/>
    <mergeCell ref="G15:G17"/>
    <mergeCell ref="K5:K6"/>
    <mergeCell ref="K8:K11"/>
  </mergeCells>
  <phoneticPr fontId="27" type="noConversion"/>
  <pageMargins left="0.7" right="0.7" top="0.75" bottom="0.75" header="0.3" footer="0.3"/>
  <pageSetup paperSize="9" orientation="portrait" horizontalDpi="150" verticalDpi="15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94"/>
  <sheetViews>
    <sheetView zoomScaleNormal="100" workbookViewId="0">
      <pane xSplit="1" ySplit="2" topLeftCell="B3" activePane="bottomRight" state="frozen"/>
      <selection pane="topRight"/>
      <selection pane="bottomLeft"/>
      <selection pane="bottomRight" sqref="A1:A2"/>
    </sheetView>
  </sheetViews>
  <sheetFormatPr defaultColWidth="9" defaultRowHeight="16.5" x14ac:dyDescent="0.35"/>
  <cols>
    <col min="1" max="1" width="8.75" style="22" customWidth="1"/>
    <col min="2" max="2" width="10.875" style="3" customWidth="1"/>
    <col min="3" max="3" width="12.375" style="3" customWidth="1"/>
    <col min="4" max="4" width="10.875" style="3" customWidth="1"/>
    <col min="5" max="5" width="11" style="3" customWidth="1"/>
    <col min="6" max="6" width="11.875" style="3" customWidth="1"/>
    <col min="7" max="7" width="11.125" style="3" customWidth="1"/>
    <col min="8" max="8" width="11.5" style="3" customWidth="1"/>
    <col min="9" max="9" width="12.375" style="3" customWidth="1"/>
    <col min="10" max="10" width="11" style="3" customWidth="1"/>
    <col min="11" max="12" width="12" style="3" customWidth="1"/>
    <col min="13" max="16" width="11.625" style="3" customWidth="1"/>
    <col min="17" max="17" width="10.75" style="3" customWidth="1"/>
    <col min="18" max="18" width="12.125" style="3" customWidth="1"/>
    <col min="19" max="19" width="10.875" style="3" customWidth="1"/>
    <col min="20" max="20" width="10.375" style="3" customWidth="1"/>
    <col min="21" max="21" width="12.25" style="3" customWidth="1"/>
    <col min="22" max="22" width="10.875" style="3" customWidth="1"/>
    <col min="23" max="23" width="11" style="50" customWidth="1"/>
    <col min="24" max="24" width="12.625" style="3" customWidth="1"/>
    <col min="25" max="26" width="11" style="3" customWidth="1"/>
    <col min="27" max="27" width="12.625" style="3" customWidth="1"/>
    <col min="28" max="28" width="11" style="3" customWidth="1"/>
    <col min="29" max="29" width="11" style="51" customWidth="1"/>
    <col min="30" max="30" width="12.625" style="3" customWidth="1"/>
    <col min="31" max="32" width="11" style="3" customWidth="1"/>
    <col min="33" max="33" width="12.625" style="3" customWidth="1"/>
    <col min="34" max="34" width="11" style="3" customWidth="1"/>
    <col min="35" max="35" width="12.625" style="3" customWidth="1"/>
    <col min="36" max="36" width="9" style="3" customWidth="1"/>
    <col min="37" max="37" width="11" style="3" customWidth="1"/>
    <col min="38" max="59" width="9" style="3" customWidth="1"/>
    <col min="60" max="16384" width="9" style="3"/>
  </cols>
  <sheetData>
    <row r="1" spans="1:40" s="2" customFormat="1" x14ac:dyDescent="0.35">
      <c r="A1" s="74" t="s">
        <v>0</v>
      </c>
      <c r="B1" s="75" t="s">
        <v>42</v>
      </c>
      <c r="C1" s="70"/>
      <c r="D1" s="71"/>
      <c r="E1" s="75" t="s">
        <v>90</v>
      </c>
      <c r="F1" s="70"/>
      <c r="G1" s="71"/>
      <c r="H1" s="75" t="s">
        <v>44</v>
      </c>
      <c r="I1" s="70"/>
      <c r="J1" s="71"/>
      <c r="K1" s="75" t="s">
        <v>45</v>
      </c>
      <c r="L1" s="70"/>
      <c r="M1" s="71"/>
      <c r="N1" s="76" t="s">
        <v>46</v>
      </c>
      <c r="O1" s="70"/>
      <c r="P1" s="71"/>
      <c r="Q1" s="75" t="s">
        <v>47</v>
      </c>
      <c r="R1" s="70"/>
      <c r="S1" s="71"/>
      <c r="T1" s="75" t="s">
        <v>48</v>
      </c>
      <c r="U1" s="70"/>
      <c r="V1" s="71"/>
      <c r="W1" s="69" t="s">
        <v>49</v>
      </c>
      <c r="X1" s="70"/>
      <c r="Y1" s="71"/>
      <c r="Z1" s="69" t="s">
        <v>50</v>
      </c>
      <c r="AA1" s="70"/>
      <c r="AB1" s="71"/>
      <c r="AC1" s="69" t="s">
        <v>35</v>
      </c>
      <c r="AD1" s="70"/>
      <c r="AE1" s="71"/>
      <c r="AF1" s="69" t="s">
        <v>51</v>
      </c>
      <c r="AG1" s="70"/>
      <c r="AH1" s="71"/>
      <c r="AI1" s="72" t="s">
        <v>91</v>
      </c>
      <c r="AJ1" s="73"/>
      <c r="AK1" s="73"/>
    </row>
    <row r="2" spans="1:40" s="2" customFormat="1" x14ac:dyDescent="0.35">
      <c r="A2" s="60"/>
      <c r="B2" s="28" t="s">
        <v>92</v>
      </c>
      <c r="C2" s="28" t="s">
        <v>93</v>
      </c>
      <c r="D2" s="28" t="s">
        <v>29</v>
      </c>
      <c r="E2" s="28" t="s">
        <v>92</v>
      </c>
      <c r="F2" s="28" t="s">
        <v>93</v>
      </c>
      <c r="G2" s="28" t="s">
        <v>29</v>
      </c>
      <c r="H2" s="28" t="s">
        <v>92</v>
      </c>
      <c r="I2" s="28" t="s">
        <v>93</v>
      </c>
      <c r="J2" s="28" t="s">
        <v>29</v>
      </c>
      <c r="K2" s="28" t="s">
        <v>92</v>
      </c>
      <c r="L2" s="28" t="s">
        <v>93</v>
      </c>
      <c r="M2" s="28" t="s">
        <v>29</v>
      </c>
      <c r="N2" s="28" t="s">
        <v>92</v>
      </c>
      <c r="O2" s="28" t="s">
        <v>93</v>
      </c>
      <c r="P2" s="28" t="s">
        <v>29</v>
      </c>
      <c r="Q2" s="28" t="s">
        <v>92</v>
      </c>
      <c r="R2" s="28" t="s">
        <v>93</v>
      </c>
      <c r="S2" s="28" t="s">
        <v>29</v>
      </c>
      <c r="T2" s="28" t="s">
        <v>92</v>
      </c>
      <c r="U2" s="28" t="s">
        <v>93</v>
      </c>
      <c r="V2" s="28" t="s">
        <v>29</v>
      </c>
      <c r="W2" s="28" t="s">
        <v>92</v>
      </c>
      <c r="X2" s="28" t="s">
        <v>93</v>
      </c>
      <c r="Y2" s="28" t="s">
        <v>29</v>
      </c>
      <c r="Z2" s="28" t="s">
        <v>92</v>
      </c>
      <c r="AA2" s="28" t="s">
        <v>93</v>
      </c>
      <c r="AB2" s="28" t="s">
        <v>29</v>
      </c>
      <c r="AC2" s="28" t="s">
        <v>92</v>
      </c>
      <c r="AD2" s="28" t="s">
        <v>93</v>
      </c>
      <c r="AE2" s="28" t="s">
        <v>29</v>
      </c>
      <c r="AF2" s="28" t="s">
        <v>92</v>
      </c>
      <c r="AG2" s="28" t="s">
        <v>93</v>
      </c>
      <c r="AH2" s="28" t="s">
        <v>29</v>
      </c>
      <c r="AI2" s="28" t="s">
        <v>1</v>
      </c>
      <c r="AJ2" s="28" t="s">
        <v>94</v>
      </c>
      <c r="AK2" s="28" t="s">
        <v>29</v>
      </c>
    </row>
    <row r="3" spans="1:40" x14ac:dyDescent="0.3">
      <c r="A3" s="24">
        <v>45108</v>
      </c>
      <c r="B3" s="31"/>
      <c r="C3" s="31"/>
      <c r="D3" s="31"/>
      <c r="E3" s="31"/>
      <c r="F3" s="52"/>
      <c r="G3" s="52"/>
      <c r="H3" s="31"/>
      <c r="I3" s="52"/>
      <c r="J3" s="52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27"/>
      <c r="AI3" s="31"/>
      <c r="AJ3" s="31"/>
      <c r="AK3" s="31"/>
      <c r="AL3" s="53"/>
      <c r="AM3" s="53"/>
      <c r="AN3" s="53"/>
    </row>
    <row r="4" spans="1:40" x14ac:dyDescent="0.3">
      <c r="A4" s="24">
        <v>45109</v>
      </c>
      <c r="B4" s="31"/>
      <c r="C4" s="31"/>
      <c r="D4" s="31"/>
      <c r="E4" s="31"/>
      <c r="F4" s="52"/>
      <c r="G4" s="52"/>
      <c r="H4" s="31"/>
      <c r="I4" s="52"/>
      <c r="J4" s="52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27"/>
      <c r="AI4" s="31"/>
      <c r="AJ4" s="31"/>
      <c r="AK4" s="31"/>
      <c r="AL4" s="53"/>
      <c r="AM4" s="53"/>
    </row>
    <row r="5" spans="1:40" x14ac:dyDescent="0.3">
      <c r="A5" s="24">
        <v>45110</v>
      </c>
      <c r="B5" s="31"/>
      <c r="C5" s="31"/>
      <c r="D5" s="31"/>
      <c r="E5" s="31"/>
      <c r="F5" s="52"/>
      <c r="G5" s="52"/>
      <c r="H5" s="31"/>
      <c r="I5" s="52"/>
      <c r="J5" s="52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27"/>
      <c r="AI5" s="31"/>
      <c r="AJ5" s="31"/>
      <c r="AK5" s="31"/>
      <c r="AL5" s="53"/>
      <c r="AM5" s="53"/>
    </row>
    <row r="6" spans="1:40" x14ac:dyDescent="0.3">
      <c r="A6" s="24">
        <v>45111</v>
      </c>
      <c r="B6" s="31"/>
      <c r="C6" s="31"/>
      <c r="D6" s="31"/>
      <c r="E6" s="31"/>
      <c r="F6" s="52"/>
      <c r="G6" s="52"/>
      <c r="H6" s="31"/>
      <c r="I6" s="52"/>
      <c r="J6" s="52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27"/>
      <c r="AI6" s="31"/>
      <c r="AJ6" s="31"/>
      <c r="AK6" s="31"/>
      <c r="AL6" s="53"/>
      <c r="AM6" s="53"/>
    </row>
    <row r="7" spans="1:40" x14ac:dyDescent="0.3">
      <c r="A7" s="24">
        <v>45112</v>
      </c>
      <c r="B7" s="31"/>
      <c r="C7" s="31"/>
      <c r="D7" s="31"/>
      <c r="E7" s="31"/>
      <c r="F7" s="52"/>
      <c r="G7" s="52"/>
      <c r="H7" s="31"/>
      <c r="I7" s="52"/>
      <c r="J7" s="52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27"/>
      <c r="AI7" s="31"/>
      <c r="AJ7" s="31"/>
      <c r="AK7" s="31"/>
      <c r="AL7" s="53"/>
      <c r="AM7" s="53"/>
    </row>
    <row r="8" spans="1:40" x14ac:dyDescent="0.3">
      <c r="A8" s="24">
        <v>45113</v>
      </c>
      <c r="B8" s="31"/>
      <c r="C8" s="31"/>
      <c r="D8" s="31"/>
      <c r="E8" s="31"/>
      <c r="F8" s="52"/>
      <c r="G8" s="52"/>
      <c r="H8" s="31"/>
      <c r="I8" s="52"/>
      <c r="J8" s="52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27"/>
      <c r="AI8" s="31"/>
      <c r="AJ8" s="31"/>
      <c r="AK8" s="31"/>
      <c r="AL8" s="53"/>
      <c r="AM8" s="53"/>
    </row>
    <row r="9" spans="1:40" x14ac:dyDescent="0.3">
      <c r="A9" s="24">
        <v>45114</v>
      </c>
      <c r="B9" s="31"/>
      <c r="C9" s="31"/>
      <c r="D9" s="31"/>
      <c r="E9" s="31"/>
      <c r="F9" s="52"/>
      <c r="G9" s="52"/>
      <c r="H9" s="31"/>
      <c r="I9" s="52"/>
      <c r="J9" s="52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27"/>
      <c r="AI9" s="31"/>
      <c r="AJ9" s="31"/>
      <c r="AK9" s="31"/>
      <c r="AL9" s="53"/>
      <c r="AM9" s="53"/>
    </row>
    <row r="10" spans="1:40" x14ac:dyDescent="0.3">
      <c r="A10" s="24">
        <v>45115</v>
      </c>
      <c r="B10" s="31"/>
      <c r="C10" s="31"/>
      <c r="D10" s="31"/>
      <c r="E10" s="31"/>
      <c r="F10" s="52"/>
      <c r="G10" s="52"/>
      <c r="H10" s="31"/>
      <c r="I10" s="52"/>
      <c r="J10" s="52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27"/>
      <c r="AI10" s="31"/>
      <c r="AJ10" s="31"/>
      <c r="AK10" s="31"/>
      <c r="AL10" s="53"/>
      <c r="AM10" s="53"/>
    </row>
    <row r="11" spans="1:40" x14ac:dyDescent="0.3">
      <c r="A11" s="24">
        <v>45116</v>
      </c>
      <c r="B11" s="31"/>
      <c r="C11" s="31"/>
      <c r="D11" s="31"/>
      <c r="E11" s="31"/>
      <c r="F11" s="52"/>
      <c r="G11" s="52"/>
      <c r="H11" s="31"/>
      <c r="I11" s="52"/>
      <c r="J11" s="52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27"/>
      <c r="AI11" s="31"/>
      <c r="AJ11" s="31"/>
      <c r="AK11" s="31"/>
      <c r="AL11" s="53"/>
      <c r="AM11" s="53"/>
    </row>
    <row r="12" spans="1:40" x14ac:dyDescent="0.3">
      <c r="A12" s="24">
        <v>45117</v>
      </c>
      <c r="B12" s="31"/>
      <c r="C12" s="31"/>
      <c r="D12" s="31"/>
      <c r="E12" s="31"/>
      <c r="F12" s="52"/>
      <c r="G12" s="52"/>
      <c r="H12" s="31"/>
      <c r="I12" s="52"/>
      <c r="J12" s="52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27"/>
      <c r="AI12" s="31"/>
      <c r="AJ12" s="31"/>
      <c r="AK12" s="31"/>
      <c r="AL12" s="53"/>
      <c r="AM12" s="53"/>
    </row>
    <row r="13" spans="1:40" x14ac:dyDescent="0.3">
      <c r="A13" s="24">
        <v>45118</v>
      </c>
      <c r="B13" s="31"/>
      <c r="C13" s="31"/>
      <c r="D13" s="31"/>
      <c r="E13" s="31"/>
      <c r="F13" s="52"/>
      <c r="G13" s="52"/>
      <c r="H13" s="31"/>
      <c r="I13" s="52"/>
      <c r="J13" s="52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27"/>
      <c r="AI13" s="31"/>
      <c r="AJ13" s="31"/>
      <c r="AK13" s="31"/>
      <c r="AL13" s="53"/>
      <c r="AM13" s="53"/>
    </row>
    <row r="14" spans="1:40" x14ac:dyDescent="0.3">
      <c r="A14" s="24">
        <v>45119</v>
      </c>
      <c r="B14" s="31"/>
      <c r="C14" s="31"/>
      <c r="D14" s="31"/>
      <c r="E14" s="31"/>
      <c r="F14" s="52"/>
      <c r="G14" s="52"/>
      <c r="H14" s="31"/>
      <c r="I14" s="52"/>
      <c r="J14" s="52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27"/>
      <c r="AI14" s="31"/>
      <c r="AJ14" s="31"/>
      <c r="AK14" s="31"/>
      <c r="AL14" s="53"/>
    </row>
    <row r="15" spans="1:40" x14ac:dyDescent="0.3">
      <c r="A15" s="24">
        <v>45120</v>
      </c>
      <c r="B15" s="31"/>
      <c r="C15" s="31"/>
      <c r="D15" s="31"/>
      <c r="E15" s="31"/>
      <c r="F15" s="52"/>
      <c r="G15" s="52"/>
      <c r="H15" s="31"/>
      <c r="I15" s="52"/>
      <c r="J15" s="52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27"/>
      <c r="AI15" s="31"/>
      <c r="AJ15" s="31"/>
      <c r="AK15" s="31"/>
      <c r="AL15" s="53"/>
    </row>
    <row r="16" spans="1:40" x14ac:dyDescent="0.3">
      <c r="A16" s="24">
        <v>45121</v>
      </c>
      <c r="B16" s="31"/>
      <c r="C16" s="31"/>
      <c r="D16" s="31"/>
      <c r="E16" s="31"/>
      <c r="F16" s="52"/>
      <c r="G16" s="52"/>
      <c r="H16" s="31"/>
      <c r="I16" s="52"/>
      <c r="J16" s="52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27"/>
      <c r="AI16" s="31"/>
      <c r="AJ16" s="31"/>
      <c r="AK16" s="31"/>
      <c r="AL16" s="53"/>
    </row>
    <row r="17" spans="1:38" x14ac:dyDescent="0.3">
      <c r="A17" s="24">
        <v>45122</v>
      </c>
      <c r="B17" s="31"/>
      <c r="C17" s="31"/>
      <c r="D17" s="31"/>
      <c r="E17" s="31"/>
      <c r="F17" s="52"/>
      <c r="G17" s="52"/>
      <c r="H17" s="31"/>
      <c r="I17" s="52"/>
      <c r="J17" s="52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27"/>
      <c r="AI17" s="31"/>
      <c r="AJ17" s="31"/>
      <c r="AK17" s="31"/>
      <c r="AL17" s="53"/>
    </row>
    <row r="18" spans="1:38" x14ac:dyDescent="0.3">
      <c r="A18" s="24">
        <v>45123</v>
      </c>
      <c r="B18" s="31"/>
      <c r="C18" s="31"/>
      <c r="D18" s="31"/>
      <c r="E18" s="31"/>
      <c r="F18" s="52"/>
      <c r="G18" s="52"/>
      <c r="H18" s="31"/>
      <c r="I18" s="52"/>
      <c r="J18" s="52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27"/>
      <c r="AI18" s="31"/>
      <c r="AJ18" s="31"/>
      <c r="AK18" s="31"/>
      <c r="AL18" s="53"/>
    </row>
    <row r="19" spans="1:38" x14ac:dyDescent="0.3">
      <c r="A19" s="24">
        <v>45124</v>
      </c>
      <c r="B19" s="31"/>
      <c r="C19" s="31"/>
      <c r="D19" s="31"/>
      <c r="E19" s="31"/>
      <c r="F19" s="52"/>
      <c r="G19" s="52"/>
      <c r="H19" s="31"/>
      <c r="I19" s="52"/>
      <c r="J19" s="52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27"/>
      <c r="AI19" s="31"/>
      <c r="AJ19" s="31"/>
      <c r="AK19" s="31"/>
      <c r="AL19" s="53"/>
    </row>
    <row r="20" spans="1:38" x14ac:dyDescent="0.3">
      <c r="A20" s="24">
        <v>45125</v>
      </c>
      <c r="B20" s="31"/>
      <c r="C20" s="31"/>
      <c r="D20" s="31"/>
      <c r="E20" s="31"/>
      <c r="F20" s="52"/>
      <c r="G20" s="52"/>
      <c r="H20" s="31"/>
      <c r="I20" s="52"/>
      <c r="J20" s="52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27"/>
      <c r="AI20" s="31"/>
      <c r="AJ20" s="31"/>
      <c r="AK20" s="31"/>
      <c r="AL20" s="53"/>
    </row>
    <row r="21" spans="1:38" x14ac:dyDescent="0.3">
      <c r="A21" s="24">
        <v>45126</v>
      </c>
      <c r="B21" s="31"/>
      <c r="C21" s="31"/>
      <c r="D21" s="31"/>
      <c r="E21" s="31"/>
      <c r="F21" s="52"/>
      <c r="G21" s="52"/>
      <c r="H21" s="31"/>
      <c r="I21" s="52"/>
      <c r="J21" s="52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27"/>
      <c r="AI21" s="31"/>
      <c r="AJ21" s="31"/>
      <c r="AK21" s="31"/>
      <c r="AL21" s="53"/>
    </row>
    <row r="22" spans="1:38" x14ac:dyDescent="0.3">
      <c r="A22" s="24">
        <v>45127</v>
      </c>
      <c r="B22" s="31"/>
      <c r="C22" s="31"/>
      <c r="D22" s="31"/>
      <c r="E22" s="31"/>
      <c r="F22" s="52"/>
      <c r="G22" s="52"/>
      <c r="H22" s="31"/>
      <c r="I22" s="52"/>
      <c r="J22" s="52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27"/>
      <c r="AI22" s="31"/>
      <c r="AJ22" s="31"/>
      <c r="AK22" s="31"/>
      <c r="AL22" s="53"/>
    </row>
    <row r="23" spans="1:38" x14ac:dyDescent="0.3">
      <c r="A23" s="24">
        <v>45128</v>
      </c>
      <c r="B23" s="31"/>
      <c r="C23" s="31"/>
      <c r="D23" s="31"/>
      <c r="E23" s="31"/>
      <c r="F23" s="52"/>
      <c r="G23" s="52"/>
      <c r="H23" s="31"/>
      <c r="I23" s="52"/>
      <c r="J23" s="52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27"/>
      <c r="AI23" s="31"/>
      <c r="AJ23" s="31"/>
      <c r="AK23" s="31"/>
      <c r="AL23" s="53"/>
    </row>
    <row r="24" spans="1:38" x14ac:dyDescent="0.3">
      <c r="A24" s="24">
        <v>45129</v>
      </c>
      <c r="B24" s="31"/>
      <c r="C24" s="31"/>
      <c r="D24" s="31"/>
      <c r="E24" s="31"/>
      <c r="F24" s="52"/>
      <c r="G24" s="52"/>
      <c r="H24" s="31"/>
      <c r="I24" s="52"/>
      <c r="J24" s="52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27"/>
      <c r="AI24" s="31"/>
      <c r="AJ24" s="31"/>
      <c r="AK24" s="31"/>
      <c r="AL24" s="53"/>
    </row>
    <row r="25" spans="1:38" x14ac:dyDescent="0.3">
      <c r="A25" s="24">
        <v>45130</v>
      </c>
      <c r="B25" s="31"/>
      <c r="C25" s="31"/>
      <c r="D25" s="31"/>
      <c r="E25" s="31"/>
      <c r="F25" s="52"/>
      <c r="G25" s="52"/>
      <c r="H25" s="31"/>
      <c r="I25" s="52"/>
      <c r="J25" s="52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27"/>
      <c r="AI25" s="31"/>
      <c r="AJ25" s="31"/>
      <c r="AK25" s="31"/>
      <c r="AL25" s="53"/>
    </row>
    <row r="26" spans="1:38" x14ac:dyDescent="0.3">
      <c r="A26" s="24">
        <v>45131</v>
      </c>
      <c r="B26" s="31"/>
      <c r="C26" s="31"/>
      <c r="D26" s="31"/>
      <c r="E26" s="31"/>
      <c r="F26" s="52"/>
      <c r="G26" s="52"/>
      <c r="H26" s="31"/>
      <c r="I26" s="52"/>
      <c r="J26" s="52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27"/>
      <c r="AI26" s="31"/>
      <c r="AJ26" s="31"/>
      <c r="AK26" s="31"/>
      <c r="AL26" s="53"/>
    </row>
    <row r="27" spans="1:38" x14ac:dyDescent="0.3">
      <c r="A27" s="24">
        <v>45132</v>
      </c>
      <c r="B27" s="31"/>
      <c r="C27" s="31"/>
      <c r="D27" s="31"/>
      <c r="E27" s="31"/>
      <c r="F27" s="52"/>
      <c r="G27" s="52"/>
      <c r="H27" s="31"/>
      <c r="I27" s="52"/>
      <c r="J27" s="52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27"/>
      <c r="AI27" s="31"/>
      <c r="AJ27" s="31"/>
      <c r="AK27" s="31"/>
      <c r="AL27" s="53"/>
    </row>
    <row r="28" spans="1:38" x14ac:dyDescent="0.3">
      <c r="A28" s="24">
        <v>45133</v>
      </c>
      <c r="B28" s="31"/>
      <c r="C28" s="31"/>
      <c r="D28" s="31"/>
      <c r="E28" s="31"/>
      <c r="F28" s="52"/>
      <c r="G28" s="52"/>
      <c r="H28" s="31"/>
      <c r="I28" s="52"/>
      <c r="J28" s="52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27"/>
      <c r="AI28" s="31"/>
      <c r="AJ28" s="31"/>
      <c r="AK28" s="31"/>
      <c r="AL28" s="53"/>
    </row>
    <row r="29" spans="1:38" x14ac:dyDescent="0.3">
      <c r="A29" s="24">
        <v>45134</v>
      </c>
      <c r="B29" s="31"/>
      <c r="C29" s="31"/>
      <c r="D29" s="31"/>
      <c r="E29" s="31"/>
      <c r="F29" s="52"/>
      <c r="G29" s="52"/>
      <c r="H29" s="31"/>
      <c r="I29" s="52"/>
      <c r="J29" s="52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27"/>
      <c r="AI29" s="31"/>
      <c r="AJ29" s="31"/>
      <c r="AK29" s="31"/>
      <c r="AL29" s="53"/>
    </row>
    <row r="30" spans="1:38" x14ac:dyDescent="0.3">
      <c r="A30" s="24">
        <v>45135</v>
      </c>
      <c r="B30" s="31"/>
      <c r="C30" s="31"/>
      <c r="D30" s="31"/>
      <c r="E30" s="31"/>
      <c r="F30" s="52"/>
      <c r="G30" s="52"/>
      <c r="H30" s="31"/>
      <c r="I30" s="52"/>
      <c r="J30" s="52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53"/>
    </row>
    <row r="31" spans="1:38" x14ac:dyDescent="0.3">
      <c r="A31" s="24">
        <v>45136</v>
      </c>
      <c r="B31" s="31"/>
      <c r="C31" s="31"/>
      <c r="D31" s="31"/>
      <c r="E31" s="31"/>
      <c r="F31" s="52"/>
      <c r="G31" s="52"/>
      <c r="H31" s="31"/>
      <c r="I31" s="52"/>
      <c r="J31" s="52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53"/>
    </row>
    <row r="32" spans="1:38" x14ac:dyDescent="0.3">
      <c r="A32" s="24">
        <v>45137</v>
      </c>
      <c r="B32" s="31"/>
      <c r="C32" s="31"/>
      <c r="D32" s="31"/>
      <c r="E32" s="31"/>
      <c r="F32" s="52"/>
      <c r="G32" s="52"/>
      <c r="H32" s="31"/>
      <c r="I32" s="52"/>
      <c r="J32" s="52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53"/>
    </row>
    <row r="33" spans="1:39" x14ac:dyDescent="0.3">
      <c r="A33" s="24">
        <v>45138</v>
      </c>
      <c r="B33" s="31"/>
      <c r="C33" s="31"/>
      <c r="D33" s="31"/>
      <c r="E33" s="31"/>
      <c r="F33" s="52"/>
      <c r="G33" s="52"/>
      <c r="H33" s="31"/>
      <c r="I33" s="52"/>
      <c r="J33" s="52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53"/>
    </row>
    <row r="34" spans="1:39" x14ac:dyDescent="0.3">
      <c r="A34" s="24">
        <v>45139</v>
      </c>
      <c r="B34" s="31"/>
      <c r="C34" s="31"/>
      <c r="D34" s="31"/>
      <c r="E34" s="31"/>
      <c r="F34" s="52"/>
      <c r="G34" s="52"/>
      <c r="H34" s="31"/>
      <c r="I34" s="52"/>
      <c r="J34" s="52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53"/>
    </row>
    <row r="35" spans="1:39" x14ac:dyDescent="0.3">
      <c r="A35" s="24">
        <v>45140</v>
      </c>
      <c r="B35" s="31"/>
      <c r="C35" s="31"/>
      <c r="D35" s="31"/>
      <c r="E35" s="31"/>
      <c r="F35" s="52"/>
      <c r="G35" s="52"/>
      <c r="H35" s="31"/>
      <c r="I35" s="52"/>
      <c r="J35" s="52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53"/>
    </row>
    <row r="36" spans="1:39" x14ac:dyDescent="0.3">
      <c r="A36" s="24">
        <v>45141</v>
      </c>
      <c r="B36" s="31"/>
      <c r="C36" s="31"/>
      <c r="D36" s="31"/>
      <c r="E36" s="31"/>
      <c r="F36" s="52"/>
      <c r="G36" s="52"/>
      <c r="H36" s="31"/>
      <c r="I36" s="52"/>
      <c r="J36" s="52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53"/>
    </row>
    <row r="37" spans="1:39" x14ac:dyDescent="0.3">
      <c r="A37" s="24">
        <v>45142</v>
      </c>
      <c r="B37" s="31"/>
      <c r="C37" s="31"/>
      <c r="D37" s="31"/>
      <c r="E37" s="31"/>
      <c r="F37" s="52"/>
      <c r="G37" s="52"/>
      <c r="H37" s="31"/>
      <c r="I37" s="52"/>
      <c r="J37" s="52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53"/>
    </row>
    <row r="38" spans="1:39" x14ac:dyDescent="0.3">
      <c r="A38" s="24">
        <v>45143</v>
      </c>
      <c r="B38" s="31"/>
      <c r="C38" s="31"/>
      <c r="D38" s="31"/>
      <c r="E38" s="31"/>
      <c r="F38" s="52"/>
      <c r="G38" s="52"/>
      <c r="H38" s="31"/>
      <c r="I38" s="52"/>
      <c r="J38" s="52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53"/>
    </row>
    <row r="39" spans="1:39" x14ac:dyDescent="0.3">
      <c r="A39" s="24">
        <v>45144</v>
      </c>
      <c r="B39" s="31"/>
      <c r="C39" s="31"/>
      <c r="D39" s="31"/>
      <c r="E39" s="31"/>
      <c r="F39" s="52"/>
      <c r="G39" s="52"/>
      <c r="H39" s="31"/>
      <c r="I39" s="52"/>
      <c r="J39" s="52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53"/>
    </row>
    <row r="40" spans="1:39" x14ac:dyDescent="0.3">
      <c r="A40" s="24">
        <v>45145</v>
      </c>
      <c r="B40" s="31"/>
      <c r="C40" s="31"/>
      <c r="D40" s="31"/>
      <c r="E40" s="31"/>
      <c r="F40" s="52"/>
      <c r="G40" s="52"/>
      <c r="H40" s="31"/>
      <c r="I40" s="52"/>
      <c r="J40" s="52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53"/>
    </row>
    <row r="41" spans="1:39" x14ac:dyDescent="0.3">
      <c r="A41" s="24">
        <v>45146</v>
      </c>
      <c r="B41" s="31"/>
      <c r="C41" s="31"/>
      <c r="D41" s="31"/>
      <c r="E41" s="31"/>
      <c r="F41" s="52"/>
      <c r="G41" s="52"/>
      <c r="H41" s="31"/>
      <c r="I41" s="52"/>
      <c r="J41" s="52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53"/>
      <c r="AM41" s="53"/>
    </row>
    <row r="42" spans="1:39" x14ac:dyDescent="0.3">
      <c r="A42" s="24">
        <v>45147</v>
      </c>
      <c r="B42" s="31"/>
      <c r="C42" s="31"/>
      <c r="D42" s="31"/>
      <c r="E42" s="31"/>
      <c r="F42" s="52"/>
      <c r="G42" s="52"/>
      <c r="H42" s="31"/>
      <c r="I42" s="52"/>
      <c r="J42" s="52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53"/>
    </row>
    <row r="43" spans="1:39" x14ac:dyDescent="0.3">
      <c r="A43" s="24">
        <v>45148</v>
      </c>
      <c r="B43" s="31"/>
      <c r="C43" s="31"/>
      <c r="D43" s="31"/>
      <c r="E43" s="31"/>
      <c r="F43" s="52"/>
      <c r="G43" s="52"/>
      <c r="H43" s="31"/>
      <c r="I43" s="52"/>
      <c r="J43" s="52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53"/>
    </row>
    <row r="44" spans="1:39" x14ac:dyDescent="0.3">
      <c r="A44" s="24">
        <v>45149</v>
      </c>
      <c r="B44" s="31"/>
      <c r="C44" s="31"/>
      <c r="D44" s="31"/>
      <c r="E44" s="31"/>
      <c r="F44" s="52"/>
      <c r="G44" s="52"/>
      <c r="H44" s="31"/>
      <c r="I44" s="52"/>
      <c r="J44" s="52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53"/>
    </row>
    <row r="45" spans="1:39" x14ac:dyDescent="0.3">
      <c r="A45" s="24">
        <v>45150</v>
      </c>
      <c r="B45" s="31"/>
      <c r="C45" s="31"/>
      <c r="D45" s="31"/>
      <c r="E45" s="31"/>
      <c r="F45" s="52"/>
      <c r="G45" s="52"/>
      <c r="H45" s="31"/>
      <c r="I45" s="52"/>
      <c r="J45" s="52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53"/>
    </row>
    <row r="46" spans="1:39" x14ac:dyDescent="0.3">
      <c r="A46" s="24">
        <v>45151</v>
      </c>
      <c r="B46" s="31"/>
      <c r="C46" s="31"/>
      <c r="D46" s="31"/>
      <c r="E46" s="31"/>
      <c r="F46" s="52"/>
      <c r="G46" s="52"/>
      <c r="H46" s="31"/>
      <c r="I46" s="52"/>
      <c r="J46" s="52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53"/>
    </row>
    <row r="47" spans="1:39" x14ac:dyDescent="0.3">
      <c r="A47" s="24">
        <v>45152</v>
      </c>
      <c r="B47" s="31"/>
      <c r="C47" s="31"/>
      <c r="D47" s="31"/>
      <c r="E47" s="31"/>
      <c r="F47" s="52"/>
      <c r="G47" s="52"/>
      <c r="H47" s="31"/>
      <c r="I47" s="52"/>
      <c r="J47" s="52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53"/>
    </row>
    <row r="48" spans="1:39" x14ac:dyDescent="0.3">
      <c r="A48" s="24">
        <v>45153</v>
      </c>
      <c r="B48" s="31"/>
      <c r="C48" s="31"/>
      <c r="D48" s="31"/>
      <c r="E48" s="31"/>
      <c r="F48" s="52"/>
      <c r="G48" s="52"/>
      <c r="H48" s="31"/>
      <c r="I48" s="52"/>
      <c r="J48" s="52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53"/>
    </row>
    <row r="49" spans="1:38" x14ac:dyDescent="0.3">
      <c r="A49" s="24">
        <v>45154</v>
      </c>
      <c r="B49" s="31"/>
      <c r="C49" s="31"/>
      <c r="D49" s="31"/>
      <c r="E49" s="31"/>
      <c r="F49" s="52"/>
      <c r="G49" s="52"/>
      <c r="H49" s="31"/>
      <c r="I49" s="52"/>
      <c r="J49" s="52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53"/>
    </row>
    <row r="50" spans="1:38" x14ac:dyDescent="0.3">
      <c r="A50" s="24">
        <v>45155</v>
      </c>
      <c r="B50" s="31"/>
      <c r="C50" s="31"/>
      <c r="D50" s="31"/>
      <c r="E50" s="31"/>
      <c r="F50" s="52"/>
      <c r="G50" s="52"/>
      <c r="H50" s="31"/>
      <c r="I50" s="52"/>
      <c r="J50" s="52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53"/>
    </row>
    <row r="51" spans="1:38" x14ac:dyDescent="0.3">
      <c r="A51" s="24">
        <v>45156</v>
      </c>
      <c r="B51" s="31"/>
      <c r="C51" s="31"/>
      <c r="D51" s="31"/>
      <c r="E51" s="31"/>
      <c r="F51" s="52"/>
      <c r="G51" s="52"/>
      <c r="H51" s="31"/>
      <c r="I51" s="52"/>
      <c r="J51" s="52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53"/>
    </row>
    <row r="52" spans="1:38" x14ac:dyDescent="0.3">
      <c r="A52" s="24">
        <v>45157</v>
      </c>
      <c r="B52" s="31"/>
      <c r="C52" s="31"/>
      <c r="D52" s="31"/>
      <c r="E52" s="31"/>
      <c r="F52" s="52"/>
      <c r="G52" s="52"/>
      <c r="H52" s="31"/>
      <c r="I52" s="52"/>
      <c r="J52" s="52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53"/>
    </row>
    <row r="53" spans="1:38" x14ac:dyDescent="0.3">
      <c r="A53" s="24">
        <v>45158</v>
      </c>
      <c r="B53" s="31"/>
      <c r="C53" s="31"/>
      <c r="D53" s="31"/>
      <c r="E53" s="31"/>
      <c r="F53" s="52"/>
      <c r="G53" s="52"/>
      <c r="H53" s="31"/>
      <c r="I53" s="52"/>
      <c r="J53" s="52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53"/>
    </row>
    <row r="54" spans="1:38" x14ac:dyDescent="0.3">
      <c r="A54" s="24">
        <v>45159</v>
      </c>
      <c r="B54" s="31"/>
      <c r="C54" s="31"/>
      <c r="D54" s="31"/>
      <c r="E54" s="31"/>
      <c r="F54" s="52"/>
      <c r="G54" s="52"/>
      <c r="H54" s="31"/>
      <c r="I54" s="52"/>
      <c r="J54" s="52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53"/>
    </row>
    <row r="55" spans="1:38" x14ac:dyDescent="0.3">
      <c r="A55" s="24">
        <v>45160</v>
      </c>
      <c r="B55" s="31"/>
      <c r="C55" s="31"/>
      <c r="D55" s="31"/>
      <c r="E55" s="31"/>
      <c r="F55" s="52"/>
      <c r="G55" s="52"/>
      <c r="H55" s="31"/>
      <c r="I55" s="52"/>
      <c r="J55" s="52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53"/>
    </row>
    <row r="56" spans="1:38" x14ac:dyDescent="0.3">
      <c r="A56" s="24">
        <v>45161</v>
      </c>
      <c r="B56" s="31"/>
      <c r="C56" s="31"/>
      <c r="D56" s="31"/>
      <c r="E56" s="31"/>
      <c r="F56" s="52"/>
      <c r="G56" s="52"/>
      <c r="H56" s="31"/>
      <c r="I56" s="52"/>
      <c r="J56" s="52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53"/>
    </row>
    <row r="57" spans="1:38" x14ac:dyDescent="0.3">
      <c r="A57" s="24">
        <v>45162</v>
      </c>
      <c r="B57" s="31"/>
      <c r="C57" s="31"/>
      <c r="D57" s="31"/>
      <c r="E57" s="31"/>
      <c r="F57" s="52"/>
      <c r="G57" s="52"/>
      <c r="H57" s="31"/>
      <c r="I57" s="52"/>
      <c r="J57" s="52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53"/>
    </row>
    <row r="58" spans="1:38" x14ac:dyDescent="0.3">
      <c r="A58" s="24">
        <v>45163</v>
      </c>
      <c r="B58" s="31"/>
      <c r="C58" s="31"/>
      <c r="D58" s="31"/>
      <c r="E58" s="31"/>
      <c r="F58" s="52"/>
      <c r="G58" s="52"/>
      <c r="H58" s="31"/>
      <c r="I58" s="52"/>
      <c r="J58" s="52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53"/>
    </row>
    <row r="59" spans="1:38" x14ac:dyDescent="0.3">
      <c r="A59" s="24">
        <v>45164</v>
      </c>
      <c r="B59" s="31"/>
      <c r="C59" s="31"/>
      <c r="D59" s="31"/>
      <c r="E59" s="31"/>
      <c r="F59" s="52"/>
      <c r="G59" s="52"/>
      <c r="H59" s="31"/>
      <c r="I59" s="52"/>
      <c r="J59" s="52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53"/>
    </row>
    <row r="60" spans="1:38" x14ac:dyDescent="0.3">
      <c r="A60" s="24">
        <v>45165</v>
      </c>
      <c r="B60" s="31"/>
      <c r="C60" s="31"/>
      <c r="D60" s="31"/>
      <c r="E60" s="31"/>
      <c r="F60" s="52"/>
      <c r="G60" s="52"/>
      <c r="H60" s="31"/>
      <c r="I60" s="52"/>
      <c r="J60" s="52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53"/>
    </row>
    <row r="61" spans="1:38" x14ac:dyDescent="0.3">
      <c r="A61" s="24">
        <v>45166</v>
      </c>
      <c r="B61" s="31"/>
      <c r="C61" s="31"/>
      <c r="D61" s="31"/>
      <c r="E61" s="31"/>
      <c r="F61" s="52"/>
      <c r="G61" s="52"/>
      <c r="H61" s="31"/>
      <c r="I61" s="52"/>
      <c r="J61" s="52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53"/>
    </row>
    <row r="62" spans="1:38" x14ac:dyDescent="0.3">
      <c r="A62" s="24">
        <v>45167</v>
      </c>
      <c r="B62" s="31"/>
      <c r="C62" s="31"/>
      <c r="D62" s="31"/>
      <c r="E62" s="31"/>
      <c r="F62" s="52"/>
      <c r="G62" s="52"/>
      <c r="H62" s="31"/>
      <c r="I62" s="52"/>
      <c r="J62" s="52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53"/>
    </row>
    <row r="63" spans="1:38" x14ac:dyDescent="0.3">
      <c r="A63" s="24">
        <v>45168</v>
      </c>
      <c r="B63" s="31"/>
      <c r="C63" s="31"/>
      <c r="D63" s="31"/>
      <c r="E63" s="31"/>
      <c r="F63" s="52"/>
      <c r="G63" s="52"/>
      <c r="H63" s="31"/>
      <c r="I63" s="52"/>
      <c r="J63" s="52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53"/>
    </row>
    <row r="64" spans="1:38" x14ac:dyDescent="0.3">
      <c r="A64" s="24">
        <v>45169</v>
      </c>
      <c r="B64" s="31"/>
      <c r="C64" s="31"/>
      <c r="D64" s="31"/>
      <c r="E64" s="31"/>
      <c r="F64" s="52"/>
      <c r="G64" s="52"/>
      <c r="H64" s="31"/>
      <c r="I64" s="52"/>
      <c r="J64" s="52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53"/>
    </row>
    <row r="65" spans="1:38" x14ac:dyDescent="0.3">
      <c r="A65" s="24">
        <v>45170</v>
      </c>
      <c r="B65" s="31"/>
      <c r="C65" s="31"/>
      <c r="D65" s="31"/>
      <c r="E65" s="31"/>
      <c r="F65" s="52"/>
      <c r="G65" s="52"/>
      <c r="H65" s="31"/>
      <c r="I65" s="52"/>
      <c r="J65" s="52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53"/>
    </row>
    <row r="66" spans="1:38" x14ac:dyDescent="0.3">
      <c r="A66" s="24">
        <v>45171</v>
      </c>
      <c r="B66" s="31"/>
      <c r="C66" s="31"/>
      <c r="D66" s="31"/>
      <c r="E66" s="31"/>
      <c r="F66" s="52"/>
      <c r="G66" s="52"/>
      <c r="H66" s="31"/>
      <c r="I66" s="52"/>
      <c r="J66" s="52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53"/>
    </row>
    <row r="67" spans="1:38" x14ac:dyDescent="0.3">
      <c r="A67" s="24">
        <v>45172</v>
      </c>
      <c r="B67" s="31"/>
      <c r="C67" s="31"/>
      <c r="D67" s="31"/>
      <c r="E67" s="31"/>
      <c r="F67" s="52"/>
      <c r="G67" s="52"/>
      <c r="H67" s="31"/>
      <c r="I67" s="52"/>
      <c r="J67" s="52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53"/>
    </row>
    <row r="68" spans="1:38" x14ac:dyDescent="0.3">
      <c r="A68" s="24">
        <v>45173</v>
      </c>
      <c r="B68" s="31"/>
      <c r="C68" s="31"/>
      <c r="D68" s="31"/>
      <c r="E68" s="31"/>
      <c r="F68" s="52"/>
      <c r="G68" s="52"/>
      <c r="H68" s="31"/>
      <c r="I68" s="52"/>
      <c r="J68" s="52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53"/>
    </row>
    <row r="69" spans="1:38" x14ac:dyDescent="0.3">
      <c r="A69" s="24">
        <v>45174</v>
      </c>
      <c r="B69" s="31"/>
      <c r="C69" s="31"/>
      <c r="D69" s="31"/>
      <c r="E69" s="31"/>
      <c r="F69" s="52"/>
      <c r="G69" s="52"/>
      <c r="H69" s="31"/>
      <c r="I69" s="52"/>
      <c r="J69" s="52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53"/>
    </row>
    <row r="70" spans="1:38" x14ac:dyDescent="0.3">
      <c r="A70" s="24">
        <v>45175</v>
      </c>
      <c r="B70" s="31"/>
      <c r="C70" s="31"/>
      <c r="D70" s="31"/>
      <c r="E70" s="31"/>
      <c r="F70" s="52"/>
      <c r="G70" s="52"/>
      <c r="H70" s="31"/>
      <c r="I70" s="52"/>
      <c r="J70" s="52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53"/>
    </row>
    <row r="71" spans="1:38" x14ac:dyDescent="0.3">
      <c r="A71" s="24">
        <v>45176</v>
      </c>
      <c r="B71" s="31"/>
      <c r="C71" s="31"/>
      <c r="D71" s="31"/>
      <c r="E71" s="31"/>
      <c r="F71" s="52"/>
      <c r="G71" s="52"/>
      <c r="H71" s="31"/>
      <c r="I71" s="52"/>
      <c r="J71" s="52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53"/>
    </row>
    <row r="72" spans="1:38" x14ac:dyDescent="0.3">
      <c r="A72" s="24">
        <v>45177</v>
      </c>
      <c r="B72" s="31"/>
      <c r="C72" s="31"/>
      <c r="D72" s="31"/>
      <c r="E72" s="31"/>
      <c r="F72" s="52"/>
      <c r="G72" s="52"/>
      <c r="H72" s="31"/>
      <c r="I72" s="52"/>
      <c r="J72" s="52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53"/>
    </row>
    <row r="73" spans="1:38" x14ac:dyDescent="0.3">
      <c r="A73" s="24">
        <v>45178</v>
      </c>
      <c r="B73" s="31"/>
      <c r="C73" s="31"/>
      <c r="D73" s="31"/>
      <c r="E73" s="31"/>
      <c r="F73" s="52"/>
      <c r="G73" s="52"/>
      <c r="H73" s="31"/>
      <c r="I73" s="52"/>
      <c r="J73" s="52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53"/>
    </row>
    <row r="74" spans="1:38" x14ac:dyDescent="0.3">
      <c r="A74" s="24">
        <v>45179</v>
      </c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53"/>
    </row>
    <row r="75" spans="1:38" x14ac:dyDescent="0.3">
      <c r="A75" s="24">
        <v>45180</v>
      </c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53"/>
    </row>
    <row r="76" spans="1:38" x14ac:dyDescent="0.3">
      <c r="A76" s="24">
        <v>45181</v>
      </c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53"/>
    </row>
    <row r="77" spans="1:38" x14ac:dyDescent="0.3">
      <c r="A77" s="24">
        <v>45182</v>
      </c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53"/>
    </row>
    <row r="78" spans="1:38" x14ac:dyDescent="0.3">
      <c r="A78" s="24">
        <v>45183</v>
      </c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53"/>
    </row>
    <row r="79" spans="1:38" x14ac:dyDescent="0.3">
      <c r="A79" s="24">
        <v>45184</v>
      </c>
      <c r="B79" s="31"/>
      <c r="C79" s="31"/>
      <c r="D79" s="31"/>
      <c r="E79" s="31"/>
      <c r="F79" s="52"/>
      <c r="G79" s="52"/>
      <c r="H79" s="31"/>
      <c r="I79" s="52"/>
      <c r="J79" s="52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53"/>
    </row>
    <row r="80" spans="1:38" x14ac:dyDescent="0.3">
      <c r="A80" s="24">
        <v>45185</v>
      </c>
      <c r="B80" s="31"/>
      <c r="C80" s="31"/>
      <c r="D80" s="31"/>
      <c r="E80" s="31"/>
      <c r="F80" s="52"/>
      <c r="G80" s="52"/>
      <c r="H80" s="31"/>
      <c r="I80" s="52"/>
      <c r="J80" s="52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53"/>
    </row>
    <row r="81" spans="1:38" x14ac:dyDescent="0.3">
      <c r="A81" s="24">
        <v>45186</v>
      </c>
      <c r="B81" s="31"/>
      <c r="C81" s="31"/>
      <c r="D81" s="31"/>
      <c r="E81" s="31"/>
      <c r="F81" s="52"/>
      <c r="G81" s="52"/>
      <c r="H81" s="31"/>
      <c r="I81" s="52"/>
      <c r="J81" s="52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53"/>
    </row>
    <row r="82" spans="1:38" x14ac:dyDescent="0.3">
      <c r="A82" s="24">
        <v>45187</v>
      </c>
      <c r="B82" s="31"/>
      <c r="C82" s="31"/>
      <c r="D82" s="31"/>
      <c r="E82" s="31"/>
      <c r="F82" s="52"/>
      <c r="G82" s="52"/>
      <c r="H82" s="31"/>
      <c r="I82" s="52"/>
      <c r="J82" s="52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53"/>
    </row>
    <row r="83" spans="1:38" x14ac:dyDescent="0.3">
      <c r="A83" s="24">
        <v>45188</v>
      </c>
      <c r="B83" s="31"/>
      <c r="C83" s="31"/>
      <c r="D83" s="31"/>
      <c r="E83" s="31"/>
      <c r="F83" s="52"/>
      <c r="G83" s="52"/>
      <c r="H83" s="31"/>
      <c r="I83" s="52"/>
      <c r="J83" s="52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53"/>
    </row>
    <row r="84" spans="1:38" x14ac:dyDescent="0.3">
      <c r="A84" s="24">
        <v>45189</v>
      </c>
      <c r="B84" s="31"/>
      <c r="C84" s="31"/>
      <c r="D84" s="31"/>
      <c r="E84" s="31"/>
      <c r="F84" s="52"/>
      <c r="G84" s="52"/>
      <c r="H84" s="31"/>
      <c r="I84" s="52"/>
      <c r="J84" s="52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53"/>
    </row>
    <row r="85" spans="1:38" x14ac:dyDescent="0.3">
      <c r="A85" s="24">
        <v>45190</v>
      </c>
      <c r="B85" s="31"/>
      <c r="C85" s="31"/>
      <c r="D85" s="31"/>
      <c r="E85" s="31"/>
      <c r="F85" s="52"/>
      <c r="G85" s="52"/>
      <c r="H85" s="31"/>
      <c r="I85" s="52"/>
      <c r="J85" s="52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53"/>
    </row>
    <row r="86" spans="1:38" x14ac:dyDescent="0.3">
      <c r="A86" s="24">
        <v>45191</v>
      </c>
      <c r="B86" s="31"/>
      <c r="C86" s="31"/>
      <c r="D86" s="31"/>
      <c r="E86" s="31"/>
      <c r="F86" s="52"/>
      <c r="G86" s="52"/>
      <c r="H86" s="31"/>
      <c r="I86" s="52"/>
      <c r="J86" s="52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53"/>
    </row>
    <row r="87" spans="1:38" x14ac:dyDescent="0.3">
      <c r="A87" s="24">
        <v>45192</v>
      </c>
      <c r="B87" s="31"/>
      <c r="C87" s="31"/>
      <c r="D87" s="31"/>
      <c r="E87" s="31"/>
      <c r="F87" s="52"/>
      <c r="G87" s="52"/>
      <c r="H87" s="31"/>
      <c r="I87" s="52"/>
      <c r="J87" s="52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53"/>
    </row>
    <row r="88" spans="1:38" x14ac:dyDescent="0.3">
      <c r="A88" s="24">
        <v>45193</v>
      </c>
      <c r="B88" s="31"/>
      <c r="C88" s="31"/>
      <c r="D88" s="31"/>
      <c r="E88" s="31"/>
      <c r="F88" s="52"/>
      <c r="G88" s="52"/>
      <c r="H88" s="31"/>
      <c r="I88" s="52"/>
      <c r="J88" s="52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53"/>
    </row>
    <row r="89" spans="1:38" x14ac:dyDescent="0.3">
      <c r="A89" s="24">
        <v>45194</v>
      </c>
      <c r="B89" s="31"/>
      <c r="C89" s="31"/>
      <c r="D89" s="31"/>
      <c r="E89" s="31"/>
      <c r="F89" s="52"/>
      <c r="G89" s="52"/>
      <c r="H89" s="31"/>
      <c r="I89" s="52"/>
      <c r="J89" s="52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53"/>
    </row>
    <row r="90" spans="1:38" x14ac:dyDescent="0.3">
      <c r="A90" s="24">
        <v>45195</v>
      </c>
      <c r="B90" s="31"/>
      <c r="C90" s="31"/>
      <c r="D90" s="31"/>
      <c r="E90" s="31"/>
      <c r="F90" s="52"/>
      <c r="G90" s="52"/>
      <c r="H90" s="31"/>
      <c r="I90" s="52"/>
      <c r="J90" s="52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53"/>
    </row>
    <row r="91" spans="1:38" x14ac:dyDescent="0.3">
      <c r="A91" s="24">
        <v>45196</v>
      </c>
      <c r="B91" s="31"/>
      <c r="C91" s="31"/>
      <c r="D91" s="31"/>
      <c r="E91" s="31"/>
      <c r="F91" s="52"/>
      <c r="G91" s="52"/>
      <c r="H91" s="31"/>
      <c r="I91" s="52"/>
      <c r="J91" s="52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53"/>
    </row>
    <row r="92" spans="1:38" x14ac:dyDescent="0.3">
      <c r="A92" s="24">
        <v>45197</v>
      </c>
      <c r="B92" s="31"/>
      <c r="C92" s="31"/>
      <c r="D92" s="31"/>
      <c r="E92" s="31"/>
      <c r="F92" s="52"/>
      <c r="G92" s="52"/>
      <c r="H92" s="31"/>
      <c r="I92" s="52"/>
      <c r="J92" s="52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53"/>
    </row>
    <row r="93" spans="1:38" x14ac:dyDescent="0.3">
      <c r="A93" s="24">
        <v>45198</v>
      </c>
      <c r="B93" s="54"/>
      <c r="C93" s="54"/>
      <c r="D93" s="54"/>
      <c r="E93" s="54"/>
      <c r="F93" s="55"/>
      <c r="G93" s="55"/>
      <c r="H93" s="54"/>
      <c r="I93" s="55"/>
      <c r="J93" s="55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  <c r="AE93" s="54"/>
      <c r="AF93" s="54"/>
      <c r="AG93" s="54"/>
      <c r="AH93" s="54"/>
      <c r="AI93" s="54"/>
      <c r="AJ93" s="54"/>
      <c r="AK93" s="54"/>
    </row>
    <row r="94" spans="1:38" s="23" customFormat="1" x14ac:dyDescent="0.3">
      <c r="A94" s="24">
        <v>45199</v>
      </c>
      <c r="B94" s="31"/>
      <c r="C94" s="31"/>
      <c r="D94" s="31"/>
      <c r="E94" s="31"/>
      <c r="F94" s="52"/>
      <c r="G94" s="52"/>
      <c r="H94" s="31"/>
      <c r="I94" s="52"/>
      <c r="J94" s="52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</row>
  </sheetData>
  <mergeCells count="13">
    <mergeCell ref="AF1:AH1"/>
    <mergeCell ref="AI1:AK1"/>
    <mergeCell ref="A1:A2"/>
    <mergeCell ref="Q1:S1"/>
    <mergeCell ref="T1:V1"/>
    <mergeCell ref="W1:Y1"/>
    <mergeCell ref="Z1:AB1"/>
    <mergeCell ref="AC1:AE1"/>
    <mergeCell ref="B1:D1"/>
    <mergeCell ref="E1:G1"/>
    <mergeCell ref="H1:J1"/>
    <mergeCell ref="K1:M1"/>
    <mergeCell ref="N1:P1"/>
  </mergeCells>
  <phoneticPr fontId="27" type="noConversion"/>
  <conditionalFormatting sqref="A3:A94">
    <cfRule type="expression" dxfId="6" priority="1">
      <formula>OR(WEEKDAY(A3,2)=6,WEEKDAY(A3,2)=7)</formula>
    </cfRule>
  </conditionalFormatting>
  <pageMargins left="0.7" right="0.7" top="0.75" bottom="0.75" header="0.3" footer="0.3"/>
  <pageSetup paperSize="9" orientation="portrait" horizontalDpi="150" verticalDpi="15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4"/>
  <sheetViews>
    <sheetView workbookViewId="0">
      <pane xSplit="1" ySplit="2" topLeftCell="B3" activePane="bottomRight" state="frozen"/>
      <selection pane="topRight"/>
      <selection pane="bottomLeft"/>
      <selection pane="bottomRight" sqref="A1:A2"/>
    </sheetView>
  </sheetViews>
  <sheetFormatPr defaultColWidth="9" defaultRowHeight="16.5" x14ac:dyDescent="0.35"/>
  <cols>
    <col min="1" max="1" width="8.75" style="25" customWidth="1"/>
    <col min="2" max="2" width="13.25" style="1" customWidth="1"/>
    <col min="3" max="4" width="12.875" style="1" customWidth="1"/>
    <col min="5" max="5" width="11" style="1" customWidth="1"/>
    <col min="6" max="7" width="12.625" style="1" customWidth="1"/>
    <col min="8" max="8" width="11.75" style="1" customWidth="1"/>
    <col min="9" max="10" width="13.375" style="1" customWidth="1"/>
    <col min="11" max="11" width="11.25" style="1" customWidth="1"/>
    <col min="12" max="16" width="12.625" style="1" customWidth="1"/>
    <col min="17" max="17" width="11.75" style="56" customWidth="1"/>
    <col min="18" max="19" width="13.25" style="25" customWidth="1"/>
    <col min="20" max="22" width="13.125" style="25" customWidth="1"/>
    <col min="23" max="43" width="9" style="25" customWidth="1"/>
    <col min="44" max="16384" width="9" style="25"/>
  </cols>
  <sheetData>
    <row r="1" spans="1:22" x14ac:dyDescent="0.35">
      <c r="A1" s="75" t="s">
        <v>0</v>
      </c>
      <c r="B1" s="75" t="s">
        <v>95</v>
      </c>
      <c r="C1" s="70"/>
      <c r="D1" s="71"/>
      <c r="E1" s="75" t="s">
        <v>96</v>
      </c>
      <c r="F1" s="70"/>
      <c r="G1" s="71"/>
      <c r="H1" s="75" t="s">
        <v>97</v>
      </c>
      <c r="I1" s="70"/>
      <c r="J1" s="71"/>
      <c r="K1" s="75" t="s">
        <v>98</v>
      </c>
      <c r="L1" s="70"/>
      <c r="M1" s="71"/>
      <c r="N1" s="75" t="s">
        <v>35</v>
      </c>
      <c r="O1" s="70"/>
      <c r="P1" s="71"/>
      <c r="Q1" s="75" t="s">
        <v>99</v>
      </c>
      <c r="R1" s="70"/>
      <c r="S1" s="71"/>
      <c r="T1" s="75" t="s">
        <v>91</v>
      </c>
      <c r="U1" s="70"/>
      <c r="V1" s="71"/>
    </row>
    <row r="2" spans="1:22" x14ac:dyDescent="0.35">
      <c r="A2" s="60"/>
      <c r="B2" s="30" t="s">
        <v>92</v>
      </c>
      <c r="C2" s="30" t="s">
        <v>93</v>
      </c>
      <c r="D2" s="30" t="s">
        <v>29</v>
      </c>
      <c r="E2" s="30" t="s">
        <v>92</v>
      </c>
      <c r="F2" s="30" t="s">
        <v>93</v>
      </c>
      <c r="G2" s="30" t="s">
        <v>29</v>
      </c>
      <c r="H2" s="30" t="s">
        <v>92</v>
      </c>
      <c r="I2" s="30" t="s">
        <v>93</v>
      </c>
      <c r="J2" s="30" t="s">
        <v>29</v>
      </c>
      <c r="K2" s="30" t="s">
        <v>92</v>
      </c>
      <c r="L2" s="30" t="s">
        <v>93</v>
      </c>
      <c r="M2" s="30" t="s">
        <v>29</v>
      </c>
      <c r="N2" s="30" t="s">
        <v>92</v>
      </c>
      <c r="O2" s="30" t="s">
        <v>93</v>
      </c>
      <c r="P2" s="30" t="s">
        <v>29</v>
      </c>
      <c r="Q2" s="57" t="s">
        <v>92</v>
      </c>
      <c r="R2" s="30" t="s">
        <v>93</v>
      </c>
      <c r="S2" s="30" t="s">
        <v>29</v>
      </c>
      <c r="T2" s="30" t="s">
        <v>100</v>
      </c>
      <c r="U2" s="30" t="s">
        <v>93</v>
      </c>
      <c r="V2" s="30" t="s">
        <v>29</v>
      </c>
    </row>
    <row r="3" spans="1:22" x14ac:dyDescent="0.35">
      <c r="A3" s="24">
        <v>45108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4"/>
      <c r="U3" s="34"/>
      <c r="V3" s="31"/>
    </row>
    <row r="4" spans="1:22" x14ac:dyDescent="0.35">
      <c r="A4" s="24">
        <v>45109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4"/>
      <c r="U4" s="34"/>
      <c r="V4" s="31"/>
    </row>
    <row r="5" spans="1:22" x14ac:dyDescent="0.35">
      <c r="A5" s="24">
        <v>45110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4"/>
      <c r="U5" s="34"/>
      <c r="V5" s="31"/>
    </row>
    <row r="6" spans="1:22" x14ac:dyDescent="0.35">
      <c r="A6" s="24">
        <v>45111</v>
      </c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4"/>
      <c r="U6" s="34"/>
      <c r="V6" s="31"/>
    </row>
    <row r="7" spans="1:22" x14ac:dyDescent="0.35">
      <c r="A7" s="24">
        <v>45112</v>
      </c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4"/>
      <c r="U7" s="34"/>
      <c r="V7" s="31"/>
    </row>
    <row r="8" spans="1:22" x14ac:dyDescent="0.35">
      <c r="A8" s="24">
        <v>45113</v>
      </c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4"/>
      <c r="U8" s="34"/>
      <c r="V8" s="31"/>
    </row>
    <row r="9" spans="1:22" x14ac:dyDescent="0.35">
      <c r="A9" s="24">
        <v>45114</v>
      </c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4"/>
      <c r="U9" s="34"/>
      <c r="V9" s="31"/>
    </row>
    <row r="10" spans="1:22" x14ac:dyDescent="0.35">
      <c r="A10" s="24">
        <v>45115</v>
      </c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4"/>
      <c r="U10" s="34"/>
      <c r="V10" s="31"/>
    </row>
    <row r="11" spans="1:22" x14ac:dyDescent="0.35">
      <c r="A11" s="24">
        <v>45116</v>
      </c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4"/>
      <c r="U11" s="34"/>
      <c r="V11" s="31"/>
    </row>
    <row r="12" spans="1:22" x14ac:dyDescent="0.35">
      <c r="A12" s="24">
        <v>45117</v>
      </c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4"/>
      <c r="U12" s="34"/>
      <c r="V12" s="31"/>
    </row>
    <row r="13" spans="1:22" x14ac:dyDescent="0.35">
      <c r="A13" s="24">
        <v>45118</v>
      </c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4"/>
      <c r="U13" s="34"/>
      <c r="V13" s="31"/>
    </row>
    <row r="14" spans="1:22" x14ac:dyDescent="0.35">
      <c r="A14" s="24">
        <v>45119</v>
      </c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4"/>
      <c r="U14" s="34"/>
      <c r="V14" s="31"/>
    </row>
    <row r="15" spans="1:22" x14ac:dyDescent="0.35">
      <c r="A15" s="24">
        <v>45120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4"/>
      <c r="U15" s="34"/>
      <c r="V15" s="31"/>
    </row>
    <row r="16" spans="1:22" x14ac:dyDescent="0.35">
      <c r="A16" s="24">
        <v>45121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4"/>
      <c r="U16" s="34"/>
      <c r="V16" s="31"/>
    </row>
    <row r="17" spans="1:22" x14ac:dyDescent="0.35">
      <c r="A17" s="24">
        <v>45122</v>
      </c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4"/>
      <c r="U17" s="34"/>
      <c r="V17" s="31"/>
    </row>
    <row r="18" spans="1:22" x14ac:dyDescent="0.35">
      <c r="A18" s="24">
        <v>45123</v>
      </c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4"/>
      <c r="U18" s="34"/>
      <c r="V18" s="31"/>
    </row>
    <row r="19" spans="1:22" x14ac:dyDescent="0.35">
      <c r="A19" s="24">
        <v>45124</v>
      </c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4"/>
      <c r="U19" s="34"/>
      <c r="V19" s="31"/>
    </row>
    <row r="20" spans="1:22" x14ac:dyDescent="0.35">
      <c r="A20" s="24">
        <v>45125</v>
      </c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4"/>
      <c r="U20" s="34"/>
      <c r="V20" s="31"/>
    </row>
    <row r="21" spans="1:22" x14ac:dyDescent="0.35">
      <c r="A21" s="24">
        <v>45126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4"/>
      <c r="U21" s="34"/>
      <c r="V21" s="31"/>
    </row>
    <row r="22" spans="1:22" x14ac:dyDescent="0.35">
      <c r="A22" s="24">
        <v>45127</v>
      </c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4"/>
      <c r="U22" s="34"/>
      <c r="V22" s="31"/>
    </row>
    <row r="23" spans="1:22" x14ac:dyDescent="0.35">
      <c r="A23" s="24">
        <v>45128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4"/>
      <c r="U23" s="34"/>
      <c r="V23" s="31"/>
    </row>
    <row r="24" spans="1:22" x14ac:dyDescent="0.35">
      <c r="A24" s="24">
        <v>45129</v>
      </c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4"/>
      <c r="U24" s="34"/>
      <c r="V24" s="31"/>
    </row>
    <row r="25" spans="1:22" x14ac:dyDescent="0.35">
      <c r="A25" s="24">
        <v>45130</v>
      </c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4"/>
      <c r="U25" s="34"/>
      <c r="V25" s="31"/>
    </row>
    <row r="26" spans="1:22" x14ac:dyDescent="0.35">
      <c r="A26" s="24">
        <v>45131</v>
      </c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4"/>
      <c r="U26" s="34"/>
      <c r="V26" s="31"/>
    </row>
    <row r="27" spans="1:22" x14ac:dyDescent="0.35">
      <c r="A27" s="24">
        <v>45132</v>
      </c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4"/>
      <c r="U27" s="34"/>
      <c r="V27" s="31"/>
    </row>
    <row r="28" spans="1:22" x14ac:dyDescent="0.35">
      <c r="A28" s="24">
        <v>45133</v>
      </c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4"/>
      <c r="U28" s="34"/>
      <c r="V28" s="31"/>
    </row>
    <row r="29" spans="1:22" x14ac:dyDescent="0.35">
      <c r="A29" s="24">
        <v>45134</v>
      </c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4"/>
      <c r="U29" s="34"/>
      <c r="V29" s="31"/>
    </row>
    <row r="30" spans="1:22" x14ac:dyDescent="0.35">
      <c r="A30" s="24">
        <v>45135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4"/>
      <c r="U30" s="34"/>
      <c r="V30" s="31"/>
    </row>
    <row r="31" spans="1:22" x14ac:dyDescent="0.35">
      <c r="A31" s="24">
        <v>45136</v>
      </c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4"/>
      <c r="U31" s="34"/>
      <c r="V31" s="31"/>
    </row>
    <row r="32" spans="1:22" x14ac:dyDescent="0.35">
      <c r="A32" s="24">
        <v>45137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4"/>
      <c r="U32" s="34"/>
      <c r="V32" s="31"/>
    </row>
    <row r="33" spans="1:22" x14ac:dyDescent="0.35">
      <c r="A33" s="24">
        <v>45138</v>
      </c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4"/>
      <c r="U33" s="34"/>
      <c r="V33" s="31"/>
    </row>
    <row r="34" spans="1:22" x14ac:dyDescent="0.35">
      <c r="A34" s="24">
        <v>45139</v>
      </c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4"/>
      <c r="U34" s="34"/>
      <c r="V34" s="31"/>
    </row>
    <row r="35" spans="1:22" x14ac:dyDescent="0.35">
      <c r="A35" s="24">
        <v>45140</v>
      </c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4"/>
      <c r="U35" s="34"/>
      <c r="V35" s="31"/>
    </row>
    <row r="36" spans="1:22" x14ac:dyDescent="0.35">
      <c r="A36" s="24">
        <v>45141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4"/>
      <c r="U36" s="34"/>
      <c r="V36" s="31"/>
    </row>
    <row r="37" spans="1:22" x14ac:dyDescent="0.35">
      <c r="A37" s="24">
        <v>45142</v>
      </c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4"/>
      <c r="U37" s="34"/>
      <c r="V37" s="31"/>
    </row>
    <row r="38" spans="1:22" x14ac:dyDescent="0.35">
      <c r="A38" s="24">
        <v>45143</v>
      </c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4"/>
      <c r="U38" s="34"/>
      <c r="V38" s="31"/>
    </row>
    <row r="39" spans="1:22" x14ac:dyDescent="0.35">
      <c r="A39" s="24">
        <v>45144</v>
      </c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4"/>
      <c r="U39" s="34"/>
      <c r="V39" s="31"/>
    </row>
    <row r="40" spans="1:22" x14ac:dyDescent="0.35">
      <c r="A40" s="24">
        <v>45145</v>
      </c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4"/>
      <c r="U40" s="34"/>
      <c r="V40" s="31"/>
    </row>
    <row r="41" spans="1:22" x14ac:dyDescent="0.35">
      <c r="A41" s="24">
        <v>45146</v>
      </c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4"/>
      <c r="U41" s="34"/>
      <c r="V41" s="31"/>
    </row>
    <row r="42" spans="1:22" x14ac:dyDescent="0.35">
      <c r="A42" s="24">
        <v>45147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4"/>
      <c r="U42" s="34"/>
      <c r="V42" s="31"/>
    </row>
    <row r="43" spans="1:22" x14ac:dyDescent="0.35">
      <c r="A43" s="24">
        <v>45148</v>
      </c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4"/>
      <c r="U43" s="34"/>
      <c r="V43" s="31"/>
    </row>
    <row r="44" spans="1:22" x14ac:dyDescent="0.35">
      <c r="A44" s="24">
        <v>45149</v>
      </c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4"/>
      <c r="U44" s="34"/>
      <c r="V44" s="31"/>
    </row>
    <row r="45" spans="1:22" x14ac:dyDescent="0.35">
      <c r="A45" s="24">
        <v>45150</v>
      </c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4"/>
      <c r="U45" s="34"/>
      <c r="V45" s="31"/>
    </row>
    <row r="46" spans="1:22" x14ac:dyDescent="0.35">
      <c r="A46" s="24">
        <v>45151</v>
      </c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4"/>
      <c r="U46" s="34"/>
      <c r="V46" s="31"/>
    </row>
    <row r="47" spans="1:22" x14ac:dyDescent="0.35">
      <c r="A47" s="24">
        <v>45152</v>
      </c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4"/>
      <c r="U47" s="34"/>
      <c r="V47" s="31"/>
    </row>
    <row r="48" spans="1:22" x14ac:dyDescent="0.35">
      <c r="A48" s="24">
        <v>45153</v>
      </c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4"/>
      <c r="U48" s="34"/>
      <c r="V48" s="31"/>
    </row>
    <row r="49" spans="1:22" x14ac:dyDescent="0.35">
      <c r="A49" s="24">
        <v>45154</v>
      </c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4"/>
      <c r="U49" s="34"/>
      <c r="V49" s="31"/>
    </row>
    <row r="50" spans="1:22" x14ac:dyDescent="0.35">
      <c r="A50" s="24">
        <v>45155</v>
      </c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4"/>
      <c r="U50" s="34"/>
      <c r="V50" s="31"/>
    </row>
    <row r="51" spans="1:22" x14ac:dyDescent="0.35">
      <c r="A51" s="24">
        <v>45156</v>
      </c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4"/>
      <c r="U51" s="34"/>
      <c r="V51" s="31"/>
    </row>
    <row r="52" spans="1:22" x14ac:dyDescent="0.35">
      <c r="A52" s="24">
        <v>45157</v>
      </c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4"/>
      <c r="U52" s="34"/>
      <c r="V52" s="31"/>
    </row>
    <row r="53" spans="1:22" x14ac:dyDescent="0.35">
      <c r="A53" s="24">
        <v>45158</v>
      </c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4"/>
      <c r="U53" s="34"/>
      <c r="V53" s="31"/>
    </row>
    <row r="54" spans="1:22" x14ac:dyDescent="0.35">
      <c r="A54" s="24">
        <v>45159</v>
      </c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4"/>
      <c r="U54" s="34"/>
      <c r="V54" s="31"/>
    </row>
    <row r="55" spans="1:22" x14ac:dyDescent="0.35">
      <c r="A55" s="24">
        <v>45160</v>
      </c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4"/>
      <c r="U55" s="34"/>
      <c r="V55" s="31"/>
    </row>
    <row r="56" spans="1:22" x14ac:dyDescent="0.35">
      <c r="A56" s="24">
        <v>45161</v>
      </c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4"/>
      <c r="U56" s="34"/>
      <c r="V56" s="31"/>
    </row>
    <row r="57" spans="1:22" x14ac:dyDescent="0.35">
      <c r="A57" s="24">
        <v>45162</v>
      </c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4"/>
      <c r="U57" s="34"/>
      <c r="V57" s="31"/>
    </row>
    <row r="58" spans="1:22" x14ac:dyDescent="0.35">
      <c r="A58" s="24">
        <v>45163</v>
      </c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4"/>
      <c r="U58" s="34"/>
      <c r="V58" s="31"/>
    </row>
    <row r="59" spans="1:22" x14ac:dyDescent="0.35">
      <c r="A59" s="24">
        <v>45164</v>
      </c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4"/>
      <c r="U59" s="34"/>
      <c r="V59" s="31"/>
    </row>
    <row r="60" spans="1:22" x14ac:dyDescent="0.35">
      <c r="A60" s="24">
        <v>45165</v>
      </c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4"/>
      <c r="U60" s="34"/>
      <c r="V60" s="31"/>
    </row>
    <row r="61" spans="1:22" x14ac:dyDescent="0.35">
      <c r="A61" s="24">
        <v>45166</v>
      </c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4"/>
      <c r="U61" s="34"/>
      <c r="V61" s="31"/>
    </row>
    <row r="62" spans="1:22" x14ac:dyDescent="0.35">
      <c r="A62" s="24">
        <v>45167</v>
      </c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4"/>
      <c r="U62" s="34"/>
      <c r="V62" s="31"/>
    </row>
    <row r="63" spans="1:22" x14ac:dyDescent="0.35">
      <c r="A63" s="24">
        <v>45168</v>
      </c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4"/>
      <c r="U63" s="34"/>
      <c r="V63" s="31"/>
    </row>
    <row r="64" spans="1:22" x14ac:dyDescent="0.35">
      <c r="A64" s="24">
        <v>45169</v>
      </c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4"/>
      <c r="U64" s="34"/>
      <c r="V64" s="31"/>
    </row>
    <row r="65" spans="1:22" x14ac:dyDescent="0.35">
      <c r="A65" s="24">
        <v>45170</v>
      </c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4"/>
      <c r="U65" s="34"/>
      <c r="V65" s="31"/>
    </row>
    <row r="66" spans="1:22" x14ac:dyDescent="0.35">
      <c r="A66" s="24">
        <v>45171</v>
      </c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4"/>
      <c r="U66" s="34"/>
      <c r="V66" s="31"/>
    </row>
    <row r="67" spans="1:22" x14ac:dyDescent="0.35">
      <c r="A67" s="24">
        <v>45172</v>
      </c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4"/>
      <c r="U67" s="34"/>
      <c r="V67" s="31"/>
    </row>
    <row r="68" spans="1:22" x14ac:dyDescent="0.35">
      <c r="A68" s="24">
        <v>45173</v>
      </c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4"/>
      <c r="U68" s="34"/>
      <c r="V68" s="31"/>
    </row>
    <row r="69" spans="1:22" x14ac:dyDescent="0.35">
      <c r="A69" s="24">
        <v>45174</v>
      </c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4"/>
      <c r="U69" s="34"/>
      <c r="V69" s="31"/>
    </row>
    <row r="70" spans="1:22" x14ac:dyDescent="0.35">
      <c r="A70" s="24">
        <v>45175</v>
      </c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4"/>
      <c r="U70" s="34"/>
      <c r="V70" s="31"/>
    </row>
    <row r="71" spans="1:22" x14ac:dyDescent="0.35">
      <c r="A71" s="24">
        <v>45176</v>
      </c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4"/>
      <c r="U71" s="34"/>
      <c r="V71" s="31"/>
    </row>
    <row r="72" spans="1:22" x14ac:dyDescent="0.35">
      <c r="A72" s="24">
        <v>45177</v>
      </c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4"/>
      <c r="U72" s="34"/>
      <c r="V72" s="31"/>
    </row>
    <row r="73" spans="1:22" x14ac:dyDescent="0.35">
      <c r="A73" s="24">
        <v>45178</v>
      </c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4"/>
      <c r="U73" s="34"/>
      <c r="V73" s="31"/>
    </row>
    <row r="74" spans="1:22" x14ac:dyDescent="0.35">
      <c r="A74" s="24">
        <v>45179</v>
      </c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</row>
    <row r="75" spans="1:22" x14ac:dyDescent="0.35">
      <c r="A75" s="24">
        <v>45180</v>
      </c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</row>
    <row r="76" spans="1:22" x14ac:dyDescent="0.35">
      <c r="A76" s="24">
        <v>45181</v>
      </c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</row>
    <row r="77" spans="1:22" x14ac:dyDescent="0.35">
      <c r="A77" s="24">
        <v>45182</v>
      </c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</row>
    <row r="78" spans="1:22" x14ac:dyDescent="0.35">
      <c r="A78" s="24">
        <v>45183</v>
      </c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</row>
    <row r="79" spans="1:22" x14ac:dyDescent="0.35">
      <c r="A79" s="24">
        <v>45184</v>
      </c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</row>
    <row r="80" spans="1:22" x14ac:dyDescent="0.35">
      <c r="A80" s="24">
        <v>45185</v>
      </c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</row>
    <row r="81" spans="1:22" x14ac:dyDescent="0.35">
      <c r="A81" s="24">
        <v>45186</v>
      </c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</row>
    <row r="82" spans="1:22" x14ac:dyDescent="0.35">
      <c r="A82" s="24">
        <v>45187</v>
      </c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</row>
    <row r="83" spans="1:22" x14ac:dyDescent="0.35">
      <c r="A83" s="24">
        <v>45188</v>
      </c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</row>
    <row r="84" spans="1:22" x14ac:dyDescent="0.35">
      <c r="A84" s="24">
        <v>45189</v>
      </c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</row>
    <row r="85" spans="1:22" x14ac:dyDescent="0.35">
      <c r="A85" s="24">
        <v>45190</v>
      </c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</row>
    <row r="86" spans="1:22" x14ac:dyDescent="0.35">
      <c r="A86" s="24">
        <v>45191</v>
      </c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</row>
    <row r="87" spans="1:22" x14ac:dyDescent="0.35">
      <c r="A87" s="24">
        <v>45192</v>
      </c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</row>
    <row r="88" spans="1:22" x14ac:dyDescent="0.35">
      <c r="A88" s="24">
        <v>45193</v>
      </c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</row>
    <row r="89" spans="1:22" x14ac:dyDescent="0.35">
      <c r="A89" s="24">
        <v>45194</v>
      </c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</row>
    <row r="90" spans="1:22" x14ac:dyDescent="0.35">
      <c r="A90" s="24">
        <v>45195</v>
      </c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</row>
    <row r="91" spans="1:22" x14ac:dyDescent="0.35">
      <c r="A91" s="24">
        <v>45196</v>
      </c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</row>
    <row r="92" spans="1:22" x14ac:dyDescent="0.35">
      <c r="A92" s="24">
        <v>45197</v>
      </c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</row>
    <row r="93" spans="1:22" x14ac:dyDescent="0.35">
      <c r="A93" s="24">
        <v>45198</v>
      </c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</row>
    <row r="94" spans="1:22" x14ac:dyDescent="0.35">
      <c r="A94" s="24">
        <v>45199</v>
      </c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</row>
  </sheetData>
  <mergeCells count="8">
    <mergeCell ref="Q1:S1"/>
    <mergeCell ref="T1:V1"/>
    <mergeCell ref="A1:A2"/>
    <mergeCell ref="B1:D1"/>
    <mergeCell ref="E1:G1"/>
    <mergeCell ref="H1:J1"/>
    <mergeCell ref="K1:M1"/>
    <mergeCell ref="N1:P1"/>
  </mergeCells>
  <phoneticPr fontId="27" type="noConversion"/>
  <conditionalFormatting sqref="A3:A94">
    <cfRule type="expression" dxfId="5" priority="1">
      <formula>OR(WEEKDAY(A3,2)=6,WEEKDAY(A3,2)=7)</formula>
    </cfRule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总消费监控</vt:lpstr>
      <vt:lpstr>消费任务拆解</vt:lpstr>
      <vt:lpstr>客服部门消费监控</vt:lpstr>
      <vt:lpstr>分地区消费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</dc:creator>
  <cp:lastModifiedBy>user</cp:lastModifiedBy>
  <dcterms:created xsi:type="dcterms:W3CDTF">2008-09-11T17:22:00Z</dcterms:created>
  <dcterms:modified xsi:type="dcterms:W3CDTF">2023-07-01T02:00:00Z</dcterms:modified>
</cp:coreProperties>
</file>