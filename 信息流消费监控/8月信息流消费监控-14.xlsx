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 tabRatio="759"/>
  </bookViews>
  <sheets>
    <sheet name="总消费监控" sheetId="1" r:id="rId1"/>
    <sheet name="消费任务拆解" sheetId="2" state="hidden" r:id="rId2"/>
    <sheet name="客服部门消费监控" sheetId="3" r:id="rId3"/>
    <sheet name="分地区消费" sheetId="4" r:id="rId4"/>
  </sheets>
  <calcPr calcId="144525"/>
</workbook>
</file>

<file path=xl/sharedStrings.xml><?xml version="1.0" encoding="utf-8"?>
<sst xmlns="http://schemas.openxmlformats.org/spreadsheetml/2006/main" count="247" uniqueCount="101">
  <si>
    <t>日期</t>
  </si>
  <si>
    <t>feed竞价总消费</t>
  </si>
  <si>
    <t>feed竞价企业总消费</t>
  </si>
  <si>
    <t>feed竞价企业账户数</t>
  </si>
  <si>
    <t>feed企业ARPU</t>
  </si>
  <si>
    <t>框架消费</t>
  </si>
  <si>
    <t>Q4feed总消费</t>
  </si>
  <si>
    <t>完成分数</t>
  </si>
  <si>
    <t>feed总任务</t>
  </si>
  <si>
    <t>昨日总消费</t>
  </si>
  <si>
    <t>剩余天数</t>
  </si>
  <si>
    <t>当前完成率</t>
  </si>
  <si>
    <t>预计可完成</t>
  </si>
  <si>
    <t>预计完成率</t>
  </si>
  <si>
    <t>预计总差额</t>
  </si>
  <si>
    <t>当前日均差额</t>
  </si>
  <si>
    <t>Q3合计消费(扣除罚款）</t>
  </si>
  <si>
    <t>Q3判罚金额</t>
  </si>
  <si>
    <t>Q3总消费</t>
  </si>
  <si>
    <t>Q3feed竞价消费</t>
  </si>
  <si>
    <t>Q3feedGD消费</t>
  </si>
  <si>
    <t>7月feed竞价消费</t>
  </si>
  <si>
    <t>8月feed竞价消费</t>
  </si>
  <si>
    <t>9月feed竞价消费</t>
  </si>
  <si>
    <t>时间进度差额</t>
  </si>
  <si>
    <t>地区</t>
  </si>
  <si>
    <t>昨日feed竞价消费</t>
  </si>
  <si>
    <t>昨日feed竞价账户数</t>
  </si>
  <si>
    <t>feed竞价消费环比</t>
  </si>
  <si>
    <t>feed竞价户均</t>
  </si>
  <si>
    <t>本月各渠道总消费</t>
  </si>
  <si>
    <t>厦门</t>
  </si>
  <si>
    <t>泉州</t>
  </si>
  <si>
    <t>漳州</t>
  </si>
  <si>
    <t>龙岩</t>
  </si>
  <si>
    <t>框架</t>
  </si>
  <si>
    <t>其他</t>
  </si>
  <si>
    <t>总计</t>
  </si>
  <si>
    <t>部门</t>
  </si>
  <si>
    <t>昨日feed消费</t>
  </si>
  <si>
    <t>feed消费环比</t>
  </si>
  <si>
    <t>feed户均</t>
  </si>
  <si>
    <t>大客部门</t>
  </si>
  <si>
    <t>品牌部</t>
  </si>
  <si>
    <t>泉州中小企业增值部</t>
  </si>
  <si>
    <t>失效挽救部</t>
  </si>
  <si>
    <t>维护部门</t>
  </si>
  <si>
    <t>新开部门</t>
  </si>
  <si>
    <t>行发维护大区</t>
  </si>
  <si>
    <t>医疗事业部</t>
  </si>
  <si>
    <t>漳州客服部</t>
  </si>
  <si>
    <t>运营策略中心</t>
  </si>
  <si>
    <t>Feed总消费</t>
  </si>
  <si>
    <t>4月完成</t>
  </si>
  <si>
    <t>5月完成</t>
  </si>
  <si>
    <t>6月目标</t>
  </si>
  <si>
    <t>总完成</t>
  </si>
  <si>
    <t>完成率</t>
  </si>
  <si>
    <t>任务缺口</t>
  </si>
  <si>
    <t>责任区</t>
  </si>
  <si>
    <t>4月己消费</t>
  </si>
  <si>
    <t>5月当前总消费</t>
  </si>
  <si>
    <t>5月份目标</t>
  </si>
  <si>
    <t>5月剩余任务</t>
  </si>
  <si>
    <t>5月剩余天数</t>
  </si>
  <si>
    <t>5月剩余日均</t>
  </si>
  <si>
    <t>最高日消费</t>
  </si>
  <si>
    <t>现有客户数</t>
  </si>
  <si>
    <t>现有ARPU</t>
  </si>
  <si>
    <t>考核方向</t>
  </si>
  <si>
    <t>指标设定</t>
  </si>
  <si>
    <t>客服一区</t>
  </si>
  <si>
    <t>户均提升
大户覆盖</t>
  </si>
  <si>
    <t>消费完成</t>
  </si>
  <si>
    <t>大客户部</t>
  </si>
  <si>
    <t>新户教育</t>
  </si>
  <si>
    <t>客服二区</t>
  </si>
  <si>
    <t>客户引入
大户保育</t>
  </si>
  <si>
    <t>10家</t>
  </si>
  <si>
    <t>客服三区</t>
  </si>
  <si>
    <t>5家</t>
  </si>
  <si>
    <t>泉州大区</t>
  </si>
  <si>
    <t>20家</t>
  </si>
  <si>
    <t>漳龙大区</t>
  </si>
  <si>
    <t>5月己消费</t>
  </si>
  <si>
    <t>6月份目标</t>
  </si>
  <si>
    <t>6月份所需日均</t>
  </si>
  <si>
    <t>1，根据目前公司任务要求和进度影响，6月份任务有做调整。请注意。
2，5月9日后由销售方合作的feed新用户不计任务完成。
3，维护大区客户引入以上线消费为准，如暂不能上线的客户不计入任务完成。</t>
  </si>
  <si>
    <t>35家</t>
  </si>
  <si>
    <t>30家</t>
  </si>
  <si>
    <t>企业总计</t>
  </si>
  <si>
    <t>feed竞价消费</t>
  </si>
  <si>
    <t>feed竞价账户数</t>
  </si>
  <si>
    <t>竞价账户数</t>
  </si>
  <si>
    <t>0</t>
  </si>
  <si>
    <t>厦门市</t>
  </si>
  <si>
    <t>泉州市</t>
  </si>
  <si>
    <t>漳州市</t>
  </si>
  <si>
    <t>龙岩市</t>
  </si>
  <si>
    <t>其他市</t>
  </si>
  <si>
    <t>企业总消费</t>
  </si>
</sst>
</file>

<file path=xl/styles.xml><?xml version="1.0" encoding="utf-8"?>
<styleSheet xmlns="http://schemas.openxmlformats.org/spreadsheetml/2006/main">
  <numFmts count="1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_);[Red]\(#,##0\)"/>
    <numFmt numFmtId="177" formatCode="#,##0.00_);[Red]\(#,##0.00\)"/>
    <numFmt numFmtId="178" formatCode="#,##0.0000000000_ "/>
    <numFmt numFmtId="179" formatCode="0.00_ "/>
    <numFmt numFmtId="180" formatCode="#,##0_ "/>
    <numFmt numFmtId="181" formatCode="#,##0_ ;[Red]\-#,##0\ "/>
    <numFmt numFmtId="182" formatCode="0.00_ ;[Red]\-0.00\ "/>
    <numFmt numFmtId="183" formatCode="0.00_);[Red]\(0.00\)"/>
    <numFmt numFmtId="184" formatCode="#,##0.00_ ;[Red]\-#,##0.00\ "/>
    <numFmt numFmtId="185" formatCode="#,##0.00_ "/>
    <numFmt numFmtId="186" formatCode="#,##0.000000000_ "/>
  </numFmts>
  <fonts count="44">
    <font>
      <sz val="11"/>
      <color theme="1"/>
      <name val="Tahoma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theme="0"/>
      <name val="宋体"/>
      <charset val="134"/>
    </font>
    <font>
      <sz val="10"/>
      <color theme="0"/>
      <name val="微软雅黑"/>
      <charset val="134"/>
    </font>
    <font>
      <sz val="10"/>
      <color rgb="FFFF0000"/>
      <name val="微软雅黑"/>
      <charset val="134"/>
    </font>
    <font>
      <sz val="10"/>
      <color rgb="FFFFFFFF"/>
      <name val="微软雅黑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3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8" tint="0.39994506668294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06">
    <xf numFmtId="0" fontId="0" fillId="0" borderId="0"/>
    <xf numFmtId="42" fontId="12" fillId="0" borderId="0">
      <alignment vertical="center"/>
    </xf>
    <xf numFmtId="0" fontId="12" fillId="9" borderId="0">
      <alignment vertical="center"/>
    </xf>
    <xf numFmtId="0" fontId="24" fillId="22" borderId="0">
      <alignment vertical="center"/>
    </xf>
    <xf numFmtId="0" fontId="20" fillId="14" borderId="14">
      <alignment vertical="center"/>
    </xf>
    <xf numFmtId="44" fontId="12" fillId="0" borderId="0">
      <alignment vertical="center"/>
    </xf>
    <xf numFmtId="41" fontId="12" fillId="0" borderId="0">
      <alignment vertical="center"/>
    </xf>
    <xf numFmtId="0" fontId="24" fillId="18" borderId="0">
      <alignment vertical="center"/>
    </xf>
    <xf numFmtId="0" fontId="14" fillId="8" borderId="14">
      <alignment vertical="center"/>
    </xf>
    <xf numFmtId="0" fontId="19" fillId="13" borderId="0">
      <alignment vertical="center"/>
    </xf>
    <xf numFmtId="43" fontId="12" fillId="0" borderId="0">
      <alignment vertical="center"/>
    </xf>
    <xf numFmtId="0" fontId="23" fillId="17" borderId="0">
      <alignment vertical="center"/>
    </xf>
    <xf numFmtId="0" fontId="28" fillId="0" borderId="0">
      <alignment vertical="center"/>
    </xf>
    <xf numFmtId="9" fontId="12" fillId="0" borderId="0">
      <alignment vertical="center"/>
    </xf>
    <xf numFmtId="0" fontId="16" fillId="0" borderId="0">
      <alignment vertical="center"/>
    </xf>
    <xf numFmtId="0" fontId="12" fillId="23" borderId="18">
      <alignment vertical="center"/>
    </xf>
    <xf numFmtId="0" fontId="23" fillId="26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27" fillId="0" borderId="0">
      <alignment vertical="center"/>
    </xf>
    <xf numFmtId="0" fontId="34" fillId="0" borderId="0">
      <alignment vertical="center"/>
    </xf>
    <xf numFmtId="0" fontId="22" fillId="0" borderId="17">
      <alignment vertical="center"/>
    </xf>
    <xf numFmtId="0" fontId="33" fillId="0" borderId="17">
      <alignment vertical="center"/>
    </xf>
    <xf numFmtId="0" fontId="23" fillId="31" borderId="0">
      <alignment vertical="center"/>
    </xf>
    <xf numFmtId="0" fontId="30" fillId="0" borderId="20">
      <alignment vertical="center"/>
    </xf>
    <xf numFmtId="0" fontId="23" fillId="30" borderId="0">
      <alignment vertical="center"/>
    </xf>
    <xf numFmtId="0" fontId="26" fillId="8" borderId="19">
      <alignment vertical="center"/>
    </xf>
    <xf numFmtId="0" fontId="25" fillId="8" borderId="14">
      <alignment vertical="center"/>
    </xf>
    <xf numFmtId="0" fontId="12" fillId="33" borderId="0">
      <alignment vertical="center"/>
    </xf>
    <xf numFmtId="0" fontId="32" fillId="27" borderId="21">
      <alignment vertical="center"/>
    </xf>
    <xf numFmtId="0" fontId="12" fillId="35" borderId="0">
      <alignment vertical="center"/>
    </xf>
    <xf numFmtId="0" fontId="24" fillId="25" borderId="0">
      <alignment vertical="center"/>
    </xf>
    <xf numFmtId="0" fontId="23" fillId="16" borderId="0">
      <alignment vertical="center"/>
    </xf>
    <xf numFmtId="0" fontId="18" fillId="0" borderId="16">
      <alignment vertical="center"/>
    </xf>
    <xf numFmtId="0" fontId="12" fillId="34" borderId="0">
      <alignment vertical="center"/>
    </xf>
    <xf numFmtId="0" fontId="12" fillId="11" borderId="0">
      <alignment vertical="center"/>
    </xf>
    <xf numFmtId="0" fontId="17" fillId="0" borderId="15">
      <alignment vertical="center"/>
    </xf>
    <xf numFmtId="0" fontId="21" fillId="15" borderId="0">
      <alignment vertical="center"/>
    </xf>
    <xf numFmtId="0" fontId="12" fillId="36" borderId="0">
      <alignment vertical="center"/>
    </xf>
    <xf numFmtId="0" fontId="15" fillId="12" borderId="0">
      <alignment vertical="center"/>
    </xf>
    <xf numFmtId="0" fontId="12" fillId="32" borderId="0">
      <alignment vertical="center"/>
    </xf>
    <xf numFmtId="0" fontId="24" fillId="39" borderId="0">
      <alignment vertical="center"/>
    </xf>
    <xf numFmtId="0" fontId="23" fillId="10" borderId="0">
      <alignment vertical="center"/>
    </xf>
    <xf numFmtId="0" fontId="12" fillId="6" borderId="0">
      <alignment vertical="center"/>
    </xf>
    <xf numFmtId="0" fontId="24" fillId="42" borderId="0">
      <alignment vertical="center"/>
    </xf>
    <xf numFmtId="0" fontId="24" fillId="34" borderId="0">
      <alignment vertical="center"/>
    </xf>
    <xf numFmtId="0" fontId="24" fillId="40" borderId="0">
      <alignment vertical="center"/>
    </xf>
    <xf numFmtId="0" fontId="36" fillId="8" borderId="19">
      <alignment vertical="center"/>
    </xf>
    <xf numFmtId="0" fontId="24" fillId="36" borderId="0">
      <alignment vertical="center"/>
    </xf>
    <xf numFmtId="0" fontId="23" fillId="28" borderId="0">
      <alignment vertical="center"/>
    </xf>
    <xf numFmtId="0" fontId="23" fillId="44" borderId="0">
      <alignment vertical="center"/>
    </xf>
    <xf numFmtId="0" fontId="12" fillId="9" borderId="0">
      <alignment vertical="center"/>
    </xf>
    <xf numFmtId="0" fontId="24" fillId="45" borderId="0">
      <alignment vertical="center"/>
    </xf>
    <xf numFmtId="0" fontId="24" fillId="35" borderId="0">
      <alignment vertical="center"/>
    </xf>
    <xf numFmtId="0" fontId="23" fillId="7" borderId="0">
      <alignment vertical="center"/>
    </xf>
    <xf numFmtId="0" fontId="24" fillId="20" borderId="0">
      <alignment vertical="center"/>
    </xf>
    <xf numFmtId="0" fontId="23" fillId="38" borderId="0">
      <alignment vertical="center"/>
    </xf>
    <xf numFmtId="0" fontId="23" fillId="19" borderId="0">
      <alignment vertical="center"/>
    </xf>
    <xf numFmtId="0" fontId="24" fillId="29" borderId="0">
      <alignment vertical="center"/>
    </xf>
    <xf numFmtId="0" fontId="35" fillId="12" borderId="0">
      <alignment vertical="center"/>
    </xf>
    <xf numFmtId="0" fontId="23" fillId="24" borderId="0">
      <alignment vertical="center"/>
    </xf>
    <xf numFmtId="0" fontId="12" fillId="11" borderId="0">
      <alignment vertical="center"/>
    </xf>
    <xf numFmtId="0" fontId="12" fillId="32" borderId="0">
      <alignment vertical="center"/>
    </xf>
    <xf numFmtId="0" fontId="0" fillId="0" borderId="0">
      <alignment vertical="center"/>
    </xf>
    <xf numFmtId="0" fontId="12" fillId="43" borderId="0">
      <alignment vertical="center"/>
    </xf>
    <xf numFmtId="0" fontId="12" fillId="0" borderId="0">
      <alignment vertical="center"/>
    </xf>
    <xf numFmtId="0" fontId="12" fillId="43" borderId="0">
      <alignment vertical="center"/>
    </xf>
    <xf numFmtId="0" fontId="12" fillId="33" borderId="0">
      <alignment vertical="center"/>
    </xf>
    <xf numFmtId="0" fontId="12" fillId="6" borderId="0">
      <alignment vertical="center"/>
    </xf>
    <xf numFmtId="0" fontId="12" fillId="34" borderId="0">
      <alignment vertical="center"/>
    </xf>
    <xf numFmtId="0" fontId="12" fillId="36" borderId="0">
      <alignment vertical="center"/>
    </xf>
    <xf numFmtId="0" fontId="12" fillId="18" borderId="0">
      <alignment vertical="center"/>
    </xf>
    <xf numFmtId="0" fontId="12" fillId="18" borderId="0">
      <alignment vertical="center"/>
    </xf>
    <xf numFmtId="0" fontId="12" fillId="35" borderId="0">
      <alignment vertical="center"/>
    </xf>
    <xf numFmtId="0" fontId="12" fillId="20" borderId="0">
      <alignment vertical="center"/>
    </xf>
    <xf numFmtId="0" fontId="12" fillId="20" borderId="0">
      <alignment vertical="center"/>
    </xf>
    <xf numFmtId="0" fontId="12" fillId="29" borderId="0">
      <alignment vertical="center"/>
    </xf>
    <xf numFmtId="0" fontId="12" fillId="29" borderId="0">
      <alignment vertical="center"/>
    </xf>
    <xf numFmtId="0" fontId="13" fillId="37" borderId="0">
      <alignment vertical="center"/>
    </xf>
    <xf numFmtId="0" fontId="12" fillId="0" borderId="0">
      <alignment vertical="center"/>
    </xf>
    <xf numFmtId="0" fontId="13" fillId="46" borderId="0">
      <alignment vertical="center"/>
    </xf>
    <xf numFmtId="0" fontId="13" fillId="47" borderId="0">
      <alignment vertical="center"/>
    </xf>
    <xf numFmtId="0" fontId="13" fillId="41" borderId="0">
      <alignment vertical="center"/>
    </xf>
    <xf numFmtId="0" fontId="13" fillId="48" borderId="0">
      <alignment vertical="center"/>
    </xf>
    <xf numFmtId="0" fontId="13" fillId="21" borderId="0">
      <alignment vertical="center"/>
    </xf>
    <xf numFmtId="0" fontId="22" fillId="0" borderId="22">
      <alignment vertical="center"/>
    </xf>
    <xf numFmtId="0" fontId="33" fillId="0" borderId="23">
      <alignment vertical="center"/>
    </xf>
    <xf numFmtId="0" fontId="30" fillId="0" borderId="24">
      <alignment vertical="center"/>
    </xf>
    <xf numFmtId="0" fontId="30" fillId="0" borderId="0">
      <alignment vertical="center"/>
    </xf>
    <xf numFmtId="0" fontId="38" fillId="13" borderId="0">
      <alignment vertical="center"/>
    </xf>
    <xf numFmtId="0" fontId="0" fillId="0" borderId="0">
      <alignment vertical="center"/>
    </xf>
    <xf numFmtId="0" fontId="39" fillId="15" borderId="0">
      <alignment vertical="center"/>
    </xf>
    <xf numFmtId="0" fontId="40" fillId="0" borderId="15">
      <alignment vertical="center"/>
    </xf>
    <xf numFmtId="0" fontId="41" fillId="27" borderId="21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43" fillId="0" borderId="16">
      <alignment vertical="center"/>
    </xf>
    <xf numFmtId="0" fontId="13" fillId="10" borderId="0">
      <alignment vertical="center"/>
    </xf>
    <xf numFmtId="0" fontId="13" fillId="16" borderId="0">
      <alignment vertical="center"/>
    </xf>
    <xf numFmtId="0" fontId="13" fillId="28" borderId="0">
      <alignment vertical="center"/>
    </xf>
    <xf numFmtId="0" fontId="13" fillId="44" borderId="0">
      <alignment vertical="center"/>
    </xf>
    <xf numFmtId="0" fontId="13" fillId="7" borderId="0">
      <alignment vertical="center"/>
    </xf>
    <xf numFmtId="0" fontId="13" fillId="19" borderId="0">
      <alignment vertical="center"/>
    </xf>
    <xf numFmtId="0" fontId="37" fillId="14" borderId="14">
      <alignment vertical="center"/>
    </xf>
    <xf numFmtId="0" fontId="12" fillId="23" borderId="18">
      <alignment vertical="center"/>
    </xf>
    <xf numFmtId="0" fontId="12" fillId="23" borderId="18">
      <alignment vertical="center"/>
    </xf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7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5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82" fontId="1" fillId="0" borderId="0" xfId="0" applyNumberFormat="1" applyFont="1" applyAlignment="1">
      <alignment horizontal="center"/>
    </xf>
    <xf numFmtId="179" fontId="4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76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185" fontId="4" fillId="0" borderId="0" xfId="0" applyNumberFormat="1" applyFont="1" applyAlignment="1">
      <alignment horizontal="center"/>
    </xf>
    <xf numFmtId="176" fontId="1" fillId="0" borderId="7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85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85" fontId="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79" fontId="10" fillId="0" borderId="1" xfId="0" applyNumberFormat="1" applyFont="1" applyBorder="1" applyAlignment="1">
      <alignment horizontal="center"/>
    </xf>
    <xf numFmtId="179" fontId="1" fillId="0" borderId="1" xfId="0" applyNumberFormat="1" applyFont="1" applyBorder="1" applyAlignment="1">
      <alignment horizontal="center"/>
    </xf>
    <xf numFmtId="179" fontId="10" fillId="4" borderId="0" xfId="0" applyNumberFormat="1" applyFont="1" applyFill="1" applyAlignment="1">
      <alignment horizontal="center"/>
    </xf>
    <xf numFmtId="179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79" fontId="1" fillId="0" borderId="0" xfId="0" applyNumberFormat="1" applyFont="1" applyAlignment="1">
      <alignment horizontal="center"/>
    </xf>
    <xf numFmtId="179" fontId="9" fillId="3" borderId="1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179" fontId="7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0" fontId="1" fillId="0" borderId="8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/>
    </xf>
    <xf numFmtId="185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84" fontId="1" fillId="0" borderId="0" xfId="0" applyNumberFormat="1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81" fontId="1" fillId="0" borderId="1" xfId="0" applyNumberFormat="1" applyFont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183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86" fontId="1" fillId="0" borderId="0" xfId="0" applyNumberFormat="1" applyFont="1" applyAlignment="1">
      <alignment horizontal="center"/>
    </xf>
  </cellXfs>
  <cellStyles count="106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计算 2" xfId="8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20% - 强调文字颜色 5 3" xfId="28"/>
    <cellStyle name="检查单元格" xfId="29" builtinId="23"/>
    <cellStyle name="40% - 强调文字颜色 4 2" xfId="30"/>
    <cellStyle name="20% - 强调文字颜色 6" xfId="31" builtinId="50"/>
    <cellStyle name="强调文字颜色 2" xfId="32" builtinId="33"/>
    <cellStyle name="链接单元格" xfId="33" builtinId="24"/>
    <cellStyle name="40% - 强调文字颜色 1 2" xfId="34"/>
    <cellStyle name="20% - 强调文字颜色 2 3" xfId="35"/>
    <cellStyle name="汇总" xfId="36" builtinId="25"/>
    <cellStyle name="好" xfId="37" builtinId="26"/>
    <cellStyle name="40% - 强调文字颜色 2 2" xfId="38"/>
    <cellStyle name="适中" xfId="39" builtinId="28"/>
    <cellStyle name="20% - 强调文字颜色 3 3" xfId="40"/>
    <cellStyle name="20% - 强调文字颜色 5" xfId="41" builtinId="46"/>
    <cellStyle name="强调文字颜色 1" xfId="42" builtinId="29"/>
    <cellStyle name="20% - 强调文字颜色 6 3" xfId="43"/>
    <cellStyle name="20% - 强调文字颜色 1" xfId="44" builtinId="30"/>
    <cellStyle name="40% - 强调文字颜色 1" xfId="45" builtinId="31"/>
    <cellStyle name="20% - 强调文字颜色 2" xfId="46" builtinId="34"/>
    <cellStyle name="输出 2" xfId="47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适中 2" xfId="59"/>
    <cellStyle name="60% - 强调文字颜色 6" xfId="60" builtinId="52"/>
    <cellStyle name="20% - 强调文字颜色 2 2" xfId="61"/>
    <cellStyle name="20% - 强调文字颜色 3 2" xfId="62"/>
    <cellStyle name="常规 3" xfId="63"/>
    <cellStyle name="20% - 强调文字颜色 4 2" xfId="64"/>
    <cellStyle name="常规 4" xfId="65"/>
    <cellStyle name="20% - 强调文字颜色 4 3" xfId="66"/>
    <cellStyle name="20% - 强调文字颜色 5 2" xfId="67"/>
    <cellStyle name="20% - 强调文字颜色 6 2" xfId="68"/>
    <cellStyle name="40% - 强调文字颜色 1 3" xfId="69"/>
    <cellStyle name="40% - 强调文字颜色 2 3" xfId="70"/>
    <cellStyle name="40% - 强调文字颜色 3 2" xfId="71"/>
    <cellStyle name="40% - 强调文字颜色 3 3" xfId="72"/>
    <cellStyle name="40% - 强调文字颜色 4 3" xfId="73"/>
    <cellStyle name="40% - 强调文字颜色 5 2" xfId="74"/>
    <cellStyle name="40% - 强调文字颜色 5 3" xfId="75"/>
    <cellStyle name="40% - 强调文字颜色 6 2" xfId="76"/>
    <cellStyle name="40% - 强调文字颜色 6 3" xfId="77"/>
    <cellStyle name="60% - 强调文字颜色 1 2" xfId="78"/>
    <cellStyle name="常规 5" xfId="79"/>
    <cellStyle name="60% - 强调文字颜色 2 2" xfId="80"/>
    <cellStyle name="60% - 强调文字颜色 3 2" xfId="81"/>
    <cellStyle name="60% - 强调文字颜色 4 2" xfId="82"/>
    <cellStyle name="60% - 强调文字颜色 5 2" xfId="83"/>
    <cellStyle name="60% - 强调文字颜色 6 2" xfId="84"/>
    <cellStyle name="标题 1 2" xfId="85"/>
    <cellStyle name="标题 2 2" xfId="86"/>
    <cellStyle name="标题 3 2" xfId="87"/>
    <cellStyle name="标题 4 2" xfId="88"/>
    <cellStyle name="差 2" xfId="89"/>
    <cellStyle name="常规 2" xfId="90"/>
    <cellStyle name="好 2" xfId="91"/>
    <cellStyle name="汇总 2" xfId="92"/>
    <cellStyle name="检查单元格 2" xfId="93"/>
    <cellStyle name="解释性文本 2" xfId="94"/>
    <cellStyle name="警告文本 2" xfId="95"/>
    <cellStyle name="链接单元格 2" xfId="96"/>
    <cellStyle name="强调文字颜色 1 2" xfId="97"/>
    <cellStyle name="强调文字颜色 2 2" xfId="98"/>
    <cellStyle name="强调文字颜色 3 2" xfId="99"/>
    <cellStyle name="强调文字颜色 4 2" xfId="100"/>
    <cellStyle name="强调文字颜色 5 2" xfId="101"/>
    <cellStyle name="强调文字颜色 6 2" xfId="102"/>
    <cellStyle name="输入 2" xfId="103"/>
    <cellStyle name="注释 2" xfId="104"/>
    <cellStyle name="注释 3" xfId="105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3"/>
  <sheetViews>
    <sheetView tabSelected="1" zoomScale="91" zoomScaleNormal="91" workbookViewId="0">
      <pane ySplit="1" topLeftCell="A2" activePane="bottomLeft" state="frozen"/>
      <selection/>
      <selection pane="bottomLeft" activeCell="A1" sqref="A1"/>
    </sheetView>
  </sheetViews>
  <sheetFormatPr defaultColWidth="9" defaultRowHeight="16.5"/>
  <cols>
    <col min="1" max="1" width="11.375" style="56" customWidth="1"/>
    <col min="2" max="2" width="13.75" style="28" customWidth="1"/>
    <col min="3" max="4" width="16" style="28" customWidth="1"/>
    <col min="5" max="5" width="12.75" style="28" customWidth="1"/>
    <col min="6" max="6" width="8.375" style="28" customWidth="1"/>
    <col min="7" max="7" width="3.375" style="28" customWidth="1"/>
    <col min="8" max="8" width="17" style="28" customWidth="1"/>
    <col min="9" max="9" width="15.375" style="28" customWidth="1"/>
    <col min="10" max="10" width="17.125" style="28" customWidth="1"/>
    <col min="11" max="11" width="15.375" style="28" customWidth="1"/>
    <col min="12" max="12" width="13.625" style="28" customWidth="1"/>
    <col min="13" max="13" width="16.125" style="28" customWidth="1"/>
    <col min="14" max="14" width="13" style="28" hidden="1" customWidth="1"/>
    <col min="15" max="15" width="13.625" style="28" hidden="1" customWidth="1"/>
    <col min="16" max="16" width="11.75" style="28" hidden="1" customWidth="1"/>
    <col min="17" max="17" width="17.625" style="28" customWidth="1"/>
    <col min="18" max="18" width="12.625" style="28" customWidth="1"/>
    <col min="19" max="19" width="12" style="28" customWidth="1"/>
    <col min="20" max="20" width="12.875" style="28" customWidth="1"/>
    <col min="21" max="24" width="13.25" style="28" customWidth="1"/>
    <col min="25" max="25" width="11.75" style="28" customWidth="1"/>
    <col min="26" max="28" width="9" style="28" customWidth="1"/>
    <col min="29" max="29" width="12.875" style="28" customWidth="1"/>
    <col min="30" max="30" width="12.375" style="28" customWidth="1"/>
    <col min="31" max="32" width="12.75" style="28" hidden="1" customWidth="1"/>
    <col min="33" max="33" width="9" style="28" hidden="1" customWidth="1"/>
    <col min="34" max="16384" width="9" style="28" customWidth="1"/>
  </cols>
  <sheetData>
    <row r="1" s="2" customFormat="1" ht="19.5" customHeight="1" spans="1:33">
      <c r="A1" s="18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8" t="s">
        <v>5</v>
      </c>
      <c r="AE1" s="2" t="s">
        <v>6</v>
      </c>
      <c r="AF1" s="2" t="s">
        <v>6</v>
      </c>
      <c r="AG1" s="2" t="s">
        <v>6</v>
      </c>
    </row>
    <row r="2" spans="1:33">
      <c r="A2" s="8">
        <v>45108</v>
      </c>
      <c r="B2" s="9">
        <f t="shared" ref="B2:B65" si="0">IF(C2="","",C2+F2)</f>
        <v>361819.13</v>
      </c>
      <c r="C2" s="9">
        <f>IF(客服部门消费监控!AI3="","",客服部门消费监控!AI3)</f>
        <v>84046.29</v>
      </c>
      <c r="D2" s="9">
        <f>IF(客服部门消费监控!AI3="","",客服部门消费监控!AJ3)</f>
        <v>113</v>
      </c>
      <c r="E2" s="9">
        <f>IF(客服部门消费监控!AI3="","",客服部门消费监控!AK3)</f>
        <v>743.772477876106</v>
      </c>
      <c r="F2" s="9">
        <f>IF(客服部门消费监控!AI3="","",客服部门消费监控!AC3)</f>
        <v>277772.84</v>
      </c>
      <c r="H2" s="59" t="s">
        <v>7</v>
      </c>
      <c r="I2" s="65" t="s">
        <v>8</v>
      </c>
      <c r="J2" s="59" t="s">
        <v>9</v>
      </c>
      <c r="K2" s="59" t="s">
        <v>10</v>
      </c>
      <c r="L2" s="59" t="s">
        <v>11</v>
      </c>
      <c r="M2" s="66" t="s">
        <v>12</v>
      </c>
      <c r="N2" s="66" t="s">
        <v>13</v>
      </c>
      <c r="O2" s="66" t="s">
        <v>14</v>
      </c>
      <c r="P2" s="66" t="s">
        <v>15</v>
      </c>
      <c r="Q2" s="59" t="s">
        <v>16</v>
      </c>
      <c r="R2" s="59" t="s">
        <v>17</v>
      </c>
      <c r="S2" s="59" t="s">
        <v>18</v>
      </c>
      <c r="T2" s="59" t="s">
        <v>19</v>
      </c>
      <c r="U2" s="59" t="s">
        <v>20</v>
      </c>
      <c r="V2" s="66" t="s">
        <v>21</v>
      </c>
      <c r="W2" s="66" t="s">
        <v>22</v>
      </c>
      <c r="X2" s="66" t="s">
        <v>23</v>
      </c>
      <c r="Y2" s="66" t="s">
        <v>24</v>
      </c>
      <c r="AE2" s="61">
        <v>0</v>
      </c>
      <c r="AF2" s="61">
        <v>0</v>
      </c>
      <c r="AG2" s="28">
        <v>0</v>
      </c>
    </row>
    <row r="3" spans="1:25">
      <c r="A3" s="8">
        <v>45109</v>
      </c>
      <c r="B3" s="9">
        <f t="shared" si="0"/>
        <v>402970.17</v>
      </c>
      <c r="C3" s="9">
        <f>IF(客服部门消费监控!AI4="","",客服部门消费监控!AI4)</f>
        <v>100818.35</v>
      </c>
      <c r="D3" s="9">
        <f>IF(客服部门消费监控!AI4="","",客服部门消费监控!AJ4)</f>
        <v>110</v>
      </c>
      <c r="E3" s="9">
        <f>IF(客服部门消费监控!AI4="","",客服部门消费监控!AK4)</f>
        <v>916.530454545455</v>
      </c>
      <c r="F3" s="9">
        <f>IF(客服部门消费监控!AI4="","",客服部门消费监控!AC4)</f>
        <v>302151.82</v>
      </c>
      <c r="H3" s="31">
        <v>100</v>
      </c>
      <c r="I3" s="67"/>
      <c r="J3" s="67">
        <f ca="1">I12</f>
        <v>483199.33</v>
      </c>
      <c r="K3" s="31">
        <f>92-COUNTIF(C:C,"&gt;0")</f>
        <v>47</v>
      </c>
      <c r="L3" s="34" t="str">
        <f>IF(I3="","",Q3/I3)</f>
        <v/>
      </c>
      <c r="M3" s="67">
        <f ca="1">Q3+J3*K3</f>
        <v>43419727.65</v>
      </c>
      <c r="N3" s="34" t="str">
        <f ca="1">IF(I3="","",M3/I3)</f>
        <v/>
      </c>
      <c r="O3" s="68" t="str">
        <f ca="1">IF(I3="","",I3-M3)</f>
        <v/>
      </c>
      <c r="P3" s="68" t="str">
        <f ca="1">IF(I3="","",O3/K3)</f>
        <v/>
      </c>
      <c r="Q3" s="67">
        <f>S3+R3</f>
        <v>20709359.14</v>
      </c>
      <c r="R3" s="67">
        <v>0</v>
      </c>
      <c r="S3" s="67">
        <f>T3+U3</f>
        <v>20709359.14</v>
      </c>
      <c r="T3" s="67">
        <f>SUM(V3+W3+X3)</f>
        <v>20709359.14</v>
      </c>
      <c r="U3" s="67"/>
      <c r="V3" s="67">
        <f>SUMIFS($B$2:$B$93,$A$2:$A$93,"&gt;="&amp;DATE(2023,LEFT(V2,1),1),$A$2:$A$93,"&lt;"&amp;DATE(2023,LEFT(V2,1)+1,1))</f>
        <v>13831020.24</v>
      </c>
      <c r="W3" s="67">
        <f>SUMIFS($B$2:$B$93,$A$2:$A$93,"&gt;="&amp;DATE(2023,LEFT(W2,1),1),$A$2:$A$93,"&lt;"&amp;DATE(2023,LEFT(W2,1)+1,1))</f>
        <v>6878338.9</v>
      </c>
      <c r="X3" s="67">
        <f>SUMIFS($B$2:$B$93,$A$2:$A$93,"&gt;="&amp;DATE(2023,LEFT(X2,1),1),$A$2:$A$93,"&lt;"&amp;DATE(2023,LEFT(X2,1)+1,1))</f>
        <v>0</v>
      </c>
      <c r="Y3" s="34" t="e">
        <f>(90-K3)/90-L3</f>
        <v>#VALUE!</v>
      </c>
    </row>
    <row r="4" spans="1:20">
      <c r="A4" s="8">
        <v>45110</v>
      </c>
      <c r="B4" s="9">
        <f t="shared" si="0"/>
        <v>364224.88</v>
      </c>
      <c r="C4" s="9">
        <f>IF(客服部门消费监控!AI5="","",客服部门消费监控!AI5)</f>
        <v>103035.07</v>
      </c>
      <c r="D4" s="9">
        <f>IF(客服部门消费监控!AI5="","",客服部门消费监控!AJ5)</f>
        <v>116</v>
      </c>
      <c r="E4" s="9">
        <f>IF(客服部门消费监控!AI5="","",客服部门消费监控!AK5)</f>
        <v>888.233362068966</v>
      </c>
      <c r="F4" s="9">
        <f>IF(客服部门消费监控!AI5="","",客服部门消费监控!AC5)</f>
        <v>261189.81</v>
      </c>
      <c r="M4" s="62"/>
      <c r="N4" s="62"/>
      <c r="O4" s="62"/>
      <c r="P4" s="62"/>
      <c r="Q4" s="62"/>
      <c r="R4" s="62"/>
      <c r="S4" s="61"/>
      <c r="T4" s="61"/>
    </row>
    <row r="5" spans="1:20">
      <c r="A5" s="8">
        <v>45111</v>
      </c>
      <c r="B5" s="9">
        <f t="shared" si="0"/>
        <v>404649.01</v>
      </c>
      <c r="C5" s="9">
        <f>IF(客服部门消费监控!AI6="","",客服部门消费监控!AI6)</f>
        <v>113684.67</v>
      </c>
      <c r="D5" s="9">
        <f>IF(客服部门消费监控!AI6="","",客服部门消费监控!AJ6)</f>
        <v>120</v>
      </c>
      <c r="E5" s="9">
        <f>IF(客服部门消费监控!AI6="","",客服部门消费监控!AK6)</f>
        <v>947.37225</v>
      </c>
      <c r="F5" s="9">
        <f>IF(客服部门消费监控!AI6="","",客服部门消费监控!AC6)</f>
        <v>290964.34</v>
      </c>
      <c r="H5" s="60" t="s">
        <v>25</v>
      </c>
      <c r="I5" s="60" t="s">
        <v>26</v>
      </c>
      <c r="J5" s="60" t="s">
        <v>27</v>
      </c>
      <c r="K5" s="60" t="s">
        <v>28</v>
      </c>
      <c r="L5" s="60" t="s">
        <v>29</v>
      </c>
      <c r="M5" s="60" t="s">
        <v>30</v>
      </c>
      <c r="Q5" s="70"/>
      <c r="S5" s="61"/>
      <c r="T5" s="61"/>
    </row>
    <row r="6" spans="1:17">
      <c r="A6" s="8">
        <v>45112</v>
      </c>
      <c r="B6" s="9">
        <f t="shared" si="0"/>
        <v>398218.12</v>
      </c>
      <c r="C6" s="9">
        <f>IF(客服部门消费监控!AI7="","",客服部门消费监控!AI7)</f>
        <v>92361.83</v>
      </c>
      <c r="D6" s="9">
        <f>IF(客服部门消费监控!AI7="","",客服部门消费监控!AJ7)</f>
        <v>121</v>
      </c>
      <c r="E6" s="9">
        <f>IF(客服部门消费监控!AI7="","",客服部门消费监控!AK7)</f>
        <v>763.320909090909</v>
      </c>
      <c r="F6" s="9">
        <f>IF(客服部门消费监控!AI7="","",客服部门消费监控!AC7)</f>
        <v>305856.29</v>
      </c>
      <c r="H6" s="31" t="s">
        <v>31</v>
      </c>
      <c r="I6" s="11">
        <f ca="1">OFFSET(分地区消费!$B$3,COUNTIFS(分地区消费!$B$3:$B$94,"&gt;=0")-1,0,1,1)</f>
        <v>147293.18</v>
      </c>
      <c r="J6" s="11">
        <f ca="1">OFFSET(分地区消费!$C$3,COUNTIFS(分地区消费!$C$3:$C$94,"&gt;=0")-1,0,1,1)</f>
        <v>91</v>
      </c>
      <c r="K6" s="68">
        <f ca="1">OFFSET(分地区消费!$B$3,COUNTIFS(分地区消费!$B$3:$B$94,"&gt;=0")-1,,1,1)-OFFSET(分地区消费!$B$3,COUNTIFS(分地区消费!$B$3:$B$94,"&gt;=0")-2,,1,1)</f>
        <v>-9238.22000000009</v>
      </c>
      <c r="L6" s="11">
        <f ca="1" t="shared" ref="L6:L12" si="1">IF(J6=0,"-",I6/J6)</f>
        <v>1618.60637362637</v>
      </c>
      <c r="M6" s="11">
        <f>SUMIFS(分地区消费!$B$3:$B$94,分地区消费!$A$3:$A$94,"&gt;="&amp;DATE(2023,8,1))</f>
        <v>1955324.67</v>
      </c>
      <c r="Q6" s="71"/>
    </row>
    <row r="7" spans="1:19">
      <c r="A7" s="8">
        <v>45113</v>
      </c>
      <c r="B7" s="9">
        <f t="shared" si="0"/>
        <v>407759.23</v>
      </c>
      <c r="C7" s="9">
        <f>IF(客服部门消费监控!AI8="","",客服部门消费监控!AI8)</f>
        <v>106245.18</v>
      </c>
      <c r="D7" s="9">
        <f>IF(客服部门消费监控!AI8="","",客服部门消费监控!AJ8)</f>
        <v>115</v>
      </c>
      <c r="E7" s="9">
        <f>IF(客服部门消费监控!AI8="","",客服部门消费监控!AK8)</f>
        <v>923.871130434783</v>
      </c>
      <c r="F7" s="9">
        <f>IF(客服部门消费监控!AI8="","",客服部门消费监控!AC8)</f>
        <v>301514.05</v>
      </c>
      <c r="H7" s="31" t="s">
        <v>32</v>
      </c>
      <c r="I7" s="11">
        <f ca="1">OFFSET(分地区消费!$E$3,COUNTIFS(分地区消费!$E$3:$E$94,"&gt;=0")-1,0,1,1)</f>
        <v>21143.17</v>
      </c>
      <c r="J7" s="11">
        <f ca="1">OFFSET(分地区消费!$F$3,COUNTIFS(分地区消费!$F$3:$F$94,"&gt;=0")-1,0,1,1)</f>
        <v>20</v>
      </c>
      <c r="K7" s="68">
        <f ca="1">OFFSET(分地区消费!$E$3,COUNTIFS(分地区消费!$E$3:$E$94,"&gt;=0")-1,,1,1)-OFFSET(分地区消费!$E$3,COUNTIFS(分地区消费!$E$3:$E$94,"&gt;=0")-2,,1,1)</f>
        <v>-1010.9</v>
      </c>
      <c r="L7" s="11">
        <f ca="1" t="shared" si="1"/>
        <v>1057.1585</v>
      </c>
      <c r="M7" s="11">
        <f>SUMIFS(分地区消费!$E$3:$E$94,分地区消费!$A$3:$A$94,"&gt;="&amp;DATE(2023,8,1))</f>
        <v>329143.65</v>
      </c>
      <c r="S7" s="61"/>
    </row>
    <row r="8" spans="1:13">
      <c r="A8" s="8">
        <v>45114</v>
      </c>
      <c r="B8" s="9">
        <f t="shared" si="0"/>
        <v>415132.28</v>
      </c>
      <c r="C8" s="9">
        <f>IF(客服部门消费监控!AI9="","",客服部门消费监控!AI9)</f>
        <v>98073.38</v>
      </c>
      <c r="D8" s="9">
        <f>IF(客服部门消费监控!AI9="","",客服部门消费监控!AJ9)</f>
        <v>116</v>
      </c>
      <c r="E8" s="9">
        <f>IF(客服部门消费监控!AI9="","",客服部门消费监控!AK9)</f>
        <v>845.460172413793</v>
      </c>
      <c r="F8" s="9">
        <f>IF(客服部门消费监控!AI9="","",客服部门消费监控!AC9)</f>
        <v>317058.9</v>
      </c>
      <c r="H8" s="31" t="s">
        <v>33</v>
      </c>
      <c r="I8" s="11">
        <f ca="1">OFFSET(分地区消费!$H$3,COUNTIFS(分地区消费!$H$3:$H$94,"&gt;=0")-1,0,1,1)</f>
        <v>3185.85</v>
      </c>
      <c r="J8" s="11">
        <f ca="1">OFFSET(分地区消费!$I$3,COUNTIFS(分地区消费!$I$3:$I$94,"&gt;0")-1,0,1,1)</f>
        <v>10</v>
      </c>
      <c r="K8" s="68">
        <f ca="1">OFFSET(分地区消费!$H$3,COUNTIFS(分地区消费!$H$3:$H$94,"&gt;0")-1,,1,1)-OFFSET(分地区消费!$H$3,COUNTIFS(分地区消费!$H$3:$H$94,"&gt;0")-2,,1,1)</f>
        <v>-2479.69</v>
      </c>
      <c r="L8" s="11">
        <f ca="1" t="shared" si="1"/>
        <v>318.585</v>
      </c>
      <c r="M8" s="11">
        <f>SUMIFS(分地区消费!$H$3:$H$94,分地区消费!$A$3:$A$94,"&gt;="&amp;DATE(2023,8,1))</f>
        <v>42428.3</v>
      </c>
    </row>
    <row r="9" spans="1:13">
      <c r="A9" s="8">
        <v>45115</v>
      </c>
      <c r="B9" s="9">
        <f t="shared" si="0"/>
        <v>438778.98</v>
      </c>
      <c r="C9" s="9">
        <f>IF(客服部门消费监控!AI10="","",客服部门消费监控!AI10)</f>
        <v>115402.89</v>
      </c>
      <c r="D9" s="9">
        <f>IF(客服部门消费监控!AI10="","",客服部门消费监控!AJ10)</f>
        <v>106</v>
      </c>
      <c r="E9" s="9">
        <f>IF(客服部门消费监控!AI10="","",客服部门消费监控!AK10)</f>
        <v>1088.70650943396</v>
      </c>
      <c r="F9" s="9">
        <f>IF(客服部门消费监控!AI10="","",客服部门消费监控!AC10)</f>
        <v>323376.09</v>
      </c>
      <c r="H9" s="31" t="s">
        <v>34</v>
      </c>
      <c r="I9" s="11">
        <f ca="1">OFFSET(分地区消费!$K$3,COUNTIFS(分地区消费!$K$3:$K$94,"&gt;=0")-1,0,1,1)</f>
        <v>232.92</v>
      </c>
      <c r="J9" s="11">
        <f ca="1">OFFSET(分地区消费!$L$3,COUNTIFS(分地区消费!$L$3:$L$94,"&gt;=0")-1,0,1,1)</f>
        <v>4</v>
      </c>
      <c r="K9" s="68">
        <f ca="1">OFFSET(分地区消费!$K$3,COUNTIFS(分地区消费!$K$3:$K$94,"&gt;=0")-1,,1,1)-OFFSET(分地区消费!$K$3,COUNTIFS(分地区消费!$K$3:$K$94,"&gt;=0")-2,,1,1)</f>
        <v>3.87</v>
      </c>
      <c r="L9" s="11">
        <f ca="1" t="shared" si="1"/>
        <v>58.23</v>
      </c>
      <c r="M9" s="11">
        <f>SUMIFS(分地区消费!$K$3:$K$94,分地区消费!$A$3:$A$94,"&gt;="&amp;DATE(2023,8,1))</f>
        <v>1389.99</v>
      </c>
    </row>
    <row r="10" spans="1:13">
      <c r="A10" s="8">
        <v>45116</v>
      </c>
      <c r="B10" s="9">
        <f t="shared" si="0"/>
        <v>443393.86</v>
      </c>
      <c r="C10" s="9">
        <f>IF(客服部门消费监控!AI11="","",客服部门消费监控!AI11)</f>
        <v>119465.71</v>
      </c>
      <c r="D10" s="9">
        <f>IF(客服部门消费监控!AI11="","",客服部门消费监控!AJ11)</f>
        <v>108</v>
      </c>
      <c r="E10" s="9">
        <f>IF(客服部门消费监控!AI11="","",客服部门消费监控!AK11)</f>
        <v>1106.16398148148</v>
      </c>
      <c r="F10" s="9">
        <f>IF(客服部门消费监控!AI11="","",客服部门消费监控!AC11)</f>
        <v>323928.15</v>
      </c>
      <c r="H10" s="31" t="s">
        <v>35</v>
      </c>
      <c r="I10" s="11">
        <f ca="1">OFFSET(分地区消费!$N$3,COUNTIFS(分地区消费!$N$3:$N$94,"&gt;=0")-1,0,1,1)</f>
        <v>311344.21</v>
      </c>
      <c r="J10" s="11">
        <f ca="1">OFFSET(分地区消费!$O$3,COUNTIFS(分地区消费!$O$3:$O$94,"&gt;=0")-1,0,1,1)</f>
        <v>379</v>
      </c>
      <c r="K10" s="68">
        <f ca="1">OFFSET(分地区消费!$N$3,COUNTIFS(分地区消费!$N$3:$N$94,"&gt;=0")-1,,1,1)-OFFSET(分地区消费!$N$3,COUNTIFS(分地区消费!$N$3:$N$94,"&gt;=0")-2,,1,1)</f>
        <v>-21283.8300000002</v>
      </c>
      <c r="L10" s="11">
        <f ca="1" t="shared" si="1"/>
        <v>821.488680738786</v>
      </c>
      <c r="M10" s="11">
        <f>SUMIFS(分地区消费!$N$3:$N$94,分地区消费!$A$3:$A$94,"&gt;="&amp;DATE(2023,8,1))</f>
        <v>4550052.29</v>
      </c>
    </row>
    <row r="11" spans="1:18">
      <c r="A11" s="8">
        <v>45117</v>
      </c>
      <c r="B11" s="9">
        <f t="shared" si="0"/>
        <v>429982.6</v>
      </c>
      <c r="C11" s="9">
        <f>IF(客服部门消费监控!AI12="","",客服部门消费监控!AI12)</f>
        <v>109790.91</v>
      </c>
      <c r="D11" s="9">
        <f>IF(客服部门消费监控!AI12="","",客服部门消费监控!AJ12)</f>
        <v>110</v>
      </c>
      <c r="E11" s="9">
        <f>IF(客服部门消费监控!AI12="","",客服部门消费监控!AK12)</f>
        <v>998.099181818182</v>
      </c>
      <c r="F11" s="9">
        <f>IF(客服部门消费监控!AI12="","",客服部门消费监控!AC12)</f>
        <v>320191.69</v>
      </c>
      <c r="H11" s="31" t="s">
        <v>36</v>
      </c>
      <c r="I11" s="11">
        <f ca="1">OFFSET(分地区消费!$Q$3,COUNTIFS(分地区消费!$Q$3:$Q$94,"&gt;=0")-1,0,1,1)</f>
        <v>0</v>
      </c>
      <c r="J11" s="11">
        <f ca="1">OFFSET(分地区消费!$R$3,COUNTIFS(分地区消费!$R$3:$R$94,"&gt;=0")-1,0,1,1)</f>
        <v>0</v>
      </c>
      <c r="K11" s="68">
        <f ca="1">OFFSET(分地区消费!$Q$3,COUNTIFS(分地区消费!$Q$3:$Q$94,"&gt;=0")-1,,1,1)-OFFSET(分地区消费!$Q$3,COUNTIFS(分地区消费!$Q$3:$Q$94,"&gt;=0")-2,,1,1)</f>
        <v>0</v>
      </c>
      <c r="L11" s="11" t="str">
        <f ca="1" t="shared" si="1"/>
        <v>-</v>
      </c>
      <c r="M11" s="11">
        <f>SUMIFS(分地区消费!$Q$3:$Q$94,分地区消费!$A$3:$A$94,"&gt;="&amp;DATE(2023,8,1))</f>
        <v>0</v>
      </c>
      <c r="R11" s="72"/>
    </row>
    <row r="12" spans="1:19">
      <c r="A12" s="8">
        <v>45118</v>
      </c>
      <c r="B12" s="9">
        <f t="shared" si="0"/>
        <v>469684.31</v>
      </c>
      <c r="C12" s="9">
        <f>IF(客服部门消费监控!AI13="","",客服部门消费监控!AI13)</f>
        <v>93096.88</v>
      </c>
      <c r="D12" s="9">
        <f>IF(客服部门消费监控!AI13="","",客服部门消费监控!AJ13)</f>
        <v>115</v>
      </c>
      <c r="E12" s="9">
        <f>IF(客服部门消费监控!AI13="","",客服部门消费监控!AK13)</f>
        <v>809.538086956522</v>
      </c>
      <c r="F12" s="9">
        <f>IF(客服部门消费监控!AI13="","",客服部门消费监控!AC13)</f>
        <v>376587.43</v>
      </c>
      <c r="H12" s="31" t="s">
        <v>37</v>
      </c>
      <c r="I12" s="69">
        <f ca="1">SUM(I6:I11)</f>
        <v>483199.33</v>
      </c>
      <c r="J12" s="31">
        <f ca="1">SUM(J6:J11)</f>
        <v>504</v>
      </c>
      <c r="K12" s="68">
        <f ca="1">SUM(K6:K11)</f>
        <v>-34008.7700000003</v>
      </c>
      <c r="L12" s="11">
        <f ca="1" t="shared" si="1"/>
        <v>958.728829365079</v>
      </c>
      <c r="M12" s="11">
        <f>SUM(M6:M11)</f>
        <v>6878338.9</v>
      </c>
      <c r="Q12" s="71"/>
      <c r="S12" s="62"/>
    </row>
    <row r="13" spans="1:18">
      <c r="A13" s="8">
        <v>45119</v>
      </c>
      <c r="B13" s="9">
        <f t="shared" si="0"/>
        <v>471175.46</v>
      </c>
      <c r="C13" s="9">
        <f>IF(客服部门消费监控!AI14="","",客服部门消费监控!AI14)</f>
        <v>98279.87</v>
      </c>
      <c r="D13" s="9">
        <f>IF(客服部门消费监控!AI14="","",客服部门消费监控!AJ14)</f>
        <v>119</v>
      </c>
      <c r="E13" s="9">
        <f>IF(客服部门消费监控!AI14="","",客服部门消费监控!AK14)</f>
        <v>825.881260504202</v>
      </c>
      <c r="F13" s="9">
        <f>IF(客服部门消费监控!AI14="","",客服部门消费监控!AC14)</f>
        <v>372895.59</v>
      </c>
      <c r="R13" s="62"/>
    </row>
    <row r="14" spans="1:13">
      <c r="A14" s="8">
        <v>45120</v>
      </c>
      <c r="B14" s="9">
        <f t="shared" si="0"/>
        <v>426108.76</v>
      </c>
      <c r="C14" s="9">
        <f>IF(客服部门消费监控!AI15="","",客服部门消费监控!AI15)</f>
        <v>100544.74</v>
      </c>
      <c r="D14" s="9">
        <f>IF(客服部门消费监控!AI15="","",客服部门消费监控!AJ15)</f>
        <v>126</v>
      </c>
      <c r="E14" s="9">
        <f>IF(客服部门消费监控!AI15="","",客服部门消费监控!AK15)</f>
        <v>797.974126984127</v>
      </c>
      <c r="F14" s="9">
        <f>IF(客服部门消费监控!AI15="","",客服部门消费监控!AC15)</f>
        <v>325564.02</v>
      </c>
      <c r="H14" s="60" t="s">
        <v>38</v>
      </c>
      <c r="I14" s="60" t="s">
        <v>39</v>
      </c>
      <c r="J14" s="60" t="s">
        <v>27</v>
      </c>
      <c r="K14" s="60" t="s">
        <v>40</v>
      </c>
      <c r="L14" s="60" t="s">
        <v>41</v>
      </c>
      <c r="M14" s="60" t="s">
        <v>30</v>
      </c>
    </row>
    <row r="15" spans="1:17">
      <c r="A15" s="8">
        <v>45121</v>
      </c>
      <c r="B15" s="9">
        <f t="shared" si="0"/>
        <v>504612.52</v>
      </c>
      <c r="C15" s="9">
        <f>IF(客服部门消费监控!AI16="","",客服部门消费监控!AI16)</f>
        <v>113602.04</v>
      </c>
      <c r="D15" s="9">
        <f>IF(客服部门消费监控!AI16="","",客服部门消费监控!AJ16)</f>
        <v>131</v>
      </c>
      <c r="E15" s="9">
        <f>IF(客服部门消费监控!AI16="","",客服部门消费监控!AK16)</f>
        <v>867.191145038168</v>
      </c>
      <c r="F15" s="9">
        <f>IF(客服部门消费监控!AI16="","",客服部门消费监控!AC16)</f>
        <v>391010.48</v>
      </c>
      <c r="H15" s="31" t="s">
        <v>42</v>
      </c>
      <c r="I15" s="11">
        <f ca="1">OFFSET(客服部门消费监控!$B$3,COUNTIF(客服部门消费监控!$B$3:$B$94,"&gt;=0")-1,0,1,1)</f>
        <v>140255.07</v>
      </c>
      <c r="J15" s="11">
        <f ca="1">OFFSET(客服部门消费监控!$C$3,COUNTIF(客服部门消费监控!$C$3:$C$94,"&gt;=0")-1,0,1,1)</f>
        <v>54</v>
      </c>
      <c r="K15" s="68">
        <f ca="1">OFFSET(客服部门消费监控!$B$3,COUNTIF(客服部门消费监控!$B$3:$B$94,"&gt;=0")-1,,1,1)-OFFSET(客服部门消费监控!$B$3,COUNTIF(客服部门消费监控!$B$3:$B$94,"&gt;=0")-2,,1,1)</f>
        <v>-8754.12000000002</v>
      </c>
      <c r="L15" s="11">
        <f ca="1" t="shared" ref="L15:L26" si="2">IFERROR(I15/J15,"-")</f>
        <v>2597.31611111111</v>
      </c>
      <c r="M15" s="69">
        <f>SUMIFS(客服部门消费监控!$B$3:$B$94,客服部门消费监控!$A$3:$A$94,"&gt;="&amp;DATE(2023,8,1))</f>
        <v>1884498.54</v>
      </c>
      <c r="Q15" s="71"/>
    </row>
    <row r="16" spans="1:20">
      <c r="A16" s="8">
        <v>45122</v>
      </c>
      <c r="B16" s="9">
        <f t="shared" si="0"/>
        <v>497675.1</v>
      </c>
      <c r="C16" s="9">
        <f>IF(客服部门消费监控!AI17="","",客服部门消费监控!AI17)</f>
        <v>138517.75</v>
      </c>
      <c r="D16" s="9">
        <f>IF(客服部门消费监控!AI17="","",客服部门消费监控!AJ17)</f>
        <v>126</v>
      </c>
      <c r="E16" s="9">
        <f>IF(客服部门消费监控!AI17="","",客服部门消费监控!AK17)</f>
        <v>1099.34722222222</v>
      </c>
      <c r="F16" s="9">
        <f>IF(客服部门消费监控!AI17="","",客服部门消费监控!AC17)</f>
        <v>359157.35</v>
      </c>
      <c r="G16" s="61"/>
      <c r="H16" s="31" t="s">
        <v>43</v>
      </c>
      <c r="I16" s="11">
        <f ca="1">OFFSET(客服部门消费监控!$E$3,COUNTIF(客服部门消费监控!$E$3:$E$94,"&gt;=0")-1,,1,1)</f>
        <v>790</v>
      </c>
      <c r="J16" s="11">
        <f ca="1">OFFSET(客服部门消费监控!$F$3,COUNTIFS(客服部门消费监控!$F$3:$F$94,"&gt;"&amp;0)-1,0,1,1)</f>
        <v>4</v>
      </c>
      <c r="K16" s="68">
        <f ca="1">OFFSET(客服部门消费监控!$E$3,COUNTIF(客服部门消费监控!$E$3:$E$94,"&gt;=0")-1,,1,1)-OFFSET(客服部门消费监控!$E$3,COUNTIF(客服部门消费监控!$E$3:$E$94,"&gt;=0")-2,,1,1)</f>
        <v>1.64999999999998</v>
      </c>
      <c r="L16" s="11">
        <f ca="1" t="shared" si="2"/>
        <v>197.5</v>
      </c>
      <c r="M16" s="69">
        <f>SUMIFS(客服部门消费监控!$E$3:$E$94,客服部门消费监控!$A$3:$A$94,"&gt;="&amp;DATE(2023,8,1))</f>
        <v>11190.61</v>
      </c>
      <c r="T16" s="62"/>
    </row>
    <row r="17" spans="1:19">
      <c r="A17" s="8">
        <v>45123</v>
      </c>
      <c r="B17" s="9">
        <f t="shared" si="0"/>
        <v>511026.64</v>
      </c>
      <c r="C17" s="9">
        <f>IF(客服部门消费监控!AI18="","",客服部门消费监控!AI18)</f>
        <v>125639.64</v>
      </c>
      <c r="D17" s="9">
        <f>IF(客服部门消费监控!AI18="","",客服部门消费监控!AJ18)</f>
        <v>121</v>
      </c>
      <c r="E17" s="9">
        <f>IF(客服部门消费监控!AI18="","",客服部门消费监控!AK18)</f>
        <v>1038.3441322314</v>
      </c>
      <c r="F17" s="9">
        <f>IF(客服部门消费监控!AI18="","",客服部门消费监控!AC18)</f>
        <v>385387</v>
      </c>
      <c r="H17" s="31" t="s">
        <v>44</v>
      </c>
      <c r="I17" s="11">
        <f ca="1">OFFSET(客服部门消费监控!$H$3,COUNTIF(客服部门消费监控!$H$3:$H$94,"&gt;=0")-1,,1,1)</f>
        <v>3767.54</v>
      </c>
      <c r="J17" s="11">
        <f ca="1">OFFSET(客服部门消费监控!$I$3,COUNTIF(客服部门消费监控!$I$3:$I$94,"&gt;=0")-1,,1,1)</f>
        <v>9</v>
      </c>
      <c r="K17" s="68">
        <f ca="1">OFFSET(客服部门消费监控!$H$3,COUNTIF(客服部门消费监控!$H$3:$H$94,"&gt;=0")-1,,1,1)-OFFSET(客服部门消费监控!$H$3,COUNTIF(客服部门消费监控!$H$3:$H$94,"&gt;=0")-2,,1,1)</f>
        <v>-61.4700000000003</v>
      </c>
      <c r="L17" s="11">
        <f ca="1" t="shared" si="2"/>
        <v>418.615555555556</v>
      </c>
      <c r="M17" s="69">
        <f>SUMIFS(客服部门消费监控!$H$3:$H$94,客服部门消费监控!$A$3:$A$94,"&gt;="&amp;DATE(2023,8,1))</f>
        <v>51487.73</v>
      </c>
      <c r="S17" s="62"/>
    </row>
    <row r="18" spans="1:19">
      <c r="A18" s="8">
        <v>45124</v>
      </c>
      <c r="B18" s="9">
        <f t="shared" si="0"/>
        <v>428878.14</v>
      </c>
      <c r="C18" s="9">
        <f>IF(客服部门消费监控!AI19="","",客服部门消费监控!AI19)</f>
        <v>111396.58</v>
      </c>
      <c r="D18" s="9">
        <f>IF(客服部门消费监控!AI19="","",客服部门消费监控!AJ19)</f>
        <v>133</v>
      </c>
      <c r="E18" s="9">
        <f>IF(客服部门消费监控!AI19="","",客服部门消费监控!AK19)</f>
        <v>837.568270676692</v>
      </c>
      <c r="F18" s="9">
        <f>IF(客服部门消费监控!AI19="","",客服部门消费监控!AC19)</f>
        <v>317481.56</v>
      </c>
      <c r="H18" s="31" t="s">
        <v>45</v>
      </c>
      <c r="I18" s="11">
        <f ca="1">OFFSET(客服部门消费监控!$K$3,COUNTIF(客服部门消费监控!$K$3:$K$94,"&gt;=0")-1,,1,1)</f>
        <v>0</v>
      </c>
      <c r="J18" s="11">
        <f ca="1">OFFSET(客服部门消费监控!$L$3,COUNTIF(客服部门消费监控!$L$3:$L$94,"&gt;=0")-1,,1,1)</f>
        <v>0</v>
      </c>
      <c r="K18" s="68">
        <f ca="1">OFFSET(客服部门消费监控!$K$3,COUNTIF(客服部门消费监控!$K$3:$K$94,"&gt;=0")-1,,1,1)-OFFSET(客服部门消费监控!$K$3,COUNTIF(客服部门消费监控!$K$3:$K$94,"&gt;=0")-2,,1,1)</f>
        <v>0</v>
      </c>
      <c r="L18" s="11" t="str">
        <f ca="1" t="shared" si="2"/>
        <v>-</v>
      </c>
      <c r="M18" s="69">
        <f>SUMIFS(客服部门消费监控!$K$3:$K$94,客服部门消费监控!$A$3:$A$94,"&gt;="&amp;DATE(2023,8,1))</f>
        <v>0</v>
      </c>
      <c r="R18" s="62"/>
      <c r="S18" s="62"/>
    </row>
    <row r="19" spans="1:19">
      <c r="A19" s="8">
        <v>45125</v>
      </c>
      <c r="B19" s="9">
        <f t="shared" si="0"/>
        <v>461951.99</v>
      </c>
      <c r="C19" s="9">
        <f>IF(客服部门消费监控!AI20="","",客服部门消费监控!AI20)</f>
        <v>116229.12</v>
      </c>
      <c r="D19" s="9">
        <f>IF(客服部门消费监控!AI20="","",客服部门消费监控!AJ20)</f>
        <v>135</v>
      </c>
      <c r="E19" s="9">
        <f>IF(客服部门消费监控!AI20="","",客服部门消费监控!AK20)</f>
        <v>860.956444444444</v>
      </c>
      <c r="F19" s="9">
        <f>IF(客服部门消费监控!AI20="","",客服部门消费监控!AC20)</f>
        <v>345722.87</v>
      </c>
      <c r="H19" s="31" t="s">
        <v>46</v>
      </c>
      <c r="I19" s="11">
        <f ca="1">OFFSET(客服部门消费监控!$N$3,COUNTIF(客服部门消费监控!$N$3:$N$94,"&gt;=0")-1,,1,1)</f>
        <v>198.64</v>
      </c>
      <c r="J19" s="11">
        <f ca="1">OFFSET(客服部门消费监控!$O$3,COUNTIF(客服部门消费监控!$O$3:$O$94,"&gt;=0")-1,,1,1)</f>
        <v>8</v>
      </c>
      <c r="K19" s="68">
        <f ca="1">OFFSET(客服部门消费监控!$N$3,COUNTIF(客服部门消费监控!$N$3:$N$94,"&gt;=0")-1,,1,1)-OFFSET(客服部门消费监控!$N$3,COUNTIF(客服部门消费监控!$N$3:$N$94,"&gt;=0")-2,,1,1)</f>
        <v>71.51</v>
      </c>
      <c r="L19" s="11">
        <f ca="1" t="shared" si="2"/>
        <v>24.83</v>
      </c>
      <c r="M19" s="69">
        <f>SUMIFS(客服部门消费监控!$N$3:$N$94,客服部门消费监控!$A$3:$A$94,"&gt;="&amp;DATE(2023,8,1))</f>
        <v>2876.63</v>
      </c>
      <c r="R19" s="62"/>
      <c r="S19" s="62"/>
    </row>
    <row r="20" spans="1:19">
      <c r="A20" s="8">
        <v>45126</v>
      </c>
      <c r="B20" s="9">
        <f t="shared" si="0"/>
        <v>459709.91</v>
      </c>
      <c r="C20" s="9">
        <f>IF(客服部门消费监控!AI21="","",客服部门消费监控!AI21)</f>
        <v>116370.33</v>
      </c>
      <c r="D20" s="9">
        <f>IF(客服部门消费监控!AI21="","",客服部门消费监控!AJ21)</f>
        <v>137</v>
      </c>
      <c r="E20" s="9">
        <f>IF(客服部门消费监控!AI21="","",客服部门消费监控!AK21)</f>
        <v>849.418467153285</v>
      </c>
      <c r="F20" s="9">
        <f>IF(客服部门消费监控!AI21="","",客服部门消费监控!AC21)</f>
        <v>343339.58</v>
      </c>
      <c r="H20" s="31" t="s">
        <v>47</v>
      </c>
      <c r="I20" s="11">
        <f ca="1">OFFSET(客服部门消费监控!$Q$3,COUNTIF(客服部门消费监控!$Q$3:$Q$94,"&gt;=0")-1,,1,1)</f>
        <v>182.52</v>
      </c>
      <c r="J20" s="11">
        <f ca="1">OFFSET(客服部门消费监控!$R$3,COUNTIF(客服部门消费监控!$R$3:$R$94,"&gt;=0")-1,,1,1)</f>
        <v>4</v>
      </c>
      <c r="K20" s="68">
        <f ca="1">OFFSET(客服部门消费监控!$Q$3,COUNTIF(客服部门消费监控!$Q$3:$Q$94,"&gt;=0")-1,,1,1)-OFFSET(客服部门消费监控!$Q$3,COUNTIF(客服部门消费监控!$Q$3:$Q$94,"&gt;=0")-2,,1,1)</f>
        <v>-32.36</v>
      </c>
      <c r="L20" s="11">
        <f ca="1" t="shared" si="2"/>
        <v>45.63</v>
      </c>
      <c r="M20" s="69">
        <f>SUMIFS(客服部门消费监控!$Q$3:$Q$94,客服部门消费监控!$A$3:$A$94,"&gt;="&amp;DATE(2023,8,1))</f>
        <v>5103.98</v>
      </c>
      <c r="R20" s="62"/>
      <c r="S20" s="62"/>
    </row>
    <row r="21" spans="1:19">
      <c r="A21" s="8">
        <v>45127</v>
      </c>
      <c r="B21" s="9">
        <f t="shared" si="0"/>
        <v>435978.4</v>
      </c>
      <c r="C21" s="9">
        <f>IF(客服部门消费监控!AI22="","",客服部门消费监控!AI22)</f>
        <v>114561.39</v>
      </c>
      <c r="D21" s="9">
        <f>IF(客服部门消费监控!AI22="","",客服部门消费监控!AJ22)</f>
        <v>136</v>
      </c>
      <c r="E21" s="9">
        <f>IF(客服部门消费监控!AI22="","",客服部门消费监控!AK22)</f>
        <v>842.363161764706</v>
      </c>
      <c r="F21" s="9">
        <f>IF(客服部门消费监控!AI22="","",客服部门消费监控!AC22)</f>
        <v>321417.01</v>
      </c>
      <c r="H21" s="31" t="s">
        <v>48</v>
      </c>
      <c r="I21" s="11">
        <f ca="1">OFFSET(客服部门消费监控!$T$3,COUNTIF(客服部门消费监控!$T$3:$T$94,"&gt;=0")-1,,1,1)</f>
        <v>9599.85</v>
      </c>
      <c r="J21" s="11">
        <f ca="1">OFFSET(客服部门消费监控!$U$3,COUNTIF(客服部门消费监控!$U$3:$U$94,"&gt;=0")-1,,1,1)</f>
        <v>24</v>
      </c>
      <c r="K21" s="68">
        <f ca="1">OFFSET(客服部门消费监控!$T$3,COUNTIF(客服部门消费监控!$T$3:$T$94,"&gt;=0")-1,,1,1)-OFFSET(客服部门消费监控!$T$3,COUNTIF(客服部门消费监控!$T$3:$T$94,"&gt;=0")-2,,1,1)</f>
        <v>-726.779999999999</v>
      </c>
      <c r="L21" s="11">
        <f ca="1" t="shared" si="2"/>
        <v>399.99375</v>
      </c>
      <c r="M21" s="69">
        <f>SUMIFS(客服部门消费监控!$T$3:$T$94,客服部门消费监控!$A$3:$A$94,"&gt;="&amp;DATE(2023,8,1))</f>
        <v>123462.78</v>
      </c>
      <c r="R21" s="62"/>
      <c r="S21" s="62"/>
    </row>
    <row r="22" spans="1:19">
      <c r="A22" s="8">
        <v>45128</v>
      </c>
      <c r="B22" s="9">
        <f t="shared" si="0"/>
        <v>416291.11</v>
      </c>
      <c r="C22" s="9">
        <f>IF(客服部门消费监控!AI23="","",客服部门消费监控!AI23)</f>
        <v>114137.58</v>
      </c>
      <c r="D22" s="9">
        <f>IF(客服部门消费监控!AI23="","",客服部门消费监控!AJ23)</f>
        <v>134</v>
      </c>
      <c r="E22" s="9">
        <f>IF(客服部门消费监控!AI23="","",客服部门消费监控!AK23)</f>
        <v>851.772985074626</v>
      </c>
      <c r="F22" s="9">
        <f>IF(客服部门消费监控!AI23="","",客服部门消费监控!AC23)</f>
        <v>302153.53</v>
      </c>
      <c r="H22" s="31" t="s">
        <v>49</v>
      </c>
      <c r="I22" s="11">
        <f ca="1">OFFSET(客服部门消费监控!$W$3,COUNTIF(客服部门消费监控!$W$3:$W$94,"&gt;=0")-1,,1,1)</f>
        <v>16342.55</v>
      </c>
      <c r="J22" s="11">
        <f ca="1">OFFSET(客服部门消费监控!$X$3,COUNTIF(客服部门消费监控!$X$3:$X$94,"&gt;=0")-1,,1,1)</f>
        <v>16</v>
      </c>
      <c r="K22" s="68">
        <f ca="1">OFFSET(客服部门消费监控!$W$3,COUNTIF(客服部门消费监控!$W$3:$W$94,"&gt;=0")-1,,1,1)-OFFSET(客服部门消费监控!$W$3,COUNTIF(客服部门消费监控!$W$3:$W$94,"&gt;=0")-2,,1,1)</f>
        <v>-3543.23</v>
      </c>
      <c r="L22" s="11">
        <f ca="1" t="shared" si="2"/>
        <v>1021.409375</v>
      </c>
      <c r="M22" s="69">
        <f>SUMIFS(客服部门消费监控!$W$3:$W$94,客服部门消费监控!$A$3:$A$94,"&gt;="&amp;DATE(2023,8,1))</f>
        <v>242915.05</v>
      </c>
      <c r="S22" s="62"/>
    </row>
    <row r="23" spans="1:19">
      <c r="A23" s="8">
        <v>45129</v>
      </c>
      <c r="B23" s="9">
        <f t="shared" si="0"/>
        <v>461582.63</v>
      </c>
      <c r="C23" s="9">
        <f>IF(客服部门消费监控!AI24="","",客服部门消费监控!AI24)</f>
        <v>164422.92</v>
      </c>
      <c r="D23" s="9">
        <f>IF(客服部门消费监控!AI24="","",客服部门消费监控!AJ24)</f>
        <v>128</v>
      </c>
      <c r="E23" s="9">
        <f>IF(客服部门消费监控!AI24="","",客服部门消费监控!AK24)</f>
        <v>1284.5540625</v>
      </c>
      <c r="F23" s="9">
        <f>IF(客服部门消费监控!AI24="","",客服部门消费监控!AC24)</f>
        <v>297159.71</v>
      </c>
      <c r="H23" s="31" t="s">
        <v>50</v>
      </c>
      <c r="I23" s="11">
        <f ca="1">OFFSET(客服部门消费监控!$Z$3,COUNTIF(客服部门消费监控!$Z$3:$Z$94,"&gt;=0")-1,,1,1)</f>
        <v>718.95</v>
      </c>
      <c r="J23" s="11">
        <f ca="1">OFFSET(客服部门消费监控!$AA$3,COUNTIF(客服部门消费监控!$AA$3:$AA$94,"&gt;=0")-1,,1,1)</f>
        <v>6</v>
      </c>
      <c r="K23" s="68">
        <f ca="1">OFFSET(客服部门消费监控!$Z$3,COUNTIF(客服部门消费监控!$Z$3:$Z$94,"&gt;=0")-1,,1,1)-OFFSET(客服部门消费监控!$Z$3,COUNTIF(客服部门消费监控!$Z$3:$Z$94,"&gt;=0")-2,,1,1)</f>
        <v>319.86</v>
      </c>
      <c r="L23" s="11">
        <f ca="1" t="shared" si="2"/>
        <v>119.825</v>
      </c>
      <c r="M23" s="69">
        <f>SUMIFS(客服部门消费监控!$Z$3:$Z$94,客服部门消费监控!$A$3:$A$94,"&gt;="&amp;DATE(2023,8,1))</f>
        <v>6751.29</v>
      </c>
      <c r="S23" s="62"/>
    </row>
    <row r="24" spans="1:19">
      <c r="A24" s="8">
        <v>45130</v>
      </c>
      <c r="B24" s="9">
        <f t="shared" si="0"/>
        <v>484191.22</v>
      </c>
      <c r="C24" s="9">
        <f>IF(客服部门消费监控!AI25="","",客服部门消费监控!AI25)</f>
        <v>171303.75</v>
      </c>
      <c r="D24" s="9">
        <f>IF(客服部门消费监控!AI25="","",客服部门消费监控!AJ25)</f>
        <v>124</v>
      </c>
      <c r="E24" s="9">
        <f>IF(客服部门消费监控!AI25="","",客服部门消费监控!AK25)</f>
        <v>1381.48185483871</v>
      </c>
      <c r="F24" s="9">
        <f>IF(客服部门消费监控!AI25="","",客服部门消费监控!AC25)</f>
        <v>312887.47</v>
      </c>
      <c r="H24" s="31" t="s">
        <v>35</v>
      </c>
      <c r="I24" s="11">
        <f ca="1">OFFSET(客服部门消费监控!$AC$3,COUNTIF(客服部门消费监控!$AC$3:$AC$94,"&gt;=0")-1,,1,1)</f>
        <v>311344.21</v>
      </c>
      <c r="J24" s="11">
        <f ca="1">OFFSET(客服部门消费监控!$AD$3,COUNTIF(客服部门消费监控!$AD$3:$AD$94,"&gt;=0")-1,,1,1)</f>
        <v>379</v>
      </c>
      <c r="K24" s="68">
        <f ca="1">OFFSET(客服部门消费监控!$AC$3,COUNTIF(客服部门消费监控!$AC$3:$AC$94,"&gt;=0")-1,,1,1)-OFFSET(客服部门消费监控!$AC$3,COUNTIF(客服部门消费监控!$AC$3:$AC$94,"&gt;=0")-2,,1,1)</f>
        <v>-21283.8300000002</v>
      </c>
      <c r="L24" s="11">
        <f ca="1" t="shared" si="2"/>
        <v>821.488680738786</v>
      </c>
      <c r="M24" s="69">
        <f>SUMIFS(客服部门消费监控!$AC$3:$AC$94,客服部门消费监控!$A$3:$A$94,"&gt;="&amp;DATE(2023,8,1))</f>
        <v>4550052.29</v>
      </c>
      <c r="S24" s="62"/>
    </row>
    <row r="25" spans="1:19">
      <c r="A25" s="8">
        <v>45131</v>
      </c>
      <c r="B25" s="9">
        <f t="shared" si="0"/>
        <v>477196.83</v>
      </c>
      <c r="C25" s="9">
        <f>IF(客服部门消费监控!AI26="","",客服部门消费监控!AI26)</f>
        <v>171407.12</v>
      </c>
      <c r="D25" s="9">
        <f>IF(客服部门消费监控!AI26="","",客服部门消费监控!AJ26)</f>
        <v>134</v>
      </c>
      <c r="E25" s="9">
        <f>IF(客服部门消费监控!AI26="","",客服部门消费监控!AK26)</f>
        <v>1279.1576119403</v>
      </c>
      <c r="F25" s="9">
        <f>IF(客服部门消费监控!AI26="","",客服部门消费监控!AC26)</f>
        <v>305789.71</v>
      </c>
      <c r="H25" s="31" t="s">
        <v>51</v>
      </c>
      <c r="I25" s="11">
        <f ca="1">OFFSET(客服部门消费监控!$AF$3,COUNTIF(客服部门消费监控!$AF$3:$AF$94,"&gt;=0")-1,,1,1)</f>
        <v>0</v>
      </c>
      <c r="J25" s="11">
        <f ca="1">OFFSET(客服部门消费监控!$AG$3,COUNTIF(客服部门消费监控!$AG$3:$AG$94,"&gt;=0")-1,,1,1)</f>
        <v>0</v>
      </c>
      <c r="K25" s="68">
        <f ca="1">OFFSET(客服部门消费监控!$AF$3,COUNTIF(客服部门消费监控!$AF$3:$AF$94,"&gt;=0")-1,,1,1)-OFFSET(客服部门消费监控!$AF$3,COUNTIF(客服部门消费监控!$AF$3:$AF$94,"&gt;=0")-2,,1,1)</f>
        <v>0</v>
      </c>
      <c r="L25" s="11" t="str">
        <f ca="1" t="shared" si="2"/>
        <v>-</v>
      </c>
      <c r="M25" s="69">
        <f>SUMIFS(客服部门消费监控!$AF$3:$AF$94,客服部门消费监控!$A$3:$A$94,"&gt;="&amp;DATE(2023,8,1))</f>
        <v>0</v>
      </c>
      <c r="S25" s="62"/>
    </row>
    <row r="26" spans="1:19">
      <c r="A26" s="8">
        <v>45132</v>
      </c>
      <c r="B26" s="9">
        <f t="shared" si="0"/>
        <v>468083.38</v>
      </c>
      <c r="C26" s="9">
        <f>IF(客服部门消费监控!AI27="","",客服部门消费监控!AI27)</f>
        <v>160564.96</v>
      </c>
      <c r="D26" s="9">
        <f>IF(客服部门消费监控!AI27="","",客服部门消费监控!AJ27)</f>
        <v>134</v>
      </c>
      <c r="E26" s="9">
        <f>IF(客服部门消费监控!AI27="","",客服部门消费监控!AK27)</f>
        <v>1198.24597014925</v>
      </c>
      <c r="F26" s="9">
        <f>IF(客服部门消费监控!AI27="","",客服部门消费监控!AC27)</f>
        <v>307518.42</v>
      </c>
      <c r="H26" s="31" t="s">
        <v>37</v>
      </c>
      <c r="I26" s="69">
        <f ca="1">SUM(I15:I25)</f>
        <v>483199.33</v>
      </c>
      <c r="J26" s="31">
        <f ca="1">SUM(J15:J25)</f>
        <v>504</v>
      </c>
      <c r="K26" s="68">
        <f ca="1">SUM(K15:K25)</f>
        <v>-34008.7700000002</v>
      </c>
      <c r="L26" s="11">
        <f ca="1" t="shared" si="2"/>
        <v>958.728829365079</v>
      </c>
      <c r="M26" s="69">
        <f>SUM(M15:M25)</f>
        <v>6878338.9</v>
      </c>
      <c r="Q26" s="71"/>
      <c r="R26" s="62"/>
      <c r="S26" s="62"/>
    </row>
    <row r="27" spans="1:6">
      <c r="A27" s="8">
        <v>45133</v>
      </c>
      <c r="B27" s="9">
        <f t="shared" si="0"/>
        <v>467702.45</v>
      </c>
      <c r="C27" s="9">
        <f>IF(客服部门消费监控!AI28="","",客服部门消费监控!AI28)</f>
        <v>165184.47</v>
      </c>
      <c r="D27" s="9">
        <f>IF(客服部门消费监控!AI28="","",客服部门消费监控!AJ28)</f>
        <v>131</v>
      </c>
      <c r="E27" s="9">
        <f>IF(客服部门消费监控!AI28="","",客服部门消费监控!AK28)</f>
        <v>1260.95015267176</v>
      </c>
      <c r="F27" s="9">
        <f>IF(客服部门消费监控!AI28="","",客服部门消费监控!AC28)</f>
        <v>302517.98</v>
      </c>
    </row>
    <row r="28" spans="1:6">
      <c r="A28" s="8">
        <v>45134</v>
      </c>
      <c r="B28" s="9">
        <f t="shared" si="0"/>
        <v>440073.68</v>
      </c>
      <c r="C28" s="9">
        <f>IF(客服部门消费监控!AI29="","",客服部门消费监控!AI29)</f>
        <v>137655.61</v>
      </c>
      <c r="D28" s="9">
        <f>IF(客服部门消费监控!AI29="","",客服部门消费监控!AJ29)</f>
        <v>131</v>
      </c>
      <c r="E28" s="9">
        <f>IF(客服部门消费监控!AI29="","",客服部门消费监控!AK29)</f>
        <v>1050.80618320611</v>
      </c>
      <c r="F28" s="9">
        <f>IF(客服部门消费监控!AI29="","",客服部门消费监控!AC29)</f>
        <v>302418.07</v>
      </c>
    </row>
    <row r="29" spans="1:18">
      <c r="A29" s="8">
        <v>45135</v>
      </c>
      <c r="B29" s="9">
        <f t="shared" si="0"/>
        <v>493618.74</v>
      </c>
      <c r="C29" s="9">
        <f>IF(客服部门消费监控!AI30="","",客服部门消费监控!AI30)</f>
        <v>160799.24</v>
      </c>
      <c r="D29" s="9">
        <f>IF(客服部门消费监控!AI30="","",客服部门消费监控!AJ30)</f>
        <v>129</v>
      </c>
      <c r="E29" s="9">
        <f>IF(客服部门消费监控!AI30="","",客服部门消费监控!AK30)</f>
        <v>1246.50573643411</v>
      </c>
      <c r="F29" s="9">
        <f>IF(客服部门消费监控!AI30="","",客服部门消费监控!AC30)</f>
        <v>332819.5</v>
      </c>
      <c r="R29" s="62"/>
    </row>
    <row r="30" spans="1:6">
      <c r="A30" s="8">
        <v>45136</v>
      </c>
      <c r="B30" s="9">
        <f t="shared" si="0"/>
        <v>443236.36</v>
      </c>
      <c r="C30" s="9">
        <f>IF(客服部门消费监控!AI31="","",客服部门消费监控!AI31)</f>
        <v>144163.18</v>
      </c>
      <c r="D30" s="9">
        <f>IF(客服部门消费监控!AI31="","",客服部门消费监控!AJ31)</f>
        <v>121</v>
      </c>
      <c r="E30" s="9">
        <f>IF(客服部门消费监控!AI31="","",客服部门消费监控!AK31)</f>
        <v>1191.43123966942</v>
      </c>
      <c r="F30" s="9">
        <f>IF(客服部门消费监控!AI31="","",客服部门消费监控!AC31)</f>
        <v>299073.18</v>
      </c>
    </row>
    <row r="31" spans="1:19">
      <c r="A31" s="8">
        <v>45137</v>
      </c>
      <c r="B31" s="9">
        <f t="shared" si="0"/>
        <v>475860.43</v>
      </c>
      <c r="C31" s="9">
        <f>IF(客服部门消费监控!AI32="","",客服部门消费监控!AI32)</f>
        <v>175650.79</v>
      </c>
      <c r="D31" s="9">
        <f>IF(客服部门消费监控!AI32="","",客服部门消费监控!AJ32)</f>
        <v>120</v>
      </c>
      <c r="E31" s="9">
        <f>IF(客服部门消费监控!AI32="","",客服部门消费监控!AK32)</f>
        <v>1463.75658333333</v>
      </c>
      <c r="F31" s="9">
        <f>IF(客服部门消费监控!AI32="","",客服部门消费监控!AC32)</f>
        <v>300209.64</v>
      </c>
      <c r="S31" s="62"/>
    </row>
    <row r="32" spans="1:6">
      <c r="A32" s="8">
        <v>45138</v>
      </c>
      <c r="B32" s="9">
        <f t="shared" si="0"/>
        <v>469453.92</v>
      </c>
      <c r="C32" s="9">
        <f>IF(客服部门消费监控!AI33="","",客服部门消费监控!AI33)</f>
        <v>170857.75</v>
      </c>
      <c r="D32" s="9">
        <f>IF(客服部门消费监控!AI33="","",客服部门消费监控!AJ33)</f>
        <v>126</v>
      </c>
      <c r="E32" s="9">
        <f>IF(客服部门消费监控!AI33="","",客服部门消费监控!AK33)</f>
        <v>1356.01388888889</v>
      </c>
      <c r="F32" s="9">
        <f>IF(客服部门消费监控!AI33="","",客服部门消费监控!AC33)</f>
        <v>298596.17</v>
      </c>
    </row>
    <row r="33" spans="1:6">
      <c r="A33" s="8">
        <v>45139</v>
      </c>
      <c r="B33" s="9">
        <f t="shared" si="0"/>
        <v>442608.02</v>
      </c>
      <c r="C33" s="9">
        <f>IF(客服部门消费监控!AI34="","",客服部门消费监控!AI34)</f>
        <v>140751.24</v>
      </c>
      <c r="D33" s="9">
        <f>IF(客服部门消费监控!AI34="","",客服部门消费监控!AJ34)</f>
        <v>126</v>
      </c>
      <c r="E33" s="9">
        <f>IF(客服部门消费监控!AI34="","",客服部门消费监控!AK34)</f>
        <v>1117.07333333333</v>
      </c>
      <c r="F33" s="9">
        <f>IF(客服部门消费监控!AI34="","",客服部门消费监控!AC34)</f>
        <v>301856.78</v>
      </c>
    </row>
    <row r="34" spans="1:6">
      <c r="A34" s="8">
        <v>45140</v>
      </c>
      <c r="B34" s="9">
        <f t="shared" si="0"/>
        <v>426386.09</v>
      </c>
      <c r="C34" s="9">
        <f>IF(客服部门消费监控!AI35="","",客服部门消费监控!AI35)</f>
        <v>141734</v>
      </c>
      <c r="D34" s="9">
        <f>IF(客服部门消费监控!AI35="","",客服部门消费监控!AJ35)</f>
        <v>125</v>
      </c>
      <c r="E34" s="9">
        <f>IF(客服部门消费监控!AI35="","",客服部门消费监控!AK35)</f>
        <v>1133.872</v>
      </c>
      <c r="F34" s="9">
        <f>IF(客服部门消费监控!AI35="","",客服部门消费监控!AC35)</f>
        <v>284652.09</v>
      </c>
    </row>
    <row r="35" spans="1:6">
      <c r="A35" s="8">
        <v>45141</v>
      </c>
      <c r="B35" s="9">
        <f t="shared" si="0"/>
        <v>422259.8</v>
      </c>
      <c r="C35" s="9">
        <f>IF(客服部门消费监控!AI36="","",客服部门消费监控!AI36)</f>
        <v>151992.87</v>
      </c>
      <c r="D35" s="9">
        <f>IF(客服部门消费监控!AI36="","",客服部门消费监控!AJ36)</f>
        <v>125</v>
      </c>
      <c r="E35" s="9">
        <f>IF(客服部门消费监控!AI36="","",客服部门消费监控!AK36)</f>
        <v>1215.94296</v>
      </c>
      <c r="F35" s="9">
        <f>IF(客服部门消费监控!AI36="","",客服部门消费监控!AC36)</f>
        <v>270266.93</v>
      </c>
    </row>
    <row r="36" ht="18" customHeight="1" spans="1:8">
      <c r="A36" s="8">
        <v>45142</v>
      </c>
      <c r="B36" s="9">
        <f t="shared" si="0"/>
        <v>438358.21</v>
      </c>
      <c r="C36" s="9">
        <f>IF(客服部门消费监控!AI37="","",客服部门消费监控!AI37)</f>
        <v>148816.07</v>
      </c>
      <c r="D36" s="9">
        <f>IF(客服部门消费监控!AI37="","",客服部门消费监控!AJ37)</f>
        <v>121</v>
      </c>
      <c r="E36" s="9">
        <f>IF(客服部门消费监控!AI37="","",客服部门消费监控!AK37)</f>
        <v>1229.88487603306</v>
      </c>
      <c r="F36" s="9">
        <f>IF(客服部门消费监控!AI37="","",客服部门消费监控!AC37)</f>
        <v>289542.14</v>
      </c>
      <c r="H36" s="62"/>
    </row>
    <row r="37" spans="1:8">
      <c r="A37" s="8">
        <v>45143</v>
      </c>
      <c r="B37" s="9">
        <f t="shared" si="0"/>
        <v>515848</v>
      </c>
      <c r="C37" s="9">
        <f>IF(客服部门消费监控!AI38="","",客服部门消费监控!AI38)</f>
        <v>160560.16</v>
      </c>
      <c r="D37" s="9">
        <f>IF(客服部门消费监控!AI38="","",客服部门消费监控!AJ38)</f>
        <v>117</v>
      </c>
      <c r="E37" s="9">
        <f>IF(客服部门消费监控!AI38="","",客服部门消费监控!AK38)</f>
        <v>1372.30905982906</v>
      </c>
      <c r="F37" s="9">
        <f>IF(客服部门消费监控!AI38="","",客服部门消费监控!AC38)</f>
        <v>355287.84</v>
      </c>
      <c r="H37" s="62"/>
    </row>
    <row r="38" spans="1:8">
      <c r="A38" s="8">
        <v>45144</v>
      </c>
      <c r="B38" s="9">
        <f t="shared" si="0"/>
        <v>533343.11</v>
      </c>
      <c r="C38" s="9">
        <f>IF(客服部门消费监控!AI39="","",客服部门消费监控!AI39)</f>
        <v>174276.21</v>
      </c>
      <c r="D38" s="9">
        <f>IF(客服部门消费监控!AI39="","",客服部门消费监控!AJ39)</f>
        <v>112</v>
      </c>
      <c r="E38" s="9">
        <f>IF(客服部门消费监控!AI39="","",客服部门消费监控!AK39)</f>
        <v>1556.03758928571</v>
      </c>
      <c r="F38" s="9">
        <f>IF(客服部门消费监控!AI39="","",客服部门消费监控!AC39)</f>
        <v>359066.9</v>
      </c>
      <c r="H38" s="62"/>
    </row>
    <row r="39" spans="1:8">
      <c r="A39" s="8">
        <v>45145</v>
      </c>
      <c r="B39" s="9">
        <f t="shared" si="0"/>
        <v>493633.72</v>
      </c>
      <c r="C39" s="9">
        <f>IF(客服部门消费监控!AI40="","",客服部门消费监控!AI40)</f>
        <v>149088.25</v>
      </c>
      <c r="D39" s="9">
        <f>IF(客服部门消费监控!AI40="","",客服部门消费监控!AJ40)</f>
        <v>124</v>
      </c>
      <c r="E39" s="9">
        <f>IF(客服部门消费监控!AI40="","",客服部门消费监控!AK40)</f>
        <v>1202.32459677419</v>
      </c>
      <c r="F39" s="9">
        <f>IF(客服部门消费监控!AI40="","",客服部门消费监控!AC40)</f>
        <v>344545.47</v>
      </c>
      <c r="H39" s="62"/>
    </row>
    <row r="40" spans="1:11">
      <c r="A40" s="8">
        <v>45146</v>
      </c>
      <c r="B40" s="9">
        <f t="shared" si="0"/>
        <v>463223.55</v>
      </c>
      <c r="C40" s="9">
        <f>IF(客服部门消费监控!AI41="","",客服部门消费监控!AI41)</f>
        <v>146073.21</v>
      </c>
      <c r="D40" s="9">
        <f>IF(客服部门消费监控!AI41="","",客服部门消费监控!AJ41)</f>
        <v>122</v>
      </c>
      <c r="E40" s="9">
        <f>IF(客服部门消费监控!AI41="","",客服部门消费监控!AK41)</f>
        <v>1197.32139344262</v>
      </c>
      <c r="F40" s="9">
        <f>IF(客服部门消费监控!AI41="","",客服部门消费监控!AC41)</f>
        <v>317150.34</v>
      </c>
      <c r="H40" s="62"/>
      <c r="I40" s="62"/>
      <c r="J40" s="62"/>
      <c r="K40" s="62"/>
    </row>
    <row r="41" spans="1:8">
      <c r="A41" s="8">
        <v>45147</v>
      </c>
      <c r="B41" s="9">
        <f t="shared" si="0"/>
        <v>482515.85</v>
      </c>
      <c r="C41" s="9">
        <f>IF(客服部门消费监控!AI42="","",客服部门消费监控!AI42)</f>
        <v>157456.14</v>
      </c>
      <c r="D41" s="9">
        <f>IF(客服部门消费监控!AI42="","",客服部门消费监控!AJ42)</f>
        <v>123</v>
      </c>
      <c r="E41" s="9">
        <f>IF(客服部门消费监控!AI42="","",客服部门消费监控!AK42)</f>
        <v>1280.1312195122</v>
      </c>
      <c r="F41" s="9">
        <f>IF(客服部门消费监控!AI42="","",客服部门消费监控!AC42)</f>
        <v>325059.71</v>
      </c>
      <c r="H41" s="62"/>
    </row>
    <row r="42" spans="1:8">
      <c r="A42" s="8">
        <v>45148</v>
      </c>
      <c r="B42" s="9">
        <f t="shared" si="0"/>
        <v>505110.52</v>
      </c>
      <c r="C42" s="9">
        <f>IF(客服部门消费监控!AI43="","",客服部门消费监控!AI43)</f>
        <v>180214.95</v>
      </c>
      <c r="D42" s="9">
        <f>IF(客服部门消费监控!AI43="","",客服部门消费监控!AJ43)</f>
        <v>126</v>
      </c>
      <c r="E42" s="9">
        <f>IF(客服部门消费监控!AI43="","",客服部门消费监控!AK43)</f>
        <v>1430.27738095238</v>
      </c>
      <c r="F42" s="9">
        <f>IF(客服部门消费监控!AI43="","",客服部门消费监控!AC43)</f>
        <v>324895.57</v>
      </c>
      <c r="H42" s="62"/>
    </row>
    <row r="43" spans="1:8">
      <c r="A43" s="8">
        <v>45149</v>
      </c>
      <c r="B43" s="9">
        <f t="shared" si="0"/>
        <v>569990.43</v>
      </c>
      <c r="C43" s="9">
        <f>IF(客服部门消费监控!AI44="","",客服部门消费监控!AI44)</f>
        <v>208695.81</v>
      </c>
      <c r="D43" s="9">
        <f>IF(客服部门消费监控!AI44="","",客服部门消费监控!AJ44)</f>
        <v>126</v>
      </c>
      <c r="E43" s="9">
        <f>IF(客服部门消费监控!AI44="","",客服部门消费监控!AK44)</f>
        <v>1656.31595238095</v>
      </c>
      <c r="F43" s="9">
        <f>IF(客服部门消费监控!AI44="","",客服部门消费监控!AC44)</f>
        <v>361294.62</v>
      </c>
      <c r="H43" s="62"/>
    </row>
    <row r="44" spans="1:8">
      <c r="A44" s="8">
        <v>45150</v>
      </c>
      <c r="B44" s="9">
        <f t="shared" si="0"/>
        <v>584654.17</v>
      </c>
      <c r="C44" s="9">
        <f>IF(客服部门消费监控!AI45="","",客服部门消费监控!AI45)</f>
        <v>212192.52</v>
      </c>
      <c r="D44" s="9">
        <f>IF(客服部门消费监控!AI45="","",客服部门消费监控!AJ45)</f>
        <v>118</v>
      </c>
      <c r="E44" s="9">
        <f>IF(客服部门消费监控!AI45="","",客服部门消费监控!AK45)</f>
        <v>1798.24169491525</v>
      </c>
      <c r="F44" s="9">
        <f>IF(客服部门消费监控!AI45="","",客服部门消费监控!AC45)</f>
        <v>372461.65</v>
      </c>
      <c r="H44" s="62"/>
    </row>
    <row r="45" spans="1:8">
      <c r="A45" s="8">
        <v>45151</v>
      </c>
      <c r="B45" s="9">
        <f t="shared" si="0"/>
        <v>517208.1</v>
      </c>
      <c r="C45" s="9">
        <f>IF(客服部门消费监控!AI46="","",客服部门消费监控!AI46)</f>
        <v>184580.06</v>
      </c>
      <c r="D45" s="9">
        <f>IF(客服部门消费监控!AI46="","",客服部门消费监控!AJ46)</f>
        <v>119</v>
      </c>
      <c r="E45" s="9">
        <f>IF(客服部门消费监控!AI46="","",客服部门消费监控!AK46)</f>
        <v>1551.09294117647</v>
      </c>
      <c r="F45" s="9">
        <f>IF(客服部门消费监控!AI46="","",客服部门消费监控!AC46)</f>
        <v>332628.04</v>
      </c>
      <c r="G45" s="63"/>
      <c r="H45" s="62"/>
    </row>
    <row r="46" spans="1:8">
      <c r="A46" s="8">
        <v>45152</v>
      </c>
      <c r="B46" s="9">
        <f t="shared" si="0"/>
        <v>483199.33</v>
      </c>
      <c r="C46" s="9">
        <f>IF(客服部门消费监控!AI47="","",客服部门消费监控!AI47)</f>
        <v>171855.12</v>
      </c>
      <c r="D46" s="9">
        <f>IF(客服部门消费监控!AI47="","",客服部门消费监控!AJ47)</f>
        <v>125</v>
      </c>
      <c r="E46" s="9">
        <f>IF(客服部门消费监控!AI47="","",客服部门消费监控!AK47)</f>
        <v>1374.84096</v>
      </c>
      <c r="F46" s="9">
        <f>IF(客服部门消费监控!AI47="","",客服部门消费监控!AC47)</f>
        <v>311344.21</v>
      </c>
      <c r="H46" s="62"/>
    </row>
    <row r="47" spans="1:8">
      <c r="A47" s="8">
        <v>45153</v>
      </c>
      <c r="B47" s="9" t="str">
        <f t="shared" si="0"/>
        <v/>
      </c>
      <c r="C47" s="9" t="str">
        <f>IF(客服部门消费监控!AI48="","",客服部门消费监控!AI48)</f>
        <v/>
      </c>
      <c r="D47" s="9" t="str">
        <f>IF(客服部门消费监控!AI48="","",客服部门消费监控!AJ48)</f>
        <v/>
      </c>
      <c r="E47" s="9" t="str">
        <f>IF(客服部门消费监控!AI48="","",客服部门消费监控!AK48)</f>
        <v/>
      </c>
      <c r="F47" s="9" t="str">
        <f>IF(客服部门消费监控!AI48="","",客服部门消费监控!AC48)</f>
        <v/>
      </c>
      <c r="G47" s="61"/>
      <c r="H47" s="62"/>
    </row>
    <row r="48" spans="1:8">
      <c r="A48" s="8">
        <v>45154</v>
      </c>
      <c r="B48" s="9" t="str">
        <f t="shared" si="0"/>
        <v/>
      </c>
      <c r="C48" s="9" t="str">
        <f>IF(客服部门消费监控!AI49="","",客服部门消费监控!AI49)</f>
        <v/>
      </c>
      <c r="D48" s="9" t="str">
        <f>IF(客服部门消费监控!AI49="","",客服部门消费监控!AJ49)</f>
        <v/>
      </c>
      <c r="E48" s="9" t="str">
        <f>IF(客服部门消费监控!AI49="","",客服部门消费监控!AK49)</f>
        <v/>
      </c>
      <c r="F48" s="9" t="str">
        <f>IF(客服部门消费监控!AI49="","",客服部门消费监控!AC49)</f>
        <v/>
      </c>
      <c r="G48" s="62"/>
      <c r="H48" s="62"/>
    </row>
    <row r="49" spans="1:8">
      <c r="A49" s="8">
        <v>45155</v>
      </c>
      <c r="B49" s="9" t="str">
        <f t="shared" si="0"/>
        <v/>
      </c>
      <c r="C49" s="9" t="str">
        <f>IF(客服部门消费监控!AI50="","",客服部门消费监控!AI50)</f>
        <v/>
      </c>
      <c r="D49" s="9" t="str">
        <f>IF(客服部门消费监控!AI50="","",客服部门消费监控!AJ50)</f>
        <v/>
      </c>
      <c r="E49" s="9" t="str">
        <f>IF(客服部门消费监控!AI50="","",客服部门消费监控!AK50)</f>
        <v/>
      </c>
      <c r="F49" s="9" t="str">
        <f>IF(客服部门消费监控!AI50="","",客服部门消费监控!AC50)</f>
        <v/>
      </c>
      <c r="H49" s="62"/>
    </row>
    <row r="50" spans="1:8">
      <c r="A50" s="8">
        <v>45156</v>
      </c>
      <c r="B50" s="9" t="str">
        <f t="shared" si="0"/>
        <v/>
      </c>
      <c r="C50" s="9" t="str">
        <f>IF(客服部门消费监控!AI51="","",客服部门消费监控!AI51)</f>
        <v/>
      </c>
      <c r="D50" s="9" t="str">
        <f>IF(客服部门消费监控!AI51="","",客服部门消费监控!AJ51)</f>
        <v/>
      </c>
      <c r="E50" s="9" t="str">
        <f>IF(客服部门消费监控!AI51="","",客服部门消费监控!AK51)</f>
        <v/>
      </c>
      <c r="F50" s="9" t="str">
        <f>IF(客服部门消费监控!AI51="","",客服部门消费监控!AC51)</f>
        <v/>
      </c>
      <c r="H50" s="62"/>
    </row>
    <row r="51" spans="1:8">
      <c r="A51" s="8">
        <v>45157</v>
      </c>
      <c r="B51" s="9" t="str">
        <f t="shared" si="0"/>
        <v/>
      </c>
      <c r="C51" s="9" t="str">
        <f>IF(客服部门消费监控!AI52="","",客服部门消费监控!AI52)</f>
        <v/>
      </c>
      <c r="D51" s="9" t="str">
        <f>IF(客服部门消费监控!AI52="","",客服部门消费监控!AJ52)</f>
        <v/>
      </c>
      <c r="E51" s="9" t="str">
        <f>IF(客服部门消费监控!AI52="","",客服部门消费监控!AK52)</f>
        <v/>
      </c>
      <c r="F51" s="9" t="str">
        <f>IF(客服部门消费监控!AI52="","",客服部门消费监控!AC52)</f>
        <v/>
      </c>
      <c r="H51" s="62"/>
    </row>
    <row r="52" spans="1:8">
      <c r="A52" s="8">
        <v>45158</v>
      </c>
      <c r="B52" s="9" t="str">
        <f t="shared" si="0"/>
        <v/>
      </c>
      <c r="C52" s="9" t="str">
        <f>IF(客服部门消费监控!AI53="","",客服部门消费监控!AI53)</f>
        <v/>
      </c>
      <c r="D52" s="9" t="str">
        <f>IF(客服部门消费监控!AI53="","",客服部门消费监控!AJ53)</f>
        <v/>
      </c>
      <c r="E52" s="9" t="str">
        <f>IF(客服部门消费监控!AI53="","",客服部门消费监控!AK53)</f>
        <v/>
      </c>
      <c r="F52" s="9" t="str">
        <f>IF(客服部门消费监控!AI53="","",客服部门消费监控!AC53)</f>
        <v/>
      </c>
      <c r="H52" s="62"/>
    </row>
    <row r="53" spans="1:8">
      <c r="A53" s="8">
        <v>45159</v>
      </c>
      <c r="B53" s="9" t="str">
        <f t="shared" si="0"/>
        <v/>
      </c>
      <c r="C53" s="9" t="str">
        <f>IF(客服部门消费监控!AI54="","",客服部门消费监控!AI54)</f>
        <v/>
      </c>
      <c r="D53" s="9" t="str">
        <f>IF(客服部门消费监控!AI54="","",客服部门消费监控!AJ54)</f>
        <v/>
      </c>
      <c r="E53" s="9" t="str">
        <f>IF(客服部门消费监控!AI54="","",客服部门消费监控!AK54)</f>
        <v/>
      </c>
      <c r="F53" s="9" t="str">
        <f>IF(客服部门消费监控!AI54="","",客服部门消费监控!AC54)</f>
        <v/>
      </c>
      <c r="G53" s="61"/>
      <c r="H53" s="62"/>
    </row>
    <row r="54" spans="1:8">
      <c r="A54" s="8">
        <v>45160</v>
      </c>
      <c r="B54" s="9" t="str">
        <f t="shared" si="0"/>
        <v/>
      </c>
      <c r="C54" s="9" t="str">
        <f>IF(客服部门消费监控!AI55="","",客服部门消费监控!AI55)</f>
        <v/>
      </c>
      <c r="D54" s="9" t="str">
        <f>IF(客服部门消费监控!AI55="","",客服部门消费监控!AJ55)</f>
        <v/>
      </c>
      <c r="E54" s="9" t="str">
        <f>IF(客服部门消费监控!AI55="","",客服部门消费监控!AK55)</f>
        <v/>
      </c>
      <c r="F54" s="9" t="str">
        <f>IF(客服部门消费监控!AI55="","",客服部门消费监控!AC55)</f>
        <v/>
      </c>
      <c r="G54" s="61"/>
      <c r="H54" s="62"/>
    </row>
    <row r="55" spans="1:8">
      <c r="A55" s="8">
        <v>45161</v>
      </c>
      <c r="B55" s="9" t="str">
        <f t="shared" si="0"/>
        <v/>
      </c>
      <c r="C55" s="9" t="str">
        <f>IF(客服部门消费监控!AI56="","",客服部门消费监控!AI56)</f>
        <v/>
      </c>
      <c r="D55" s="9" t="str">
        <f>IF(客服部门消费监控!AI56="","",客服部门消费监控!AJ56)</f>
        <v/>
      </c>
      <c r="E55" s="9" t="str">
        <f>IF(客服部门消费监控!AI56="","",客服部门消费监控!AK56)</f>
        <v/>
      </c>
      <c r="F55" s="9" t="str">
        <f>IF(客服部门消费监控!AI56="","",客服部门消费监控!AC56)</f>
        <v/>
      </c>
      <c r="H55" s="62"/>
    </row>
    <row r="56" spans="1:8">
      <c r="A56" s="8">
        <v>45162</v>
      </c>
      <c r="B56" s="9" t="str">
        <f t="shared" si="0"/>
        <v/>
      </c>
      <c r="C56" s="9" t="str">
        <f>IF(客服部门消费监控!AI57="","",客服部门消费监控!AI57)</f>
        <v/>
      </c>
      <c r="D56" s="9" t="str">
        <f>IF(客服部门消费监控!AI57="","",客服部门消费监控!AJ57)</f>
        <v/>
      </c>
      <c r="E56" s="9" t="str">
        <f>IF(客服部门消费监控!AI57="","",客服部门消费监控!AK57)</f>
        <v/>
      </c>
      <c r="F56" s="9" t="str">
        <f>IF(客服部门消费监控!AI57="","",客服部门消费监控!AC57)</f>
        <v/>
      </c>
      <c r="H56" s="62"/>
    </row>
    <row r="57" spans="1:8">
      <c r="A57" s="8">
        <v>45163</v>
      </c>
      <c r="B57" s="9" t="str">
        <f t="shared" si="0"/>
        <v/>
      </c>
      <c r="C57" s="9" t="str">
        <f>IF(客服部门消费监控!AI58="","",客服部门消费监控!AI58)</f>
        <v/>
      </c>
      <c r="D57" s="9" t="str">
        <f>IF(客服部门消费监控!AI58="","",客服部门消费监控!AJ58)</f>
        <v/>
      </c>
      <c r="E57" s="9" t="str">
        <f>IF(客服部门消费监控!AI58="","",客服部门消费监控!AK58)</f>
        <v/>
      </c>
      <c r="F57" s="9" t="str">
        <f>IF(客服部门消费监控!AI58="","",客服部门消费监控!AC58)</f>
        <v/>
      </c>
      <c r="G57" s="64"/>
      <c r="H57" s="62"/>
    </row>
    <row r="58" spans="1:8">
      <c r="A58" s="8">
        <v>45164</v>
      </c>
      <c r="B58" s="9" t="str">
        <f t="shared" si="0"/>
        <v/>
      </c>
      <c r="C58" s="9" t="str">
        <f>IF(客服部门消费监控!AI59="","",客服部门消费监控!AI59)</f>
        <v/>
      </c>
      <c r="D58" s="9" t="str">
        <f>IF(客服部门消费监控!AI59="","",客服部门消费监控!AJ59)</f>
        <v/>
      </c>
      <c r="E58" s="9" t="str">
        <f>IF(客服部门消费监控!AI59="","",客服部门消费监控!AK59)</f>
        <v/>
      </c>
      <c r="F58" s="9" t="str">
        <f>IF(客服部门消费监控!AI59="","",客服部门消费监控!AC59)</f>
        <v/>
      </c>
      <c r="H58" s="62"/>
    </row>
    <row r="59" spans="1:8">
      <c r="A59" s="8">
        <v>45165</v>
      </c>
      <c r="B59" s="9" t="str">
        <f t="shared" si="0"/>
        <v/>
      </c>
      <c r="C59" s="9" t="str">
        <f>IF(客服部门消费监控!AI60="","",客服部门消费监控!AI60)</f>
        <v/>
      </c>
      <c r="D59" s="9" t="str">
        <f>IF(客服部门消费监控!AI60="","",客服部门消费监控!AJ60)</f>
        <v/>
      </c>
      <c r="E59" s="9" t="str">
        <f>IF(客服部门消费监控!AI60="","",客服部门消费监控!AK60)</f>
        <v/>
      </c>
      <c r="F59" s="9" t="str">
        <f>IF(客服部门消费监控!AI60="","",客服部门消费监控!AC60)</f>
        <v/>
      </c>
      <c r="G59" s="62"/>
      <c r="H59" s="62"/>
    </row>
    <row r="60" spans="1:8">
      <c r="A60" s="8">
        <v>45166</v>
      </c>
      <c r="B60" s="9" t="str">
        <f t="shared" si="0"/>
        <v/>
      </c>
      <c r="C60" s="9" t="str">
        <f>IF(客服部门消费监控!AI61="","",客服部门消费监控!AI61)</f>
        <v/>
      </c>
      <c r="D60" s="9" t="str">
        <f>IF(客服部门消费监控!AI61="","",客服部门消费监控!AJ61)</f>
        <v/>
      </c>
      <c r="E60" s="9" t="str">
        <f>IF(客服部门消费监控!AI61="","",客服部门消费监控!AK61)</f>
        <v/>
      </c>
      <c r="F60" s="9" t="str">
        <f>IF(客服部门消费监控!AI61="","",客服部门消费监控!AC61)</f>
        <v/>
      </c>
      <c r="G60" s="64"/>
      <c r="H60" s="62"/>
    </row>
    <row r="61" spans="1:8">
      <c r="A61" s="8">
        <v>45167</v>
      </c>
      <c r="B61" s="9" t="str">
        <f t="shared" si="0"/>
        <v/>
      </c>
      <c r="C61" s="9" t="str">
        <f>IF(客服部门消费监控!AI62="","",客服部门消费监控!AI62)</f>
        <v/>
      </c>
      <c r="D61" s="9" t="str">
        <f>IF(客服部门消费监控!AI62="","",客服部门消费监控!AJ62)</f>
        <v/>
      </c>
      <c r="E61" s="9" t="str">
        <f>IF(客服部门消费监控!AI62="","",客服部门消费监控!AK62)</f>
        <v/>
      </c>
      <c r="F61" s="9" t="str">
        <f>IF(客服部门消费监控!AI62="","",客服部门消费监控!AC62)</f>
        <v/>
      </c>
      <c r="H61" s="62"/>
    </row>
    <row r="62" spans="1:8">
      <c r="A62" s="8">
        <v>45168</v>
      </c>
      <c r="B62" s="9" t="str">
        <f t="shared" si="0"/>
        <v/>
      </c>
      <c r="C62" s="9" t="str">
        <f>IF(客服部门消费监控!AI63="","",客服部门消费监控!AI63)</f>
        <v/>
      </c>
      <c r="D62" s="9" t="str">
        <f>IF(客服部门消费监控!AI63="","",客服部门消费监控!AJ63)</f>
        <v/>
      </c>
      <c r="E62" s="9" t="str">
        <f>IF(客服部门消费监控!AI63="","",客服部门消费监控!AK63)</f>
        <v/>
      </c>
      <c r="F62" s="9" t="str">
        <f>IF(客服部门消费监控!AI63="","",客服部门消费监控!AC63)</f>
        <v/>
      </c>
      <c r="G62" s="62"/>
      <c r="H62" s="62"/>
    </row>
    <row r="63" spans="1:8">
      <c r="A63" s="8">
        <v>45169</v>
      </c>
      <c r="B63" s="9" t="str">
        <f t="shared" si="0"/>
        <v/>
      </c>
      <c r="C63" s="9" t="str">
        <f>IF(客服部门消费监控!AI64="","",客服部门消费监控!AI64)</f>
        <v/>
      </c>
      <c r="D63" s="9" t="str">
        <f>IF(客服部门消费监控!AI64="","",客服部门消费监控!AJ64)</f>
        <v/>
      </c>
      <c r="E63" s="9" t="str">
        <f>IF(客服部门消费监控!AI64="","",客服部门消费监控!AK64)</f>
        <v/>
      </c>
      <c r="F63" s="9" t="str">
        <f>IF(客服部门消费监控!AI64="","",客服部门消费监控!AC64)</f>
        <v/>
      </c>
      <c r="G63" s="61"/>
      <c r="H63" s="62"/>
    </row>
    <row r="64" spans="1:8">
      <c r="A64" s="8">
        <v>45170</v>
      </c>
      <c r="B64" s="9" t="str">
        <f t="shared" si="0"/>
        <v/>
      </c>
      <c r="C64" s="9" t="str">
        <f>IF(客服部门消费监控!AI65="","",客服部门消费监控!AI65)</f>
        <v/>
      </c>
      <c r="D64" s="9" t="str">
        <f>IF(客服部门消费监控!AI65="","",客服部门消费监控!AJ65)</f>
        <v/>
      </c>
      <c r="E64" s="9" t="str">
        <f>IF(客服部门消费监控!AI65="","",客服部门消费监控!AK65)</f>
        <v/>
      </c>
      <c r="F64" s="9" t="str">
        <f>IF(客服部门消费监控!AI65="","",客服部门消费监控!AC65)</f>
        <v/>
      </c>
      <c r="G64" s="62"/>
      <c r="H64" s="62"/>
    </row>
    <row r="65" spans="1:8">
      <c r="A65" s="8">
        <v>45171</v>
      </c>
      <c r="B65" s="9" t="str">
        <f t="shared" si="0"/>
        <v/>
      </c>
      <c r="C65" s="9" t="str">
        <f>IF(客服部门消费监控!AI66="","",客服部门消费监控!AI66)</f>
        <v/>
      </c>
      <c r="D65" s="9" t="str">
        <f>IF(客服部门消费监控!AI66="","",客服部门消费监控!AJ66)</f>
        <v/>
      </c>
      <c r="E65" s="9" t="str">
        <f>IF(客服部门消费监控!AI66="","",客服部门消费监控!AK66)</f>
        <v/>
      </c>
      <c r="F65" s="9" t="str">
        <f>IF(客服部门消费监控!AI66="","",客服部门消费监控!AC66)</f>
        <v/>
      </c>
      <c r="H65" s="62"/>
    </row>
    <row r="66" spans="1:8">
      <c r="A66" s="8">
        <v>45172</v>
      </c>
      <c r="B66" s="9" t="str">
        <f t="shared" ref="B66:B93" si="3">IF(C66="","",C66+F66)</f>
        <v/>
      </c>
      <c r="C66" s="9" t="str">
        <f>IF(客服部门消费监控!AI67="","",客服部门消费监控!AI67)</f>
        <v/>
      </c>
      <c r="D66" s="9" t="str">
        <f>IF(客服部门消费监控!AI67="","",客服部门消费监控!AJ67)</f>
        <v/>
      </c>
      <c r="E66" s="9" t="str">
        <f>IF(客服部门消费监控!AI67="","",客服部门消费监控!AK67)</f>
        <v/>
      </c>
      <c r="F66" s="9" t="str">
        <f>IF(客服部门消费监控!AI67="","",客服部门消费监控!AC67)</f>
        <v/>
      </c>
      <c r="G66" s="73"/>
      <c r="H66" s="62"/>
    </row>
    <row r="67" spans="1:8">
      <c r="A67" s="8">
        <v>45173</v>
      </c>
      <c r="B67" s="9" t="str">
        <f t="shared" si="3"/>
        <v/>
      </c>
      <c r="C67" s="9" t="str">
        <f>IF(客服部门消费监控!AI68="","",客服部门消费监控!AI68)</f>
        <v/>
      </c>
      <c r="D67" s="9" t="str">
        <f>IF(客服部门消费监控!AI68="","",客服部门消费监控!AJ68)</f>
        <v/>
      </c>
      <c r="E67" s="9" t="str">
        <f>IF(客服部门消费监控!AI68="","",客服部门消费监控!AK68)</f>
        <v/>
      </c>
      <c r="F67" s="9" t="str">
        <f>IF(客服部门消费监控!AI68="","",客服部门消费监控!AC68)</f>
        <v/>
      </c>
      <c r="H67" s="62"/>
    </row>
    <row r="68" spans="1:8">
      <c r="A68" s="8">
        <v>45174</v>
      </c>
      <c r="B68" s="9" t="str">
        <f t="shared" si="3"/>
        <v/>
      </c>
      <c r="C68" s="9" t="str">
        <f>IF(客服部门消费监控!AI69="","",客服部门消费监控!AI69)</f>
        <v/>
      </c>
      <c r="D68" s="9" t="str">
        <f>IF(客服部门消费监控!AI69="","",客服部门消费监控!AJ69)</f>
        <v/>
      </c>
      <c r="E68" s="9" t="str">
        <f>IF(客服部门消费监控!AI69="","",客服部门消费监控!AK69)</f>
        <v/>
      </c>
      <c r="F68" s="9" t="str">
        <f>IF(客服部门消费监控!AI69="","",客服部门消费监控!AC69)</f>
        <v/>
      </c>
      <c r="H68" s="62"/>
    </row>
    <row r="69" spans="1:8">
      <c r="A69" s="8">
        <v>45175</v>
      </c>
      <c r="B69" s="9" t="str">
        <f t="shared" si="3"/>
        <v/>
      </c>
      <c r="C69" s="9" t="str">
        <f>IF(客服部门消费监控!AI70="","",客服部门消费监控!AI70)</f>
        <v/>
      </c>
      <c r="D69" s="9" t="str">
        <f>IF(客服部门消费监控!AI70="","",客服部门消费监控!AJ70)</f>
        <v/>
      </c>
      <c r="E69" s="9" t="str">
        <f>IF(客服部门消费监控!AI70="","",客服部门消费监控!AK70)</f>
        <v/>
      </c>
      <c r="F69" s="9" t="str">
        <f>IF(客服部门消费监控!AI70="","",客服部门消费监控!AC70)</f>
        <v/>
      </c>
      <c r="H69" s="62"/>
    </row>
    <row r="70" spans="1:8">
      <c r="A70" s="8">
        <v>45176</v>
      </c>
      <c r="B70" s="9" t="str">
        <f t="shared" si="3"/>
        <v/>
      </c>
      <c r="C70" s="9" t="str">
        <f>IF(客服部门消费监控!AI71="","",客服部门消费监控!AI71)</f>
        <v/>
      </c>
      <c r="D70" s="9" t="str">
        <f>IF(客服部门消费监控!AI71="","",客服部门消费监控!AJ71)</f>
        <v/>
      </c>
      <c r="E70" s="9" t="str">
        <f>IF(客服部门消费监控!AI71="","",客服部门消费监控!AK71)</f>
        <v/>
      </c>
      <c r="F70" s="9" t="str">
        <f>IF(客服部门消费监控!AI71="","",客服部门消费监控!AC71)</f>
        <v/>
      </c>
      <c r="G70" s="74"/>
      <c r="H70" s="62"/>
    </row>
    <row r="71" spans="1:8">
      <c r="A71" s="8">
        <v>45177</v>
      </c>
      <c r="B71" s="9" t="str">
        <f t="shared" si="3"/>
        <v/>
      </c>
      <c r="C71" s="9" t="str">
        <f>IF(客服部门消费监控!AI72="","",客服部门消费监控!AI72)</f>
        <v/>
      </c>
      <c r="D71" s="9" t="str">
        <f>IF(客服部门消费监控!AI72="","",客服部门消费监控!AJ72)</f>
        <v/>
      </c>
      <c r="E71" s="9" t="str">
        <f>IF(客服部门消费监控!AI72="","",客服部门消费监控!AK72)</f>
        <v/>
      </c>
      <c r="F71" s="9" t="str">
        <f>IF(客服部门消费监控!AI72="","",客服部门消费监控!AC72)</f>
        <v/>
      </c>
      <c r="H71" s="62"/>
    </row>
    <row r="72" spans="1:8">
      <c r="A72" s="8">
        <v>45178</v>
      </c>
      <c r="B72" s="9" t="str">
        <f t="shared" si="3"/>
        <v/>
      </c>
      <c r="C72" s="9" t="str">
        <f>IF(客服部门消费监控!AI73="","",客服部门消费监控!AI73)</f>
        <v/>
      </c>
      <c r="D72" s="9" t="str">
        <f>IF(客服部门消费监控!AI73="","",客服部门消费监控!AJ73)</f>
        <v/>
      </c>
      <c r="E72" s="9" t="str">
        <f>IF(客服部门消费监控!AI73="","",客服部门消费监控!AK73)</f>
        <v/>
      </c>
      <c r="F72" s="9" t="str">
        <f>IF(客服部门消费监控!AI73="","",客服部门消费监控!AC73)</f>
        <v/>
      </c>
      <c r="H72" s="62"/>
    </row>
    <row r="73" spans="1:8">
      <c r="A73" s="8">
        <v>45179</v>
      </c>
      <c r="B73" s="9" t="str">
        <f t="shared" si="3"/>
        <v/>
      </c>
      <c r="C73" s="9" t="str">
        <f>IF(客服部门消费监控!AI74="","",客服部门消费监控!AI74)</f>
        <v/>
      </c>
      <c r="D73" s="9" t="str">
        <f>IF(客服部门消费监控!AI74="","",客服部门消费监控!AJ74)</f>
        <v/>
      </c>
      <c r="E73" s="9" t="str">
        <f>IF(客服部门消费监控!AI74="","",客服部门消费监控!AK74)</f>
        <v/>
      </c>
      <c r="F73" s="9" t="str">
        <f>IF(客服部门消费监控!AI74="","",客服部门消费监控!AC74)</f>
        <v/>
      </c>
      <c r="H73" s="62"/>
    </row>
    <row r="74" spans="1:8">
      <c r="A74" s="8">
        <v>45180</v>
      </c>
      <c r="B74" s="9" t="str">
        <f t="shared" si="3"/>
        <v/>
      </c>
      <c r="C74" s="9" t="str">
        <f>IF(客服部门消费监控!AI75="","",客服部门消费监控!AI75)</f>
        <v/>
      </c>
      <c r="D74" s="9" t="str">
        <f>IF(客服部门消费监控!AI75="","",客服部门消费监控!AJ75)</f>
        <v/>
      </c>
      <c r="E74" s="9" t="str">
        <f>IF(客服部门消费监控!AI75="","",客服部门消费监控!AK75)</f>
        <v/>
      </c>
      <c r="F74" s="9" t="str">
        <f>IF(客服部门消费监控!AI75="","",客服部门消费监控!AC75)</f>
        <v/>
      </c>
      <c r="G74" s="64"/>
      <c r="H74" s="62"/>
    </row>
    <row r="75" spans="1:8">
      <c r="A75" s="8">
        <v>45181</v>
      </c>
      <c r="B75" s="9" t="str">
        <f t="shared" si="3"/>
        <v/>
      </c>
      <c r="C75" s="9" t="str">
        <f>IF(客服部门消费监控!AI76="","",客服部门消费监控!AI76)</f>
        <v/>
      </c>
      <c r="D75" s="9" t="str">
        <f>IF(客服部门消费监控!AI76="","",客服部门消费监控!AJ76)</f>
        <v/>
      </c>
      <c r="E75" s="9" t="str">
        <f>IF(客服部门消费监控!AI76="","",客服部门消费监控!AK76)</f>
        <v/>
      </c>
      <c r="F75" s="9" t="str">
        <f>IF(客服部门消费监控!AI76="","",客服部门消费监控!AC76)</f>
        <v/>
      </c>
      <c r="G75" s="62"/>
      <c r="H75" s="62"/>
    </row>
    <row r="76" spans="1:8">
      <c r="A76" s="8">
        <v>45182</v>
      </c>
      <c r="B76" s="9" t="str">
        <f t="shared" si="3"/>
        <v/>
      </c>
      <c r="C76" s="9" t="str">
        <f>IF(客服部门消费监控!AI77="","",客服部门消费监控!AI77)</f>
        <v/>
      </c>
      <c r="D76" s="9" t="str">
        <f>IF(客服部门消费监控!AI77="","",客服部门消费监控!AJ77)</f>
        <v/>
      </c>
      <c r="E76" s="9" t="str">
        <f>IF(客服部门消费监控!AI77="","",客服部门消费监控!AK77)</f>
        <v/>
      </c>
      <c r="F76" s="9" t="str">
        <f>IF(客服部门消费监控!AI77="","",客服部门消费监控!AC77)</f>
        <v/>
      </c>
      <c r="H76" s="62"/>
    </row>
    <row r="77" spans="1:8">
      <c r="A77" s="8">
        <v>45183</v>
      </c>
      <c r="B77" s="9" t="str">
        <f t="shared" si="3"/>
        <v/>
      </c>
      <c r="C77" s="9" t="str">
        <f>IF(客服部门消费监控!AI78="","",客服部门消费监控!AI78)</f>
        <v/>
      </c>
      <c r="D77" s="9" t="str">
        <f>IF(客服部门消费监控!AI78="","",客服部门消费监控!AJ78)</f>
        <v/>
      </c>
      <c r="E77" s="9" t="str">
        <f>IF(客服部门消费监控!AI78="","",客服部门消费监控!AK78)</f>
        <v/>
      </c>
      <c r="F77" s="9" t="str">
        <f>IF(客服部门消费监控!AI78="","",客服部门消费监控!AC78)</f>
        <v/>
      </c>
      <c r="G77" s="62"/>
      <c r="H77" s="62"/>
    </row>
    <row r="78" spans="1:8">
      <c r="A78" s="8">
        <v>45184</v>
      </c>
      <c r="B78" s="9" t="str">
        <f t="shared" si="3"/>
        <v/>
      </c>
      <c r="C78" s="9" t="str">
        <f>IF(客服部门消费监控!AI79="","",客服部门消费监控!AI79)</f>
        <v/>
      </c>
      <c r="D78" s="9" t="str">
        <f>IF(客服部门消费监控!AI79="","",客服部门消费监控!AJ79)</f>
        <v/>
      </c>
      <c r="E78" s="9" t="str">
        <f>IF(客服部门消费监控!AI79="","",客服部门消费监控!AK79)</f>
        <v/>
      </c>
      <c r="F78" s="9" t="str">
        <f>IF(客服部门消费监控!AI79="","",客服部门消费监控!AC79)</f>
        <v/>
      </c>
      <c r="G78" s="62"/>
      <c r="H78" s="62"/>
    </row>
    <row r="79" spans="1:8">
      <c r="A79" s="8">
        <v>45185</v>
      </c>
      <c r="B79" s="9" t="str">
        <f t="shared" si="3"/>
        <v/>
      </c>
      <c r="C79" s="9" t="str">
        <f>IF(客服部门消费监控!AI80="","",客服部门消费监控!AI80)</f>
        <v/>
      </c>
      <c r="D79" s="9" t="str">
        <f>IF(客服部门消费监控!AI80="","",客服部门消费监控!AJ80)</f>
        <v/>
      </c>
      <c r="E79" s="9" t="str">
        <f>IF(客服部门消费监控!AI80="","",客服部门消费监控!AK80)</f>
        <v/>
      </c>
      <c r="F79" s="9" t="str">
        <f>IF(客服部门消费监控!AI80="","",客服部门消费监控!AC80)</f>
        <v/>
      </c>
      <c r="H79" s="62"/>
    </row>
    <row r="80" spans="1:8">
      <c r="A80" s="8">
        <v>45186</v>
      </c>
      <c r="B80" s="9" t="str">
        <f t="shared" si="3"/>
        <v/>
      </c>
      <c r="C80" s="9" t="str">
        <f>IF(客服部门消费监控!AI81="","",客服部门消费监控!AI81)</f>
        <v/>
      </c>
      <c r="D80" s="9" t="str">
        <f>IF(客服部门消费监控!AI81="","",客服部门消费监控!AJ81)</f>
        <v/>
      </c>
      <c r="E80" s="9" t="str">
        <f>IF(客服部门消费监控!AI81="","",客服部门消费监控!AK81)</f>
        <v/>
      </c>
      <c r="F80" s="9" t="str">
        <f>IF(客服部门消费监控!AI81="","",客服部门消费监控!AC81)</f>
        <v/>
      </c>
      <c r="G80" s="61"/>
      <c r="H80" s="62"/>
    </row>
    <row r="81" spans="1:8">
      <c r="A81" s="8">
        <v>45187</v>
      </c>
      <c r="B81" s="9" t="str">
        <f t="shared" si="3"/>
        <v/>
      </c>
      <c r="C81" s="9" t="str">
        <f>IF(客服部门消费监控!AI82="","",客服部门消费监控!AI82)</f>
        <v/>
      </c>
      <c r="D81" s="9" t="str">
        <f>IF(客服部门消费监控!AI82="","",客服部门消费监控!AJ82)</f>
        <v/>
      </c>
      <c r="E81" s="9" t="str">
        <f>IF(客服部门消费监控!AI82="","",客服部门消费监控!AK82)</f>
        <v/>
      </c>
      <c r="F81" s="9" t="str">
        <f>IF(客服部门消费监控!AI82="","",客服部门消费监控!AC82)</f>
        <v/>
      </c>
      <c r="G81" s="62"/>
      <c r="H81" s="62"/>
    </row>
    <row r="82" spans="1:8">
      <c r="A82" s="8">
        <v>45188</v>
      </c>
      <c r="B82" s="9" t="str">
        <f t="shared" si="3"/>
        <v/>
      </c>
      <c r="C82" s="9" t="str">
        <f>IF(客服部门消费监控!AI83="","",客服部门消费监控!AI83)</f>
        <v/>
      </c>
      <c r="D82" s="9" t="str">
        <f>IF(客服部门消费监控!AI83="","",客服部门消费监控!AJ83)</f>
        <v/>
      </c>
      <c r="E82" s="9" t="str">
        <f>IF(客服部门消费监控!AI83="","",客服部门消费监控!AK83)</f>
        <v/>
      </c>
      <c r="F82" s="9" t="str">
        <f>IF(客服部门消费监控!AI83="","",客服部门消费监控!AC83)</f>
        <v/>
      </c>
      <c r="H82" s="62"/>
    </row>
    <row r="83" spans="1:8">
      <c r="A83" s="8">
        <v>45189</v>
      </c>
      <c r="B83" s="9" t="str">
        <f t="shared" si="3"/>
        <v/>
      </c>
      <c r="C83" s="9" t="str">
        <f>IF(客服部门消费监控!AI84="","",客服部门消费监控!AI84)</f>
        <v/>
      </c>
      <c r="D83" s="9" t="str">
        <f>IF(客服部门消费监控!AI84="","",客服部门消费监控!AJ84)</f>
        <v/>
      </c>
      <c r="E83" s="9" t="str">
        <f>IF(客服部门消费监控!AI84="","",客服部门消费监控!AK84)</f>
        <v/>
      </c>
      <c r="F83" s="9" t="str">
        <f>IF(客服部门消费监控!AI84="","",客服部门消费监控!AC84)</f>
        <v/>
      </c>
      <c r="H83" s="62"/>
    </row>
    <row r="84" spans="1:8">
      <c r="A84" s="8">
        <v>45190</v>
      </c>
      <c r="B84" s="9" t="str">
        <f t="shared" si="3"/>
        <v/>
      </c>
      <c r="C84" s="9" t="str">
        <f>IF(客服部门消费监控!AI85="","",客服部门消费监控!AI85)</f>
        <v/>
      </c>
      <c r="D84" s="9" t="str">
        <f>IF(客服部门消费监控!AI85="","",客服部门消费监控!AJ85)</f>
        <v/>
      </c>
      <c r="E84" s="9" t="str">
        <f>IF(客服部门消费监控!AI85="","",客服部门消费监控!AK85)</f>
        <v/>
      </c>
      <c r="F84" s="9" t="str">
        <f>IF(客服部门消费监控!AI85="","",客服部门消费监控!AC85)</f>
        <v/>
      </c>
      <c r="H84" s="62"/>
    </row>
    <row r="85" spans="1:8">
      <c r="A85" s="8">
        <v>45191</v>
      </c>
      <c r="B85" s="9" t="str">
        <f t="shared" si="3"/>
        <v/>
      </c>
      <c r="C85" s="9" t="str">
        <f>IF(客服部门消费监控!AI86="","",客服部门消费监控!AI86)</f>
        <v/>
      </c>
      <c r="D85" s="9" t="str">
        <f>IF(客服部门消费监控!AI86="","",客服部门消费监控!AJ86)</f>
        <v/>
      </c>
      <c r="E85" s="9" t="str">
        <f>IF(客服部门消费监控!AI86="","",客服部门消费监控!AK86)</f>
        <v/>
      </c>
      <c r="F85" s="9" t="str">
        <f>IF(客服部门消费监控!AI86="","",客服部门消费监控!AC86)</f>
        <v/>
      </c>
      <c r="H85" s="62"/>
    </row>
    <row r="86" spans="1:8">
      <c r="A86" s="8">
        <v>45192</v>
      </c>
      <c r="B86" s="9" t="str">
        <f t="shared" si="3"/>
        <v/>
      </c>
      <c r="C86" s="9" t="str">
        <f>IF(客服部门消费监控!AI87="","",客服部门消费监控!AI87)</f>
        <v/>
      </c>
      <c r="D86" s="9" t="str">
        <f>IF(客服部门消费监控!AI87="","",客服部门消费监控!AJ87)</f>
        <v/>
      </c>
      <c r="E86" s="9" t="str">
        <f>IF(客服部门消费监控!AI87="","",客服部门消费监控!AK87)</f>
        <v/>
      </c>
      <c r="F86" s="9" t="str">
        <f>IF(客服部门消费监控!AI87="","",客服部门消费监控!AC87)</f>
        <v/>
      </c>
      <c r="H86" s="62"/>
    </row>
    <row r="87" spans="1:6">
      <c r="A87" s="8">
        <v>45193</v>
      </c>
      <c r="B87" s="9" t="str">
        <f t="shared" si="3"/>
        <v/>
      </c>
      <c r="C87" s="9" t="str">
        <f>IF(客服部门消费监控!AI88="","",客服部门消费监控!AI88)</f>
        <v/>
      </c>
      <c r="D87" s="9" t="str">
        <f>IF(客服部门消费监控!AI88="","",客服部门消费监控!AJ88)</f>
        <v/>
      </c>
      <c r="E87" s="9" t="str">
        <f>IF(客服部门消费监控!AI88="","",客服部门消费监控!AK88)</f>
        <v/>
      </c>
      <c r="F87" s="9" t="str">
        <f>IF(客服部门消费监控!AI88="","",客服部门消费监控!AC88)</f>
        <v/>
      </c>
    </row>
    <row r="88" spans="1:6">
      <c r="A88" s="8">
        <v>45194</v>
      </c>
      <c r="B88" s="9" t="str">
        <f t="shared" si="3"/>
        <v/>
      </c>
      <c r="C88" s="9" t="str">
        <f>IF(客服部门消费监控!AI89="","",客服部门消费监控!AI89)</f>
        <v/>
      </c>
      <c r="D88" s="9" t="str">
        <f>IF(客服部门消费监控!AI89="","",客服部门消费监控!AJ89)</f>
        <v/>
      </c>
      <c r="E88" s="9" t="str">
        <f>IF(客服部门消费监控!AI89="","",客服部门消费监控!AK89)</f>
        <v/>
      </c>
      <c r="F88" s="9" t="str">
        <f>IF(客服部门消费监控!AI89="","",客服部门消费监控!AC89)</f>
        <v/>
      </c>
    </row>
    <row r="89" spans="1:6">
      <c r="A89" s="8">
        <v>45195</v>
      </c>
      <c r="B89" s="9" t="str">
        <f t="shared" si="3"/>
        <v/>
      </c>
      <c r="C89" s="9" t="str">
        <f>IF(客服部门消费监控!AI90="","",客服部门消费监控!AI90)</f>
        <v/>
      </c>
      <c r="D89" s="9" t="str">
        <f>IF(客服部门消费监控!AI90="","",客服部门消费监控!AJ90)</f>
        <v/>
      </c>
      <c r="E89" s="9" t="str">
        <f>IF(客服部门消费监控!AI90="","",客服部门消费监控!AK90)</f>
        <v/>
      </c>
      <c r="F89" s="9" t="str">
        <f>IF(客服部门消费监控!AI90="","",客服部门消费监控!AC90)</f>
        <v/>
      </c>
    </row>
    <row r="90" spans="1:6">
      <c r="A90" s="8">
        <v>45196</v>
      </c>
      <c r="B90" s="9" t="str">
        <f t="shared" si="3"/>
        <v/>
      </c>
      <c r="C90" s="9" t="str">
        <f>IF(客服部门消费监控!AI91="","",客服部门消费监控!AI91)</f>
        <v/>
      </c>
      <c r="D90" s="9" t="str">
        <f>IF(客服部门消费监控!AI91="","",客服部门消费监控!AJ91)</f>
        <v/>
      </c>
      <c r="E90" s="9" t="str">
        <f>IF(客服部门消费监控!AI91="","",客服部门消费监控!AK91)</f>
        <v/>
      </c>
      <c r="F90" s="9" t="str">
        <f>IF(客服部门消费监控!AI91="","",客服部门消费监控!AC91)</f>
        <v/>
      </c>
    </row>
    <row r="91" spans="1:6">
      <c r="A91" s="8">
        <v>45197</v>
      </c>
      <c r="B91" s="9" t="str">
        <f t="shared" si="3"/>
        <v/>
      </c>
      <c r="C91" s="9" t="str">
        <f>IF(客服部门消费监控!AI92="","",客服部门消费监控!AI92)</f>
        <v/>
      </c>
      <c r="D91" s="9" t="str">
        <f>IF(客服部门消费监控!AI92="","",客服部门消费监控!AJ92)</f>
        <v/>
      </c>
      <c r="E91" s="9" t="str">
        <f>IF(客服部门消费监控!AI92="","",客服部门消费监控!AK92)</f>
        <v/>
      </c>
      <c r="F91" s="9" t="str">
        <f>IF(客服部门消费监控!AI92="","",客服部门消费监控!AC92)</f>
        <v/>
      </c>
    </row>
    <row r="92" spans="1:6">
      <c r="A92" s="8">
        <v>45198</v>
      </c>
      <c r="B92" s="9" t="str">
        <f t="shared" si="3"/>
        <v/>
      </c>
      <c r="C92" s="9" t="str">
        <f>IF(客服部门消费监控!AI93="","",客服部门消费监控!AI93)</f>
        <v/>
      </c>
      <c r="D92" s="9" t="str">
        <f>IF(客服部门消费监控!AI93="","",客服部门消费监控!AJ93)</f>
        <v/>
      </c>
      <c r="E92" s="9" t="str">
        <f>IF(客服部门消费监控!AI93="","",客服部门消费监控!AK93)</f>
        <v/>
      </c>
      <c r="F92" s="9" t="str">
        <f>IF(客服部门消费监控!AI93="","",客服部门消费监控!AC93)</f>
        <v/>
      </c>
    </row>
    <row r="93" spans="1:6">
      <c r="A93" s="8"/>
      <c r="B93" s="9" t="str">
        <f t="shared" si="3"/>
        <v/>
      </c>
      <c r="C93" s="9" t="str">
        <f>IF(客服部门消费监控!AI94="","",客服部门消费监控!AI94)</f>
        <v/>
      </c>
      <c r="D93" s="9" t="str">
        <f>IF(客服部门消费监控!AI94="","",客服部门消费监控!AJ94)</f>
        <v/>
      </c>
      <c r="E93" s="9" t="str">
        <f>IF(客服部门消费监控!AI94="","",客服部门消费监控!AK94)</f>
        <v/>
      </c>
      <c r="F93" s="9" t="str">
        <f>IF(客服部门消费监控!AI94="","",客服部门消费监控!AC94)</f>
        <v/>
      </c>
    </row>
  </sheetData>
  <conditionalFormatting sqref="A2:A93">
    <cfRule type="expression" dxfId="0" priority="1">
      <formula>OR(WEEKDAY(A2,2)=6,WEEKDAY(A2,2)=7)</formula>
    </cfRule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22"/>
  <sheetViews>
    <sheetView workbookViewId="0">
      <selection activeCell="D28" sqref="D28"/>
    </sheetView>
  </sheetViews>
  <sheetFormatPr defaultColWidth="9" defaultRowHeight="16.5"/>
  <cols>
    <col min="1" max="1" width="13.25" style="28" customWidth="1"/>
    <col min="2" max="2" width="11.875" style="28" customWidth="1"/>
    <col min="3" max="3" width="12.25" style="28" customWidth="1"/>
    <col min="4" max="4" width="11.5" style="28" customWidth="1"/>
    <col min="5" max="5" width="12.375" style="28" customWidth="1"/>
    <col min="6" max="6" width="12.625" style="28" customWidth="1"/>
    <col min="7" max="8" width="13.75" style="28" customWidth="1"/>
    <col min="9" max="9" width="12.625" style="28" customWidth="1"/>
    <col min="10" max="10" width="14.5" style="28" customWidth="1"/>
    <col min="11" max="12" width="9" style="28" customWidth="1"/>
    <col min="13" max="13" width="12.375" style="28" customWidth="1"/>
    <col min="14" max="16384" width="9" style="28" customWidth="1"/>
  </cols>
  <sheetData>
    <row r="1" spans="1:7">
      <c r="A1" s="29" t="s">
        <v>52</v>
      </c>
      <c r="B1" s="29" t="s">
        <v>53</v>
      </c>
      <c r="C1" s="29" t="s">
        <v>54</v>
      </c>
      <c r="D1" s="29" t="s">
        <v>55</v>
      </c>
      <c r="E1" s="29" t="s">
        <v>56</v>
      </c>
      <c r="F1" s="29" t="s">
        <v>57</v>
      </c>
      <c r="G1" s="30" t="s">
        <v>58</v>
      </c>
    </row>
    <row r="2" spans="1:7">
      <c r="A2" s="31">
        <v>3294493</v>
      </c>
      <c r="B2" s="32">
        <v>173603.11</v>
      </c>
      <c r="C2" s="32">
        <v>655232.7</v>
      </c>
      <c r="D2" s="33">
        <v>1000000</v>
      </c>
      <c r="E2" s="32">
        <f>SUM(B2:D2)</f>
        <v>1828835.81</v>
      </c>
      <c r="F2" s="34">
        <f>E2/A2</f>
        <v>0.555119045631604</v>
      </c>
      <c r="G2" s="35">
        <f>A2-E2</f>
        <v>1465657.19</v>
      </c>
    </row>
    <row r="4" hidden="1" spans="1:12">
      <c r="A4" s="29" t="s">
        <v>59</v>
      </c>
      <c r="B4" s="29" t="s">
        <v>60</v>
      </c>
      <c r="C4" s="29" t="s">
        <v>61</v>
      </c>
      <c r="D4" s="36" t="s">
        <v>62</v>
      </c>
      <c r="E4" s="29" t="s">
        <v>63</v>
      </c>
      <c r="F4" s="29" t="s">
        <v>64</v>
      </c>
      <c r="G4" s="29" t="s">
        <v>65</v>
      </c>
      <c r="H4" s="29" t="s">
        <v>66</v>
      </c>
      <c r="I4" s="29" t="s">
        <v>67</v>
      </c>
      <c r="J4" s="29" t="s">
        <v>68</v>
      </c>
      <c r="K4" s="29" t="s">
        <v>69</v>
      </c>
      <c r="L4" s="29" t="s">
        <v>70</v>
      </c>
    </row>
    <row r="5" hidden="1" spans="1:12">
      <c r="A5" s="31" t="s">
        <v>71</v>
      </c>
      <c r="B5" s="31">
        <v>66725.29</v>
      </c>
      <c r="C5" s="31">
        <v>46560</v>
      </c>
      <c r="D5" s="37">
        <v>448486.095582496</v>
      </c>
      <c r="E5" s="38">
        <v>401926.095582496</v>
      </c>
      <c r="F5" s="31">
        <v>24</v>
      </c>
      <c r="G5" s="38">
        <v>16746.9206492707</v>
      </c>
      <c r="H5" s="38">
        <v>8860.08</v>
      </c>
      <c r="I5" s="31">
        <v>11</v>
      </c>
      <c r="J5" s="38">
        <f t="shared" ref="J5:J11" si="0">H5/I5</f>
        <v>805.461818181818</v>
      </c>
      <c r="K5" s="47" t="s">
        <v>72</v>
      </c>
      <c r="L5" s="24" t="s">
        <v>73</v>
      </c>
    </row>
    <row r="6" hidden="1" spans="1:12">
      <c r="A6" s="31" t="s">
        <v>74</v>
      </c>
      <c r="B6" s="31">
        <v>58859.7</v>
      </c>
      <c r="C6" s="31">
        <v>20239.74</v>
      </c>
      <c r="D6" s="37">
        <v>194957.94605251</v>
      </c>
      <c r="E6" s="38">
        <v>174718.20605251</v>
      </c>
      <c r="F6" s="31">
        <v>24</v>
      </c>
      <c r="G6" s="38">
        <v>7279.92525218792</v>
      </c>
      <c r="H6" s="38">
        <v>4443.42</v>
      </c>
      <c r="I6" s="31">
        <v>13</v>
      </c>
      <c r="J6" s="38">
        <f t="shared" si="0"/>
        <v>341.801538461538</v>
      </c>
      <c r="K6" s="7"/>
      <c r="L6" s="52"/>
    </row>
    <row r="7" hidden="1" spans="1:12">
      <c r="A7" s="31" t="s">
        <v>47</v>
      </c>
      <c r="B7" s="31">
        <v>9397.08</v>
      </c>
      <c r="C7" s="31">
        <v>2834.31</v>
      </c>
      <c r="D7" s="37">
        <v>27301.3020955847</v>
      </c>
      <c r="E7" s="38">
        <v>24466.9920955847</v>
      </c>
      <c r="F7" s="31">
        <v>24</v>
      </c>
      <c r="G7" s="38">
        <v>1019.4580039827</v>
      </c>
      <c r="H7" s="38">
        <v>394.23</v>
      </c>
      <c r="I7" s="31">
        <v>3</v>
      </c>
      <c r="J7" s="38">
        <f t="shared" si="0"/>
        <v>131.41</v>
      </c>
      <c r="K7" s="31" t="s">
        <v>75</v>
      </c>
      <c r="L7" s="7"/>
    </row>
    <row r="8" hidden="1" spans="1:12">
      <c r="A8" s="31" t="s">
        <v>76</v>
      </c>
      <c r="B8" s="31">
        <v>2057.35</v>
      </c>
      <c r="C8" s="31">
        <v>678.38</v>
      </c>
      <c r="D8" s="37">
        <v>6534.45011858363</v>
      </c>
      <c r="E8" s="38">
        <v>5856.07011858363</v>
      </c>
      <c r="F8" s="31">
        <v>24</v>
      </c>
      <c r="G8" s="38">
        <v>244.002921607651</v>
      </c>
      <c r="H8" s="38">
        <v>114.2</v>
      </c>
      <c r="I8" s="31">
        <v>1</v>
      </c>
      <c r="J8" s="38">
        <f t="shared" si="0"/>
        <v>114.2</v>
      </c>
      <c r="K8" s="47" t="s">
        <v>77</v>
      </c>
      <c r="L8" s="31" t="s">
        <v>78</v>
      </c>
    </row>
    <row r="9" hidden="1" spans="1:12">
      <c r="A9" s="31" t="s">
        <v>79</v>
      </c>
      <c r="B9" s="31">
        <v>20497.29</v>
      </c>
      <c r="C9" s="31">
        <v>240.77</v>
      </c>
      <c r="D9" s="37">
        <v>4000</v>
      </c>
      <c r="E9" s="38">
        <v>3759.23</v>
      </c>
      <c r="F9" s="31">
        <v>24</v>
      </c>
      <c r="G9" s="38">
        <v>156.634583333333</v>
      </c>
      <c r="H9" s="38">
        <v>42.42</v>
      </c>
      <c r="I9" s="31">
        <v>1</v>
      </c>
      <c r="J9" s="38">
        <f t="shared" si="0"/>
        <v>42.42</v>
      </c>
      <c r="K9" s="52"/>
      <c r="L9" s="31" t="s">
        <v>80</v>
      </c>
    </row>
    <row r="10" hidden="1" spans="1:12">
      <c r="A10" s="31" t="s">
        <v>81</v>
      </c>
      <c r="B10" s="31">
        <v>5174.29</v>
      </c>
      <c r="C10" s="31">
        <v>789.14</v>
      </c>
      <c r="D10" s="37">
        <v>7601.33843359044</v>
      </c>
      <c r="E10" s="38">
        <v>6812.19843359044</v>
      </c>
      <c r="F10" s="31">
        <v>24</v>
      </c>
      <c r="G10" s="38">
        <v>283.841601399602</v>
      </c>
      <c r="H10" s="38">
        <v>134.14</v>
      </c>
      <c r="I10" s="31">
        <v>2</v>
      </c>
      <c r="J10" s="38">
        <f t="shared" si="0"/>
        <v>67.07</v>
      </c>
      <c r="K10" s="52"/>
      <c r="L10" s="31" t="s">
        <v>82</v>
      </c>
    </row>
    <row r="11" hidden="1" spans="1:12">
      <c r="A11" s="31" t="s">
        <v>83</v>
      </c>
      <c r="B11" s="31">
        <v>2530.85</v>
      </c>
      <c r="C11" s="31">
        <v>226.42</v>
      </c>
      <c r="D11" s="37">
        <v>3000</v>
      </c>
      <c r="E11" s="38">
        <v>2773.58</v>
      </c>
      <c r="F11" s="31">
        <v>24</v>
      </c>
      <c r="G11" s="38">
        <v>115.565833333333</v>
      </c>
      <c r="H11" s="38">
        <v>50.61</v>
      </c>
      <c r="I11" s="31">
        <v>1</v>
      </c>
      <c r="J11" s="38">
        <f t="shared" si="0"/>
        <v>50.61</v>
      </c>
      <c r="K11" s="7"/>
      <c r="L11" s="31" t="s">
        <v>80</v>
      </c>
    </row>
    <row r="12" hidden="1" spans="4:8">
      <c r="D12" s="39">
        <f>SUM(D5:D11)</f>
        <v>691881.132282765</v>
      </c>
      <c r="E12" s="40">
        <f>SUM(E5:E11)</f>
        <v>620312.372282765</v>
      </c>
      <c r="F12" s="41">
        <v>24</v>
      </c>
      <c r="G12" s="40">
        <f>SUM(G5:G11)</f>
        <v>25846.3488451152</v>
      </c>
      <c r="H12" s="42"/>
    </row>
    <row r="13" hidden="1"/>
    <row r="14" spans="1:9">
      <c r="A14" s="29" t="s">
        <v>59</v>
      </c>
      <c r="B14" s="29" t="s">
        <v>60</v>
      </c>
      <c r="C14" s="29" t="s">
        <v>84</v>
      </c>
      <c r="D14" s="43" t="s">
        <v>85</v>
      </c>
      <c r="E14" s="29" t="s">
        <v>86</v>
      </c>
      <c r="F14" s="29" t="s">
        <v>69</v>
      </c>
      <c r="G14" s="44" t="s">
        <v>70</v>
      </c>
      <c r="H14" s="45" t="s">
        <v>87</v>
      </c>
      <c r="I14" s="53"/>
    </row>
    <row r="15" spans="1:9">
      <c r="A15" s="31" t="s">
        <v>71</v>
      </c>
      <c r="B15" s="31">
        <v>66725.29</v>
      </c>
      <c r="C15" s="46">
        <v>379845.23</v>
      </c>
      <c r="D15" s="46">
        <v>580360.760812779</v>
      </c>
      <c r="E15" s="38">
        <f t="shared" ref="E15:E22" si="1">D15/30</f>
        <v>19345.3586937593</v>
      </c>
      <c r="F15" s="47" t="s">
        <v>72</v>
      </c>
      <c r="G15" s="48" t="s">
        <v>73</v>
      </c>
      <c r="H15" s="49"/>
      <c r="I15" s="54"/>
    </row>
    <row r="16" spans="1:9">
      <c r="A16" s="31" t="s">
        <v>74</v>
      </c>
      <c r="B16" s="31">
        <v>58859.7</v>
      </c>
      <c r="C16" s="46">
        <v>167543.94</v>
      </c>
      <c r="D16" s="46">
        <v>255988.28367009</v>
      </c>
      <c r="E16" s="38">
        <f t="shared" si="1"/>
        <v>8532.942789003</v>
      </c>
      <c r="F16" s="7"/>
      <c r="G16" s="49"/>
      <c r="H16" s="49"/>
      <c r="I16" s="54"/>
    </row>
    <row r="17" spans="1:9">
      <c r="A17" s="31" t="s">
        <v>47</v>
      </c>
      <c r="B17" s="31">
        <v>9397.08</v>
      </c>
      <c r="C17" s="46">
        <v>54879.79</v>
      </c>
      <c r="D17" s="46">
        <v>83850.1425373844</v>
      </c>
      <c r="E17" s="38">
        <f t="shared" si="1"/>
        <v>2795.00475124615</v>
      </c>
      <c r="F17" s="31" t="s">
        <v>75</v>
      </c>
      <c r="G17" s="50"/>
      <c r="H17" s="49"/>
      <c r="I17" s="54"/>
    </row>
    <row r="18" spans="1:9">
      <c r="A18" s="31" t="s">
        <v>76</v>
      </c>
      <c r="B18" s="31">
        <v>2057.35</v>
      </c>
      <c r="C18" s="46">
        <v>15244.97</v>
      </c>
      <c r="D18" s="46">
        <v>23292.5983768915</v>
      </c>
      <c r="E18" s="38">
        <f t="shared" si="1"/>
        <v>776.419945896383</v>
      </c>
      <c r="F18" s="47" t="s">
        <v>77</v>
      </c>
      <c r="G18" s="51" t="s">
        <v>88</v>
      </c>
      <c r="H18" s="49"/>
      <c r="I18" s="54"/>
    </row>
    <row r="19" spans="1:9">
      <c r="A19" s="31" t="s">
        <v>79</v>
      </c>
      <c r="B19" s="31">
        <v>20497.29</v>
      </c>
      <c r="C19" s="46">
        <v>4407.3</v>
      </c>
      <c r="D19" s="46">
        <v>6733.85836944737</v>
      </c>
      <c r="E19" s="38">
        <f t="shared" si="1"/>
        <v>224.461945648246</v>
      </c>
      <c r="F19" s="52"/>
      <c r="G19" s="51" t="s">
        <v>82</v>
      </c>
      <c r="H19" s="49"/>
      <c r="I19" s="54"/>
    </row>
    <row r="20" spans="1:9">
      <c r="A20" s="31" t="s">
        <v>81</v>
      </c>
      <c r="B20" s="31">
        <v>5174.29</v>
      </c>
      <c r="C20" s="46">
        <v>24425.13</v>
      </c>
      <c r="D20" s="46">
        <v>37318.8496529259</v>
      </c>
      <c r="E20" s="38">
        <f t="shared" si="1"/>
        <v>1243.96165509753</v>
      </c>
      <c r="F20" s="52"/>
      <c r="G20" s="51" t="s">
        <v>88</v>
      </c>
      <c r="H20" s="49"/>
      <c r="I20" s="54"/>
    </row>
    <row r="21" spans="1:9">
      <c r="A21" s="31" t="s">
        <v>83</v>
      </c>
      <c r="B21" s="31">
        <v>2530.85</v>
      </c>
      <c r="C21" s="46">
        <v>8152.11</v>
      </c>
      <c r="D21" s="46">
        <v>12455.5065804814</v>
      </c>
      <c r="E21" s="38">
        <f t="shared" si="1"/>
        <v>415.183552682713</v>
      </c>
      <c r="F21" s="7"/>
      <c r="G21" s="51" t="s">
        <v>89</v>
      </c>
      <c r="H21" s="50"/>
      <c r="I21" s="55"/>
    </row>
    <row r="22" spans="3:5">
      <c r="C22" s="42"/>
      <c r="D22" s="40">
        <f>SUM(D15:D21)</f>
        <v>1000000</v>
      </c>
      <c r="E22" s="40">
        <f t="shared" si="1"/>
        <v>33333.3333333333</v>
      </c>
    </row>
  </sheetData>
  <mergeCells count="7">
    <mergeCell ref="F15:F16"/>
    <mergeCell ref="F18:F21"/>
    <mergeCell ref="G15:G17"/>
    <mergeCell ref="K5:K6"/>
    <mergeCell ref="K8:K11"/>
    <mergeCell ref="L5:L7"/>
    <mergeCell ref="H14:I21"/>
  </mergeCells>
  <pageMargins left="0.7" right="0.7" top="0.75" bottom="0.75" header="0.3" footer="0.3"/>
  <pageSetup paperSize="9" orientation="portrait" horizontalDpi="150" verticalDpi="15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4"/>
  <sheetViews>
    <sheetView workbookViewId="0">
      <pane xSplit="1" ySplit="2" topLeftCell="B38" activePane="bottomRight" state="frozen"/>
      <selection/>
      <selection pane="topRight"/>
      <selection pane="bottomLeft"/>
      <selection pane="bottomRight" activeCell="B47" sqref="B47:AK47"/>
    </sheetView>
  </sheetViews>
  <sheetFormatPr defaultColWidth="9" defaultRowHeight="16.5"/>
  <cols>
    <col min="1" max="1" width="8.75" style="14" customWidth="1"/>
    <col min="2" max="2" width="10.875" style="15" customWidth="1"/>
    <col min="3" max="3" width="12.375" style="15" customWidth="1"/>
    <col min="4" max="4" width="10.875" style="15" customWidth="1"/>
    <col min="5" max="5" width="11" style="15" customWidth="1"/>
    <col min="6" max="6" width="11.875" style="15" customWidth="1"/>
    <col min="7" max="7" width="11.125" style="15" customWidth="1"/>
    <col min="8" max="8" width="11.5" style="15" customWidth="1"/>
    <col min="9" max="9" width="12.375" style="15" customWidth="1"/>
    <col min="10" max="10" width="11" style="15" customWidth="1"/>
    <col min="11" max="12" width="12" style="15" customWidth="1"/>
    <col min="13" max="16" width="11.625" style="15" customWidth="1"/>
    <col min="17" max="17" width="10.75" style="15" customWidth="1"/>
    <col min="18" max="18" width="12.125" style="15" customWidth="1"/>
    <col min="19" max="19" width="10.875" style="15" customWidth="1"/>
    <col min="20" max="20" width="10.375" style="15" customWidth="1"/>
    <col min="21" max="21" width="12.25" style="15" customWidth="1"/>
    <col min="22" max="22" width="10.875" style="15" customWidth="1"/>
    <col min="23" max="23" width="11" style="16" customWidth="1"/>
    <col min="24" max="24" width="12.625" style="15" customWidth="1"/>
    <col min="25" max="26" width="11" style="15" customWidth="1"/>
    <col min="27" max="27" width="12.625" style="15" customWidth="1"/>
    <col min="28" max="28" width="11" style="15" customWidth="1"/>
    <col min="29" max="29" width="11" style="17" customWidth="1"/>
    <col min="30" max="30" width="12.625" style="15" customWidth="1"/>
    <col min="31" max="32" width="11" style="15" customWidth="1"/>
    <col min="33" max="33" width="12.625" style="15" customWidth="1"/>
    <col min="34" max="34" width="11" style="15" customWidth="1"/>
    <col min="35" max="35" width="12.625" style="15" customWidth="1"/>
    <col min="36" max="36" width="9" style="15" customWidth="1"/>
    <col min="37" max="37" width="11" style="15" customWidth="1"/>
    <col min="38" max="16384" width="9" style="15" customWidth="1"/>
  </cols>
  <sheetData>
    <row r="1" s="12" customFormat="1" spans="1:37">
      <c r="A1" s="18" t="s">
        <v>0</v>
      </c>
      <c r="B1" s="4" t="s">
        <v>42</v>
      </c>
      <c r="C1" s="5"/>
      <c r="D1" s="6"/>
      <c r="E1" s="4" t="s">
        <v>43</v>
      </c>
      <c r="F1" s="5"/>
      <c r="G1" s="6"/>
      <c r="H1" s="4" t="s">
        <v>44</v>
      </c>
      <c r="I1" s="5"/>
      <c r="J1" s="6"/>
      <c r="K1" s="4" t="s">
        <v>45</v>
      </c>
      <c r="L1" s="5"/>
      <c r="M1" s="6"/>
      <c r="N1" s="21" t="s">
        <v>46</v>
      </c>
      <c r="O1" s="5"/>
      <c r="P1" s="6"/>
      <c r="Q1" s="4" t="s">
        <v>47</v>
      </c>
      <c r="R1" s="5"/>
      <c r="S1" s="6"/>
      <c r="T1" s="4" t="s">
        <v>48</v>
      </c>
      <c r="U1" s="5"/>
      <c r="V1" s="6"/>
      <c r="W1" s="19" t="s">
        <v>49</v>
      </c>
      <c r="X1" s="5"/>
      <c r="Y1" s="6"/>
      <c r="Z1" s="19" t="s">
        <v>50</v>
      </c>
      <c r="AA1" s="5"/>
      <c r="AB1" s="6"/>
      <c r="AC1" s="19" t="s">
        <v>35</v>
      </c>
      <c r="AD1" s="5"/>
      <c r="AE1" s="6"/>
      <c r="AF1" s="19" t="s">
        <v>51</v>
      </c>
      <c r="AG1" s="5"/>
      <c r="AH1" s="6"/>
      <c r="AI1" s="22" t="s">
        <v>90</v>
      </c>
      <c r="AJ1" s="23"/>
      <c r="AK1" s="23"/>
    </row>
    <row r="2" s="12" customFormat="1" spans="1:37">
      <c r="A2" s="7"/>
      <c r="B2" s="19" t="s">
        <v>91</v>
      </c>
      <c r="C2" s="19" t="s">
        <v>92</v>
      </c>
      <c r="D2" s="19" t="s">
        <v>29</v>
      </c>
      <c r="E2" s="19" t="s">
        <v>91</v>
      </c>
      <c r="F2" s="19" t="s">
        <v>92</v>
      </c>
      <c r="G2" s="19" t="s">
        <v>29</v>
      </c>
      <c r="H2" s="19" t="s">
        <v>91</v>
      </c>
      <c r="I2" s="19" t="s">
        <v>92</v>
      </c>
      <c r="J2" s="19" t="s">
        <v>29</v>
      </c>
      <c r="K2" s="19" t="s">
        <v>91</v>
      </c>
      <c r="L2" s="19" t="s">
        <v>92</v>
      </c>
      <c r="M2" s="19" t="s">
        <v>29</v>
      </c>
      <c r="N2" s="19" t="s">
        <v>91</v>
      </c>
      <c r="O2" s="19" t="s">
        <v>92</v>
      </c>
      <c r="P2" s="19" t="s">
        <v>29</v>
      </c>
      <c r="Q2" s="19" t="s">
        <v>91</v>
      </c>
      <c r="R2" s="19" t="s">
        <v>92</v>
      </c>
      <c r="S2" s="19" t="s">
        <v>29</v>
      </c>
      <c r="T2" s="19" t="s">
        <v>91</v>
      </c>
      <c r="U2" s="19" t="s">
        <v>92</v>
      </c>
      <c r="V2" s="19" t="s">
        <v>29</v>
      </c>
      <c r="W2" s="19" t="s">
        <v>91</v>
      </c>
      <c r="X2" s="19" t="s">
        <v>92</v>
      </c>
      <c r="Y2" s="19" t="s">
        <v>29</v>
      </c>
      <c r="Z2" s="19" t="s">
        <v>91</v>
      </c>
      <c r="AA2" s="19" t="s">
        <v>92</v>
      </c>
      <c r="AB2" s="19" t="s">
        <v>29</v>
      </c>
      <c r="AC2" s="19" t="s">
        <v>91</v>
      </c>
      <c r="AD2" s="19" t="s">
        <v>92</v>
      </c>
      <c r="AE2" s="19" t="s">
        <v>29</v>
      </c>
      <c r="AF2" s="19" t="s">
        <v>91</v>
      </c>
      <c r="AG2" s="19" t="s">
        <v>92</v>
      </c>
      <c r="AH2" s="19" t="s">
        <v>29</v>
      </c>
      <c r="AI2" s="19" t="s">
        <v>1</v>
      </c>
      <c r="AJ2" s="19" t="s">
        <v>93</v>
      </c>
      <c r="AK2" s="19" t="s">
        <v>29</v>
      </c>
    </row>
    <row r="3" spans="1:40">
      <c r="A3" s="8">
        <v>45108</v>
      </c>
      <c r="B3" s="9">
        <v>65246.85</v>
      </c>
      <c r="C3" s="9">
        <v>40</v>
      </c>
      <c r="D3" s="9">
        <v>1631.17125</v>
      </c>
      <c r="E3" s="9">
        <v>608.77</v>
      </c>
      <c r="F3" s="20">
        <v>3</v>
      </c>
      <c r="G3" s="20">
        <v>202.923333333333</v>
      </c>
      <c r="H3" s="9">
        <v>1198.09</v>
      </c>
      <c r="I3" s="20">
        <v>10</v>
      </c>
      <c r="J3" s="20">
        <v>119.809</v>
      </c>
      <c r="K3" s="9">
        <v>0</v>
      </c>
      <c r="L3" s="9">
        <v>0</v>
      </c>
      <c r="M3" s="9">
        <v>0</v>
      </c>
      <c r="N3" s="9">
        <v>92.27</v>
      </c>
      <c r="O3" s="9">
        <v>3</v>
      </c>
      <c r="P3" s="9">
        <v>30.7566666666667</v>
      </c>
      <c r="Q3" s="9">
        <v>493.23</v>
      </c>
      <c r="R3" s="9">
        <v>7</v>
      </c>
      <c r="S3" s="9">
        <v>70.4614285714286</v>
      </c>
      <c r="T3" s="9">
        <v>7422.87</v>
      </c>
      <c r="U3" s="9">
        <v>31</v>
      </c>
      <c r="V3" s="9">
        <v>239.447419354839</v>
      </c>
      <c r="W3" s="9">
        <v>8832.1</v>
      </c>
      <c r="X3" s="9">
        <v>14</v>
      </c>
      <c r="Y3" s="9">
        <v>630.864285714286</v>
      </c>
      <c r="Z3" s="9">
        <v>152.11</v>
      </c>
      <c r="AA3" s="9">
        <v>5</v>
      </c>
      <c r="AB3" s="9">
        <v>30.422</v>
      </c>
      <c r="AC3" s="9">
        <v>277772.84</v>
      </c>
      <c r="AD3" s="9">
        <v>366</v>
      </c>
      <c r="AE3" s="9">
        <v>758.94218579235</v>
      </c>
      <c r="AF3" s="9">
        <v>0</v>
      </c>
      <c r="AG3" s="9">
        <v>0</v>
      </c>
      <c r="AH3" s="24">
        <v>0</v>
      </c>
      <c r="AI3" s="9">
        <v>84046.29</v>
      </c>
      <c r="AJ3" s="9">
        <v>113</v>
      </c>
      <c r="AK3" s="9">
        <v>743.772477876106</v>
      </c>
      <c r="AL3" s="25"/>
      <c r="AM3" s="25"/>
      <c r="AN3" s="25"/>
    </row>
    <row r="4" spans="1:39">
      <c r="A4" s="8">
        <v>45109</v>
      </c>
      <c r="B4" s="9">
        <v>80293.99</v>
      </c>
      <c r="C4" s="9">
        <v>41</v>
      </c>
      <c r="D4" s="9">
        <v>1958.39</v>
      </c>
      <c r="E4" s="9">
        <v>644.71</v>
      </c>
      <c r="F4" s="20">
        <v>3</v>
      </c>
      <c r="G4" s="20">
        <v>214.903333333333</v>
      </c>
      <c r="H4" s="9">
        <v>1285.11</v>
      </c>
      <c r="I4" s="20">
        <v>9</v>
      </c>
      <c r="J4" s="20">
        <v>142.79</v>
      </c>
      <c r="K4" s="9">
        <v>0</v>
      </c>
      <c r="L4" s="9">
        <v>0</v>
      </c>
      <c r="M4" s="9">
        <v>0</v>
      </c>
      <c r="N4" s="9">
        <v>87.99</v>
      </c>
      <c r="O4" s="9">
        <v>3</v>
      </c>
      <c r="P4" s="9">
        <v>29.33</v>
      </c>
      <c r="Q4" s="9">
        <v>313.33</v>
      </c>
      <c r="R4" s="9">
        <v>6</v>
      </c>
      <c r="S4" s="9">
        <v>52.2216666666667</v>
      </c>
      <c r="T4" s="9">
        <v>10019.83</v>
      </c>
      <c r="U4" s="9">
        <v>30</v>
      </c>
      <c r="V4" s="9">
        <v>333.994333333333</v>
      </c>
      <c r="W4" s="9">
        <v>7972.5</v>
      </c>
      <c r="X4" s="9">
        <v>13</v>
      </c>
      <c r="Y4" s="9">
        <v>613.269230769231</v>
      </c>
      <c r="Z4" s="9">
        <v>200.89</v>
      </c>
      <c r="AA4" s="9">
        <v>5</v>
      </c>
      <c r="AB4" s="9">
        <v>40.178</v>
      </c>
      <c r="AC4" s="9">
        <v>302151.82</v>
      </c>
      <c r="AD4" s="9">
        <v>356</v>
      </c>
      <c r="AE4" s="9">
        <v>848.74106741573</v>
      </c>
      <c r="AF4" s="9">
        <v>0</v>
      </c>
      <c r="AG4" s="9">
        <v>0</v>
      </c>
      <c r="AH4" s="24">
        <v>0</v>
      </c>
      <c r="AI4" s="9">
        <v>100818.35</v>
      </c>
      <c r="AJ4" s="9">
        <v>110</v>
      </c>
      <c r="AK4" s="9">
        <v>916.530454545455</v>
      </c>
      <c r="AL4" s="25"/>
      <c r="AM4" s="25"/>
    </row>
    <row r="5" spans="1:39">
      <c r="A5" s="8">
        <v>45110</v>
      </c>
      <c r="B5" s="9">
        <v>86145.07</v>
      </c>
      <c r="C5" s="9">
        <v>43</v>
      </c>
      <c r="D5" s="9">
        <v>2003.37372093023</v>
      </c>
      <c r="E5" s="9">
        <v>622.61</v>
      </c>
      <c r="F5" s="20">
        <v>3</v>
      </c>
      <c r="G5" s="20">
        <v>207.536666666667</v>
      </c>
      <c r="H5" s="9">
        <v>1483.15</v>
      </c>
      <c r="I5" s="20">
        <v>10</v>
      </c>
      <c r="J5" s="20">
        <v>148.315</v>
      </c>
      <c r="K5" s="9">
        <v>0</v>
      </c>
      <c r="L5" s="9">
        <v>0</v>
      </c>
      <c r="M5" s="9">
        <v>0</v>
      </c>
      <c r="N5" s="9">
        <v>231.68</v>
      </c>
      <c r="O5" s="9">
        <v>7</v>
      </c>
      <c r="P5" s="9">
        <v>33.0971428571429</v>
      </c>
      <c r="Q5" s="9">
        <v>303.87</v>
      </c>
      <c r="R5" s="9">
        <v>6</v>
      </c>
      <c r="S5" s="9">
        <v>50.645</v>
      </c>
      <c r="T5" s="9">
        <v>7720.89</v>
      </c>
      <c r="U5" s="9">
        <v>30</v>
      </c>
      <c r="V5" s="9">
        <v>257.363</v>
      </c>
      <c r="W5" s="9">
        <v>6346.22</v>
      </c>
      <c r="X5" s="9">
        <v>12</v>
      </c>
      <c r="Y5" s="9">
        <v>528.851666666667</v>
      </c>
      <c r="Z5" s="9">
        <v>181.58</v>
      </c>
      <c r="AA5" s="9">
        <v>5</v>
      </c>
      <c r="AB5" s="9">
        <v>36.316</v>
      </c>
      <c r="AC5" s="9">
        <v>261189.81</v>
      </c>
      <c r="AD5" s="9">
        <v>360</v>
      </c>
      <c r="AE5" s="9">
        <v>725.52725</v>
      </c>
      <c r="AF5" s="9">
        <v>0</v>
      </c>
      <c r="AG5" s="9">
        <v>0</v>
      </c>
      <c r="AH5" s="24">
        <v>0</v>
      </c>
      <c r="AI5" s="9">
        <v>103035.07</v>
      </c>
      <c r="AJ5" s="9">
        <v>116</v>
      </c>
      <c r="AK5" s="9">
        <v>888.233362068966</v>
      </c>
      <c r="AL5" s="25"/>
      <c r="AM5" s="25"/>
    </row>
    <row r="6" spans="1:39">
      <c r="A6" s="8">
        <v>45111</v>
      </c>
      <c r="B6" s="9">
        <v>96279.98</v>
      </c>
      <c r="C6" s="9">
        <v>43</v>
      </c>
      <c r="D6" s="9">
        <v>2239.06930232558</v>
      </c>
      <c r="E6" s="9">
        <v>785.35</v>
      </c>
      <c r="F6" s="20">
        <v>4</v>
      </c>
      <c r="G6" s="20">
        <v>196.3375</v>
      </c>
      <c r="H6" s="9">
        <v>1499.22</v>
      </c>
      <c r="I6" s="20">
        <v>10</v>
      </c>
      <c r="J6" s="20">
        <v>149.922</v>
      </c>
      <c r="K6" s="9">
        <v>0</v>
      </c>
      <c r="L6" s="9">
        <v>0</v>
      </c>
      <c r="M6" s="9">
        <v>0</v>
      </c>
      <c r="N6" s="9">
        <v>231.91</v>
      </c>
      <c r="O6" s="9">
        <v>7</v>
      </c>
      <c r="P6" s="9">
        <v>33.13</v>
      </c>
      <c r="Q6" s="9">
        <v>305.36</v>
      </c>
      <c r="R6" s="9">
        <v>5</v>
      </c>
      <c r="S6" s="9">
        <v>61.072</v>
      </c>
      <c r="T6" s="9">
        <v>8170.05</v>
      </c>
      <c r="U6" s="9">
        <v>33</v>
      </c>
      <c r="V6" s="9">
        <v>247.577272727273</v>
      </c>
      <c r="W6" s="9">
        <v>6197.43</v>
      </c>
      <c r="X6" s="9">
        <v>13</v>
      </c>
      <c r="Y6" s="9">
        <v>476.725384615384</v>
      </c>
      <c r="Z6" s="9">
        <v>215.37</v>
      </c>
      <c r="AA6" s="9">
        <v>5</v>
      </c>
      <c r="AB6" s="9">
        <v>43.074</v>
      </c>
      <c r="AC6" s="9">
        <v>290964.34</v>
      </c>
      <c r="AD6" s="9">
        <v>370</v>
      </c>
      <c r="AE6" s="9">
        <v>786.390108108108</v>
      </c>
      <c r="AF6" s="9">
        <v>0</v>
      </c>
      <c r="AG6" s="9">
        <v>0</v>
      </c>
      <c r="AH6" s="24">
        <v>0</v>
      </c>
      <c r="AI6" s="9">
        <v>113684.67</v>
      </c>
      <c r="AJ6" s="9">
        <v>120</v>
      </c>
      <c r="AK6" s="9">
        <v>947.37225</v>
      </c>
      <c r="AL6" s="25"/>
      <c r="AM6" s="25"/>
    </row>
    <row r="7" spans="1:39">
      <c r="A7" s="8">
        <v>45112</v>
      </c>
      <c r="B7" s="9">
        <v>75166.53</v>
      </c>
      <c r="C7" s="9">
        <v>45</v>
      </c>
      <c r="D7" s="9">
        <v>1670.36733333333</v>
      </c>
      <c r="E7" s="9">
        <v>788.93</v>
      </c>
      <c r="F7" s="20">
        <v>4</v>
      </c>
      <c r="G7" s="20">
        <v>197.2325</v>
      </c>
      <c r="H7" s="9">
        <v>1239.5</v>
      </c>
      <c r="I7" s="20">
        <v>11</v>
      </c>
      <c r="J7" s="20">
        <v>112.681818181818</v>
      </c>
      <c r="K7" s="9">
        <v>0</v>
      </c>
      <c r="L7" s="9">
        <v>0</v>
      </c>
      <c r="M7" s="9">
        <v>0</v>
      </c>
      <c r="N7" s="9">
        <v>263.5</v>
      </c>
      <c r="O7" s="9">
        <v>7</v>
      </c>
      <c r="P7" s="9">
        <v>37.6428571428572</v>
      </c>
      <c r="Q7" s="9">
        <v>214.07</v>
      </c>
      <c r="R7" s="9">
        <v>6</v>
      </c>
      <c r="S7" s="9">
        <v>35.6783333333333</v>
      </c>
      <c r="T7" s="9">
        <v>7718.91</v>
      </c>
      <c r="U7" s="9">
        <v>31</v>
      </c>
      <c r="V7" s="9">
        <v>248.997096774194</v>
      </c>
      <c r="W7" s="9">
        <v>6726.17</v>
      </c>
      <c r="X7" s="9">
        <v>12</v>
      </c>
      <c r="Y7" s="9">
        <v>560.514166666667</v>
      </c>
      <c r="Z7" s="9">
        <v>244.22</v>
      </c>
      <c r="AA7" s="9">
        <v>5</v>
      </c>
      <c r="AB7" s="9">
        <v>48.844</v>
      </c>
      <c r="AC7" s="9">
        <v>305856.29</v>
      </c>
      <c r="AD7" s="9">
        <v>383</v>
      </c>
      <c r="AE7" s="9">
        <v>798.580391644909</v>
      </c>
      <c r="AF7" s="9">
        <v>0</v>
      </c>
      <c r="AG7" s="9">
        <v>0</v>
      </c>
      <c r="AH7" s="24">
        <v>0</v>
      </c>
      <c r="AI7" s="9">
        <v>92361.83</v>
      </c>
      <c r="AJ7" s="9">
        <v>121</v>
      </c>
      <c r="AK7" s="9">
        <v>763.320909090909</v>
      </c>
      <c r="AL7" s="25"/>
      <c r="AM7" s="25"/>
    </row>
    <row r="8" spans="1:39">
      <c r="A8" s="8">
        <v>45113</v>
      </c>
      <c r="B8" s="9">
        <v>89634.36</v>
      </c>
      <c r="C8" s="9">
        <v>43</v>
      </c>
      <c r="D8" s="9">
        <v>2084.52</v>
      </c>
      <c r="E8" s="9">
        <v>797.87</v>
      </c>
      <c r="F8" s="20">
        <v>4</v>
      </c>
      <c r="G8" s="20">
        <v>199.4675</v>
      </c>
      <c r="H8" s="9">
        <v>1262.7</v>
      </c>
      <c r="I8" s="20">
        <v>10</v>
      </c>
      <c r="J8" s="20">
        <v>126.27</v>
      </c>
      <c r="K8" s="9">
        <v>0</v>
      </c>
      <c r="L8" s="9">
        <v>0</v>
      </c>
      <c r="M8" s="9">
        <v>0</v>
      </c>
      <c r="N8" s="9">
        <v>261.9</v>
      </c>
      <c r="O8" s="9">
        <v>7</v>
      </c>
      <c r="P8" s="9">
        <v>37.4142857142857</v>
      </c>
      <c r="Q8" s="9">
        <v>196.67</v>
      </c>
      <c r="R8" s="9">
        <v>5</v>
      </c>
      <c r="S8" s="9">
        <v>39.334</v>
      </c>
      <c r="T8" s="9">
        <v>7297.23</v>
      </c>
      <c r="U8" s="9">
        <v>28</v>
      </c>
      <c r="V8" s="9">
        <v>260.615357142857</v>
      </c>
      <c r="W8" s="9">
        <v>6487.19</v>
      </c>
      <c r="X8" s="9">
        <v>13</v>
      </c>
      <c r="Y8" s="9">
        <v>499.014615384615</v>
      </c>
      <c r="Z8" s="9">
        <v>307.26</v>
      </c>
      <c r="AA8" s="9">
        <v>5</v>
      </c>
      <c r="AB8" s="9">
        <v>61.452</v>
      </c>
      <c r="AC8" s="9">
        <v>301514.05</v>
      </c>
      <c r="AD8" s="9">
        <v>381</v>
      </c>
      <c r="AE8" s="9">
        <v>791.375459317585</v>
      </c>
      <c r="AF8" s="9">
        <v>0</v>
      </c>
      <c r="AG8" s="9">
        <v>0</v>
      </c>
      <c r="AH8" s="24">
        <v>0</v>
      </c>
      <c r="AI8" s="9">
        <v>106245.18</v>
      </c>
      <c r="AJ8" s="9">
        <v>115</v>
      </c>
      <c r="AK8" s="9">
        <v>923.871130434783</v>
      </c>
      <c r="AL8" s="25"/>
      <c r="AM8" s="25"/>
    </row>
    <row r="9" spans="1:39">
      <c r="A9" s="8">
        <v>45114</v>
      </c>
      <c r="B9" s="9">
        <v>80988.82</v>
      </c>
      <c r="C9" s="9">
        <v>42</v>
      </c>
      <c r="D9" s="9">
        <v>1928.30523809524</v>
      </c>
      <c r="E9" s="9">
        <v>819.64</v>
      </c>
      <c r="F9" s="20">
        <v>4</v>
      </c>
      <c r="G9" s="20">
        <v>204.91</v>
      </c>
      <c r="H9" s="9">
        <v>2007.12</v>
      </c>
      <c r="I9" s="20">
        <v>10</v>
      </c>
      <c r="J9" s="20">
        <v>200.712</v>
      </c>
      <c r="K9" s="9">
        <v>0</v>
      </c>
      <c r="L9" s="9">
        <v>0</v>
      </c>
      <c r="M9" s="9">
        <v>0</v>
      </c>
      <c r="N9" s="9">
        <v>253.12</v>
      </c>
      <c r="O9" s="9">
        <v>7</v>
      </c>
      <c r="P9" s="9">
        <v>36.16</v>
      </c>
      <c r="Q9" s="9">
        <v>56.34</v>
      </c>
      <c r="R9" s="9">
        <v>5</v>
      </c>
      <c r="S9" s="9">
        <v>11.268</v>
      </c>
      <c r="T9" s="9">
        <v>6605.42</v>
      </c>
      <c r="U9" s="9">
        <v>30</v>
      </c>
      <c r="V9" s="9">
        <v>220.180666666667</v>
      </c>
      <c r="W9" s="9">
        <v>7104.87</v>
      </c>
      <c r="X9" s="9">
        <v>13</v>
      </c>
      <c r="Y9" s="9">
        <v>546.528461538462</v>
      </c>
      <c r="Z9" s="9">
        <v>238.05</v>
      </c>
      <c r="AA9" s="9">
        <v>5</v>
      </c>
      <c r="AB9" s="9">
        <v>47.61</v>
      </c>
      <c r="AC9" s="9">
        <v>317058.9</v>
      </c>
      <c r="AD9" s="9">
        <v>375</v>
      </c>
      <c r="AE9" s="9">
        <v>845.4904</v>
      </c>
      <c r="AF9" s="9">
        <v>0</v>
      </c>
      <c r="AG9" s="9">
        <v>0</v>
      </c>
      <c r="AH9" s="24">
        <v>0</v>
      </c>
      <c r="AI9" s="9">
        <v>98073.38</v>
      </c>
      <c r="AJ9" s="9">
        <v>116</v>
      </c>
      <c r="AK9" s="9">
        <v>845.460172413793</v>
      </c>
      <c r="AL9" s="25"/>
      <c r="AM9" s="25"/>
    </row>
    <row r="10" spans="1:39">
      <c r="A10" s="8">
        <v>45115</v>
      </c>
      <c r="B10" s="9">
        <v>101014.46</v>
      </c>
      <c r="C10" s="9">
        <v>42</v>
      </c>
      <c r="D10" s="9">
        <v>2405.10619047619</v>
      </c>
      <c r="E10" s="9">
        <v>820.65</v>
      </c>
      <c r="F10" s="20">
        <v>4</v>
      </c>
      <c r="G10" s="20">
        <v>205.1625</v>
      </c>
      <c r="H10" s="9">
        <v>1516.72</v>
      </c>
      <c r="I10" s="20">
        <v>10</v>
      </c>
      <c r="J10" s="20">
        <v>151.672</v>
      </c>
      <c r="K10" s="9">
        <v>0</v>
      </c>
      <c r="L10" s="9">
        <v>0</v>
      </c>
      <c r="M10" s="9">
        <v>0</v>
      </c>
      <c r="N10" s="9">
        <v>99.79</v>
      </c>
      <c r="O10" s="9">
        <v>3</v>
      </c>
      <c r="P10" s="9">
        <v>33.2633333333333</v>
      </c>
      <c r="Q10" s="9">
        <v>78.32</v>
      </c>
      <c r="R10" s="9">
        <v>4</v>
      </c>
      <c r="S10" s="9">
        <v>19.58</v>
      </c>
      <c r="T10" s="9">
        <v>6293.73</v>
      </c>
      <c r="U10" s="9">
        <v>26</v>
      </c>
      <c r="V10" s="9">
        <v>242.066538461538</v>
      </c>
      <c r="W10" s="9">
        <v>5267.81</v>
      </c>
      <c r="X10" s="9">
        <v>12</v>
      </c>
      <c r="Y10" s="9">
        <v>438.984166666667</v>
      </c>
      <c r="Z10" s="9">
        <v>311.41</v>
      </c>
      <c r="AA10" s="9">
        <v>5</v>
      </c>
      <c r="AB10" s="9">
        <v>62.282</v>
      </c>
      <c r="AC10" s="9">
        <v>323376.09</v>
      </c>
      <c r="AD10" s="9">
        <v>387</v>
      </c>
      <c r="AE10" s="9">
        <v>835.597131782946</v>
      </c>
      <c r="AF10" s="9">
        <v>0</v>
      </c>
      <c r="AG10" s="9">
        <v>0</v>
      </c>
      <c r="AH10" s="24">
        <v>0</v>
      </c>
      <c r="AI10" s="9">
        <v>115402.89</v>
      </c>
      <c r="AJ10" s="9">
        <v>106</v>
      </c>
      <c r="AK10" s="9">
        <v>1088.70650943396</v>
      </c>
      <c r="AL10" s="25"/>
      <c r="AM10" s="25"/>
    </row>
    <row r="11" spans="1:39">
      <c r="A11" s="8">
        <v>45116</v>
      </c>
      <c r="B11" s="9">
        <v>106133.96</v>
      </c>
      <c r="C11" s="9">
        <v>41</v>
      </c>
      <c r="D11" s="9">
        <v>2588.63317073171</v>
      </c>
      <c r="E11" s="9">
        <v>799.09</v>
      </c>
      <c r="F11" s="20">
        <v>4</v>
      </c>
      <c r="G11" s="20">
        <v>199.7725</v>
      </c>
      <c r="H11" s="9">
        <v>1366.49</v>
      </c>
      <c r="I11" s="20">
        <v>10</v>
      </c>
      <c r="J11" s="20">
        <v>136.649</v>
      </c>
      <c r="K11" s="9">
        <v>0</v>
      </c>
      <c r="L11" s="9">
        <v>0</v>
      </c>
      <c r="M11" s="9">
        <v>0</v>
      </c>
      <c r="N11" s="9">
        <v>105.34</v>
      </c>
      <c r="O11" s="9">
        <v>3</v>
      </c>
      <c r="P11" s="9">
        <v>35.1133333333333</v>
      </c>
      <c r="Q11" s="9">
        <v>25.9</v>
      </c>
      <c r="R11" s="9">
        <v>5</v>
      </c>
      <c r="S11" s="9">
        <v>5.18</v>
      </c>
      <c r="T11" s="9">
        <v>4894.69</v>
      </c>
      <c r="U11" s="9">
        <v>28</v>
      </c>
      <c r="V11" s="9">
        <v>174.810357142857</v>
      </c>
      <c r="W11" s="9">
        <v>5897.98</v>
      </c>
      <c r="X11" s="9">
        <v>12</v>
      </c>
      <c r="Y11" s="9">
        <v>491.498333333333</v>
      </c>
      <c r="Z11" s="9">
        <v>242.26</v>
      </c>
      <c r="AA11" s="9">
        <v>5</v>
      </c>
      <c r="AB11" s="9">
        <v>48.452</v>
      </c>
      <c r="AC11" s="9">
        <v>323928.15</v>
      </c>
      <c r="AD11" s="9">
        <v>373</v>
      </c>
      <c r="AE11" s="9">
        <v>868.440080428955</v>
      </c>
      <c r="AF11" s="9">
        <v>0</v>
      </c>
      <c r="AG11" s="9">
        <v>0</v>
      </c>
      <c r="AH11" s="24">
        <v>0</v>
      </c>
      <c r="AI11" s="9">
        <v>119465.71</v>
      </c>
      <c r="AJ11" s="9">
        <v>108</v>
      </c>
      <c r="AK11" s="9">
        <v>1106.16398148148</v>
      </c>
      <c r="AL11" s="25"/>
      <c r="AM11" s="25"/>
    </row>
    <row r="12" spans="1:39">
      <c r="A12" s="8">
        <v>45117</v>
      </c>
      <c r="B12" s="9">
        <v>95816.72</v>
      </c>
      <c r="C12" s="9">
        <v>43</v>
      </c>
      <c r="D12" s="9">
        <v>2228.29581395349</v>
      </c>
      <c r="E12" s="9">
        <v>781.53</v>
      </c>
      <c r="F12" s="20">
        <v>4</v>
      </c>
      <c r="G12" s="20">
        <v>195.3825</v>
      </c>
      <c r="H12" s="9">
        <v>1111.33</v>
      </c>
      <c r="I12" s="20">
        <v>9</v>
      </c>
      <c r="J12" s="20">
        <v>123.481111111111</v>
      </c>
      <c r="K12" s="9">
        <v>0</v>
      </c>
      <c r="L12" s="9">
        <v>0</v>
      </c>
      <c r="M12" s="9">
        <v>0</v>
      </c>
      <c r="N12" s="9">
        <v>266.81</v>
      </c>
      <c r="O12" s="9">
        <v>9</v>
      </c>
      <c r="P12" s="9">
        <v>29.6455555555556</v>
      </c>
      <c r="Q12" s="9">
        <v>13.75</v>
      </c>
      <c r="R12" s="9">
        <v>4</v>
      </c>
      <c r="S12" s="9">
        <v>3.4375</v>
      </c>
      <c r="T12" s="9">
        <v>5051.82</v>
      </c>
      <c r="U12" s="9">
        <v>24</v>
      </c>
      <c r="V12" s="9">
        <v>210.4925</v>
      </c>
      <c r="W12" s="9">
        <v>6531.51</v>
      </c>
      <c r="X12" s="9">
        <v>12</v>
      </c>
      <c r="Y12" s="9">
        <v>544.2925</v>
      </c>
      <c r="Z12" s="9">
        <v>217.44</v>
      </c>
      <c r="AA12" s="9">
        <v>5</v>
      </c>
      <c r="AB12" s="9">
        <v>43.488</v>
      </c>
      <c r="AC12" s="9">
        <v>320191.69</v>
      </c>
      <c r="AD12" s="9">
        <v>396</v>
      </c>
      <c r="AE12" s="9">
        <v>808.564873737374</v>
      </c>
      <c r="AF12" s="9">
        <v>0</v>
      </c>
      <c r="AG12" s="9">
        <v>0</v>
      </c>
      <c r="AH12" s="24">
        <v>0</v>
      </c>
      <c r="AI12" s="9">
        <v>109790.91</v>
      </c>
      <c r="AJ12" s="9">
        <v>110</v>
      </c>
      <c r="AK12" s="9">
        <v>998.099181818182</v>
      </c>
      <c r="AL12" s="25"/>
      <c r="AM12" s="25"/>
    </row>
    <row r="13" spans="1:39">
      <c r="A13" s="8">
        <v>45118</v>
      </c>
      <c r="B13" s="9">
        <v>77936.61</v>
      </c>
      <c r="C13" s="9">
        <v>45</v>
      </c>
      <c r="D13" s="9">
        <v>1731.92466666667</v>
      </c>
      <c r="E13" s="9">
        <v>781.85</v>
      </c>
      <c r="F13" s="20">
        <v>4</v>
      </c>
      <c r="G13" s="20">
        <v>195.4625</v>
      </c>
      <c r="H13" s="9">
        <v>657.26</v>
      </c>
      <c r="I13" s="20">
        <v>9</v>
      </c>
      <c r="J13" s="20">
        <v>73.0288888888889</v>
      </c>
      <c r="K13" s="9">
        <v>0</v>
      </c>
      <c r="L13" s="9">
        <v>0</v>
      </c>
      <c r="M13" s="9">
        <v>0</v>
      </c>
      <c r="N13" s="9">
        <v>279.52</v>
      </c>
      <c r="O13" s="9">
        <v>8</v>
      </c>
      <c r="P13" s="9">
        <v>34.94</v>
      </c>
      <c r="Q13" s="9">
        <v>12.18</v>
      </c>
      <c r="R13" s="9">
        <v>3</v>
      </c>
      <c r="S13" s="9">
        <v>4.06</v>
      </c>
      <c r="T13" s="9">
        <v>6214.77</v>
      </c>
      <c r="U13" s="9">
        <v>27</v>
      </c>
      <c r="V13" s="9">
        <v>230.176666666667</v>
      </c>
      <c r="W13" s="9">
        <v>7005.91</v>
      </c>
      <c r="X13" s="9">
        <v>14</v>
      </c>
      <c r="Y13" s="9">
        <v>500.422142857143</v>
      </c>
      <c r="Z13" s="9">
        <v>208.78</v>
      </c>
      <c r="AA13" s="9">
        <v>5</v>
      </c>
      <c r="AB13" s="9">
        <v>41.756</v>
      </c>
      <c r="AC13" s="9">
        <v>376587.43</v>
      </c>
      <c r="AD13" s="9">
        <v>395</v>
      </c>
      <c r="AE13" s="9">
        <v>953.385898734177</v>
      </c>
      <c r="AF13" s="9">
        <v>0</v>
      </c>
      <c r="AG13" s="9">
        <v>0</v>
      </c>
      <c r="AH13" s="24">
        <v>0</v>
      </c>
      <c r="AI13" s="9">
        <v>93096.88</v>
      </c>
      <c r="AJ13" s="9">
        <v>115</v>
      </c>
      <c r="AK13" s="9">
        <v>809.538086956522</v>
      </c>
      <c r="AL13" s="25"/>
      <c r="AM13" s="25"/>
    </row>
    <row r="14" spans="1:38">
      <c r="A14" s="8">
        <v>45119</v>
      </c>
      <c r="B14" s="9">
        <v>81291.77</v>
      </c>
      <c r="C14" s="9">
        <v>45</v>
      </c>
      <c r="D14" s="9">
        <v>1806.48377777778</v>
      </c>
      <c r="E14" s="9">
        <v>827.45</v>
      </c>
      <c r="F14" s="20">
        <v>4</v>
      </c>
      <c r="G14" s="20">
        <v>206.8625</v>
      </c>
      <c r="H14" s="9">
        <v>712.31</v>
      </c>
      <c r="I14" s="20">
        <v>10</v>
      </c>
      <c r="J14" s="20">
        <v>71.231</v>
      </c>
      <c r="K14" s="9">
        <v>0</v>
      </c>
      <c r="L14" s="9">
        <v>0</v>
      </c>
      <c r="M14" s="9">
        <v>0</v>
      </c>
      <c r="N14" s="9">
        <v>299.41</v>
      </c>
      <c r="O14" s="9">
        <v>8</v>
      </c>
      <c r="P14" s="9">
        <v>37.42625</v>
      </c>
      <c r="Q14" s="9">
        <v>10.92</v>
      </c>
      <c r="R14" s="9">
        <v>3</v>
      </c>
      <c r="S14" s="9">
        <v>3.64</v>
      </c>
      <c r="T14" s="9">
        <v>7771.13</v>
      </c>
      <c r="U14" s="9">
        <v>29</v>
      </c>
      <c r="V14" s="9">
        <v>267.97</v>
      </c>
      <c r="W14" s="9">
        <v>7143.02</v>
      </c>
      <c r="X14" s="9">
        <v>15</v>
      </c>
      <c r="Y14" s="9">
        <v>476.201333333333</v>
      </c>
      <c r="Z14" s="9">
        <v>223.86</v>
      </c>
      <c r="AA14" s="9">
        <v>5</v>
      </c>
      <c r="AB14" s="9">
        <v>44.772</v>
      </c>
      <c r="AC14" s="9">
        <v>372895.59</v>
      </c>
      <c r="AD14" s="9">
        <v>395</v>
      </c>
      <c r="AE14" s="9">
        <v>944.03946835443</v>
      </c>
      <c r="AF14" s="9">
        <v>0</v>
      </c>
      <c r="AG14" s="9">
        <v>0</v>
      </c>
      <c r="AH14" s="24">
        <v>0</v>
      </c>
      <c r="AI14" s="9">
        <v>98279.87</v>
      </c>
      <c r="AJ14" s="9">
        <v>119</v>
      </c>
      <c r="AK14" s="9">
        <v>825.881260504202</v>
      </c>
      <c r="AL14" s="25"/>
    </row>
    <row r="15" spans="1:38">
      <c r="A15" s="8">
        <v>45120</v>
      </c>
      <c r="B15" s="9">
        <v>81248.56</v>
      </c>
      <c r="C15" s="9">
        <v>46</v>
      </c>
      <c r="D15" s="9">
        <v>1766.27304347826</v>
      </c>
      <c r="E15" s="9">
        <v>800.56</v>
      </c>
      <c r="F15" s="20">
        <v>4</v>
      </c>
      <c r="G15" s="20">
        <v>200.14</v>
      </c>
      <c r="H15" s="9">
        <v>941.88</v>
      </c>
      <c r="I15" s="20">
        <v>10</v>
      </c>
      <c r="J15" s="20">
        <v>94.188</v>
      </c>
      <c r="K15" s="9">
        <v>0</v>
      </c>
      <c r="L15" s="9">
        <v>0</v>
      </c>
      <c r="M15" s="9">
        <v>0</v>
      </c>
      <c r="N15" s="9">
        <v>261.95</v>
      </c>
      <c r="O15" s="9">
        <v>9</v>
      </c>
      <c r="P15" s="9">
        <v>29.1055555555556</v>
      </c>
      <c r="Q15" s="9">
        <v>28.07</v>
      </c>
      <c r="R15" s="9">
        <v>4</v>
      </c>
      <c r="S15" s="9">
        <v>7.0175</v>
      </c>
      <c r="T15" s="9">
        <v>10646.64</v>
      </c>
      <c r="U15" s="9">
        <v>33</v>
      </c>
      <c r="V15" s="9">
        <v>322.625454545455</v>
      </c>
      <c r="W15" s="9">
        <v>6290.33</v>
      </c>
      <c r="X15" s="9">
        <v>14</v>
      </c>
      <c r="Y15" s="9">
        <v>449.309285714286</v>
      </c>
      <c r="Z15" s="9">
        <v>326.75</v>
      </c>
      <c r="AA15" s="9">
        <v>6</v>
      </c>
      <c r="AB15" s="9">
        <v>54.4583333333333</v>
      </c>
      <c r="AC15" s="9">
        <v>325564.02</v>
      </c>
      <c r="AD15" s="9">
        <v>395</v>
      </c>
      <c r="AE15" s="9">
        <v>824.21270886076</v>
      </c>
      <c r="AF15" s="9">
        <v>0</v>
      </c>
      <c r="AG15" s="9">
        <v>0</v>
      </c>
      <c r="AH15" s="24">
        <v>0</v>
      </c>
      <c r="AI15" s="9">
        <v>100544.74</v>
      </c>
      <c r="AJ15" s="9">
        <v>126</v>
      </c>
      <c r="AK15" s="9">
        <v>797.974126984127</v>
      </c>
      <c r="AL15" s="25"/>
    </row>
    <row r="16" spans="1:38">
      <c r="A16" s="8">
        <v>45121</v>
      </c>
      <c r="B16" s="9">
        <v>95110.85</v>
      </c>
      <c r="C16" s="9">
        <v>51</v>
      </c>
      <c r="D16" s="9">
        <v>1864.91862745098</v>
      </c>
      <c r="E16" s="9">
        <v>829.19</v>
      </c>
      <c r="F16" s="20">
        <v>4</v>
      </c>
      <c r="G16" s="20">
        <v>207.2975</v>
      </c>
      <c r="H16" s="9">
        <v>1479.32</v>
      </c>
      <c r="I16" s="20">
        <v>10</v>
      </c>
      <c r="J16" s="20">
        <v>147.932</v>
      </c>
      <c r="K16" s="9">
        <v>0</v>
      </c>
      <c r="L16" s="9">
        <v>0</v>
      </c>
      <c r="M16" s="9">
        <v>0</v>
      </c>
      <c r="N16" s="9">
        <v>276.93</v>
      </c>
      <c r="O16" s="9">
        <v>9</v>
      </c>
      <c r="P16" s="9">
        <v>30.77</v>
      </c>
      <c r="Q16" s="9">
        <v>20.39</v>
      </c>
      <c r="R16" s="9">
        <v>4</v>
      </c>
      <c r="S16" s="9">
        <v>5.0975</v>
      </c>
      <c r="T16" s="9">
        <v>9508.69</v>
      </c>
      <c r="U16" s="9">
        <v>33</v>
      </c>
      <c r="V16" s="9">
        <v>288.142121212121</v>
      </c>
      <c r="W16" s="9">
        <v>5942.08</v>
      </c>
      <c r="X16" s="9">
        <v>14</v>
      </c>
      <c r="Y16" s="9">
        <v>424.434285714286</v>
      </c>
      <c r="Z16" s="9">
        <v>434.59</v>
      </c>
      <c r="AA16" s="9">
        <v>6</v>
      </c>
      <c r="AB16" s="9">
        <v>72.4316666666667</v>
      </c>
      <c r="AC16" s="9">
        <v>391010.48</v>
      </c>
      <c r="AD16" s="9">
        <v>416</v>
      </c>
      <c r="AE16" s="9">
        <v>939.929038461538</v>
      </c>
      <c r="AF16" s="9">
        <v>0</v>
      </c>
      <c r="AG16" s="9">
        <v>0</v>
      </c>
      <c r="AH16" s="24">
        <v>0</v>
      </c>
      <c r="AI16" s="9">
        <v>113602.04</v>
      </c>
      <c r="AJ16" s="9">
        <v>131</v>
      </c>
      <c r="AK16" s="9">
        <v>867.191145038168</v>
      </c>
      <c r="AL16" s="25"/>
    </row>
    <row r="17" spans="1:38">
      <c r="A17" s="8">
        <v>45122</v>
      </c>
      <c r="B17" s="9">
        <v>119538.49</v>
      </c>
      <c r="C17" s="9">
        <v>52</v>
      </c>
      <c r="D17" s="9">
        <v>2298.81711538462</v>
      </c>
      <c r="E17" s="9">
        <v>805.34</v>
      </c>
      <c r="F17" s="20">
        <v>4</v>
      </c>
      <c r="G17" s="20">
        <v>201.335</v>
      </c>
      <c r="H17" s="9">
        <v>1425.54</v>
      </c>
      <c r="I17" s="20">
        <v>11</v>
      </c>
      <c r="J17" s="20">
        <v>129.594545454546</v>
      </c>
      <c r="K17" s="9">
        <v>0</v>
      </c>
      <c r="L17" s="9">
        <v>0</v>
      </c>
      <c r="M17" s="9">
        <v>0</v>
      </c>
      <c r="N17" s="9">
        <v>191.29</v>
      </c>
      <c r="O17" s="9">
        <v>5</v>
      </c>
      <c r="P17" s="9">
        <v>38.258</v>
      </c>
      <c r="Q17" s="9">
        <v>453.22</v>
      </c>
      <c r="R17" s="9">
        <v>4</v>
      </c>
      <c r="S17" s="9">
        <v>113.305</v>
      </c>
      <c r="T17" s="9">
        <v>8772.67</v>
      </c>
      <c r="U17" s="9">
        <v>30</v>
      </c>
      <c r="V17" s="9">
        <v>292.422333333333</v>
      </c>
      <c r="W17" s="9">
        <v>6945.79</v>
      </c>
      <c r="X17" s="9">
        <v>14</v>
      </c>
      <c r="Y17" s="9">
        <v>496.127857142857</v>
      </c>
      <c r="Z17" s="9">
        <v>385.41</v>
      </c>
      <c r="AA17" s="9">
        <v>6</v>
      </c>
      <c r="AB17" s="9">
        <v>64.235</v>
      </c>
      <c r="AC17" s="9">
        <v>359157.35</v>
      </c>
      <c r="AD17" s="9">
        <v>415</v>
      </c>
      <c r="AE17" s="9">
        <v>865.439397590361</v>
      </c>
      <c r="AF17" s="9">
        <v>0</v>
      </c>
      <c r="AG17" s="9">
        <v>0</v>
      </c>
      <c r="AH17" s="24">
        <v>0</v>
      </c>
      <c r="AI17" s="9">
        <v>138517.75</v>
      </c>
      <c r="AJ17" s="9">
        <v>126</v>
      </c>
      <c r="AK17" s="9">
        <v>1099.34722222222</v>
      </c>
      <c r="AL17" s="25"/>
    </row>
    <row r="18" spans="1:38">
      <c r="A18" s="8">
        <v>45123</v>
      </c>
      <c r="B18" s="9">
        <v>104569.06</v>
      </c>
      <c r="C18" s="9">
        <v>47</v>
      </c>
      <c r="D18" s="9">
        <v>2224.87361702128</v>
      </c>
      <c r="E18" s="9">
        <v>846.87</v>
      </c>
      <c r="F18" s="20">
        <v>4</v>
      </c>
      <c r="G18" s="20">
        <v>211.7175</v>
      </c>
      <c r="H18" s="9">
        <v>1464.2</v>
      </c>
      <c r="I18" s="20">
        <v>10</v>
      </c>
      <c r="J18" s="20">
        <v>146.42</v>
      </c>
      <c r="K18" s="9">
        <v>0</v>
      </c>
      <c r="L18" s="9">
        <v>0</v>
      </c>
      <c r="M18" s="9">
        <v>0</v>
      </c>
      <c r="N18" s="9">
        <v>162.91</v>
      </c>
      <c r="O18" s="9">
        <v>6</v>
      </c>
      <c r="P18" s="9">
        <v>27.1516666666667</v>
      </c>
      <c r="Q18" s="9">
        <v>1455.88</v>
      </c>
      <c r="R18" s="9">
        <v>4</v>
      </c>
      <c r="S18" s="9">
        <v>363.97</v>
      </c>
      <c r="T18" s="9">
        <v>9653.98</v>
      </c>
      <c r="U18" s="9">
        <v>31</v>
      </c>
      <c r="V18" s="9">
        <v>311.418709677419</v>
      </c>
      <c r="W18" s="9">
        <v>7030.19</v>
      </c>
      <c r="X18" s="9">
        <v>13</v>
      </c>
      <c r="Y18" s="9">
        <v>540.783846153846</v>
      </c>
      <c r="Z18" s="9">
        <v>456.55</v>
      </c>
      <c r="AA18" s="9">
        <v>6</v>
      </c>
      <c r="AB18" s="9">
        <v>76.0916666666667</v>
      </c>
      <c r="AC18" s="9">
        <v>385387</v>
      </c>
      <c r="AD18" s="9">
        <v>390</v>
      </c>
      <c r="AE18" s="9">
        <v>988.171794871795</v>
      </c>
      <c r="AF18" s="9">
        <v>0</v>
      </c>
      <c r="AG18" s="9">
        <v>0</v>
      </c>
      <c r="AH18" s="24">
        <v>0</v>
      </c>
      <c r="AI18" s="9">
        <v>125639.64</v>
      </c>
      <c r="AJ18" s="9">
        <v>121</v>
      </c>
      <c r="AK18" s="9">
        <v>1038.3441322314</v>
      </c>
      <c r="AL18" s="25"/>
    </row>
    <row r="19" spans="1:38">
      <c r="A19" s="8">
        <v>45124</v>
      </c>
      <c r="B19" s="9">
        <v>87326.03</v>
      </c>
      <c r="C19" s="9">
        <v>51</v>
      </c>
      <c r="D19" s="9">
        <v>1712.27509803922</v>
      </c>
      <c r="E19" s="9">
        <v>853.48</v>
      </c>
      <c r="F19" s="20">
        <v>4</v>
      </c>
      <c r="G19" s="20">
        <v>213.37</v>
      </c>
      <c r="H19" s="9">
        <v>1111.01</v>
      </c>
      <c r="I19" s="20">
        <v>9</v>
      </c>
      <c r="J19" s="20">
        <v>123.445555555556</v>
      </c>
      <c r="K19" s="9">
        <v>0</v>
      </c>
      <c r="L19" s="9">
        <v>0</v>
      </c>
      <c r="M19" s="9">
        <v>0</v>
      </c>
      <c r="N19" s="9">
        <v>322.21</v>
      </c>
      <c r="O19" s="9">
        <v>9</v>
      </c>
      <c r="P19" s="9">
        <v>35.8011111111111</v>
      </c>
      <c r="Q19" s="9">
        <v>2050.09</v>
      </c>
      <c r="R19" s="9">
        <v>5</v>
      </c>
      <c r="S19" s="9">
        <v>410.018</v>
      </c>
      <c r="T19" s="9">
        <v>8774.03</v>
      </c>
      <c r="U19" s="9">
        <v>33</v>
      </c>
      <c r="V19" s="9">
        <v>265.879696969697</v>
      </c>
      <c r="W19" s="9">
        <v>9965.4</v>
      </c>
      <c r="X19" s="9">
        <v>15</v>
      </c>
      <c r="Y19" s="9">
        <v>664.36</v>
      </c>
      <c r="Z19" s="9">
        <v>994.33</v>
      </c>
      <c r="AA19" s="9">
        <v>7</v>
      </c>
      <c r="AB19" s="9">
        <v>142.047142857143</v>
      </c>
      <c r="AC19" s="9">
        <v>317481.56</v>
      </c>
      <c r="AD19" s="9">
        <v>383</v>
      </c>
      <c r="AE19" s="9">
        <v>828.933577023499</v>
      </c>
      <c r="AF19" s="9">
        <v>0</v>
      </c>
      <c r="AG19" s="9">
        <v>0</v>
      </c>
      <c r="AH19" s="24">
        <v>0</v>
      </c>
      <c r="AI19" s="9">
        <v>111396.58</v>
      </c>
      <c r="AJ19" s="9">
        <v>133</v>
      </c>
      <c r="AK19" s="9">
        <v>837.568270676692</v>
      </c>
      <c r="AL19" s="25"/>
    </row>
    <row r="20" spans="1:38">
      <c r="A20" s="8">
        <v>45125</v>
      </c>
      <c r="B20" s="9">
        <v>88554.71</v>
      </c>
      <c r="C20" s="9">
        <v>51</v>
      </c>
      <c r="D20" s="9">
        <v>1736.3668627451</v>
      </c>
      <c r="E20" s="9">
        <v>808.04</v>
      </c>
      <c r="F20" s="20">
        <v>4</v>
      </c>
      <c r="G20" s="20">
        <v>202.01</v>
      </c>
      <c r="H20" s="9">
        <v>1961.23</v>
      </c>
      <c r="I20" s="20">
        <v>11</v>
      </c>
      <c r="J20" s="20">
        <v>178.293636363636</v>
      </c>
      <c r="K20" s="9">
        <v>0</v>
      </c>
      <c r="L20" s="9">
        <v>0</v>
      </c>
      <c r="M20" s="9">
        <v>0</v>
      </c>
      <c r="N20" s="9">
        <v>324.64</v>
      </c>
      <c r="O20" s="9">
        <v>9</v>
      </c>
      <c r="P20" s="9">
        <v>36.0711111111111</v>
      </c>
      <c r="Q20" s="9">
        <v>1801.81</v>
      </c>
      <c r="R20" s="9">
        <v>6</v>
      </c>
      <c r="S20" s="9">
        <v>300.301666666667</v>
      </c>
      <c r="T20" s="9">
        <v>9557.48</v>
      </c>
      <c r="U20" s="9">
        <v>32</v>
      </c>
      <c r="V20" s="9">
        <v>298.67125</v>
      </c>
      <c r="W20" s="9">
        <v>12114.17</v>
      </c>
      <c r="X20" s="9">
        <v>15</v>
      </c>
      <c r="Y20" s="9">
        <v>807.611333333333</v>
      </c>
      <c r="Z20" s="9">
        <v>1107.04</v>
      </c>
      <c r="AA20" s="9">
        <v>7</v>
      </c>
      <c r="AB20" s="9">
        <v>158.148571428571</v>
      </c>
      <c r="AC20" s="9">
        <v>345722.87</v>
      </c>
      <c r="AD20" s="9">
        <v>400</v>
      </c>
      <c r="AE20" s="9">
        <v>864.307175</v>
      </c>
      <c r="AF20" s="9">
        <v>0</v>
      </c>
      <c r="AG20" s="9">
        <v>0</v>
      </c>
      <c r="AH20" s="24">
        <v>0</v>
      </c>
      <c r="AI20" s="9">
        <v>116229.12</v>
      </c>
      <c r="AJ20" s="9">
        <v>135</v>
      </c>
      <c r="AK20" s="9">
        <v>860.956444444444</v>
      </c>
      <c r="AL20" s="25"/>
    </row>
    <row r="21" spans="1:38">
      <c r="A21" s="8">
        <v>45126</v>
      </c>
      <c r="B21" s="9">
        <v>84054.67</v>
      </c>
      <c r="C21" s="9">
        <v>51</v>
      </c>
      <c r="D21" s="9">
        <v>1648.13078431373</v>
      </c>
      <c r="E21" s="9">
        <v>799.62</v>
      </c>
      <c r="F21" s="20">
        <v>4</v>
      </c>
      <c r="G21" s="20">
        <v>199.905</v>
      </c>
      <c r="H21" s="9">
        <v>2064.41</v>
      </c>
      <c r="I21" s="20">
        <v>11</v>
      </c>
      <c r="J21" s="20">
        <v>187.673636363636</v>
      </c>
      <c r="K21" s="9">
        <v>0</v>
      </c>
      <c r="L21" s="9">
        <v>0</v>
      </c>
      <c r="M21" s="9" t="s">
        <v>94</v>
      </c>
      <c r="N21" s="9">
        <v>289.1</v>
      </c>
      <c r="O21" s="9">
        <v>9</v>
      </c>
      <c r="P21" s="9">
        <v>32.1222222222222</v>
      </c>
      <c r="Q21" s="9">
        <v>1826.86</v>
      </c>
      <c r="R21" s="9">
        <v>6</v>
      </c>
      <c r="S21" s="9">
        <v>304.476666666667</v>
      </c>
      <c r="T21" s="9">
        <v>13661.05</v>
      </c>
      <c r="U21" s="9">
        <v>33</v>
      </c>
      <c r="V21" s="9">
        <v>413.971212121212</v>
      </c>
      <c r="W21" s="9">
        <v>12653.11</v>
      </c>
      <c r="X21" s="9">
        <v>16</v>
      </c>
      <c r="Y21" s="9">
        <v>790.819375</v>
      </c>
      <c r="Z21" s="9">
        <v>1021.51</v>
      </c>
      <c r="AA21" s="9">
        <v>7</v>
      </c>
      <c r="AB21" s="9">
        <v>145.93</v>
      </c>
      <c r="AC21" s="9">
        <v>343339.58</v>
      </c>
      <c r="AD21" s="9">
        <v>390</v>
      </c>
      <c r="AE21" s="9">
        <v>880.357897435898</v>
      </c>
      <c r="AF21" s="9">
        <v>0</v>
      </c>
      <c r="AG21" s="9">
        <v>0</v>
      </c>
      <c r="AH21" s="24" t="s">
        <v>94</v>
      </c>
      <c r="AI21" s="9">
        <v>116370.33</v>
      </c>
      <c r="AJ21" s="9">
        <v>137</v>
      </c>
      <c r="AK21" s="9">
        <v>849.418467153285</v>
      </c>
      <c r="AL21" s="25"/>
    </row>
    <row r="22" spans="1:38">
      <c r="A22" s="8">
        <v>45127</v>
      </c>
      <c r="B22" s="9">
        <v>81939.93</v>
      </c>
      <c r="C22" s="9">
        <v>51</v>
      </c>
      <c r="D22" s="9">
        <v>1606.66529411765</v>
      </c>
      <c r="E22" s="9">
        <v>760.36</v>
      </c>
      <c r="F22" s="20">
        <v>4</v>
      </c>
      <c r="G22" s="20">
        <v>190.09</v>
      </c>
      <c r="H22" s="9">
        <v>2458.51</v>
      </c>
      <c r="I22" s="20">
        <v>10</v>
      </c>
      <c r="J22" s="20">
        <v>245.851</v>
      </c>
      <c r="K22" s="9">
        <v>0</v>
      </c>
      <c r="L22" s="9">
        <v>0</v>
      </c>
      <c r="M22" s="9" t="s">
        <v>94</v>
      </c>
      <c r="N22" s="9">
        <v>331.52</v>
      </c>
      <c r="O22" s="9">
        <v>9</v>
      </c>
      <c r="P22" s="9">
        <v>36.8355555555556</v>
      </c>
      <c r="Q22" s="9">
        <v>2223.61</v>
      </c>
      <c r="R22" s="9">
        <v>6</v>
      </c>
      <c r="S22" s="9">
        <v>370.601666666667</v>
      </c>
      <c r="T22" s="9">
        <v>10514.66</v>
      </c>
      <c r="U22" s="9">
        <v>32</v>
      </c>
      <c r="V22" s="9">
        <v>328.583125</v>
      </c>
      <c r="W22" s="9">
        <v>15257.88</v>
      </c>
      <c r="X22" s="9">
        <v>17</v>
      </c>
      <c r="Y22" s="9">
        <v>897.522352941177</v>
      </c>
      <c r="Z22" s="9">
        <v>1074.92</v>
      </c>
      <c r="AA22" s="9">
        <v>7</v>
      </c>
      <c r="AB22" s="9">
        <v>153.56</v>
      </c>
      <c r="AC22" s="9">
        <v>321417.01</v>
      </c>
      <c r="AD22" s="9">
        <v>389</v>
      </c>
      <c r="AE22" s="9">
        <v>826.264807197944</v>
      </c>
      <c r="AF22" s="9">
        <v>0</v>
      </c>
      <c r="AG22" s="9">
        <v>0</v>
      </c>
      <c r="AH22" s="24" t="s">
        <v>94</v>
      </c>
      <c r="AI22" s="9">
        <v>114561.39</v>
      </c>
      <c r="AJ22" s="9">
        <v>136</v>
      </c>
      <c r="AK22" s="9">
        <v>842.363161764706</v>
      </c>
      <c r="AL22" s="25"/>
    </row>
    <row r="23" spans="1:38">
      <c r="A23" s="8">
        <v>45128</v>
      </c>
      <c r="B23" s="9">
        <v>81577</v>
      </c>
      <c r="C23" s="9">
        <v>50</v>
      </c>
      <c r="D23" s="9">
        <v>1631.54</v>
      </c>
      <c r="E23" s="9">
        <v>634.56</v>
      </c>
      <c r="F23" s="20">
        <v>3</v>
      </c>
      <c r="G23" s="20">
        <v>211.52</v>
      </c>
      <c r="H23" s="9">
        <v>3074.54</v>
      </c>
      <c r="I23" s="20">
        <v>11</v>
      </c>
      <c r="J23" s="20">
        <v>279.503636363636</v>
      </c>
      <c r="K23" s="9">
        <v>0</v>
      </c>
      <c r="L23" s="9">
        <v>0</v>
      </c>
      <c r="M23" s="9" t="s">
        <v>94</v>
      </c>
      <c r="N23" s="9">
        <v>333.04</v>
      </c>
      <c r="O23" s="9">
        <v>9</v>
      </c>
      <c r="P23" s="9">
        <v>37.0044444444444</v>
      </c>
      <c r="Q23" s="9">
        <v>2271.69</v>
      </c>
      <c r="R23" s="9">
        <v>6</v>
      </c>
      <c r="S23" s="9">
        <v>378.615</v>
      </c>
      <c r="T23" s="9">
        <v>8977.5</v>
      </c>
      <c r="U23" s="9">
        <v>31</v>
      </c>
      <c r="V23" s="9">
        <v>289.596774193548</v>
      </c>
      <c r="W23" s="9">
        <v>16212.16</v>
      </c>
      <c r="X23" s="9">
        <v>17</v>
      </c>
      <c r="Y23" s="9">
        <v>953.656470588235</v>
      </c>
      <c r="Z23" s="9">
        <v>1057.09</v>
      </c>
      <c r="AA23" s="9">
        <v>7</v>
      </c>
      <c r="AB23" s="9">
        <v>151.012857142857</v>
      </c>
      <c r="AC23" s="9">
        <v>302153.53</v>
      </c>
      <c r="AD23" s="9">
        <v>389</v>
      </c>
      <c r="AE23" s="9">
        <v>776.744293059126</v>
      </c>
      <c r="AF23" s="9">
        <v>0</v>
      </c>
      <c r="AG23" s="9">
        <v>0</v>
      </c>
      <c r="AH23" s="24" t="s">
        <v>94</v>
      </c>
      <c r="AI23" s="9">
        <v>114137.58</v>
      </c>
      <c r="AJ23" s="9">
        <v>134</v>
      </c>
      <c r="AK23" s="9">
        <v>851.772985074626</v>
      </c>
      <c r="AL23" s="25"/>
    </row>
    <row r="24" spans="1:38">
      <c r="A24" s="8">
        <v>45129</v>
      </c>
      <c r="B24" s="9">
        <v>131104.05</v>
      </c>
      <c r="C24" s="9">
        <v>49</v>
      </c>
      <c r="D24" s="9">
        <v>2675.59285714286</v>
      </c>
      <c r="E24" s="9">
        <v>802.11</v>
      </c>
      <c r="F24" s="20">
        <v>4</v>
      </c>
      <c r="G24" s="20">
        <v>200.5275</v>
      </c>
      <c r="H24" s="9">
        <v>2475.91</v>
      </c>
      <c r="I24" s="20">
        <v>11</v>
      </c>
      <c r="J24" s="20">
        <v>225.082727272727</v>
      </c>
      <c r="K24" s="9">
        <v>0</v>
      </c>
      <c r="L24" s="9">
        <v>0</v>
      </c>
      <c r="M24" s="9" t="s">
        <v>94</v>
      </c>
      <c r="N24" s="9">
        <v>170.32</v>
      </c>
      <c r="O24" s="9">
        <v>5</v>
      </c>
      <c r="P24" s="9">
        <v>34.064</v>
      </c>
      <c r="Q24" s="9">
        <v>1944.52</v>
      </c>
      <c r="R24" s="9">
        <v>6</v>
      </c>
      <c r="S24" s="9">
        <v>324.086666666667</v>
      </c>
      <c r="T24" s="9">
        <v>9137.06</v>
      </c>
      <c r="U24" s="9">
        <v>29</v>
      </c>
      <c r="V24" s="9">
        <v>315.071034482759</v>
      </c>
      <c r="W24" s="9">
        <v>18388.02</v>
      </c>
      <c r="X24" s="9">
        <v>17</v>
      </c>
      <c r="Y24" s="9">
        <v>1081.64823529412</v>
      </c>
      <c r="Z24" s="9">
        <v>400.93</v>
      </c>
      <c r="AA24" s="9">
        <v>7</v>
      </c>
      <c r="AB24" s="9">
        <v>57.2757142857143</v>
      </c>
      <c r="AC24" s="9">
        <v>297159.71</v>
      </c>
      <c r="AD24" s="9">
        <v>362</v>
      </c>
      <c r="AE24" s="9">
        <v>820.88317679558</v>
      </c>
      <c r="AF24" s="9">
        <v>0</v>
      </c>
      <c r="AG24" s="9">
        <v>0</v>
      </c>
      <c r="AH24" s="24" t="s">
        <v>94</v>
      </c>
      <c r="AI24" s="9">
        <v>164422.92</v>
      </c>
      <c r="AJ24" s="9">
        <v>128</v>
      </c>
      <c r="AK24" s="9">
        <v>1284.5540625</v>
      </c>
      <c r="AL24" s="25"/>
    </row>
    <row r="25" spans="1:38">
      <c r="A25" s="8">
        <v>45130</v>
      </c>
      <c r="B25" s="9">
        <v>141195.98</v>
      </c>
      <c r="C25" s="9">
        <v>48</v>
      </c>
      <c r="D25" s="9">
        <v>2941.58291666667</v>
      </c>
      <c r="E25" s="9">
        <v>808.7</v>
      </c>
      <c r="F25" s="20">
        <v>4</v>
      </c>
      <c r="G25" s="20">
        <v>202.175</v>
      </c>
      <c r="H25" s="9">
        <v>2486.51</v>
      </c>
      <c r="I25" s="20">
        <v>11</v>
      </c>
      <c r="J25" s="20">
        <v>226.046363636364</v>
      </c>
      <c r="K25" s="9">
        <v>0</v>
      </c>
      <c r="L25" s="9">
        <v>0</v>
      </c>
      <c r="M25" s="9" t="s">
        <v>94</v>
      </c>
      <c r="N25" s="9">
        <v>189.28</v>
      </c>
      <c r="O25" s="9">
        <v>5</v>
      </c>
      <c r="P25" s="9">
        <v>37.856</v>
      </c>
      <c r="Q25" s="9">
        <v>795.13</v>
      </c>
      <c r="R25" s="9">
        <v>7</v>
      </c>
      <c r="S25" s="9">
        <v>113.59</v>
      </c>
      <c r="T25" s="9">
        <v>9406.33</v>
      </c>
      <c r="U25" s="9">
        <v>26</v>
      </c>
      <c r="V25" s="9">
        <v>361.781923076923</v>
      </c>
      <c r="W25" s="9">
        <v>16020.21</v>
      </c>
      <c r="X25" s="9">
        <v>17</v>
      </c>
      <c r="Y25" s="9">
        <v>942.365294117647</v>
      </c>
      <c r="Z25" s="9">
        <v>401.61</v>
      </c>
      <c r="AA25" s="9">
        <v>6</v>
      </c>
      <c r="AB25" s="9">
        <v>66.935</v>
      </c>
      <c r="AC25" s="9">
        <v>312887.47</v>
      </c>
      <c r="AD25" s="9">
        <v>349</v>
      </c>
      <c r="AE25" s="9">
        <v>896.525702005731</v>
      </c>
      <c r="AF25" s="9">
        <v>0</v>
      </c>
      <c r="AG25" s="9">
        <v>0</v>
      </c>
      <c r="AH25" s="24" t="s">
        <v>94</v>
      </c>
      <c r="AI25" s="9">
        <v>171303.75</v>
      </c>
      <c r="AJ25" s="9">
        <v>124</v>
      </c>
      <c r="AK25" s="9">
        <v>1381.48185483871</v>
      </c>
      <c r="AL25" s="25"/>
    </row>
    <row r="26" spans="1:38">
      <c r="A26" s="8">
        <v>45131</v>
      </c>
      <c r="B26" s="9">
        <v>132915.68</v>
      </c>
      <c r="C26" s="9">
        <v>50</v>
      </c>
      <c r="D26" s="9">
        <v>2658.3136</v>
      </c>
      <c r="E26" s="9">
        <v>798.58</v>
      </c>
      <c r="F26" s="20">
        <v>4</v>
      </c>
      <c r="G26" s="20">
        <v>199.645</v>
      </c>
      <c r="H26" s="9">
        <v>2843.61</v>
      </c>
      <c r="I26" s="20">
        <v>11</v>
      </c>
      <c r="J26" s="20">
        <v>258.51</v>
      </c>
      <c r="K26" s="9">
        <v>0</v>
      </c>
      <c r="L26" s="9">
        <v>0</v>
      </c>
      <c r="M26" s="9" t="s">
        <v>94</v>
      </c>
      <c r="N26" s="9">
        <v>339.14</v>
      </c>
      <c r="O26" s="9">
        <v>10</v>
      </c>
      <c r="P26" s="9">
        <v>33.914</v>
      </c>
      <c r="Q26" s="9">
        <v>1391.68</v>
      </c>
      <c r="R26" s="9">
        <v>6</v>
      </c>
      <c r="S26" s="9">
        <v>231.946666666667</v>
      </c>
      <c r="T26" s="9">
        <v>16042.08</v>
      </c>
      <c r="U26" s="9">
        <v>30</v>
      </c>
      <c r="V26" s="9">
        <v>534.736</v>
      </c>
      <c r="W26" s="9">
        <v>16651.75</v>
      </c>
      <c r="X26" s="9">
        <v>17</v>
      </c>
      <c r="Y26" s="9">
        <v>979.514705882353</v>
      </c>
      <c r="Z26" s="9">
        <v>424.6</v>
      </c>
      <c r="AA26" s="9">
        <v>6</v>
      </c>
      <c r="AB26" s="9">
        <v>70.7666666666667</v>
      </c>
      <c r="AC26" s="9">
        <v>305789.71</v>
      </c>
      <c r="AD26" s="9">
        <v>361</v>
      </c>
      <c r="AE26" s="9">
        <v>847.062908587258</v>
      </c>
      <c r="AF26" s="9">
        <v>0</v>
      </c>
      <c r="AG26" s="9">
        <v>0</v>
      </c>
      <c r="AH26" s="24" t="s">
        <v>94</v>
      </c>
      <c r="AI26" s="9">
        <v>171407.12</v>
      </c>
      <c r="AJ26" s="9">
        <v>134</v>
      </c>
      <c r="AK26" s="9">
        <v>1279.1576119403</v>
      </c>
      <c r="AL26" s="25"/>
    </row>
    <row r="27" spans="1:38">
      <c r="A27" s="8">
        <v>45132</v>
      </c>
      <c r="B27" s="9">
        <v>127928.46</v>
      </c>
      <c r="C27" s="9">
        <v>48</v>
      </c>
      <c r="D27" s="9">
        <v>2665.17625</v>
      </c>
      <c r="E27" s="9">
        <v>836.52</v>
      </c>
      <c r="F27" s="20">
        <v>4</v>
      </c>
      <c r="G27" s="20">
        <v>209.13</v>
      </c>
      <c r="H27" s="9">
        <v>2444.99</v>
      </c>
      <c r="I27" s="20">
        <v>11</v>
      </c>
      <c r="J27" s="20">
        <v>222.271818181818</v>
      </c>
      <c r="K27" s="9">
        <v>0</v>
      </c>
      <c r="L27" s="9">
        <v>0</v>
      </c>
      <c r="M27" s="9" t="s">
        <v>94</v>
      </c>
      <c r="N27" s="9">
        <v>325.62</v>
      </c>
      <c r="O27" s="9">
        <v>10</v>
      </c>
      <c r="P27" s="9">
        <v>32.562</v>
      </c>
      <c r="Q27" s="9">
        <v>1944.49</v>
      </c>
      <c r="R27" s="9">
        <v>8</v>
      </c>
      <c r="S27" s="9">
        <v>243.06125</v>
      </c>
      <c r="T27" s="9">
        <v>10400.64</v>
      </c>
      <c r="U27" s="9">
        <v>30</v>
      </c>
      <c r="V27" s="9">
        <v>346.688</v>
      </c>
      <c r="W27" s="9">
        <v>16327.52</v>
      </c>
      <c r="X27" s="9">
        <v>17</v>
      </c>
      <c r="Y27" s="9">
        <v>960.442352941177</v>
      </c>
      <c r="Z27" s="9">
        <v>356.72</v>
      </c>
      <c r="AA27" s="9">
        <v>6</v>
      </c>
      <c r="AB27" s="9">
        <v>59.4533333333333</v>
      </c>
      <c r="AC27" s="9">
        <v>307518.42</v>
      </c>
      <c r="AD27" s="9">
        <v>357</v>
      </c>
      <c r="AE27" s="9">
        <v>861.396134453781</v>
      </c>
      <c r="AF27" s="9">
        <v>0</v>
      </c>
      <c r="AG27" s="9">
        <v>0</v>
      </c>
      <c r="AH27" s="24" t="s">
        <v>94</v>
      </c>
      <c r="AI27" s="9">
        <v>160564.96</v>
      </c>
      <c r="AJ27" s="9">
        <v>134</v>
      </c>
      <c r="AK27" s="9">
        <v>1198.24597014925</v>
      </c>
      <c r="AL27" s="25"/>
    </row>
    <row r="28" spans="1:38">
      <c r="A28" s="8">
        <v>45133</v>
      </c>
      <c r="B28" s="9">
        <v>132605.7</v>
      </c>
      <c r="C28" s="9">
        <v>49</v>
      </c>
      <c r="D28" s="9">
        <v>2706.2387755102</v>
      </c>
      <c r="E28" s="9">
        <v>820.73</v>
      </c>
      <c r="F28" s="20">
        <v>4</v>
      </c>
      <c r="G28" s="20">
        <v>205.1825</v>
      </c>
      <c r="H28" s="9">
        <v>2624.73</v>
      </c>
      <c r="I28" s="20">
        <v>11</v>
      </c>
      <c r="J28" s="20">
        <v>238.611818181818</v>
      </c>
      <c r="K28" s="9">
        <v>0</v>
      </c>
      <c r="L28" s="9">
        <v>0</v>
      </c>
      <c r="M28" s="9" t="s">
        <v>94</v>
      </c>
      <c r="N28" s="9">
        <v>284.75</v>
      </c>
      <c r="O28" s="9">
        <v>9</v>
      </c>
      <c r="P28" s="9">
        <v>31.6388888888889</v>
      </c>
      <c r="Q28" s="9">
        <v>1540.58</v>
      </c>
      <c r="R28" s="9">
        <v>8</v>
      </c>
      <c r="S28" s="9">
        <v>192.5725</v>
      </c>
      <c r="T28" s="9">
        <v>12011.37</v>
      </c>
      <c r="U28" s="9">
        <v>28</v>
      </c>
      <c r="V28" s="9">
        <v>428.9775</v>
      </c>
      <c r="W28" s="9">
        <v>14840.43</v>
      </c>
      <c r="X28" s="9">
        <v>16</v>
      </c>
      <c r="Y28" s="9">
        <v>927.526875</v>
      </c>
      <c r="Z28" s="9">
        <v>456.18</v>
      </c>
      <c r="AA28" s="9">
        <v>6</v>
      </c>
      <c r="AB28" s="9">
        <v>76.03</v>
      </c>
      <c r="AC28" s="9">
        <v>302517.98</v>
      </c>
      <c r="AD28" s="9">
        <v>355</v>
      </c>
      <c r="AE28" s="9">
        <v>852.163323943661</v>
      </c>
      <c r="AF28" s="9">
        <v>0</v>
      </c>
      <c r="AG28" s="9">
        <v>0</v>
      </c>
      <c r="AH28" s="24" t="s">
        <v>94</v>
      </c>
      <c r="AI28" s="9">
        <v>165184.47</v>
      </c>
      <c r="AJ28" s="9">
        <v>131</v>
      </c>
      <c r="AK28" s="9">
        <v>1260.95015267176</v>
      </c>
      <c r="AL28" s="25"/>
    </row>
    <row r="29" spans="1:38">
      <c r="A29" s="8">
        <v>45134</v>
      </c>
      <c r="B29" s="9">
        <v>109554.47</v>
      </c>
      <c r="C29" s="9">
        <v>52</v>
      </c>
      <c r="D29" s="9">
        <v>2106.81673076923</v>
      </c>
      <c r="E29" s="9">
        <v>788</v>
      </c>
      <c r="F29" s="20">
        <v>4</v>
      </c>
      <c r="G29" s="20">
        <v>197</v>
      </c>
      <c r="H29" s="9">
        <v>2899.57</v>
      </c>
      <c r="I29" s="20">
        <v>11</v>
      </c>
      <c r="J29" s="20">
        <v>263.597272727273</v>
      </c>
      <c r="K29" s="9">
        <v>0</v>
      </c>
      <c r="L29" s="9">
        <v>0</v>
      </c>
      <c r="M29" s="9">
        <v>0</v>
      </c>
      <c r="N29" s="9">
        <v>287.83</v>
      </c>
      <c r="O29" s="9">
        <v>9</v>
      </c>
      <c r="P29" s="9">
        <v>31.9811111111111</v>
      </c>
      <c r="Q29" s="9">
        <v>1578.53</v>
      </c>
      <c r="R29" s="9">
        <v>6</v>
      </c>
      <c r="S29" s="9">
        <v>263.088333333333</v>
      </c>
      <c r="T29" s="9">
        <v>8780.73</v>
      </c>
      <c r="U29" s="9">
        <v>27</v>
      </c>
      <c r="V29" s="9">
        <v>325.212222222222</v>
      </c>
      <c r="W29" s="9">
        <v>13363.69</v>
      </c>
      <c r="X29" s="9">
        <v>16</v>
      </c>
      <c r="Y29" s="9">
        <v>835.230625</v>
      </c>
      <c r="Z29" s="9">
        <v>402.79</v>
      </c>
      <c r="AA29" s="9">
        <v>6</v>
      </c>
      <c r="AB29" s="9">
        <v>67.1316666666667</v>
      </c>
      <c r="AC29" s="9">
        <v>302418.07</v>
      </c>
      <c r="AD29" s="9">
        <v>369</v>
      </c>
      <c r="AE29" s="9">
        <v>819.561165311653</v>
      </c>
      <c r="AF29" s="9">
        <v>0</v>
      </c>
      <c r="AG29" s="9">
        <v>0</v>
      </c>
      <c r="AH29" s="24">
        <v>0</v>
      </c>
      <c r="AI29" s="9">
        <v>137655.61</v>
      </c>
      <c r="AJ29" s="9">
        <v>131</v>
      </c>
      <c r="AK29" s="9">
        <v>1050.80618320611</v>
      </c>
      <c r="AL29" s="25"/>
    </row>
    <row r="30" spans="1:38">
      <c r="A30" s="8">
        <v>45135</v>
      </c>
      <c r="B30" s="9">
        <v>133876.48</v>
      </c>
      <c r="C30" s="9">
        <v>51</v>
      </c>
      <c r="D30" s="9">
        <v>2625.02901960784</v>
      </c>
      <c r="E30" s="9">
        <v>801.6</v>
      </c>
      <c r="F30" s="20">
        <v>4</v>
      </c>
      <c r="G30" s="20">
        <v>200.4</v>
      </c>
      <c r="H30" s="9">
        <v>2392.07</v>
      </c>
      <c r="I30" s="20">
        <v>11</v>
      </c>
      <c r="J30" s="20">
        <v>217.460909090909</v>
      </c>
      <c r="K30" s="9">
        <v>0</v>
      </c>
      <c r="L30" s="9">
        <v>0</v>
      </c>
      <c r="M30" s="9">
        <v>0</v>
      </c>
      <c r="N30" s="9">
        <v>372.87</v>
      </c>
      <c r="O30" s="9">
        <v>9</v>
      </c>
      <c r="P30" s="9">
        <v>41.43</v>
      </c>
      <c r="Q30" s="9">
        <v>1172.78</v>
      </c>
      <c r="R30" s="9">
        <v>7</v>
      </c>
      <c r="S30" s="9">
        <v>167.54</v>
      </c>
      <c r="T30" s="9">
        <v>8373.04</v>
      </c>
      <c r="U30" s="9">
        <v>27</v>
      </c>
      <c r="V30" s="9">
        <v>310.112592592593</v>
      </c>
      <c r="W30" s="9">
        <v>13441.8</v>
      </c>
      <c r="X30" s="9">
        <v>15</v>
      </c>
      <c r="Y30" s="9">
        <v>896.12</v>
      </c>
      <c r="Z30" s="9">
        <v>368.6</v>
      </c>
      <c r="AA30" s="9">
        <v>5</v>
      </c>
      <c r="AB30" s="9">
        <v>73.72</v>
      </c>
      <c r="AC30" s="9">
        <v>332819.5</v>
      </c>
      <c r="AD30" s="9">
        <v>378</v>
      </c>
      <c r="AE30" s="9">
        <v>880.474867724868</v>
      </c>
      <c r="AF30" s="9">
        <v>0</v>
      </c>
      <c r="AG30" s="9">
        <v>0</v>
      </c>
      <c r="AH30" s="9">
        <v>0</v>
      </c>
      <c r="AI30" s="9">
        <v>160799.24</v>
      </c>
      <c r="AJ30" s="9">
        <v>129</v>
      </c>
      <c r="AK30" s="9">
        <v>1246.50573643411</v>
      </c>
      <c r="AL30" s="25"/>
    </row>
    <row r="31" spans="1:38">
      <c r="A31" s="8">
        <v>45136</v>
      </c>
      <c r="B31" s="9">
        <v>115633.17</v>
      </c>
      <c r="C31" s="9">
        <v>49</v>
      </c>
      <c r="D31" s="9">
        <v>2359.8606122449</v>
      </c>
      <c r="E31" s="9">
        <v>817.88</v>
      </c>
      <c r="F31" s="20">
        <v>4</v>
      </c>
      <c r="G31" s="20">
        <v>204.47</v>
      </c>
      <c r="H31" s="9">
        <v>2392.5</v>
      </c>
      <c r="I31" s="20">
        <v>11</v>
      </c>
      <c r="J31" s="20">
        <v>217.5</v>
      </c>
      <c r="K31" s="9">
        <v>0</v>
      </c>
      <c r="L31" s="9">
        <v>0</v>
      </c>
      <c r="M31" s="9">
        <v>0</v>
      </c>
      <c r="N31" s="9">
        <v>154.87</v>
      </c>
      <c r="O31" s="9">
        <v>6</v>
      </c>
      <c r="P31" s="9">
        <v>25.8116666666667</v>
      </c>
      <c r="Q31" s="9">
        <v>1970.24</v>
      </c>
      <c r="R31" s="9">
        <v>6</v>
      </c>
      <c r="S31" s="9">
        <v>328.373333333333</v>
      </c>
      <c r="T31" s="9">
        <v>8273.13</v>
      </c>
      <c r="U31" s="9">
        <v>25</v>
      </c>
      <c r="V31" s="9">
        <v>330.9252</v>
      </c>
      <c r="W31" s="9">
        <v>14668.15</v>
      </c>
      <c r="X31" s="9">
        <v>15</v>
      </c>
      <c r="Y31" s="9">
        <v>977.876666666667</v>
      </c>
      <c r="Z31" s="9">
        <v>253.24</v>
      </c>
      <c r="AA31" s="9">
        <v>5</v>
      </c>
      <c r="AB31" s="9">
        <v>50.648</v>
      </c>
      <c r="AC31" s="9">
        <v>299073.18</v>
      </c>
      <c r="AD31" s="9">
        <v>332</v>
      </c>
      <c r="AE31" s="9">
        <v>900.822831325301</v>
      </c>
      <c r="AF31" s="9">
        <v>0</v>
      </c>
      <c r="AG31" s="9">
        <v>0</v>
      </c>
      <c r="AH31" s="9">
        <v>0</v>
      </c>
      <c r="AI31" s="9">
        <v>144163.18</v>
      </c>
      <c r="AJ31" s="9">
        <v>121</v>
      </c>
      <c r="AK31" s="9">
        <v>1191.43123966942</v>
      </c>
      <c r="AL31" s="25"/>
    </row>
    <row r="32" spans="1:38">
      <c r="A32" s="8">
        <v>45137</v>
      </c>
      <c r="B32" s="9">
        <v>148193.06</v>
      </c>
      <c r="C32" s="9">
        <v>47</v>
      </c>
      <c r="D32" s="9">
        <v>3153.04382978723</v>
      </c>
      <c r="E32" s="9">
        <v>795.41</v>
      </c>
      <c r="F32" s="20">
        <v>4</v>
      </c>
      <c r="G32" s="20">
        <v>198.8525</v>
      </c>
      <c r="H32" s="9">
        <v>2516.13</v>
      </c>
      <c r="I32" s="20">
        <v>11</v>
      </c>
      <c r="J32" s="20">
        <v>228.739090909091</v>
      </c>
      <c r="K32" s="9">
        <v>0</v>
      </c>
      <c r="L32" s="9">
        <v>0</v>
      </c>
      <c r="M32" s="9">
        <v>0</v>
      </c>
      <c r="N32" s="9">
        <v>189.38</v>
      </c>
      <c r="O32" s="9">
        <v>5</v>
      </c>
      <c r="P32" s="9">
        <v>37.876</v>
      </c>
      <c r="Q32" s="9">
        <v>1994.15</v>
      </c>
      <c r="R32" s="9">
        <v>7</v>
      </c>
      <c r="S32" s="9">
        <v>284.878571428571</v>
      </c>
      <c r="T32" s="9">
        <v>8673.21</v>
      </c>
      <c r="U32" s="9">
        <v>25</v>
      </c>
      <c r="V32" s="9">
        <v>346.9284</v>
      </c>
      <c r="W32" s="9">
        <v>13054.56</v>
      </c>
      <c r="X32" s="9">
        <v>16</v>
      </c>
      <c r="Y32" s="9">
        <v>815.91</v>
      </c>
      <c r="Z32" s="9">
        <v>234.89</v>
      </c>
      <c r="AA32" s="9">
        <v>5</v>
      </c>
      <c r="AB32" s="9">
        <v>46.978</v>
      </c>
      <c r="AC32" s="9">
        <v>300209.64</v>
      </c>
      <c r="AD32" s="9">
        <v>335</v>
      </c>
      <c r="AE32" s="9">
        <v>896.148179104478</v>
      </c>
      <c r="AF32" s="9">
        <v>0</v>
      </c>
      <c r="AG32" s="9">
        <v>0</v>
      </c>
      <c r="AH32" s="9">
        <v>0</v>
      </c>
      <c r="AI32" s="9">
        <v>175650.79</v>
      </c>
      <c r="AJ32" s="9">
        <v>120</v>
      </c>
      <c r="AK32" s="9">
        <v>1463.75658333333</v>
      </c>
      <c r="AL32" s="25"/>
    </row>
    <row r="33" spans="1:38">
      <c r="A33" s="8">
        <v>45138</v>
      </c>
      <c r="B33" s="9">
        <v>140903.27</v>
      </c>
      <c r="C33" s="9">
        <v>48</v>
      </c>
      <c r="D33" s="9">
        <v>2935.48479166667</v>
      </c>
      <c r="E33" s="9">
        <v>800.86</v>
      </c>
      <c r="F33" s="20">
        <v>4</v>
      </c>
      <c r="G33" s="20">
        <v>200.215</v>
      </c>
      <c r="H33" s="9">
        <v>2949.94</v>
      </c>
      <c r="I33" s="20">
        <v>11</v>
      </c>
      <c r="J33" s="20">
        <v>268.176363636364</v>
      </c>
      <c r="K33" s="9">
        <v>0</v>
      </c>
      <c r="L33" s="9">
        <v>0</v>
      </c>
      <c r="M33" s="9">
        <v>0</v>
      </c>
      <c r="N33" s="9">
        <v>325.76</v>
      </c>
      <c r="O33" s="9">
        <v>10</v>
      </c>
      <c r="P33" s="9">
        <v>32.576</v>
      </c>
      <c r="Q33" s="9">
        <v>1607.48</v>
      </c>
      <c r="R33" s="9">
        <v>7</v>
      </c>
      <c r="S33" s="9">
        <v>229.64</v>
      </c>
      <c r="T33" s="9">
        <v>8575.43</v>
      </c>
      <c r="U33" s="9">
        <v>25</v>
      </c>
      <c r="V33" s="9">
        <v>343.0172</v>
      </c>
      <c r="W33" s="9">
        <v>15513.64</v>
      </c>
      <c r="X33" s="9">
        <v>16</v>
      </c>
      <c r="Y33" s="9">
        <v>969.6025</v>
      </c>
      <c r="Z33" s="9">
        <v>181.37</v>
      </c>
      <c r="AA33" s="9">
        <v>5</v>
      </c>
      <c r="AB33" s="9">
        <v>36.274</v>
      </c>
      <c r="AC33" s="9">
        <v>298596.17</v>
      </c>
      <c r="AD33" s="9">
        <v>338</v>
      </c>
      <c r="AE33" s="9">
        <v>883.420621301775</v>
      </c>
      <c r="AF33" s="9">
        <v>0</v>
      </c>
      <c r="AG33" s="9">
        <v>0</v>
      </c>
      <c r="AH33" s="9">
        <v>0</v>
      </c>
      <c r="AI33" s="9">
        <v>170857.75</v>
      </c>
      <c r="AJ33" s="9">
        <v>126</v>
      </c>
      <c r="AK33" s="9">
        <v>1356.01388888889</v>
      </c>
      <c r="AL33" s="25"/>
    </row>
    <row r="34" spans="1:38">
      <c r="A34" s="8">
        <v>45139</v>
      </c>
      <c r="B34" s="9">
        <v>110282.46</v>
      </c>
      <c r="C34" s="9">
        <v>49</v>
      </c>
      <c r="D34" s="9">
        <v>2250.66244897959</v>
      </c>
      <c r="E34" s="9">
        <v>820.51</v>
      </c>
      <c r="F34" s="20">
        <v>4</v>
      </c>
      <c r="G34" s="20">
        <v>205.1275</v>
      </c>
      <c r="H34" s="9">
        <v>3604.7</v>
      </c>
      <c r="I34" s="20">
        <v>10</v>
      </c>
      <c r="J34" s="20">
        <v>360.47</v>
      </c>
      <c r="K34" s="9">
        <v>0</v>
      </c>
      <c r="L34" s="9">
        <v>0</v>
      </c>
      <c r="M34" s="9">
        <v>0</v>
      </c>
      <c r="N34" s="9">
        <v>342.04</v>
      </c>
      <c r="O34" s="9">
        <v>9</v>
      </c>
      <c r="P34" s="9">
        <v>38.0044444444444</v>
      </c>
      <c r="Q34" s="9">
        <v>2189.26</v>
      </c>
      <c r="R34" s="9">
        <v>8</v>
      </c>
      <c r="S34" s="9">
        <v>273.6575</v>
      </c>
      <c r="T34" s="9">
        <v>7510.82</v>
      </c>
      <c r="U34" s="9">
        <v>26</v>
      </c>
      <c r="V34" s="9">
        <v>288.877692307692</v>
      </c>
      <c r="W34" s="9">
        <v>15834.58</v>
      </c>
      <c r="X34" s="9">
        <v>15</v>
      </c>
      <c r="Y34" s="9">
        <v>1055.63866666667</v>
      </c>
      <c r="Z34" s="9">
        <v>166.87</v>
      </c>
      <c r="AA34" s="9">
        <v>5</v>
      </c>
      <c r="AB34" s="9">
        <v>33.374</v>
      </c>
      <c r="AC34" s="9">
        <v>301856.78</v>
      </c>
      <c r="AD34" s="9">
        <v>338</v>
      </c>
      <c r="AE34" s="9">
        <v>893.067396449704</v>
      </c>
      <c r="AF34" s="9">
        <v>0</v>
      </c>
      <c r="AG34" s="9">
        <v>0</v>
      </c>
      <c r="AH34" s="9">
        <v>0</v>
      </c>
      <c r="AI34" s="9">
        <v>140751.24</v>
      </c>
      <c r="AJ34" s="9">
        <v>126</v>
      </c>
      <c r="AK34" s="9">
        <v>1117.07333333333</v>
      </c>
      <c r="AL34" s="25"/>
    </row>
    <row r="35" spans="1:38">
      <c r="A35" s="8">
        <v>45140</v>
      </c>
      <c r="B35" s="9">
        <v>114093.74</v>
      </c>
      <c r="C35" s="9">
        <v>53</v>
      </c>
      <c r="D35" s="9">
        <v>2152.7120754717</v>
      </c>
      <c r="E35" s="9">
        <v>793.18</v>
      </c>
      <c r="F35" s="20">
        <v>4</v>
      </c>
      <c r="G35" s="20">
        <v>198.295</v>
      </c>
      <c r="H35" s="9">
        <v>4120.49</v>
      </c>
      <c r="I35" s="20">
        <v>10</v>
      </c>
      <c r="J35" s="20">
        <v>412.049</v>
      </c>
      <c r="K35" s="9">
        <v>0</v>
      </c>
      <c r="L35" s="9">
        <v>0</v>
      </c>
      <c r="M35" s="9">
        <v>0</v>
      </c>
      <c r="N35" s="9">
        <v>224.23</v>
      </c>
      <c r="O35" s="9">
        <v>8</v>
      </c>
      <c r="P35" s="9">
        <v>28.02875</v>
      </c>
      <c r="Q35" s="9">
        <v>283.61</v>
      </c>
      <c r="R35" s="9">
        <v>5</v>
      </c>
      <c r="S35" s="9">
        <v>56.722</v>
      </c>
      <c r="T35" s="9">
        <v>7915.16</v>
      </c>
      <c r="U35" s="9">
        <v>27</v>
      </c>
      <c r="V35" s="9">
        <v>293.154074074074</v>
      </c>
      <c r="W35" s="9">
        <v>13814.37</v>
      </c>
      <c r="X35" s="9">
        <v>13</v>
      </c>
      <c r="Y35" s="9">
        <v>1062.64384615385</v>
      </c>
      <c r="Z35" s="9">
        <v>489.22</v>
      </c>
      <c r="AA35" s="9">
        <v>5</v>
      </c>
      <c r="AB35" s="9">
        <v>97.844</v>
      </c>
      <c r="AC35" s="9">
        <v>284652.09</v>
      </c>
      <c r="AD35" s="9">
        <v>344</v>
      </c>
      <c r="AE35" s="9">
        <v>827.477005813954</v>
      </c>
      <c r="AF35" s="9">
        <v>0</v>
      </c>
      <c r="AG35" s="9">
        <v>0</v>
      </c>
      <c r="AH35" s="9">
        <v>0</v>
      </c>
      <c r="AI35" s="9">
        <v>141734</v>
      </c>
      <c r="AJ35" s="9">
        <v>125</v>
      </c>
      <c r="AK35" s="9">
        <v>1133.872</v>
      </c>
      <c r="AL35" s="25"/>
    </row>
    <row r="36" spans="1:38">
      <c r="A36" s="8">
        <v>45141</v>
      </c>
      <c r="B36" s="9">
        <v>118836.91</v>
      </c>
      <c r="C36" s="9">
        <v>54</v>
      </c>
      <c r="D36" s="9">
        <v>2200.68351851852</v>
      </c>
      <c r="E36" s="9">
        <v>787.15</v>
      </c>
      <c r="F36" s="20">
        <v>4</v>
      </c>
      <c r="G36" s="20">
        <v>196.7875</v>
      </c>
      <c r="H36" s="9">
        <v>3819.71</v>
      </c>
      <c r="I36" s="20">
        <v>10</v>
      </c>
      <c r="J36" s="20">
        <v>381.971</v>
      </c>
      <c r="K36" s="9">
        <v>0</v>
      </c>
      <c r="L36" s="9">
        <v>0</v>
      </c>
      <c r="M36" s="9">
        <v>0</v>
      </c>
      <c r="N36" s="9">
        <v>241.89</v>
      </c>
      <c r="O36" s="9">
        <v>8</v>
      </c>
      <c r="P36" s="9">
        <v>30.23625</v>
      </c>
      <c r="Q36" s="9">
        <v>282.83</v>
      </c>
      <c r="R36" s="9">
        <v>3</v>
      </c>
      <c r="S36" s="9">
        <v>94.2766666666667</v>
      </c>
      <c r="T36" s="9">
        <v>10544.13</v>
      </c>
      <c r="U36" s="9">
        <v>27</v>
      </c>
      <c r="V36" s="9">
        <v>390.523333333333</v>
      </c>
      <c r="W36" s="9">
        <v>16776.71</v>
      </c>
      <c r="X36" s="9">
        <v>14</v>
      </c>
      <c r="Y36" s="9">
        <v>1198.33642857143</v>
      </c>
      <c r="Z36" s="9">
        <v>703.54</v>
      </c>
      <c r="AA36" s="9">
        <v>5</v>
      </c>
      <c r="AB36" s="9">
        <v>140.708</v>
      </c>
      <c r="AC36" s="9">
        <v>270266.93</v>
      </c>
      <c r="AD36" s="9">
        <v>342</v>
      </c>
      <c r="AE36" s="9">
        <v>790.25418128655</v>
      </c>
      <c r="AF36" s="9">
        <v>0</v>
      </c>
      <c r="AG36" s="9">
        <v>0</v>
      </c>
      <c r="AH36" s="9">
        <v>0</v>
      </c>
      <c r="AI36" s="9">
        <v>151992.87</v>
      </c>
      <c r="AJ36" s="9">
        <v>125</v>
      </c>
      <c r="AK36" s="9">
        <v>1215.94296</v>
      </c>
      <c r="AL36" s="25"/>
    </row>
    <row r="37" spans="1:38">
      <c r="A37" s="8">
        <v>45142</v>
      </c>
      <c r="B37" s="9">
        <v>119757.13</v>
      </c>
      <c r="C37" s="9">
        <v>53</v>
      </c>
      <c r="D37" s="9">
        <v>2259.56849056604</v>
      </c>
      <c r="E37" s="9">
        <v>804.53</v>
      </c>
      <c r="F37" s="20">
        <v>4</v>
      </c>
      <c r="G37" s="20">
        <v>201.1325</v>
      </c>
      <c r="H37" s="9">
        <v>3511.72</v>
      </c>
      <c r="I37" s="20">
        <v>8</v>
      </c>
      <c r="J37" s="20">
        <v>438.965</v>
      </c>
      <c r="K37" s="9">
        <v>0</v>
      </c>
      <c r="L37" s="9">
        <v>0</v>
      </c>
      <c r="M37" s="9">
        <v>0</v>
      </c>
      <c r="N37" s="9">
        <v>238.56</v>
      </c>
      <c r="O37" s="9">
        <v>8</v>
      </c>
      <c r="P37" s="9">
        <v>29.82</v>
      </c>
      <c r="Q37" s="9">
        <v>205.26</v>
      </c>
      <c r="R37" s="9">
        <v>3</v>
      </c>
      <c r="S37" s="9">
        <v>68.42</v>
      </c>
      <c r="T37" s="9">
        <v>8251.22</v>
      </c>
      <c r="U37" s="9">
        <v>27</v>
      </c>
      <c r="V37" s="9">
        <v>305.600740740741</v>
      </c>
      <c r="W37" s="9">
        <v>15279.36</v>
      </c>
      <c r="X37" s="9">
        <v>13</v>
      </c>
      <c r="Y37" s="9">
        <v>1175.33538461539</v>
      </c>
      <c r="Z37" s="9">
        <v>768.29</v>
      </c>
      <c r="AA37" s="9">
        <v>5</v>
      </c>
      <c r="AB37" s="9">
        <v>153.658</v>
      </c>
      <c r="AC37" s="9">
        <v>289542.14</v>
      </c>
      <c r="AD37" s="9">
        <v>353</v>
      </c>
      <c r="AE37" s="9">
        <v>820.23269121813</v>
      </c>
      <c r="AF37" s="9">
        <v>0</v>
      </c>
      <c r="AG37" s="9">
        <v>0</v>
      </c>
      <c r="AH37" s="9">
        <v>0</v>
      </c>
      <c r="AI37" s="9">
        <v>148816.07</v>
      </c>
      <c r="AJ37" s="9">
        <v>121</v>
      </c>
      <c r="AK37" s="9">
        <v>1229.88487603306</v>
      </c>
      <c r="AL37" s="25"/>
    </row>
    <row r="38" spans="1:38">
      <c r="A38" s="8">
        <v>45143</v>
      </c>
      <c r="B38" s="9">
        <v>129137.86</v>
      </c>
      <c r="C38" s="9">
        <v>50</v>
      </c>
      <c r="D38" s="9">
        <v>2582.7572</v>
      </c>
      <c r="E38" s="9">
        <v>826.97</v>
      </c>
      <c r="F38" s="20">
        <v>4</v>
      </c>
      <c r="G38" s="20">
        <v>206.7425</v>
      </c>
      <c r="H38" s="9">
        <v>3536.44</v>
      </c>
      <c r="I38" s="20">
        <v>9</v>
      </c>
      <c r="J38" s="20">
        <v>392.937777777778</v>
      </c>
      <c r="K38" s="9">
        <v>0</v>
      </c>
      <c r="L38" s="9">
        <v>0</v>
      </c>
      <c r="M38" s="9" t="s">
        <v>94</v>
      </c>
      <c r="N38" s="9">
        <v>129.82</v>
      </c>
      <c r="O38" s="9">
        <v>5</v>
      </c>
      <c r="P38" s="9">
        <v>25.964</v>
      </c>
      <c r="Q38" s="9">
        <v>214.85</v>
      </c>
      <c r="R38" s="9">
        <v>4</v>
      </c>
      <c r="S38" s="9">
        <v>53.7125</v>
      </c>
      <c r="T38" s="9">
        <v>9316.19</v>
      </c>
      <c r="U38" s="9">
        <v>26</v>
      </c>
      <c r="V38" s="9">
        <v>358.315</v>
      </c>
      <c r="W38" s="9">
        <v>16615.89</v>
      </c>
      <c r="X38" s="9">
        <v>13</v>
      </c>
      <c r="Y38" s="9">
        <v>1278.14538461538</v>
      </c>
      <c r="Z38" s="9">
        <v>782.14</v>
      </c>
      <c r="AA38" s="9">
        <v>6</v>
      </c>
      <c r="AB38" s="9">
        <v>130.356666666667</v>
      </c>
      <c r="AC38" s="9">
        <v>355287.84</v>
      </c>
      <c r="AD38" s="9">
        <v>347</v>
      </c>
      <c r="AE38" s="9">
        <v>1023.88426512968</v>
      </c>
      <c r="AF38" s="9">
        <v>0</v>
      </c>
      <c r="AG38" s="9">
        <v>0</v>
      </c>
      <c r="AH38" s="9" t="s">
        <v>94</v>
      </c>
      <c r="AI38" s="9">
        <v>160560.16</v>
      </c>
      <c r="AJ38" s="9">
        <v>117</v>
      </c>
      <c r="AK38" s="9">
        <v>1372.30905982906</v>
      </c>
      <c r="AL38" s="25"/>
    </row>
    <row r="39" spans="1:38">
      <c r="A39" s="8">
        <v>45144</v>
      </c>
      <c r="B39" s="9">
        <v>141125.34</v>
      </c>
      <c r="C39" s="9">
        <v>48</v>
      </c>
      <c r="D39" s="9">
        <v>2940.11125</v>
      </c>
      <c r="E39" s="9">
        <v>805.84</v>
      </c>
      <c r="F39" s="20">
        <v>4</v>
      </c>
      <c r="G39" s="20">
        <v>201.46</v>
      </c>
      <c r="H39" s="9">
        <v>3503.13</v>
      </c>
      <c r="I39" s="20">
        <v>10</v>
      </c>
      <c r="J39" s="20">
        <v>350.313</v>
      </c>
      <c r="K39" s="9">
        <v>0</v>
      </c>
      <c r="L39" s="9">
        <v>0</v>
      </c>
      <c r="M39" s="9" t="s">
        <v>94</v>
      </c>
      <c r="N39" s="9">
        <v>107.91</v>
      </c>
      <c r="O39" s="9">
        <v>4</v>
      </c>
      <c r="P39" s="9">
        <v>26.9775</v>
      </c>
      <c r="Q39" s="9">
        <v>312.81</v>
      </c>
      <c r="R39" s="9">
        <v>4</v>
      </c>
      <c r="S39" s="9">
        <v>78.2025</v>
      </c>
      <c r="T39" s="9">
        <v>10952.96</v>
      </c>
      <c r="U39" s="9">
        <v>25</v>
      </c>
      <c r="V39" s="9">
        <v>438.1184</v>
      </c>
      <c r="W39" s="9">
        <v>17327.78</v>
      </c>
      <c r="X39" s="9">
        <v>13</v>
      </c>
      <c r="Y39" s="9">
        <v>1332.90615384615</v>
      </c>
      <c r="Z39" s="9">
        <v>140.44</v>
      </c>
      <c r="AA39" s="9">
        <v>4</v>
      </c>
      <c r="AB39" s="9">
        <v>35.11</v>
      </c>
      <c r="AC39" s="9">
        <v>359066.9</v>
      </c>
      <c r="AD39" s="9">
        <v>336</v>
      </c>
      <c r="AE39" s="9">
        <v>1068.65148809524</v>
      </c>
      <c r="AF39" s="9">
        <v>0</v>
      </c>
      <c r="AG39" s="9">
        <v>0</v>
      </c>
      <c r="AH39" s="9" t="s">
        <v>94</v>
      </c>
      <c r="AI39" s="9">
        <v>174276.21</v>
      </c>
      <c r="AJ39" s="9">
        <v>112</v>
      </c>
      <c r="AK39" s="9">
        <v>1556.03758928571</v>
      </c>
      <c r="AL39" s="25"/>
    </row>
    <row r="40" spans="1:38">
      <c r="A40" s="8">
        <v>45145</v>
      </c>
      <c r="B40" s="9">
        <v>121936.47</v>
      </c>
      <c r="C40" s="9">
        <v>55</v>
      </c>
      <c r="D40" s="9">
        <v>2217.02672727273</v>
      </c>
      <c r="E40" s="9">
        <v>795.38</v>
      </c>
      <c r="F40" s="20">
        <v>4</v>
      </c>
      <c r="G40" s="20">
        <v>198.845</v>
      </c>
      <c r="H40" s="9">
        <v>2688.07</v>
      </c>
      <c r="I40" s="20">
        <v>9</v>
      </c>
      <c r="J40" s="20">
        <v>298.674444444444</v>
      </c>
      <c r="K40" s="9">
        <v>0</v>
      </c>
      <c r="L40" s="9">
        <v>0</v>
      </c>
      <c r="M40" s="9" t="s">
        <v>94</v>
      </c>
      <c r="N40" s="9">
        <v>262.07</v>
      </c>
      <c r="O40" s="9">
        <v>9</v>
      </c>
      <c r="P40" s="9">
        <v>29.1188888888889</v>
      </c>
      <c r="Q40" s="9">
        <v>235.31</v>
      </c>
      <c r="R40" s="9">
        <v>4</v>
      </c>
      <c r="S40" s="9">
        <v>58.8275</v>
      </c>
      <c r="T40" s="9">
        <v>8199.22</v>
      </c>
      <c r="U40" s="9">
        <v>25</v>
      </c>
      <c r="V40" s="9">
        <v>327.9688</v>
      </c>
      <c r="W40" s="9">
        <v>14831.43</v>
      </c>
      <c r="X40" s="9">
        <v>14</v>
      </c>
      <c r="Y40" s="9">
        <v>1059.38785714286</v>
      </c>
      <c r="Z40" s="9">
        <v>140.3</v>
      </c>
      <c r="AA40" s="9">
        <v>4</v>
      </c>
      <c r="AB40" s="9">
        <v>35.075</v>
      </c>
      <c r="AC40" s="9">
        <v>344545.47</v>
      </c>
      <c r="AD40" s="9">
        <v>356</v>
      </c>
      <c r="AE40" s="9">
        <v>967.824353932584</v>
      </c>
      <c r="AF40" s="9">
        <v>0</v>
      </c>
      <c r="AG40" s="9">
        <v>0</v>
      </c>
      <c r="AH40" s="9" t="s">
        <v>94</v>
      </c>
      <c r="AI40" s="9">
        <v>149088.25</v>
      </c>
      <c r="AJ40" s="9">
        <v>124</v>
      </c>
      <c r="AK40" s="9">
        <v>1202.32459677419</v>
      </c>
      <c r="AL40" s="25"/>
    </row>
    <row r="41" spans="1:39">
      <c r="A41" s="8">
        <v>45146</v>
      </c>
      <c r="B41" s="9">
        <v>117713.9</v>
      </c>
      <c r="C41" s="9">
        <v>56</v>
      </c>
      <c r="D41" s="9">
        <v>2102.03392857143</v>
      </c>
      <c r="E41" s="9">
        <v>799.27</v>
      </c>
      <c r="F41" s="20">
        <v>4</v>
      </c>
      <c r="G41" s="20">
        <v>199.8175</v>
      </c>
      <c r="H41" s="9">
        <v>3229.53</v>
      </c>
      <c r="I41" s="20">
        <v>8</v>
      </c>
      <c r="J41" s="20">
        <v>403.69125</v>
      </c>
      <c r="K41" s="9">
        <v>0</v>
      </c>
      <c r="L41" s="9">
        <v>0</v>
      </c>
      <c r="M41" s="9" t="s">
        <v>94</v>
      </c>
      <c r="N41" s="9">
        <v>225.38</v>
      </c>
      <c r="O41" s="9">
        <v>8</v>
      </c>
      <c r="P41" s="9">
        <v>28.1725</v>
      </c>
      <c r="Q41" s="9">
        <v>182.73</v>
      </c>
      <c r="R41" s="9">
        <v>3</v>
      </c>
      <c r="S41" s="9">
        <v>60.91</v>
      </c>
      <c r="T41" s="9">
        <v>7344.12</v>
      </c>
      <c r="U41" s="9">
        <v>24</v>
      </c>
      <c r="V41" s="9">
        <v>306.005</v>
      </c>
      <c r="W41" s="9">
        <v>16334.63</v>
      </c>
      <c r="X41" s="9">
        <v>14</v>
      </c>
      <c r="Y41" s="9">
        <v>1166.75928571429</v>
      </c>
      <c r="Z41" s="9">
        <v>243.65</v>
      </c>
      <c r="AA41" s="9">
        <v>5</v>
      </c>
      <c r="AB41" s="9">
        <v>48.73</v>
      </c>
      <c r="AC41" s="9">
        <v>317150.34</v>
      </c>
      <c r="AD41" s="9">
        <v>364</v>
      </c>
      <c r="AE41" s="9">
        <v>871.292142857142</v>
      </c>
      <c r="AF41" s="9">
        <v>0</v>
      </c>
      <c r="AG41" s="9">
        <v>0</v>
      </c>
      <c r="AH41" s="9" t="s">
        <v>94</v>
      </c>
      <c r="AI41" s="9">
        <v>146073.21</v>
      </c>
      <c r="AJ41" s="9">
        <v>122</v>
      </c>
      <c r="AK41" s="9">
        <v>1197.32139344262</v>
      </c>
      <c r="AL41" s="25"/>
      <c r="AM41" s="25"/>
    </row>
    <row r="42" spans="1:38">
      <c r="A42" s="8">
        <v>45147</v>
      </c>
      <c r="B42" s="9">
        <v>123261.89</v>
      </c>
      <c r="C42" s="9">
        <v>56</v>
      </c>
      <c r="D42" s="9">
        <v>2201.10517857143</v>
      </c>
      <c r="E42" s="9">
        <v>794.88</v>
      </c>
      <c r="F42" s="20">
        <v>4</v>
      </c>
      <c r="G42" s="20">
        <v>198.72</v>
      </c>
      <c r="H42" s="9">
        <v>3899.06</v>
      </c>
      <c r="I42" s="20">
        <v>8</v>
      </c>
      <c r="J42" s="20">
        <v>487.3825</v>
      </c>
      <c r="K42" s="9">
        <v>0</v>
      </c>
      <c r="L42" s="9">
        <v>0</v>
      </c>
      <c r="M42" s="9" t="s">
        <v>94</v>
      </c>
      <c r="N42" s="9">
        <v>229.58</v>
      </c>
      <c r="O42" s="9">
        <v>9</v>
      </c>
      <c r="P42" s="9">
        <v>25.5088888888889</v>
      </c>
      <c r="Q42" s="9">
        <v>191.24</v>
      </c>
      <c r="R42" s="9">
        <v>3</v>
      </c>
      <c r="S42" s="9">
        <v>63.7466666666667</v>
      </c>
      <c r="T42" s="9">
        <v>8698.42</v>
      </c>
      <c r="U42" s="9">
        <v>24</v>
      </c>
      <c r="V42" s="9">
        <v>362.434166666667</v>
      </c>
      <c r="W42" s="9">
        <v>20173.51</v>
      </c>
      <c r="X42" s="9">
        <v>14</v>
      </c>
      <c r="Y42" s="9">
        <v>1440.965</v>
      </c>
      <c r="Z42" s="9">
        <v>207.56</v>
      </c>
      <c r="AA42" s="9">
        <v>5</v>
      </c>
      <c r="AB42" s="9">
        <v>41.512</v>
      </c>
      <c r="AC42" s="9">
        <v>325059.71</v>
      </c>
      <c r="AD42" s="9">
        <v>369</v>
      </c>
      <c r="AE42" s="9">
        <v>880.920623306234</v>
      </c>
      <c r="AF42" s="9">
        <v>0</v>
      </c>
      <c r="AG42" s="9">
        <v>0</v>
      </c>
      <c r="AH42" s="9" t="s">
        <v>94</v>
      </c>
      <c r="AI42" s="9">
        <v>157456.14</v>
      </c>
      <c r="AJ42" s="9">
        <v>123</v>
      </c>
      <c r="AK42" s="9">
        <v>1280.1312195122</v>
      </c>
      <c r="AL42" s="25"/>
    </row>
    <row r="43" spans="1:38">
      <c r="A43" s="8">
        <v>45148</v>
      </c>
      <c r="B43" s="9">
        <v>145381.08</v>
      </c>
      <c r="C43" s="9">
        <v>56</v>
      </c>
      <c r="D43" s="9">
        <v>2596.09071428571</v>
      </c>
      <c r="E43" s="9">
        <v>788.58</v>
      </c>
      <c r="F43" s="20">
        <v>4</v>
      </c>
      <c r="G43" s="20">
        <v>197.145</v>
      </c>
      <c r="H43" s="9">
        <v>4100.76</v>
      </c>
      <c r="I43" s="20">
        <v>9</v>
      </c>
      <c r="J43" s="20">
        <v>455.64</v>
      </c>
      <c r="K43" s="9">
        <v>0</v>
      </c>
      <c r="L43" s="9">
        <v>0</v>
      </c>
      <c r="M43" s="9" t="s">
        <v>94</v>
      </c>
      <c r="N43" s="9">
        <v>222.85</v>
      </c>
      <c r="O43" s="9">
        <v>8</v>
      </c>
      <c r="P43" s="9">
        <v>27.85625</v>
      </c>
      <c r="Q43" s="9">
        <v>181.67</v>
      </c>
      <c r="R43" s="9">
        <v>3</v>
      </c>
      <c r="S43" s="9">
        <v>60.5566666666667</v>
      </c>
      <c r="T43" s="9">
        <v>8602.71</v>
      </c>
      <c r="U43" s="9">
        <v>24</v>
      </c>
      <c r="V43" s="9">
        <v>358.44625</v>
      </c>
      <c r="W43" s="9">
        <v>20625.66</v>
      </c>
      <c r="X43" s="9">
        <v>16</v>
      </c>
      <c r="Y43" s="9">
        <v>1289.10375</v>
      </c>
      <c r="Z43" s="9">
        <v>311.64</v>
      </c>
      <c r="AA43" s="9">
        <v>6</v>
      </c>
      <c r="AB43" s="9">
        <v>51.94</v>
      </c>
      <c r="AC43" s="9">
        <v>324895.57</v>
      </c>
      <c r="AD43" s="9">
        <v>376</v>
      </c>
      <c r="AE43" s="9">
        <v>864.083962765958</v>
      </c>
      <c r="AF43" s="9">
        <v>0</v>
      </c>
      <c r="AG43" s="9">
        <v>0</v>
      </c>
      <c r="AH43" s="9" t="s">
        <v>94</v>
      </c>
      <c r="AI43" s="9">
        <v>180214.95</v>
      </c>
      <c r="AJ43" s="9">
        <v>126</v>
      </c>
      <c r="AK43" s="9">
        <v>1430.27738095238</v>
      </c>
      <c r="AL43" s="25"/>
    </row>
    <row r="44" spans="1:38">
      <c r="A44" s="8">
        <v>45149</v>
      </c>
      <c r="B44" s="9">
        <v>174865.67</v>
      </c>
      <c r="C44" s="9">
        <v>55</v>
      </c>
      <c r="D44" s="9">
        <v>3179.37581818182</v>
      </c>
      <c r="E44" s="9">
        <v>778.31</v>
      </c>
      <c r="F44" s="20">
        <v>4</v>
      </c>
      <c r="G44" s="20">
        <v>194.5775</v>
      </c>
      <c r="H44" s="9">
        <v>3997.59</v>
      </c>
      <c r="I44" s="20">
        <v>9</v>
      </c>
      <c r="J44" s="20">
        <v>444.176666666667</v>
      </c>
      <c r="K44" s="9">
        <v>0</v>
      </c>
      <c r="L44" s="9">
        <v>0</v>
      </c>
      <c r="M44" s="9" t="s">
        <v>94</v>
      </c>
      <c r="N44" s="9">
        <v>219.79</v>
      </c>
      <c r="O44" s="9">
        <v>8</v>
      </c>
      <c r="P44" s="9">
        <v>27.47375</v>
      </c>
      <c r="Q44" s="9">
        <v>220.77</v>
      </c>
      <c r="R44" s="9">
        <v>4</v>
      </c>
      <c r="S44" s="9">
        <v>55.1925</v>
      </c>
      <c r="T44" s="9">
        <v>7756.18</v>
      </c>
      <c r="U44" s="9">
        <v>24</v>
      </c>
      <c r="V44" s="9">
        <v>323.174166666667</v>
      </c>
      <c r="W44" s="9">
        <v>19969.58</v>
      </c>
      <c r="X44" s="9">
        <v>16</v>
      </c>
      <c r="Y44" s="9">
        <v>1248.09875</v>
      </c>
      <c r="Z44" s="9">
        <v>887.92</v>
      </c>
      <c r="AA44" s="9">
        <v>6</v>
      </c>
      <c r="AB44" s="9">
        <v>147.986666666667</v>
      </c>
      <c r="AC44" s="9">
        <v>361294.62</v>
      </c>
      <c r="AD44" s="9">
        <v>398</v>
      </c>
      <c r="AE44" s="9">
        <v>907.775427135678</v>
      </c>
      <c r="AF44" s="9">
        <v>0</v>
      </c>
      <c r="AG44" s="9">
        <v>0</v>
      </c>
      <c r="AH44" s="9" t="s">
        <v>94</v>
      </c>
      <c r="AI44" s="9">
        <v>208695.81</v>
      </c>
      <c r="AJ44" s="9">
        <v>126</v>
      </c>
      <c r="AK44" s="9">
        <v>1656.31595238095</v>
      </c>
      <c r="AL44" s="25"/>
    </row>
    <row r="45" spans="1:38">
      <c r="A45" s="8">
        <v>45150</v>
      </c>
      <c r="B45" s="9">
        <v>178841.83</v>
      </c>
      <c r="C45" s="9">
        <v>51</v>
      </c>
      <c r="D45" s="9">
        <v>3506.70254901961</v>
      </c>
      <c r="E45" s="9">
        <v>817.66</v>
      </c>
      <c r="F45" s="20">
        <v>4</v>
      </c>
      <c r="G45" s="20">
        <v>204.415</v>
      </c>
      <c r="H45" s="9">
        <v>3879.98</v>
      </c>
      <c r="I45" s="20">
        <v>9</v>
      </c>
      <c r="J45" s="20">
        <v>431.108888888889</v>
      </c>
      <c r="K45" s="9">
        <v>0</v>
      </c>
      <c r="L45" s="9">
        <v>0</v>
      </c>
      <c r="M45" s="9" t="s">
        <v>94</v>
      </c>
      <c r="N45" s="9">
        <v>106.74</v>
      </c>
      <c r="O45" s="9">
        <v>4</v>
      </c>
      <c r="P45" s="9">
        <v>26.685</v>
      </c>
      <c r="Q45" s="9">
        <v>206.24</v>
      </c>
      <c r="R45" s="9">
        <v>5</v>
      </c>
      <c r="S45" s="9">
        <v>41.248</v>
      </c>
      <c r="T45" s="9">
        <v>8445.17</v>
      </c>
      <c r="U45" s="9">
        <v>23</v>
      </c>
      <c r="V45" s="9">
        <v>367.181304347826</v>
      </c>
      <c r="W45" s="9">
        <v>19103.22</v>
      </c>
      <c r="X45" s="9">
        <v>16</v>
      </c>
      <c r="Y45" s="9">
        <v>1193.95125</v>
      </c>
      <c r="Z45" s="9">
        <v>791.68</v>
      </c>
      <c r="AA45" s="9">
        <v>6</v>
      </c>
      <c r="AB45" s="9">
        <v>131.946666666667</v>
      </c>
      <c r="AC45" s="9">
        <v>372461.65</v>
      </c>
      <c r="AD45" s="9">
        <v>382</v>
      </c>
      <c r="AE45" s="9">
        <v>975.030497382199</v>
      </c>
      <c r="AF45" s="9">
        <v>0</v>
      </c>
      <c r="AG45" s="9">
        <v>0</v>
      </c>
      <c r="AH45" s="9" t="s">
        <v>94</v>
      </c>
      <c r="AI45" s="9">
        <v>212192.52</v>
      </c>
      <c r="AJ45" s="9">
        <v>118</v>
      </c>
      <c r="AK45" s="9">
        <v>1798.24169491525</v>
      </c>
      <c r="AL45" s="25"/>
    </row>
    <row r="46" spans="1:38">
      <c r="A46" s="8">
        <v>45151</v>
      </c>
      <c r="B46" s="9">
        <v>149009.19</v>
      </c>
      <c r="C46" s="9">
        <v>51</v>
      </c>
      <c r="D46" s="9">
        <v>2921.74882352941</v>
      </c>
      <c r="E46" s="9">
        <v>788.35</v>
      </c>
      <c r="F46" s="20">
        <v>4</v>
      </c>
      <c r="G46" s="20">
        <v>197.0875</v>
      </c>
      <c r="H46" s="9">
        <v>3829.01</v>
      </c>
      <c r="I46" s="20">
        <v>10</v>
      </c>
      <c r="J46" s="20">
        <v>382.901</v>
      </c>
      <c r="K46" s="9">
        <v>0</v>
      </c>
      <c r="L46" s="9">
        <v>0</v>
      </c>
      <c r="M46" s="9" t="s">
        <v>94</v>
      </c>
      <c r="N46" s="9">
        <v>127.13</v>
      </c>
      <c r="O46" s="9">
        <v>4</v>
      </c>
      <c r="P46" s="9">
        <v>31.7825</v>
      </c>
      <c r="Q46" s="9">
        <v>214.88</v>
      </c>
      <c r="R46" s="9">
        <v>5</v>
      </c>
      <c r="S46" s="9">
        <v>42.976</v>
      </c>
      <c r="T46" s="9">
        <v>10326.63</v>
      </c>
      <c r="U46" s="9">
        <v>24</v>
      </c>
      <c r="V46" s="9">
        <v>430.27625</v>
      </c>
      <c r="W46" s="9">
        <v>19885.78</v>
      </c>
      <c r="X46" s="9">
        <v>16</v>
      </c>
      <c r="Y46" s="9">
        <v>1242.86125</v>
      </c>
      <c r="Z46" s="9">
        <v>399.09</v>
      </c>
      <c r="AA46" s="9">
        <v>5</v>
      </c>
      <c r="AB46" s="9">
        <v>79.818</v>
      </c>
      <c r="AC46" s="9">
        <v>332628.04</v>
      </c>
      <c r="AD46" s="9">
        <v>379</v>
      </c>
      <c r="AE46" s="9">
        <v>877.646543535619</v>
      </c>
      <c r="AF46" s="9">
        <v>0</v>
      </c>
      <c r="AG46" s="9">
        <v>0</v>
      </c>
      <c r="AH46" s="9" t="s">
        <v>94</v>
      </c>
      <c r="AI46" s="9">
        <v>184580.06</v>
      </c>
      <c r="AJ46" s="9">
        <v>119</v>
      </c>
      <c r="AK46" s="9">
        <v>1551.09294117647</v>
      </c>
      <c r="AL46" s="25"/>
    </row>
    <row r="47" spans="1:38">
      <c r="A47" s="8">
        <v>45152</v>
      </c>
      <c r="B47" s="9">
        <v>140255.07</v>
      </c>
      <c r="C47" s="9">
        <v>54</v>
      </c>
      <c r="D47" s="9">
        <v>2597.31611111111</v>
      </c>
      <c r="E47" s="9">
        <v>790</v>
      </c>
      <c r="F47" s="20">
        <v>4</v>
      </c>
      <c r="G47" s="20">
        <v>197.5</v>
      </c>
      <c r="H47" s="9">
        <v>3767.54</v>
      </c>
      <c r="I47" s="20">
        <v>9</v>
      </c>
      <c r="J47" s="20">
        <v>418.615555555556</v>
      </c>
      <c r="K47" s="9">
        <v>0</v>
      </c>
      <c r="L47" s="9">
        <v>0</v>
      </c>
      <c r="M47" s="9" t="s">
        <v>94</v>
      </c>
      <c r="N47" s="9">
        <v>198.64</v>
      </c>
      <c r="O47" s="9">
        <v>8</v>
      </c>
      <c r="P47" s="9">
        <v>24.83</v>
      </c>
      <c r="Q47" s="9">
        <v>182.52</v>
      </c>
      <c r="R47" s="9">
        <v>4</v>
      </c>
      <c r="S47" s="9">
        <v>45.63</v>
      </c>
      <c r="T47" s="9">
        <v>9599.85</v>
      </c>
      <c r="U47" s="9">
        <v>24</v>
      </c>
      <c r="V47" s="9">
        <v>399.99375</v>
      </c>
      <c r="W47" s="9">
        <v>16342.55</v>
      </c>
      <c r="X47" s="9">
        <v>16</v>
      </c>
      <c r="Y47" s="9">
        <v>1021.409375</v>
      </c>
      <c r="Z47" s="9">
        <v>718.95</v>
      </c>
      <c r="AA47" s="9">
        <v>6</v>
      </c>
      <c r="AB47" s="9">
        <v>119.825</v>
      </c>
      <c r="AC47" s="9">
        <v>311344.21</v>
      </c>
      <c r="AD47" s="9">
        <v>379</v>
      </c>
      <c r="AE47" s="9">
        <v>821.488680738786</v>
      </c>
      <c r="AF47" s="9">
        <v>0</v>
      </c>
      <c r="AG47" s="9">
        <v>0</v>
      </c>
      <c r="AH47" s="9" t="s">
        <v>94</v>
      </c>
      <c r="AI47" s="9">
        <v>171855.12</v>
      </c>
      <c r="AJ47" s="9">
        <v>125</v>
      </c>
      <c r="AK47" s="9">
        <v>1374.84096</v>
      </c>
      <c r="AL47" s="25"/>
    </row>
    <row r="48" spans="1:38">
      <c r="A48" s="8">
        <v>45153</v>
      </c>
      <c r="B48" s="9"/>
      <c r="C48" s="9"/>
      <c r="D48" s="9"/>
      <c r="E48" s="9"/>
      <c r="F48" s="20"/>
      <c r="G48" s="20"/>
      <c r="H48" s="9"/>
      <c r="I48" s="20"/>
      <c r="J48" s="20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25"/>
    </row>
    <row r="49" spans="1:38">
      <c r="A49" s="8">
        <v>45154</v>
      </c>
      <c r="B49" s="9"/>
      <c r="C49" s="9"/>
      <c r="D49" s="9"/>
      <c r="E49" s="9"/>
      <c r="F49" s="20"/>
      <c r="G49" s="20"/>
      <c r="H49" s="9"/>
      <c r="I49" s="20"/>
      <c r="J49" s="20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25"/>
    </row>
    <row r="50" spans="1:38">
      <c r="A50" s="8">
        <v>45155</v>
      </c>
      <c r="B50" s="9"/>
      <c r="C50" s="9"/>
      <c r="D50" s="9"/>
      <c r="E50" s="9"/>
      <c r="F50" s="20"/>
      <c r="G50" s="20"/>
      <c r="H50" s="9"/>
      <c r="I50" s="20"/>
      <c r="J50" s="20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25"/>
    </row>
    <row r="51" spans="1:38">
      <c r="A51" s="8">
        <v>45156</v>
      </c>
      <c r="B51" s="9"/>
      <c r="C51" s="9"/>
      <c r="D51" s="9"/>
      <c r="E51" s="9"/>
      <c r="F51" s="20"/>
      <c r="G51" s="20"/>
      <c r="H51" s="9"/>
      <c r="I51" s="20"/>
      <c r="J51" s="20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25"/>
    </row>
    <row r="52" spans="1:38">
      <c r="A52" s="8">
        <v>45157</v>
      </c>
      <c r="B52" s="9"/>
      <c r="C52" s="9"/>
      <c r="D52" s="9"/>
      <c r="E52" s="9"/>
      <c r="F52" s="20"/>
      <c r="G52" s="20"/>
      <c r="H52" s="9"/>
      <c r="I52" s="20"/>
      <c r="J52" s="20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25"/>
    </row>
    <row r="53" spans="1:38">
      <c r="A53" s="8">
        <v>45158</v>
      </c>
      <c r="B53" s="9"/>
      <c r="C53" s="9"/>
      <c r="D53" s="9"/>
      <c r="E53" s="9"/>
      <c r="F53" s="20"/>
      <c r="G53" s="20"/>
      <c r="H53" s="9"/>
      <c r="I53" s="20"/>
      <c r="J53" s="20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25"/>
    </row>
    <row r="54" spans="1:38">
      <c r="A54" s="8">
        <v>45159</v>
      </c>
      <c r="B54" s="9"/>
      <c r="C54" s="9"/>
      <c r="D54" s="9"/>
      <c r="E54" s="9"/>
      <c r="F54" s="20"/>
      <c r="G54" s="20"/>
      <c r="H54" s="9"/>
      <c r="I54" s="20"/>
      <c r="J54" s="20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25"/>
    </row>
    <row r="55" spans="1:38">
      <c r="A55" s="8">
        <v>45160</v>
      </c>
      <c r="B55" s="9"/>
      <c r="C55" s="9"/>
      <c r="D55" s="9"/>
      <c r="E55" s="9"/>
      <c r="F55" s="20"/>
      <c r="G55" s="20"/>
      <c r="H55" s="9"/>
      <c r="I55" s="20"/>
      <c r="J55" s="20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25"/>
    </row>
    <row r="56" spans="1:38">
      <c r="A56" s="8">
        <v>45161</v>
      </c>
      <c r="B56" s="9"/>
      <c r="C56" s="9"/>
      <c r="D56" s="9"/>
      <c r="E56" s="9"/>
      <c r="F56" s="20"/>
      <c r="G56" s="20"/>
      <c r="H56" s="9"/>
      <c r="I56" s="20"/>
      <c r="J56" s="20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25"/>
    </row>
    <row r="57" spans="1:38">
      <c r="A57" s="8">
        <v>45162</v>
      </c>
      <c r="B57" s="9"/>
      <c r="C57" s="9"/>
      <c r="D57" s="9"/>
      <c r="E57" s="9"/>
      <c r="F57" s="20"/>
      <c r="G57" s="20"/>
      <c r="H57" s="9"/>
      <c r="I57" s="20"/>
      <c r="J57" s="20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25"/>
    </row>
    <row r="58" spans="1:38">
      <c r="A58" s="8">
        <v>45163</v>
      </c>
      <c r="B58" s="9"/>
      <c r="C58" s="9"/>
      <c r="D58" s="9"/>
      <c r="E58" s="9"/>
      <c r="F58" s="20"/>
      <c r="G58" s="20"/>
      <c r="H58" s="9"/>
      <c r="I58" s="20"/>
      <c r="J58" s="20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25"/>
    </row>
    <row r="59" spans="1:38">
      <c r="A59" s="8">
        <v>45164</v>
      </c>
      <c r="B59" s="9"/>
      <c r="C59" s="9"/>
      <c r="D59" s="9"/>
      <c r="E59" s="9"/>
      <c r="F59" s="20"/>
      <c r="G59" s="20"/>
      <c r="H59" s="9"/>
      <c r="I59" s="20"/>
      <c r="J59" s="20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25"/>
    </row>
    <row r="60" spans="1:38">
      <c r="A60" s="8">
        <v>45165</v>
      </c>
      <c r="B60" s="9"/>
      <c r="C60" s="9"/>
      <c r="D60" s="9"/>
      <c r="E60" s="9"/>
      <c r="F60" s="20"/>
      <c r="G60" s="20"/>
      <c r="H60" s="9"/>
      <c r="I60" s="20"/>
      <c r="J60" s="20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25"/>
    </row>
    <row r="61" spans="1:38">
      <c r="A61" s="8">
        <v>45166</v>
      </c>
      <c r="B61" s="9"/>
      <c r="C61" s="9"/>
      <c r="D61" s="9"/>
      <c r="E61" s="9"/>
      <c r="F61" s="20"/>
      <c r="G61" s="20"/>
      <c r="H61" s="9"/>
      <c r="I61" s="20"/>
      <c r="J61" s="20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25"/>
    </row>
    <row r="62" spans="1:38">
      <c r="A62" s="8">
        <v>45167</v>
      </c>
      <c r="B62" s="9"/>
      <c r="C62" s="9"/>
      <c r="D62" s="9"/>
      <c r="E62" s="9"/>
      <c r="F62" s="20"/>
      <c r="G62" s="20"/>
      <c r="H62" s="9"/>
      <c r="I62" s="20"/>
      <c r="J62" s="20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25"/>
    </row>
    <row r="63" spans="1:38">
      <c r="A63" s="8">
        <v>45168</v>
      </c>
      <c r="B63" s="9"/>
      <c r="C63" s="9"/>
      <c r="D63" s="9"/>
      <c r="E63" s="9"/>
      <c r="F63" s="20"/>
      <c r="G63" s="20"/>
      <c r="H63" s="9"/>
      <c r="I63" s="20"/>
      <c r="J63" s="20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25"/>
    </row>
    <row r="64" spans="1:38">
      <c r="A64" s="8">
        <v>45169</v>
      </c>
      <c r="B64" s="9"/>
      <c r="C64" s="9"/>
      <c r="D64" s="9"/>
      <c r="E64" s="9"/>
      <c r="F64" s="20"/>
      <c r="G64" s="20"/>
      <c r="H64" s="9"/>
      <c r="I64" s="20"/>
      <c r="J64" s="20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25"/>
    </row>
    <row r="65" spans="1:38">
      <c r="A65" s="8">
        <v>45170</v>
      </c>
      <c r="B65" s="9"/>
      <c r="C65" s="9"/>
      <c r="D65" s="9"/>
      <c r="E65" s="9"/>
      <c r="F65" s="20"/>
      <c r="G65" s="20"/>
      <c r="H65" s="9"/>
      <c r="I65" s="20"/>
      <c r="J65" s="20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25"/>
    </row>
    <row r="66" spans="1:38">
      <c r="A66" s="8">
        <v>45171</v>
      </c>
      <c r="B66" s="9"/>
      <c r="C66" s="9"/>
      <c r="D66" s="9"/>
      <c r="E66" s="9"/>
      <c r="F66" s="20"/>
      <c r="G66" s="20"/>
      <c r="H66" s="9"/>
      <c r="I66" s="20"/>
      <c r="J66" s="20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25"/>
    </row>
    <row r="67" spans="1:38">
      <c r="A67" s="8">
        <v>45172</v>
      </c>
      <c r="B67" s="9"/>
      <c r="C67" s="9"/>
      <c r="D67" s="9"/>
      <c r="E67" s="9"/>
      <c r="F67" s="20"/>
      <c r="G67" s="20"/>
      <c r="H67" s="9"/>
      <c r="I67" s="20"/>
      <c r="J67" s="20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25"/>
    </row>
    <row r="68" spans="1:38">
      <c r="A68" s="8">
        <v>45173</v>
      </c>
      <c r="B68" s="9"/>
      <c r="C68" s="9"/>
      <c r="D68" s="9"/>
      <c r="E68" s="9"/>
      <c r="F68" s="20"/>
      <c r="G68" s="20"/>
      <c r="H68" s="9"/>
      <c r="I68" s="20"/>
      <c r="J68" s="20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25"/>
    </row>
    <row r="69" spans="1:38">
      <c r="A69" s="8">
        <v>45174</v>
      </c>
      <c r="B69" s="9"/>
      <c r="C69" s="9"/>
      <c r="D69" s="9"/>
      <c r="E69" s="9"/>
      <c r="F69" s="20"/>
      <c r="G69" s="20"/>
      <c r="H69" s="9"/>
      <c r="I69" s="20"/>
      <c r="J69" s="20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25"/>
    </row>
    <row r="70" spans="1:38">
      <c r="A70" s="8">
        <v>45175</v>
      </c>
      <c r="B70" s="9"/>
      <c r="C70" s="9"/>
      <c r="D70" s="9"/>
      <c r="E70" s="9"/>
      <c r="F70" s="20"/>
      <c r="G70" s="20"/>
      <c r="H70" s="9"/>
      <c r="I70" s="20"/>
      <c r="J70" s="20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25"/>
    </row>
    <row r="71" spans="1:38">
      <c r="A71" s="8">
        <v>45176</v>
      </c>
      <c r="B71" s="9"/>
      <c r="C71" s="9"/>
      <c r="D71" s="9"/>
      <c r="E71" s="9"/>
      <c r="F71" s="20"/>
      <c r="G71" s="20"/>
      <c r="H71" s="9"/>
      <c r="I71" s="20"/>
      <c r="J71" s="20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25"/>
    </row>
    <row r="72" spans="1:38">
      <c r="A72" s="8">
        <v>45177</v>
      </c>
      <c r="B72" s="9"/>
      <c r="C72" s="9"/>
      <c r="D72" s="9"/>
      <c r="E72" s="9"/>
      <c r="F72" s="20"/>
      <c r="G72" s="20"/>
      <c r="H72" s="9"/>
      <c r="I72" s="20"/>
      <c r="J72" s="20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25"/>
    </row>
    <row r="73" spans="1:38">
      <c r="A73" s="8">
        <v>45178</v>
      </c>
      <c r="B73" s="9"/>
      <c r="C73" s="9"/>
      <c r="D73" s="9"/>
      <c r="E73" s="9"/>
      <c r="F73" s="20"/>
      <c r="G73" s="20"/>
      <c r="H73" s="9"/>
      <c r="I73" s="20"/>
      <c r="J73" s="20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25"/>
    </row>
    <row r="74" spans="1:38">
      <c r="A74" s="8">
        <v>45179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25"/>
    </row>
    <row r="75" spans="1:38">
      <c r="A75" s="8">
        <v>45180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25"/>
    </row>
    <row r="76" spans="1:38">
      <c r="A76" s="8">
        <v>45181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25"/>
    </row>
    <row r="77" spans="1:38">
      <c r="A77" s="8">
        <v>45182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25"/>
    </row>
    <row r="78" spans="1:38">
      <c r="A78" s="8">
        <v>45183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25"/>
    </row>
    <row r="79" spans="1:38">
      <c r="A79" s="8">
        <v>45184</v>
      </c>
      <c r="B79" s="9"/>
      <c r="C79" s="9"/>
      <c r="D79" s="9"/>
      <c r="E79" s="9"/>
      <c r="F79" s="20"/>
      <c r="G79" s="20"/>
      <c r="H79" s="9"/>
      <c r="I79" s="20"/>
      <c r="J79" s="20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25"/>
    </row>
    <row r="80" spans="1:38">
      <c r="A80" s="8">
        <v>45185</v>
      </c>
      <c r="B80" s="9"/>
      <c r="C80" s="9"/>
      <c r="D80" s="9"/>
      <c r="E80" s="9"/>
      <c r="F80" s="20"/>
      <c r="G80" s="20"/>
      <c r="H80" s="9"/>
      <c r="I80" s="20"/>
      <c r="J80" s="20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25"/>
    </row>
    <row r="81" spans="1:38">
      <c r="A81" s="8">
        <v>45186</v>
      </c>
      <c r="B81" s="9"/>
      <c r="C81" s="9"/>
      <c r="D81" s="9"/>
      <c r="E81" s="9"/>
      <c r="F81" s="20"/>
      <c r="G81" s="20"/>
      <c r="H81" s="9"/>
      <c r="I81" s="20"/>
      <c r="J81" s="20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25"/>
    </row>
    <row r="82" spans="1:38">
      <c r="A82" s="8">
        <v>45187</v>
      </c>
      <c r="B82" s="9"/>
      <c r="C82" s="9"/>
      <c r="D82" s="9"/>
      <c r="E82" s="9"/>
      <c r="F82" s="20"/>
      <c r="G82" s="20"/>
      <c r="H82" s="9"/>
      <c r="I82" s="20"/>
      <c r="J82" s="20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25"/>
    </row>
    <row r="83" spans="1:38">
      <c r="A83" s="8">
        <v>45188</v>
      </c>
      <c r="B83" s="9"/>
      <c r="C83" s="9"/>
      <c r="D83" s="9"/>
      <c r="E83" s="9"/>
      <c r="F83" s="20"/>
      <c r="G83" s="20"/>
      <c r="H83" s="9"/>
      <c r="I83" s="20"/>
      <c r="J83" s="20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25"/>
    </row>
    <row r="84" spans="1:38">
      <c r="A84" s="8">
        <v>45189</v>
      </c>
      <c r="B84" s="9"/>
      <c r="C84" s="9"/>
      <c r="D84" s="9"/>
      <c r="E84" s="9"/>
      <c r="F84" s="20"/>
      <c r="G84" s="20"/>
      <c r="H84" s="9"/>
      <c r="I84" s="20"/>
      <c r="J84" s="20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25"/>
    </row>
    <row r="85" spans="1:38">
      <c r="A85" s="8">
        <v>45190</v>
      </c>
      <c r="B85" s="9"/>
      <c r="C85" s="9"/>
      <c r="D85" s="9"/>
      <c r="E85" s="9"/>
      <c r="F85" s="20"/>
      <c r="G85" s="20"/>
      <c r="H85" s="9"/>
      <c r="I85" s="20"/>
      <c r="J85" s="20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25"/>
    </row>
    <row r="86" spans="1:38">
      <c r="A86" s="8">
        <v>45191</v>
      </c>
      <c r="B86" s="9"/>
      <c r="C86" s="9"/>
      <c r="D86" s="9"/>
      <c r="E86" s="9"/>
      <c r="F86" s="20"/>
      <c r="G86" s="20"/>
      <c r="H86" s="9"/>
      <c r="I86" s="20"/>
      <c r="J86" s="20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25"/>
    </row>
    <row r="87" spans="1:38">
      <c r="A87" s="8">
        <v>45192</v>
      </c>
      <c r="B87" s="9"/>
      <c r="C87" s="9"/>
      <c r="D87" s="9"/>
      <c r="E87" s="9"/>
      <c r="F87" s="20"/>
      <c r="G87" s="20"/>
      <c r="H87" s="9"/>
      <c r="I87" s="20"/>
      <c r="J87" s="20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25"/>
    </row>
    <row r="88" spans="1:38">
      <c r="A88" s="8">
        <v>45193</v>
      </c>
      <c r="B88" s="9"/>
      <c r="C88" s="9"/>
      <c r="D88" s="9"/>
      <c r="E88" s="9"/>
      <c r="F88" s="20"/>
      <c r="G88" s="20"/>
      <c r="H88" s="9"/>
      <c r="I88" s="20"/>
      <c r="J88" s="20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25"/>
    </row>
    <row r="89" spans="1:38">
      <c r="A89" s="8">
        <v>45194</v>
      </c>
      <c r="B89" s="9"/>
      <c r="C89" s="9"/>
      <c r="D89" s="9"/>
      <c r="E89" s="9"/>
      <c r="F89" s="20"/>
      <c r="G89" s="20"/>
      <c r="H89" s="9"/>
      <c r="I89" s="20"/>
      <c r="J89" s="20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25"/>
    </row>
    <row r="90" spans="1:38">
      <c r="A90" s="8">
        <v>45195</v>
      </c>
      <c r="B90" s="9"/>
      <c r="C90" s="9"/>
      <c r="D90" s="9"/>
      <c r="E90" s="9"/>
      <c r="F90" s="20"/>
      <c r="G90" s="20"/>
      <c r="H90" s="9"/>
      <c r="I90" s="20"/>
      <c r="J90" s="20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25"/>
    </row>
    <row r="91" spans="1:38">
      <c r="A91" s="8">
        <v>45196</v>
      </c>
      <c r="B91" s="9"/>
      <c r="C91" s="9"/>
      <c r="D91" s="9"/>
      <c r="E91" s="9"/>
      <c r="F91" s="20"/>
      <c r="G91" s="20"/>
      <c r="H91" s="9"/>
      <c r="I91" s="20"/>
      <c r="J91" s="20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25"/>
    </row>
    <row r="92" spans="1:38">
      <c r="A92" s="8">
        <v>45197</v>
      </c>
      <c r="B92" s="9"/>
      <c r="C92" s="9"/>
      <c r="D92" s="9"/>
      <c r="E92" s="9"/>
      <c r="F92" s="20"/>
      <c r="G92" s="20"/>
      <c r="H92" s="9"/>
      <c r="I92" s="20"/>
      <c r="J92" s="20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25"/>
    </row>
    <row r="93" spans="1:37">
      <c r="A93" s="8">
        <v>45198</v>
      </c>
      <c r="B93" s="26"/>
      <c r="C93" s="26"/>
      <c r="D93" s="26"/>
      <c r="E93" s="26"/>
      <c r="F93" s="27"/>
      <c r="G93" s="27"/>
      <c r="H93" s="26"/>
      <c r="I93" s="27"/>
      <c r="J93" s="27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</row>
    <row r="94" s="13" customFormat="1" spans="1:37">
      <c r="A94" s="8">
        <v>45199</v>
      </c>
      <c r="B94" s="9"/>
      <c r="C94" s="9"/>
      <c r="D94" s="9"/>
      <c r="E94" s="9"/>
      <c r="F94" s="20"/>
      <c r="G94" s="20"/>
      <c r="H94" s="9"/>
      <c r="I94" s="20"/>
      <c r="J94" s="20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1:A2"/>
  </mergeCells>
  <conditionalFormatting sqref="A3:A94">
    <cfRule type="expression" dxfId="0" priority="1">
      <formula>OR(WEEKDAY(A3,2)=6,WEEKDAY(A3,2)=7)</formula>
    </cfRule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4"/>
  <sheetViews>
    <sheetView workbookViewId="0">
      <pane xSplit="1" ySplit="2" topLeftCell="B31" activePane="bottomRight" state="frozen"/>
      <selection/>
      <selection pane="topRight"/>
      <selection pane="bottomLeft"/>
      <selection pane="bottomRight" activeCell="B47" sqref="B47:V47"/>
    </sheetView>
  </sheetViews>
  <sheetFormatPr defaultColWidth="9" defaultRowHeight="16.5"/>
  <cols>
    <col min="1" max="1" width="8.75" style="1" customWidth="1"/>
    <col min="2" max="2" width="13.25" style="2" customWidth="1"/>
    <col min="3" max="4" width="12.875" style="2" customWidth="1"/>
    <col min="5" max="5" width="11" style="2" customWidth="1"/>
    <col min="6" max="7" width="12.625" style="2" customWidth="1"/>
    <col min="8" max="8" width="11.75" style="2" customWidth="1"/>
    <col min="9" max="10" width="13.375" style="2" customWidth="1"/>
    <col min="11" max="11" width="11.25" style="2" customWidth="1"/>
    <col min="12" max="16" width="12.625" style="2" customWidth="1"/>
    <col min="17" max="17" width="11.75" style="3" customWidth="1"/>
    <col min="18" max="19" width="13.25" style="1" customWidth="1"/>
    <col min="20" max="22" width="13.125" style="1" customWidth="1"/>
    <col min="23" max="16384" width="9" style="1" customWidth="1"/>
  </cols>
  <sheetData>
    <row r="1" spans="1:22">
      <c r="A1" s="4" t="s">
        <v>0</v>
      </c>
      <c r="B1" s="4" t="s">
        <v>95</v>
      </c>
      <c r="C1" s="5"/>
      <c r="D1" s="6"/>
      <c r="E1" s="4" t="s">
        <v>96</v>
      </c>
      <c r="F1" s="5"/>
      <c r="G1" s="6"/>
      <c r="H1" s="4" t="s">
        <v>97</v>
      </c>
      <c r="I1" s="5"/>
      <c r="J1" s="6"/>
      <c r="K1" s="4" t="s">
        <v>98</v>
      </c>
      <c r="L1" s="5"/>
      <c r="M1" s="6"/>
      <c r="N1" s="4" t="s">
        <v>35</v>
      </c>
      <c r="O1" s="5"/>
      <c r="P1" s="6"/>
      <c r="Q1" s="4" t="s">
        <v>99</v>
      </c>
      <c r="R1" s="5"/>
      <c r="S1" s="6"/>
      <c r="T1" s="4" t="s">
        <v>90</v>
      </c>
      <c r="U1" s="5"/>
      <c r="V1" s="6"/>
    </row>
    <row r="2" spans="1:22">
      <c r="A2" s="7"/>
      <c r="B2" s="4" t="s">
        <v>91</v>
      </c>
      <c r="C2" s="4" t="s">
        <v>92</v>
      </c>
      <c r="D2" s="4" t="s">
        <v>29</v>
      </c>
      <c r="E2" s="4" t="s">
        <v>91</v>
      </c>
      <c r="F2" s="4" t="s">
        <v>92</v>
      </c>
      <c r="G2" s="4" t="s">
        <v>29</v>
      </c>
      <c r="H2" s="4" t="s">
        <v>91</v>
      </c>
      <c r="I2" s="4" t="s">
        <v>92</v>
      </c>
      <c r="J2" s="4" t="s">
        <v>29</v>
      </c>
      <c r="K2" s="4" t="s">
        <v>91</v>
      </c>
      <c r="L2" s="4" t="s">
        <v>92</v>
      </c>
      <c r="M2" s="4" t="s">
        <v>29</v>
      </c>
      <c r="N2" s="4" t="s">
        <v>91</v>
      </c>
      <c r="O2" s="4" t="s">
        <v>92</v>
      </c>
      <c r="P2" s="4" t="s">
        <v>29</v>
      </c>
      <c r="Q2" s="10" t="s">
        <v>91</v>
      </c>
      <c r="R2" s="4" t="s">
        <v>92</v>
      </c>
      <c r="S2" s="4" t="s">
        <v>29</v>
      </c>
      <c r="T2" s="4" t="s">
        <v>100</v>
      </c>
      <c r="U2" s="4" t="s">
        <v>92</v>
      </c>
      <c r="V2" s="4" t="s">
        <v>29</v>
      </c>
    </row>
    <row r="3" spans="1:22">
      <c r="A3" s="8">
        <v>45108</v>
      </c>
      <c r="B3" s="9">
        <v>80010.2</v>
      </c>
      <c r="C3" s="9">
        <v>87</v>
      </c>
      <c r="D3" s="9">
        <v>919.657471264368</v>
      </c>
      <c r="E3" s="9">
        <v>3673.32</v>
      </c>
      <c r="F3" s="9">
        <v>15</v>
      </c>
      <c r="G3" s="9">
        <v>244.888</v>
      </c>
      <c r="H3" s="9">
        <v>152.11</v>
      </c>
      <c r="I3" s="9">
        <v>5</v>
      </c>
      <c r="J3" s="9">
        <v>30.422</v>
      </c>
      <c r="K3" s="9">
        <v>210.66</v>
      </c>
      <c r="L3" s="9">
        <v>6</v>
      </c>
      <c r="M3" s="9">
        <v>35.11</v>
      </c>
      <c r="N3" s="9">
        <v>277772.84</v>
      </c>
      <c r="O3" s="9">
        <v>366</v>
      </c>
      <c r="P3" s="9">
        <v>758.94218579235</v>
      </c>
      <c r="Q3" s="9">
        <v>0</v>
      </c>
      <c r="R3" s="9">
        <v>0</v>
      </c>
      <c r="S3" s="9">
        <v>0</v>
      </c>
      <c r="T3" s="11">
        <v>84046.29</v>
      </c>
      <c r="U3" s="11">
        <v>113</v>
      </c>
      <c r="V3" s="9">
        <v>743.772477876106</v>
      </c>
    </row>
    <row r="4" spans="1:22">
      <c r="A4" s="8">
        <v>45109</v>
      </c>
      <c r="B4" s="9">
        <v>94614.57</v>
      </c>
      <c r="C4" s="9">
        <v>84</v>
      </c>
      <c r="D4" s="9">
        <v>1126.36392857143</v>
      </c>
      <c r="E4" s="9">
        <v>4794.58</v>
      </c>
      <c r="F4" s="9">
        <v>14</v>
      </c>
      <c r="G4" s="9">
        <v>342.47</v>
      </c>
      <c r="H4" s="9">
        <v>1233.03</v>
      </c>
      <c r="I4" s="9">
        <v>7</v>
      </c>
      <c r="J4" s="9">
        <v>176.147142857143</v>
      </c>
      <c r="K4" s="9">
        <v>176.17</v>
      </c>
      <c r="L4" s="9">
        <v>5</v>
      </c>
      <c r="M4" s="9">
        <v>35.234</v>
      </c>
      <c r="N4" s="9">
        <v>302151.82</v>
      </c>
      <c r="O4" s="9">
        <v>356</v>
      </c>
      <c r="P4" s="9">
        <v>848.74106741573</v>
      </c>
      <c r="Q4" s="9">
        <v>0</v>
      </c>
      <c r="R4" s="9">
        <v>0</v>
      </c>
      <c r="S4" s="9">
        <v>0</v>
      </c>
      <c r="T4" s="11">
        <v>100818.35</v>
      </c>
      <c r="U4" s="11">
        <v>110</v>
      </c>
      <c r="V4" s="9">
        <v>916.530454545455</v>
      </c>
    </row>
    <row r="5" spans="1:22">
      <c r="A5" s="8">
        <v>45110</v>
      </c>
      <c r="B5" s="9">
        <v>95616.77</v>
      </c>
      <c r="C5" s="9">
        <v>88</v>
      </c>
      <c r="D5" s="9">
        <v>1086.55420454545</v>
      </c>
      <c r="E5" s="9">
        <v>3271.52</v>
      </c>
      <c r="F5" s="9">
        <v>15</v>
      </c>
      <c r="G5" s="9">
        <v>218.101333333333</v>
      </c>
      <c r="H5" s="9">
        <v>3922.17</v>
      </c>
      <c r="I5" s="9">
        <v>7</v>
      </c>
      <c r="J5" s="9">
        <v>560.31</v>
      </c>
      <c r="K5" s="9">
        <v>224.61</v>
      </c>
      <c r="L5" s="9">
        <v>6</v>
      </c>
      <c r="M5" s="9">
        <v>37.435</v>
      </c>
      <c r="N5" s="9">
        <v>261189.81</v>
      </c>
      <c r="O5" s="9">
        <v>360</v>
      </c>
      <c r="P5" s="9">
        <v>725.52725</v>
      </c>
      <c r="Q5" s="9">
        <v>0</v>
      </c>
      <c r="R5" s="9">
        <v>0</v>
      </c>
      <c r="S5" s="9">
        <v>0</v>
      </c>
      <c r="T5" s="11">
        <v>103035.07</v>
      </c>
      <c r="U5" s="11">
        <v>116</v>
      </c>
      <c r="V5" s="9">
        <v>888.233362068966</v>
      </c>
    </row>
    <row r="6" spans="1:22">
      <c r="A6" s="8">
        <v>45111</v>
      </c>
      <c r="B6" s="9">
        <v>109691.13</v>
      </c>
      <c r="C6" s="9">
        <v>91</v>
      </c>
      <c r="D6" s="9">
        <v>1205.39703296703</v>
      </c>
      <c r="E6" s="9">
        <v>3448.53</v>
      </c>
      <c r="F6" s="9">
        <v>16</v>
      </c>
      <c r="G6" s="9">
        <v>215.533125</v>
      </c>
      <c r="H6" s="9">
        <v>277.25</v>
      </c>
      <c r="I6" s="9">
        <v>6</v>
      </c>
      <c r="J6" s="9">
        <v>46.2083333333333</v>
      </c>
      <c r="K6" s="9">
        <v>267.76</v>
      </c>
      <c r="L6" s="9">
        <v>7</v>
      </c>
      <c r="M6" s="9">
        <v>38.2514285714286</v>
      </c>
      <c r="N6" s="9">
        <v>290964.34</v>
      </c>
      <c r="O6" s="9">
        <v>370</v>
      </c>
      <c r="P6" s="9">
        <v>786.390108108108</v>
      </c>
      <c r="Q6" s="9">
        <v>0</v>
      </c>
      <c r="R6" s="9">
        <v>0</v>
      </c>
      <c r="S6" s="9">
        <v>0</v>
      </c>
      <c r="T6" s="11">
        <v>113684.67</v>
      </c>
      <c r="U6" s="11">
        <v>120</v>
      </c>
      <c r="V6" s="9">
        <v>947.37225</v>
      </c>
    </row>
    <row r="7" spans="1:22">
      <c r="A7" s="8">
        <v>45112</v>
      </c>
      <c r="B7" s="9">
        <v>88225.71</v>
      </c>
      <c r="C7" s="9">
        <v>92</v>
      </c>
      <c r="D7" s="9">
        <v>958.975108695652</v>
      </c>
      <c r="E7" s="9">
        <v>3634.53</v>
      </c>
      <c r="F7" s="9">
        <v>16</v>
      </c>
      <c r="G7" s="9">
        <v>227.158125</v>
      </c>
      <c r="H7" s="9">
        <v>285.81</v>
      </c>
      <c r="I7" s="9">
        <v>6</v>
      </c>
      <c r="J7" s="9">
        <v>47.635</v>
      </c>
      <c r="K7" s="9">
        <v>215.78</v>
      </c>
      <c r="L7" s="9">
        <v>7</v>
      </c>
      <c r="M7" s="9">
        <v>30.8257142857143</v>
      </c>
      <c r="N7" s="9">
        <v>305856.29</v>
      </c>
      <c r="O7" s="9">
        <v>383</v>
      </c>
      <c r="P7" s="9">
        <v>798.580391644909</v>
      </c>
      <c r="Q7" s="9">
        <v>0</v>
      </c>
      <c r="R7" s="9">
        <v>0</v>
      </c>
      <c r="S7" s="9">
        <v>0</v>
      </c>
      <c r="T7" s="11">
        <v>92361.83</v>
      </c>
      <c r="U7" s="11">
        <v>121</v>
      </c>
      <c r="V7" s="9">
        <v>763.320909090909</v>
      </c>
    </row>
    <row r="8" spans="1:22">
      <c r="A8" s="8">
        <v>45113</v>
      </c>
      <c r="B8" s="9">
        <v>102357.2</v>
      </c>
      <c r="C8" s="9">
        <v>89</v>
      </c>
      <c r="D8" s="9">
        <v>1150.0808988764</v>
      </c>
      <c r="E8" s="9">
        <v>3114.63</v>
      </c>
      <c r="F8" s="9">
        <v>15</v>
      </c>
      <c r="G8" s="9">
        <v>207.642</v>
      </c>
      <c r="H8" s="9">
        <v>624.33</v>
      </c>
      <c r="I8" s="9">
        <v>6</v>
      </c>
      <c r="J8" s="9">
        <v>104.055</v>
      </c>
      <c r="K8" s="9">
        <v>149.02</v>
      </c>
      <c r="L8" s="9">
        <v>5</v>
      </c>
      <c r="M8" s="9">
        <v>29.804</v>
      </c>
      <c r="N8" s="9">
        <v>301514.05</v>
      </c>
      <c r="O8" s="9">
        <v>381</v>
      </c>
      <c r="P8" s="9">
        <v>791.375459317585</v>
      </c>
      <c r="Q8" s="9">
        <v>0</v>
      </c>
      <c r="R8" s="9">
        <v>0</v>
      </c>
      <c r="S8" s="9">
        <v>0</v>
      </c>
      <c r="T8" s="11">
        <v>106245.18</v>
      </c>
      <c r="U8" s="11">
        <v>115</v>
      </c>
      <c r="V8" s="9">
        <v>923.871130434783</v>
      </c>
    </row>
    <row r="9" spans="1:22">
      <c r="A9" s="8">
        <v>45114</v>
      </c>
      <c r="B9" s="9">
        <v>92394.1</v>
      </c>
      <c r="C9" s="9">
        <v>90</v>
      </c>
      <c r="D9" s="9">
        <v>1026.60111111111</v>
      </c>
      <c r="E9" s="9">
        <v>4990.91</v>
      </c>
      <c r="F9" s="9">
        <v>15</v>
      </c>
      <c r="G9" s="9">
        <v>332.727333333333</v>
      </c>
      <c r="H9" s="9">
        <v>638.99</v>
      </c>
      <c r="I9" s="9">
        <v>6</v>
      </c>
      <c r="J9" s="9">
        <v>106.498333333333</v>
      </c>
      <c r="K9" s="9">
        <v>49.38</v>
      </c>
      <c r="L9" s="9">
        <v>5</v>
      </c>
      <c r="M9" s="9">
        <v>9.876</v>
      </c>
      <c r="N9" s="9">
        <v>317058.9</v>
      </c>
      <c r="O9" s="9">
        <v>375</v>
      </c>
      <c r="P9" s="9">
        <v>845.4904</v>
      </c>
      <c r="Q9" s="9">
        <v>0</v>
      </c>
      <c r="R9" s="9">
        <v>0</v>
      </c>
      <c r="S9" s="9">
        <v>0</v>
      </c>
      <c r="T9" s="11">
        <v>98073.38</v>
      </c>
      <c r="U9" s="11">
        <v>116</v>
      </c>
      <c r="V9" s="9">
        <v>845.460172413793</v>
      </c>
    </row>
    <row r="10" spans="1:22">
      <c r="A10" s="8">
        <v>45115</v>
      </c>
      <c r="B10" s="9">
        <v>111420.48</v>
      </c>
      <c r="C10" s="9">
        <v>82</v>
      </c>
      <c r="D10" s="9">
        <v>1358.78634146342</v>
      </c>
      <c r="E10" s="9">
        <v>3397.74</v>
      </c>
      <c r="F10" s="9">
        <v>15</v>
      </c>
      <c r="G10" s="9">
        <v>226.516</v>
      </c>
      <c r="H10" s="9">
        <v>439.47</v>
      </c>
      <c r="I10" s="9">
        <v>6</v>
      </c>
      <c r="J10" s="9">
        <v>73.245</v>
      </c>
      <c r="K10" s="9">
        <v>145.2</v>
      </c>
      <c r="L10" s="9">
        <v>3</v>
      </c>
      <c r="M10" s="9">
        <v>48.4</v>
      </c>
      <c r="N10" s="9">
        <v>323376.09</v>
      </c>
      <c r="O10" s="9">
        <v>387</v>
      </c>
      <c r="P10" s="9">
        <v>835.597131782946</v>
      </c>
      <c r="Q10" s="9">
        <v>0</v>
      </c>
      <c r="R10" s="9">
        <v>0</v>
      </c>
      <c r="S10" s="9">
        <v>0</v>
      </c>
      <c r="T10" s="11">
        <v>115402.89</v>
      </c>
      <c r="U10" s="11">
        <v>106</v>
      </c>
      <c r="V10" s="9">
        <v>1088.70650943396</v>
      </c>
    </row>
    <row r="11" spans="1:22">
      <c r="A11" s="8">
        <v>45116</v>
      </c>
      <c r="B11" s="9">
        <v>115244.57</v>
      </c>
      <c r="C11" s="9">
        <v>84</v>
      </c>
      <c r="D11" s="9">
        <v>1371.95916666667</v>
      </c>
      <c r="E11" s="9">
        <v>3568.06</v>
      </c>
      <c r="F11" s="9">
        <v>15</v>
      </c>
      <c r="G11" s="9">
        <v>237.870666666667</v>
      </c>
      <c r="H11" s="9">
        <v>502</v>
      </c>
      <c r="I11" s="9">
        <v>6</v>
      </c>
      <c r="J11" s="9">
        <v>83.6666666666667</v>
      </c>
      <c r="K11" s="9">
        <v>151.08</v>
      </c>
      <c r="L11" s="9">
        <v>3</v>
      </c>
      <c r="M11" s="9">
        <v>50.36</v>
      </c>
      <c r="N11" s="9">
        <v>323928.15</v>
      </c>
      <c r="O11" s="9">
        <v>373</v>
      </c>
      <c r="P11" s="9">
        <v>868.440080428955</v>
      </c>
      <c r="Q11" s="9">
        <v>0</v>
      </c>
      <c r="R11" s="9">
        <v>0</v>
      </c>
      <c r="S11" s="9">
        <v>0</v>
      </c>
      <c r="T11" s="11">
        <v>119465.71</v>
      </c>
      <c r="U11" s="11">
        <v>108</v>
      </c>
      <c r="V11" s="9">
        <v>1106.16398148148</v>
      </c>
    </row>
    <row r="12" spans="1:22">
      <c r="A12" s="8">
        <v>45117</v>
      </c>
      <c r="B12" s="9">
        <v>105183.8</v>
      </c>
      <c r="C12" s="9">
        <v>86</v>
      </c>
      <c r="D12" s="9">
        <v>1223.06744186046</v>
      </c>
      <c r="E12" s="9">
        <v>4216.96</v>
      </c>
      <c r="F12" s="9">
        <v>14</v>
      </c>
      <c r="G12" s="9">
        <v>301.211428571429</v>
      </c>
      <c r="H12" s="9">
        <v>235.99</v>
      </c>
      <c r="I12" s="9">
        <v>6</v>
      </c>
      <c r="J12" s="9">
        <v>39.3316666666667</v>
      </c>
      <c r="K12" s="9">
        <v>154.16</v>
      </c>
      <c r="L12" s="9">
        <v>4</v>
      </c>
      <c r="M12" s="9">
        <v>38.54</v>
      </c>
      <c r="N12" s="9">
        <v>320191.69</v>
      </c>
      <c r="O12" s="9">
        <v>396</v>
      </c>
      <c r="P12" s="9">
        <v>808.564873737374</v>
      </c>
      <c r="Q12" s="9">
        <v>0</v>
      </c>
      <c r="R12" s="9">
        <v>0</v>
      </c>
      <c r="S12" s="9">
        <v>0</v>
      </c>
      <c r="T12" s="11">
        <v>109790.91</v>
      </c>
      <c r="U12" s="11">
        <v>110</v>
      </c>
      <c r="V12" s="9">
        <v>998.099181818182</v>
      </c>
    </row>
    <row r="13" spans="1:22">
      <c r="A13" s="8">
        <v>45118</v>
      </c>
      <c r="B13" s="9">
        <v>88864.78</v>
      </c>
      <c r="C13" s="9">
        <v>90</v>
      </c>
      <c r="D13" s="9">
        <v>987.386444444444</v>
      </c>
      <c r="E13" s="9">
        <v>3490.53</v>
      </c>
      <c r="F13" s="9">
        <v>14</v>
      </c>
      <c r="G13" s="9">
        <v>249.323571428571</v>
      </c>
      <c r="H13" s="9">
        <v>550.16</v>
      </c>
      <c r="I13" s="9">
        <v>6</v>
      </c>
      <c r="J13" s="9">
        <v>91.6933333333333</v>
      </c>
      <c r="K13" s="9">
        <v>191.41</v>
      </c>
      <c r="L13" s="9">
        <v>5</v>
      </c>
      <c r="M13" s="9">
        <v>38.282</v>
      </c>
      <c r="N13" s="9">
        <v>376587.43</v>
      </c>
      <c r="O13" s="9">
        <v>395</v>
      </c>
      <c r="P13" s="9">
        <v>953.385898734177</v>
      </c>
      <c r="Q13" s="9">
        <v>0</v>
      </c>
      <c r="R13" s="9">
        <v>0</v>
      </c>
      <c r="S13" s="9">
        <v>0</v>
      </c>
      <c r="T13" s="11">
        <v>93096.88</v>
      </c>
      <c r="U13" s="11">
        <v>115</v>
      </c>
      <c r="V13" s="9">
        <v>809.538086956522</v>
      </c>
    </row>
    <row r="14" spans="1:22">
      <c r="A14" s="8">
        <v>45119</v>
      </c>
      <c r="B14" s="9">
        <v>94567.32</v>
      </c>
      <c r="C14" s="9">
        <v>91</v>
      </c>
      <c r="D14" s="9">
        <v>1039.20131868132</v>
      </c>
      <c r="E14" s="9">
        <v>3109.64</v>
      </c>
      <c r="F14" s="9">
        <v>17</v>
      </c>
      <c r="G14" s="9">
        <v>182.92</v>
      </c>
      <c r="H14" s="9">
        <v>409.69</v>
      </c>
      <c r="I14" s="9">
        <v>6</v>
      </c>
      <c r="J14" s="9">
        <v>68.2816666666667</v>
      </c>
      <c r="K14" s="9">
        <v>193.22</v>
      </c>
      <c r="L14" s="9">
        <v>5</v>
      </c>
      <c r="M14" s="9">
        <v>38.644</v>
      </c>
      <c r="N14" s="9">
        <v>372895.59</v>
      </c>
      <c r="O14" s="9">
        <v>395</v>
      </c>
      <c r="P14" s="9">
        <v>944.03946835443</v>
      </c>
      <c r="Q14" s="9">
        <v>0</v>
      </c>
      <c r="R14" s="9">
        <v>0</v>
      </c>
      <c r="S14" s="9">
        <v>0</v>
      </c>
      <c r="T14" s="11">
        <v>98279.87</v>
      </c>
      <c r="U14" s="11">
        <v>119</v>
      </c>
      <c r="V14" s="9">
        <v>825.881260504202</v>
      </c>
    </row>
    <row r="15" spans="1:22">
      <c r="A15" s="8">
        <v>45120</v>
      </c>
      <c r="B15" s="9">
        <v>96024.43</v>
      </c>
      <c r="C15" s="9">
        <v>92</v>
      </c>
      <c r="D15" s="9">
        <v>1043.74380434783</v>
      </c>
      <c r="E15" s="9">
        <v>3513.71</v>
      </c>
      <c r="F15" s="9">
        <v>18</v>
      </c>
      <c r="G15" s="9">
        <v>195.206111111111</v>
      </c>
      <c r="H15" s="9">
        <v>678.77</v>
      </c>
      <c r="I15" s="9">
        <v>9</v>
      </c>
      <c r="J15" s="9">
        <v>75.4188888888889</v>
      </c>
      <c r="K15" s="9">
        <v>327.83</v>
      </c>
      <c r="L15" s="9">
        <v>7</v>
      </c>
      <c r="M15" s="9">
        <v>46.8328571428571</v>
      </c>
      <c r="N15" s="9">
        <v>325564.02</v>
      </c>
      <c r="O15" s="9">
        <v>395</v>
      </c>
      <c r="P15" s="9">
        <v>824.21270886076</v>
      </c>
      <c r="Q15" s="9">
        <v>0</v>
      </c>
      <c r="R15" s="9">
        <v>0</v>
      </c>
      <c r="S15" s="9">
        <v>0</v>
      </c>
      <c r="T15" s="11">
        <v>100544.74</v>
      </c>
      <c r="U15" s="11">
        <v>126</v>
      </c>
      <c r="V15" s="9">
        <v>797.974126984127</v>
      </c>
    </row>
    <row r="16" spans="1:22">
      <c r="A16" s="8">
        <v>45121</v>
      </c>
      <c r="B16" s="9">
        <v>107654.57</v>
      </c>
      <c r="C16" s="9">
        <v>97</v>
      </c>
      <c r="D16" s="9">
        <v>1109.84092783505</v>
      </c>
      <c r="E16" s="9">
        <v>3603.51</v>
      </c>
      <c r="F16" s="9">
        <v>18</v>
      </c>
      <c r="G16" s="9">
        <v>200.195</v>
      </c>
      <c r="H16" s="9">
        <v>1926.89</v>
      </c>
      <c r="I16" s="9">
        <v>9</v>
      </c>
      <c r="J16" s="9">
        <v>214.098888888889</v>
      </c>
      <c r="K16" s="9">
        <v>417.07</v>
      </c>
      <c r="L16" s="9">
        <v>7</v>
      </c>
      <c r="M16" s="9">
        <v>59.5814285714286</v>
      </c>
      <c r="N16" s="9">
        <v>391010.48</v>
      </c>
      <c r="O16" s="9">
        <v>416</v>
      </c>
      <c r="P16" s="9">
        <v>939.929038461538</v>
      </c>
      <c r="Q16" s="9">
        <v>0</v>
      </c>
      <c r="R16" s="9">
        <v>0</v>
      </c>
      <c r="S16" s="9">
        <v>0</v>
      </c>
      <c r="T16" s="11">
        <v>113602.04</v>
      </c>
      <c r="U16" s="11">
        <v>131</v>
      </c>
      <c r="V16" s="9">
        <v>867.191145038168</v>
      </c>
    </row>
    <row r="17" spans="1:22">
      <c r="A17" s="8">
        <v>45122</v>
      </c>
      <c r="B17" s="9">
        <v>131183.25</v>
      </c>
      <c r="C17" s="9">
        <v>93</v>
      </c>
      <c r="D17" s="9">
        <v>1410.57258064516</v>
      </c>
      <c r="E17" s="9">
        <v>4662.91</v>
      </c>
      <c r="F17" s="9">
        <v>19</v>
      </c>
      <c r="G17" s="9">
        <v>245.416315789474</v>
      </c>
      <c r="H17" s="9">
        <v>2429.34</v>
      </c>
      <c r="I17" s="9">
        <v>9</v>
      </c>
      <c r="J17" s="9">
        <v>269.926666666667</v>
      </c>
      <c r="K17" s="9">
        <v>242.25</v>
      </c>
      <c r="L17" s="9">
        <v>5</v>
      </c>
      <c r="M17" s="9">
        <v>48.45</v>
      </c>
      <c r="N17" s="9">
        <v>359157.35</v>
      </c>
      <c r="O17" s="9">
        <v>415</v>
      </c>
      <c r="P17" s="9">
        <v>865.439397590361</v>
      </c>
      <c r="Q17" s="9">
        <v>0</v>
      </c>
      <c r="R17" s="9">
        <v>0</v>
      </c>
      <c r="S17" s="9">
        <v>0</v>
      </c>
      <c r="T17" s="11">
        <v>138517.75</v>
      </c>
      <c r="U17" s="11">
        <v>126</v>
      </c>
      <c r="V17" s="9">
        <v>1099.34722222222</v>
      </c>
    </row>
    <row r="18" spans="1:22">
      <c r="A18" s="8">
        <v>45123</v>
      </c>
      <c r="B18" s="9">
        <v>116347.99</v>
      </c>
      <c r="C18" s="9">
        <v>90</v>
      </c>
      <c r="D18" s="9">
        <v>1292.75544444444</v>
      </c>
      <c r="E18" s="9">
        <v>4561.75</v>
      </c>
      <c r="F18" s="9">
        <v>17</v>
      </c>
      <c r="G18" s="9">
        <v>268.338235294118</v>
      </c>
      <c r="H18" s="9">
        <v>4451.36</v>
      </c>
      <c r="I18" s="9">
        <v>9</v>
      </c>
      <c r="J18" s="9">
        <v>494.595555555556</v>
      </c>
      <c r="K18" s="9">
        <v>278.54</v>
      </c>
      <c r="L18" s="9">
        <v>5</v>
      </c>
      <c r="M18" s="9">
        <v>55.708</v>
      </c>
      <c r="N18" s="9">
        <v>385387</v>
      </c>
      <c r="O18" s="9">
        <v>390</v>
      </c>
      <c r="P18" s="9">
        <v>988.171794871795</v>
      </c>
      <c r="Q18" s="9">
        <v>0</v>
      </c>
      <c r="R18" s="9">
        <v>0</v>
      </c>
      <c r="S18" s="9">
        <v>0</v>
      </c>
      <c r="T18" s="11">
        <v>125639.64</v>
      </c>
      <c r="U18" s="11">
        <v>121</v>
      </c>
      <c r="V18" s="9">
        <v>1038.3441322314</v>
      </c>
    </row>
    <row r="19" spans="1:22">
      <c r="A19" s="8">
        <v>45124</v>
      </c>
      <c r="B19" s="9">
        <v>100242.74</v>
      </c>
      <c r="C19" s="9">
        <v>99</v>
      </c>
      <c r="D19" s="9">
        <v>1012.55292929293</v>
      </c>
      <c r="E19" s="9">
        <v>4347.61</v>
      </c>
      <c r="F19" s="9">
        <v>18</v>
      </c>
      <c r="G19" s="9">
        <v>241.533888888889</v>
      </c>
      <c r="H19" s="9">
        <v>6574.98</v>
      </c>
      <c r="I19" s="9">
        <v>10</v>
      </c>
      <c r="J19" s="9">
        <v>657.498</v>
      </c>
      <c r="K19" s="9">
        <v>231.25</v>
      </c>
      <c r="L19" s="9">
        <v>6</v>
      </c>
      <c r="M19" s="9">
        <v>38.5416666666667</v>
      </c>
      <c r="N19" s="9">
        <v>317481.56</v>
      </c>
      <c r="O19" s="9">
        <v>383</v>
      </c>
      <c r="P19" s="9">
        <v>828.933577023499</v>
      </c>
      <c r="Q19" s="9">
        <v>0</v>
      </c>
      <c r="R19" s="9">
        <v>0</v>
      </c>
      <c r="S19" s="9">
        <v>0</v>
      </c>
      <c r="T19" s="11">
        <v>111396.58</v>
      </c>
      <c r="U19" s="11">
        <v>133</v>
      </c>
      <c r="V19" s="9">
        <v>837.568270676692</v>
      </c>
    </row>
    <row r="20" spans="1:22">
      <c r="A20" s="8">
        <v>45125</v>
      </c>
      <c r="B20" s="9">
        <v>106649.3</v>
      </c>
      <c r="C20" s="9">
        <v>99</v>
      </c>
      <c r="D20" s="9">
        <v>1077.26565656566</v>
      </c>
      <c r="E20" s="9">
        <v>4892.99</v>
      </c>
      <c r="F20" s="9">
        <v>20</v>
      </c>
      <c r="G20" s="9">
        <v>244.6495</v>
      </c>
      <c r="H20" s="9">
        <v>4499.94</v>
      </c>
      <c r="I20" s="9">
        <v>10</v>
      </c>
      <c r="J20" s="9">
        <v>449.994</v>
      </c>
      <c r="K20" s="9">
        <v>186.89</v>
      </c>
      <c r="L20" s="9">
        <v>6</v>
      </c>
      <c r="M20" s="9">
        <v>31.1483333333333</v>
      </c>
      <c r="N20" s="9">
        <v>345722.87</v>
      </c>
      <c r="O20" s="9">
        <v>400</v>
      </c>
      <c r="P20" s="9">
        <v>864.307175</v>
      </c>
      <c r="Q20" s="9">
        <v>0</v>
      </c>
      <c r="R20" s="9">
        <v>0</v>
      </c>
      <c r="S20" s="9">
        <v>0</v>
      </c>
      <c r="T20" s="11">
        <v>116229.12</v>
      </c>
      <c r="U20" s="11">
        <v>135</v>
      </c>
      <c r="V20" s="9">
        <v>860.956444444444</v>
      </c>
    </row>
    <row r="21" spans="1:22">
      <c r="A21" s="8">
        <v>45126</v>
      </c>
      <c r="B21" s="9">
        <v>106181.07</v>
      </c>
      <c r="C21" s="9">
        <v>100</v>
      </c>
      <c r="D21" s="9">
        <v>1061.8107</v>
      </c>
      <c r="E21" s="9">
        <v>5760.69</v>
      </c>
      <c r="F21" s="9">
        <v>19</v>
      </c>
      <c r="G21" s="9">
        <v>303.194210526316</v>
      </c>
      <c r="H21" s="9">
        <v>4279.96</v>
      </c>
      <c r="I21" s="9">
        <v>12</v>
      </c>
      <c r="J21" s="9">
        <v>356.663333333333</v>
      </c>
      <c r="K21" s="9">
        <v>148.61</v>
      </c>
      <c r="L21" s="9">
        <v>6</v>
      </c>
      <c r="M21" s="9">
        <v>24.7683333333333</v>
      </c>
      <c r="N21" s="9">
        <v>343339.58</v>
      </c>
      <c r="O21" s="9">
        <v>390</v>
      </c>
      <c r="P21" s="9">
        <v>880.357897435898</v>
      </c>
      <c r="Q21" s="9">
        <v>0</v>
      </c>
      <c r="R21" s="9">
        <v>0</v>
      </c>
      <c r="S21" s="9" t="s">
        <v>94</v>
      </c>
      <c r="T21" s="11">
        <v>116370.33</v>
      </c>
      <c r="U21" s="11">
        <v>137</v>
      </c>
      <c r="V21" s="9">
        <v>849.418467153285</v>
      </c>
    </row>
    <row r="22" spans="1:22">
      <c r="A22" s="8">
        <v>45127</v>
      </c>
      <c r="B22" s="9">
        <v>102550.97</v>
      </c>
      <c r="C22" s="9">
        <v>99</v>
      </c>
      <c r="D22" s="9">
        <v>1035.86838383838</v>
      </c>
      <c r="E22" s="9">
        <v>6787.64</v>
      </c>
      <c r="F22" s="9">
        <v>19</v>
      </c>
      <c r="G22" s="9">
        <v>357.244210526316</v>
      </c>
      <c r="H22" s="9">
        <v>5034.84</v>
      </c>
      <c r="I22" s="9">
        <v>12</v>
      </c>
      <c r="J22" s="9">
        <v>419.57</v>
      </c>
      <c r="K22" s="9">
        <v>187.94</v>
      </c>
      <c r="L22" s="9">
        <v>6</v>
      </c>
      <c r="M22" s="9">
        <v>31.3233333333333</v>
      </c>
      <c r="N22" s="9">
        <v>321417.01</v>
      </c>
      <c r="O22" s="9">
        <v>389</v>
      </c>
      <c r="P22" s="9">
        <v>826.264807197944</v>
      </c>
      <c r="Q22" s="9">
        <v>0</v>
      </c>
      <c r="R22" s="9">
        <v>0</v>
      </c>
      <c r="S22" s="9" t="s">
        <v>94</v>
      </c>
      <c r="T22" s="11">
        <v>114561.39</v>
      </c>
      <c r="U22" s="11">
        <v>136</v>
      </c>
      <c r="V22" s="9">
        <v>842.363161764706</v>
      </c>
    </row>
    <row r="23" spans="1:22">
      <c r="A23" s="8">
        <v>45128</v>
      </c>
      <c r="B23" s="9">
        <v>103915.06</v>
      </c>
      <c r="C23" s="9">
        <v>98</v>
      </c>
      <c r="D23" s="9">
        <v>1060.35775510204</v>
      </c>
      <c r="E23" s="9">
        <v>7721.48</v>
      </c>
      <c r="F23" s="9">
        <v>20</v>
      </c>
      <c r="G23" s="9">
        <v>386.074</v>
      </c>
      <c r="H23" s="9">
        <v>2344.8</v>
      </c>
      <c r="I23" s="9">
        <v>10</v>
      </c>
      <c r="J23" s="9">
        <v>234.48</v>
      </c>
      <c r="K23" s="9">
        <v>156.24</v>
      </c>
      <c r="L23" s="9">
        <v>6</v>
      </c>
      <c r="M23" s="9">
        <v>26.04</v>
      </c>
      <c r="N23" s="9">
        <v>302153.53</v>
      </c>
      <c r="O23" s="9">
        <v>389</v>
      </c>
      <c r="P23" s="9">
        <v>776.744293059126</v>
      </c>
      <c r="Q23" s="9">
        <v>0</v>
      </c>
      <c r="R23" s="9">
        <v>0</v>
      </c>
      <c r="S23" s="9" t="s">
        <v>94</v>
      </c>
      <c r="T23" s="11">
        <v>114137.58</v>
      </c>
      <c r="U23" s="11">
        <v>134</v>
      </c>
      <c r="V23" s="9">
        <v>851.772985074627</v>
      </c>
    </row>
    <row r="24" spans="1:22">
      <c r="A24" s="8">
        <v>45129</v>
      </c>
      <c r="B24" s="9">
        <v>155428.88</v>
      </c>
      <c r="C24" s="9">
        <v>93</v>
      </c>
      <c r="D24" s="9">
        <v>1671.27827956989</v>
      </c>
      <c r="E24" s="9">
        <v>6761.94</v>
      </c>
      <c r="F24" s="9">
        <v>20</v>
      </c>
      <c r="G24" s="9">
        <v>338.097</v>
      </c>
      <c r="H24" s="9">
        <v>2028.49</v>
      </c>
      <c r="I24" s="9">
        <v>10</v>
      </c>
      <c r="J24" s="9">
        <v>202.849</v>
      </c>
      <c r="K24" s="9">
        <v>203.61</v>
      </c>
      <c r="L24" s="9">
        <v>5</v>
      </c>
      <c r="M24" s="9">
        <v>40.722</v>
      </c>
      <c r="N24" s="9">
        <v>297159.71</v>
      </c>
      <c r="O24" s="9">
        <v>362</v>
      </c>
      <c r="P24" s="9">
        <v>820.88317679558</v>
      </c>
      <c r="Q24" s="9">
        <v>0</v>
      </c>
      <c r="R24" s="9">
        <v>0</v>
      </c>
      <c r="S24" s="9" t="s">
        <v>94</v>
      </c>
      <c r="T24" s="11">
        <v>164422.92</v>
      </c>
      <c r="U24" s="11">
        <v>128</v>
      </c>
      <c r="V24" s="9">
        <v>1284.5540625</v>
      </c>
    </row>
    <row r="25" spans="1:22">
      <c r="A25" s="8">
        <v>45130</v>
      </c>
      <c r="B25" s="9">
        <v>163088.38</v>
      </c>
      <c r="C25" s="9">
        <v>91</v>
      </c>
      <c r="D25" s="9">
        <v>1792.18</v>
      </c>
      <c r="E25" s="9">
        <v>6659.67</v>
      </c>
      <c r="F25" s="9">
        <v>19</v>
      </c>
      <c r="G25" s="9">
        <v>350.508947368421</v>
      </c>
      <c r="H25" s="9">
        <v>1366.23</v>
      </c>
      <c r="I25" s="9">
        <v>9</v>
      </c>
      <c r="J25" s="9">
        <v>151.803333333333</v>
      </c>
      <c r="K25" s="9">
        <v>189.47</v>
      </c>
      <c r="L25" s="9">
        <v>5</v>
      </c>
      <c r="M25" s="9">
        <v>37.894</v>
      </c>
      <c r="N25" s="9">
        <v>312887.47</v>
      </c>
      <c r="O25" s="9">
        <v>349</v>
      </c>
      <c r="P25" s="9">
        <v>896.525702005731</v>
      </c>
      <c r="Q25" s="9">
        <v>0</v>
      </c>
      <c r="R25" s="9">
        <v>0</v>
      </c>
      <c r="S25" s="9" t="s">
        <v>94</v>
      </c>
      <c r="T25" s="11">
        <v>171303.75</v>
      </c>
      <c r="U25" s="11">
        <v>124</v>
      </c>
      <c r="V25" s="9">
        <v>1381.48185483871</v>
      </c>
    </row>
    <row r="26" spans="1:22">
      <c r="A26" s="8">
        <v>45131</v>
      </c>
      <c r="B26" s="9">
        <v>163477.28</v>
      </c>
      <c r="C26" s="9">
        <v>100</v>
      </c>
      <c r="D26" s="9">
        <v>1634.7728</v>
      </c>
      <c r="E26" s="9">
        <v>6309.5</v>
      </c>
      <c r="F26" s="9">
        <v>19</v>
      </c>
      <c r="G26" s="9">
        <v>332.078947368421</v>
      </c>
      <c r="H26" s="9">
        <v>1182.65</v>
      </c>
      <c r="I26" s="9">
        <v>9</v>
      </c>
      <c r="J26" s="9">
        <v>131.405555555556</v>
      </c>
      <c r="K26" s="9">
        <v>437.69</v>
      </c>
      <c r="L26" s="9">
        <v>6</v>
      </c>
      <c r="M26" s="9">
        <v>72.9483333333333</v>
      </c>
      <c r="N26" s="9">
        <v>305789.71</v>
      </c>
      <c r="O26" s="9">
        <v>361</v>
      </c>
      <c r="P26" s="9">
        <v>847.062908587258</v>
      </c>
      <c r="Q26" s="9">
        <v>0</v>
      </c>
      <c r="R26" s="9">
        <v>0</v>
      </c>
      <c r="S26" s="9" t="s">
        <v>94</v>
      </c>
      <c r="T26" s="11">
        <v>171407.12</v>
      </c>
      <c r="U26" s="11">
        <v>134</v>
      </c>
      <c r="V26" s="9">
        <v>1279.1576119403</v>
      </c>
    </row>
    <row r="27" spans="1:22">
      <c r="A27" s="8">
        <v>45132</v>
      </c>
      <c r="B27" s="9">
        <v>151834.55</v>
      </c>
      <c r="C27" s="9">
        <v>100</v>
      </c>
      <c r="D27" s="9">
        <v>1518.3455</v>
      </c>
      <c r="E27" s="9">
        <v>6536.08</v>
      </c>
      <c r="F27" s="9">
        <v>19</v>
      </c>
      <c r="G27" s="9">
        <v>344.004210526316</v>
      </c>
      <c r="H27" s="9">
        <v>1790.58</v>
      </c>
      <c r="I27" s="9">
        <v>9</v>
      </c>
      <c r="J27" s="9">
        <v>198.953333333333</v>
      </c>
      <c r="K27" s="9">
        <v>403.75</v>
      </c>
      <c r="L27" s="9">
        <v>6</v>
      </c>
      <c r="M27" s="9">
        <v>67.2916666666667</v>
      </c>
      <c r="N27" s="9">
        <v>307518.42</v>
      </c>
      <c r="O27" s="9">
        <v>357</v>
      </c>
      <c r="P27" s="9">
        <v>861.396134453781</v>
      </c>
      <c r="Q27" s="9">
        <v>0</v>
      </c>
      <c r="R27" s="9">
        <v>0</v>
      </c>
      <c r="S27" s="9" t="s">
        <v>94</v>
      </c>
      <c r="T27" s="11">
        <v>160564.96</v>
      </c>
      <c r="U27" s="11">
        <v>134</v>
      </c>
      <c r="V27" s="9">
        <v>1198.24597014925</v>
      </c>
    </row>
    <row r="28" spans="1:22">
      <c r="A28" s="8">
        <v>45133</v>
      </c>
      <c r="B28" s="9">
        <v>156985.16</v>
      </c>
      <c r="C28" s="9">
        <v>98</v>
      </c>
      <c r="D28" s="9">
        <v>1601.8893877551</v>
      </c>
      <c r="E28" s="9">
        <v>6231.81</v>
      </c>
      <c r="F28" s="9">
        <v>19</v>
      </c>
      <c r="G28" s="9">
        <v>327.99</v>
      </c>
      <c r="H28" s="9">
        <v>1676.87</v>
      </c>
      <c r="I28" s="9">
        <v>9</v>
      </c>
      <c r="J28" s="9">
        <v>186.318888888889</v>
      </c>
      <c r="K28" s="9">
        <v>290.63</v>
      </c>
      <c r="L28" s="9">
        <v>5</v>
      </c>
      <c r="M28" s="9">
        <v>58.126</v>
      </c>
      <c r="N28" s="9">
        <v>302517.98</v>
      </c>
      <c r="O28" s="9">
        <v>355</v>
      </c>
      <c r="P28" s="9">
        <v>852.163323943661</v>
      </c>
      <c r="Q28" s="9">
        <v>0</v>
      </c>
      <c r="R28" s="9">
        <v>0</v>
      </c>
      <c r="S28" s="9" t="s">
        <v>94</v>
      </c>
      <c r="T28" s="11">
        <v>165184.47</v>
      </c>
      <c r="U28" s="11">
        <v>131</v>
      </c>
      <c r="V28" s="9">
        <v>1260.95015267176</v>
      </c>
    </row>
    <row r="29" spans="1:22">
      <c r="A29" s="8">
        <v>45134</v>
      </c>
      <c r="B29" s="9">
        <v>129289.99</v>
      </c>
      <c r="C29" s="9">
        <v>97</v>
      </c>
      <c r="D29" s="9">
        <v>1332.88649484536</v>
      </c>
      <c r="E29" s="9">
        <v>5801.18</v>
      </c>
      <c r="F29" s="9">
        <v>19</v>
      </c>
      <c r="G29" s="9">
        <v>305.325263157895</v>
      </c>
      <c r="H29" s="9">
        <v>2260.61</v>
      </c>
      <c r="I29" s="9">
        <v>10</v>
      </c>
      <c r="J29" s="9">
        <v>226.061</v>
      </c>
      <c r="K29" s="9">
        <v>303.83</v>
      </c>
      <c r="L29" s="9">
        <v>5</v>
      </c>
      <c r="M29" s="9">
        <v>60.766</v>
      </c>
      <c r="N29" s="9">
        <v>302418.07</v>
      </c>
      <c r="O29" s="9">
        <v>369</v>
      </c>
      <c r="P29" s="9">
        <v>819.561165311653</v>
      </c>
      <c r="Q29" s="9">
        <v>0</v>
      </c>
      <c r="R29" s="9">
        <v>0</v>
      </c>
      <c r="S29" s="9">
        <v>0</v>
      </c>
      <c r="T29" s="11">
        <v>137655.61</v>
      </c>
      <c r="U29" s="11">
        <v>131</v>
      </c>
      <c r="V29" s="9">
        <v>1050.80618320611</v>
      </c>
    </row>
    <row r="30" spans="1:22">
      <c r="A30" s="8">
        <v>45135</v>
      </c>
      <c r="B30" s="9">
        <v>153731.73</v>
      </c>
      <c r="C30" s="9">
        <v>96</v>
      </c>
      <c r="D30" s="9">
        <v>1601.3721875</v>
      </c>
      <c r="E30" s="9">
        <v>5090.06</v>
      </c>
      <c r="F30" s="9">
        <v>19</v>
      </c>
      <c r="G30" s="9">
        <v>267.897894736842</v>
      </c>
      <c r="H30" s="9">
        <v>1668.82</v>
      </c>
      <c r="I30" s="9">
        <v>9</v>
      </c>
      <c r="J30" s="9">
        <v>185.424444444445</v>
      </c>
      <c r="K30" s="9">
        <v>308.63</v>
      </c>
      <c r="L30" s="9">
        <v>5</v>
      </c>
      <c r="M30" s="9">
        <v>61.726</v>
      </c>
      <c r="N30" s="9">
        <v>332819.5</v>
      </c>
      <c r="O30" s="9">
        <v>378</v>
      </c>
      <c r="P30" s="9">
        <v>880.474867724868</v>
      </c>
      <c r="Q30" s="9">
        <v>0</v>
      </c>
      <c r="R30" s="9">
        <v>0</v>
      </c>
      <c r="S30" s="9">
        <v>0</v>
      </c>
      <c r="T30" s="11">
        <v>160799.24</v>
      </c>
      <c r="U30" s="11">
        <v>129</v>
      </c>
      <c r="V30" s="9">
        <v>1246.50573643411</v>
      </c>
    </row>
    <row r="31" spans="1:22">
      <c r="A31" s="8">
        <v>45136</v>
      </c>
      <c r="B31" s="9">
        <v>135804.1</v>
      </c>
      <c r="C31" s="9">
        <v>90</v>
      </c>
      <c r="D31" s="9">
        <v>1508.93444444445</v>
      </c>
      <c r="E31" s="9">
        <v>6336.5</v>
      </c>
      <c r="F31" s="9">
        <v>19</v>
      </c>
      <c r="G31" s="9">
        <v>333.5</v>
      </c>
      <c r="H31" s="9">
        <v>1636.35</v>
      </c>
      <c r="I31" s="9">
        <v>8</v>
      </c>
      <c r="J31" s="9">
        <v>204.54375</v>
      </c>
      <c r="K31" s="9">
        <v>386.23</v>
      </c>
      <c r="L31" s="9">
        <v>4</v>
      </c>
      <c r="M31" s="9">
        <v>96.5575</v>
      </c>
      <c r="N31" s="9">
        <v>299073.18</v>
      </c>
      <c r="O31" s="9">
        <v>332</v>
      </c>
      <c r="P31" s="9">
        <v>900.822831325301</v>
      </c>
      <c r="Q31" s="9">
        <v>0</v>
      </c>
      <c r="R31" s="9">
        <v>0</v>
      </c>
      <c r="S31" s="9">
        <v>0</v>
      </c>
      <c r="T31" s="11">
        <v>144163.18</v>
      </c>
      <c r="U31" s="11">
        <v>121</v>
      </c>
      <c r="V31" s="9">
        <v>1191.43123966942</v>
      </c>
    </row>
    <row r="32" spans="1:22">
      <c r="A32" s="8">
        <v>45137</v>
      </c>
      <c r="B32" s="9">
        <v>167371.67</v>
      </c>
      <c r="C32" s="9">
        <v>89</v>
      </c>
      <c r="D32" s="9">
        <v>1880.58056179775</v>
      </c>
      <c r="E32" s="9">
        <v>5902.13</v>
      </c>
      <c r="F32" s="9">
        <v>19</v>
      </c>
      <c r="G32" s="9">
        <v>310.638421052632</v>
      </c>
      <c r="H32" s="9">
        <v>2067.91</v>
      </c>
      <c r="I32" s="9">
        <v>8</v>
      </c>
      <c r="J32" s="9">
        <v>258.48875</v>
      </c>
      <c r="K32" s="9">
        <v>309.08</v>
      </c>
      <c r="L32" s="9">
        <v>4</v>
      </c>
      <c r="M32" s="9">
        <v>77.27</v>
      </c>
      <c r="N32" s="9">
        <v>300209.64</v>
      </c>
      <c r="O32" s="9">
        <v>335</v>
      </c>
      <c r="P32" s="9">
        <v>896.148179104478</v>
      </c>
      <c r="Q32" s="9">
        <v>0</v>
      </c>
      <c r="R32" s="9">
        <v>0</v>
      </c>
      <c r="S32" s="9">
        <v>0</v>
      </c>
      <c r="T32" s="11">
        <v>175650.79</v>
      </c>
      <c r="U32" s="11">
        <v>120</v>
      </c>
      <c r="V32" s="9">
        <v>1463.75658333333</v>
      </c>
    </row>
    <row r="33" spans="1:22">
      <c r="A33" s="8">
        <v>45138</v>
      </c>
      <c r="B33" s="9">
        <v>162541.49</v>
      </c>
      <c r="C33" s="9">
        <v>94</v>
      </c>
      <c r="D33" s="9">
        <v>1729.16478723404</v>
      </c>
      <c r="E33" s="9">
        <v>6012.47</v>
      </c>
      <c r="F33" s="9">
        <v>19</v>
      </c>
      <c r="G33" s="9">
        <v>316.445789473684</v>
      </c>
      <c r="H33" s="9">
        <v>2000.72</v>
      </c>
      <c r="I33" s="9">
        <v>8</v>
      </c>
      <c r="J33" s="9">
        <v>250.09</v>
      </c>
      <c r="K33" s="9">
        <v>303.07</v>
      </c>
      <c r="L33" s="9">
        <v>5</v>
      </c>
      <c r="M33" s="9">
        <v>60.614</v>
      </c>
      <c r="N33" s="9">
        <v>298596.17</v>
      </c>
      <c r="O33" s="9">
        <v>338</v>
      </c>
      <c r="P33" s="9">
        <v>883.420621301775</v>
      </c>
      <c r="Q33" s="9">
        <v>0</v>
      </c>
      <c r="R33" s="9">
        <v>0</v>
      </c>
      <c r="S33" s="9">
        <v>0</v>
      </c>
      <c r="T33" s="11">
        <v>170857.75</v>
      </c>
      <c r="U33" s="11">
        <v>126</v>
      </c>
      <c r="V33" s="9">
        <v>1356.01388888889</v>
      </c>
    </row>
    <row r="34" spans="1:22">
      <c r="A34" s="8">
        <v>45139</v>
      </c>
      <c r="B34" s="9">
        <v>132607.22</v>
      </c>
      <c r="C34" s="9">
        <v>96</v>
      </c>
      <c r="D34" s="9">
        <v>1381.32520833333</v>
      </c>
      <c r="E34" s="9">
        <v>6645.66</v>
      </c>
      <c r="F34" s="9">
        <v>18</v>
      </c>
      <c r="G34" s="9">
        <v>369.203333333333</v>
      </c>
      <c r="H34" s="9">
        <v>1254.91</v>
      </c>
      <c r="I34" s="9">
        <v>7</v>
      </c>
      <c r="J34" s="9">
        <v>179.272857142857</v>
      </c>
      <c r="K34" s="9">
        <v>243.45</v>
      </c>
      <c r="L34" s="9">
        <v>5</v>
      </c>
      <c r="M34" s="9">
        <v>48.69</v>
      </c>
      <c r="N34" s="9">
        <v>301856.78</v>
      </c>
      <c r="O34" s="9">
        <v>338</v>
      </c>
      <c r="P34" s="9">
        <v>893.067396449704</v>
      </c>
      <c r="Q34" s="9">
        <v>0</v>
      </c>
      <c r="R34" s="9">
        <v>0</v>
      </c>
      <c r="S34" s="9">
        <v>0</v>
      </c>
      <c r="T34" s="11">
        <v>140751.24</v>
      </c>
      <c r="U34" s="11">
        <v>126</v>
      </c>
      <c r="V34" s="9">
        <v>1117.07333333333</v>
      </c>
    </row>
    <row r="35" spans="1:22">
      <c r="A35" s="8">
        <v>45140</v>
      </c>
      <c r="B35" s="9">
        <v>131738.4</v>
      </c>
      <c r="C35" s="9">
        <v>96</v>
      </c>
      <c r="D35" s="9">
        <v>1372.275</v>
      </c>
      <c r="E35" s="9">
        <v>7944.89</v>
      </c>
      <c r="F35" s="9">
        <v>18</v>
      </c>
      <c r="G35" s="9">
        <v>441.382777777778</v>
      </c>
      <c r="H35" s="9">
        <v>2013.33</v>
      </c>
      <c r="I35" s="9">
        <v>7</v>
      </c>
      <c r="J35" s="9">
        <v>287.618571428571</v>
      </c>
      <c r="K35" s="9">
        <v>37.38</v>
      </c>
      <c r="L35" s="9">
        <v>4</v>
      </c>
      <c r="M35" s="9">
        <v>9.345</v>
      </c>
      <c r="N35" s="9">
        <v>284652.09</v>
      </c>
      <c r="O35" s="9">
        <v>344</v>
      </c>
      <c r="P35" s="9">
        <v>827.477005813954</v>
      </c>
      <c r="Q35" s="9">
        <v>0</v>
      </c>
      <c r="R35" s="9">
        <v>0</v>
      </c>
      <c r="S35" s="9">
        <v>0</v>
      </c>
      <c r="T35" s="11">
        <v>141734</v>
      </c>
      <c r="U35" s="11">
        <v>125</v>
      </c>
      <c r="V35" s="9">
        <v>1133.872</v>
      </c>
    </row>
    <row r="36" spans="1:22">
      <c r="A36" s="8">
        <v>45141</v>
      </c>
      <c r="B36" s="9">
        <v>140013.69</v>
      </c>
      <c r="C36" s="9">
        <v>95</v>
      </c>
      <c r="D36" s="9">
        <v>1473.82831578947</v>
      </c>
      <c r="E36" s="9">
        <v>10339.24</v>
      </c>
      <c r="F36" s="9">
        <v>19</v>
      </c>
      <c r="G36" s="9">
        <v>544.17052631579</v>
      </c>
      <c r="H36" s="9">
        <v>1594.61</v>
      </c>
      <c r="I36" s="9">
        <v>7</v>
      </c>
      <c r="J36" s="9">
        <v>227.801428571428</v>
      </c>
      <c r="K36" s="9">
        <v>45.33</v>
      </c>
      <c r="L36" s="9">
        <v>4</v>
      </c>
      <c r="M36" s="9">
        <v>11.3325</v>
      </c>
      <c r="N36" s="9">
        <v>270266.93</v>
      </c>
      <c r="O36" s="9">
        <v>342</v>
      </c>
      <c r="P36" s="9">
        <v>790.25418128655</v>
      </c>
      <c r="Q36" s="9">
        <v>0</v>
      </c>
      <c r="R36" s="9">
        <v>0</v>
      </c>
      <c r="S36" s="9">
        <v>0</v>
      </c>
      <c r="T36" s="11">
        <v>151992.87</v>
      </c>
      <c r="U36" s="11">
        <v>125</v>
      </c>
      <c r="V36" s="9">
        <v>1215.94296</v>
      </c>
    </row>
    <row r="37" spans="1:22">
      <c r="A37" s="8">
        <v>45142</v>
      </c>
      <c r="B37" s="9">
        <v>127174.57</v>
      </c>
      <c r="C37" s="9">
        <v>94</v>
      </c>
      <c r="D37" s="9">
        <v>1352.92095744681</v>
      </c>
      <c r="E37" s="9">
        <v>20392.14</v>
      </c>
      <c r="F37" s="9">
        <v>17</v>
      </c>
      <c r="G37" s="9">
        <v>1199.53764705882</v>
      </c>
      <c r="H37" s="9">
        <v>1199.78</v>
      </c>
      <c r="I37" s="9">
        <v>6</v>
      </c>
      <c r="J37" s="9">
        <v>199.963333333333</v>
      </c>
      <c r="K37" s="9">
        <v>49.58</v>
      </c>
      <c r="L37" s="9">
        <v>4</v>
      </c>
      <c r="M37" s="9">
        <v>12.395</v>
      </c>
      <c r="N37" s="9">
        <v>289542.14</v>
      </c>
      <c r="O37" s="9">
        <v>353</v>
      </c>
      <c r="P37" s="9">
        <v>820.23269121813</v>
      </c>
      <c r="Q37" s="9">
        <v>0</v>
      </c>
      <c r="R37" s="9">
        <v>0</v>
      </c>
      <c r="S37" s="9">
        <v>0</v>
      </c>
      <c r="T37" s="11">
        <v>148816.07</v>
      </c>
      <c r="U37" s="11">
        <v>121</v>
      </c>
      <c r="V37" s="9">
        <v>1229.88487603306</v>
      </c>
    </row>
    <row r="38" spans="1:22">
      <c r="A38" s="8">
        <v>45143</v>
      </c>
      <c r="B38" s="9">
        <v>125846.56</v>
      </c>
      <c r="C38" s="9">
        <v>89</v>
      </c>
      <c r="D38" s="9">
        <v>1414.00629213483</v>
      </c>
      <c r="E38" s="9">
        <v>33286.14</v>
      </c>
      <c r="F38" s="9">
        <v>18</v>
      </c>
      <c r="G38" s="9">
        <v>1849.23</v>
      </c>
      <c r="H38" s="9">
        <v>1382.54</v>
      </c>
      <c r="I38" s="9">
        <v>7</v>
      </c>
      <c r="J38" s="9">
        <v>197.505714285714</v>
      </c>
      <c r="K38" s="9">
        <v>44.92</v>
      </c>
      <c r="L38" s="9">
        <v>3</v>
      </c>
      <c r="M38" s="9">
        <v>14.9733333333333</v>
      </c>
      <c r="N38" s="9">
        <v>355287.84</v>
      </c>
      <c r="O38" s="9">
        <v>347</v>
      </c>
      <c r="P38" s="9">
        <v>1023.88426512968</v>
      </c>
      <c r="Q38" s="9">
        <v>0</v>
      </c>
      <c r="R38" s="9">
        <v>0</v>
      </c>
      <c r="S38" s="9" t="s">
        <v>94</v>
      </c>
      <c r="T38" s="11">
        <v>160560.16</v>
      </c>
      <c r="U38" s="11">
        <v>117</v>
      </c>
      <c r="V38" s="9">
        <v>1372.30905982906</v>
      </c>
    </row>
    <row r="39" spans="1:22">
      <c r="A39" s="8">
        <v>45144</v>
      </c>
      <c r="B39" s="9">
        <v>137124.14</v>
      </c>
      <c r="C39" s="9">
        <v>85</v>
      </c>
      <c r="D39" s="9">
        <v>1613.22517647059</v>
      </c>
      <c r="E39" s="9">
        <v>35906.12</v>
      </c>
      <c r="F39" s="9">
        <v>19</v>
      </c>
      <c r="G39" s="9">
        <v>1889.79578947368</v>
      </c>
      <c r="H39" s="9">
        <v>1196.41</v>
      </c>
      <c r="I39" s="9">
        <v>5</v>
      </c>
      <c r="J39" s="9">
        <v>239.282</v>
      </c>
      <c r="K39" s="9">
        <v>49.54</v>
      </c>
      <c r="L39" s="9">
        <v>3</v>
      </c>
      <c r="M39" s="9">
        <v>16.5133333333333</v>
      </c>
      <c r="N39" s="9">
        <v>359066.9</v>
      </c>
      <c r="O39" s="9">
        <v>336</v>
      </c>
      <c r="P39" s="9">
        <v>1068.65148809524</v>
      </c>
      <c r="Q39" s="9">
        <v>0</v>
      </c>
      <c r="R39" s="9">
        <v>0</v>
      </c>
      <c r="S39" s="9" t="s">
        <v>94</v>
      </c>
      <c r="T39" s="11">
        <v>174276.21</v>
      </c>
      <c r="U39" s="11">
        <v>112</v>
      </c>
      <c r="V39" s="9">
        <v>1556.03758928571</v>
      </c>
    </row>
    <row r="40" spans="1:22">
      <c r="A40" s="8">
        <v>45145</v>
      </c>
      <c r="B40" s="9">
        <v>121983.79</v>
      </c>
      <c r="C40" s="9">
        <v>94</v>
      </c>
      <c r="D40" s="9">
        <v>1297.69989361702</v>
      </c>
      <c r="E40" s="9">
        <v>25465.41</v>
      </c>
      <c r="F40" s="9">
        <v>19</v>
      </c>
      <c r="G40" s="9">
        <v>1340.28473684211</v>
      </c>
      <c r="H40" s="9">
        <v>1581.89</v>
      </c>
      <c r="I40" s="9">
        <v>7</v>
      </c>
      <c r="J40" s="9">
        <v>225.984285714286</v>
      </c>
      <c r="K40" s="9">
        <v>57.16</v>
      </c>
      <c r="L40" s="9">
        <v>4</v>
      </c>
      <c r="M40" s="9">
        <v>14.29</v>
      </c>
      <c r="N40" s="9">
        <v>344545.47</v>
      </c>
      <c r="O40" s="9">
        <v>356</v>
      </c>
      <c r="P40" s="9">
        <v>967.824353932584</v>
      </c>
      <c r="Q40" s="9">
        <v>0</v>
      </c>
      <c r="R40" s="9">
        <v>0</v>
      </c>
      <c r="S40" s="9" t="s">
        <v>94</v>
      </c>
      <c r="T40" s="11">
        <v>149088.25</v>
      </c>
      <c r="U40" s="11">
        <v>124</v>
      </c>
      <c r="V40" s="9">
        <v>1202.32459677419</v>
      </c>
    </row>
    <row r="41" spans="1:22">
      <c r="A41" s="8">
        <v>45146</v>
      </c>
      <c r="B41" s="9">
        <v>120613.72</v>
      </c>
      <c r="C41" s="9">
        <v>91</v>
      </c>
      <c r="D41" s="9">
        <v>1325.42549450549</v>
      </c>
      <c r="E41" s="9">
        <v>24065.9</v>
      </c>
      <c r="F41" s="9">
        <v>19</v>
      </c>
      <c r="G41" s="9">
        <v>1266.62631578947</v>
      </c>
      <c r="H41" s="9">
        <v>1313.11</v>
      </c>
      <c r="I41" s="9">
        <v>8</v>
      </c>
      <c r="J41" s="9">
        <v>164.13875</v>
      </c>
      <c r="K41" s="9">
        <v>80.48</v>
      </c>
      <c r="L41" s="9">
        <v>4</v>
      </c>
      <c r="M41" s="9">
        <v>20.12</v>
      </c>
      <c r="N41" s="9">
        <v>317150.34</v>
      </c>
      <c r="O41" s="9">
        <v>364</v>
      </c>
      <c r="P41" s="9">
        <v>871.292142857142</v>
      </c>
      <c r="Q41" s="9">
        <v>0</v>
      </c>
      <c r="R41" s="9">
        <v>0</v>
      </c>
      <c r="S41" s="9" t="s">
        <v>94</v>
      </c>
      <c r="T41" s="11">
        <v>146073.21</v>
      </c>
      <c r="U41" s="11">
        <v>122</v>
      </c>
      <c r="V41" s="9">
        <v>1197.32139344262</v>
      </c>
    </row>
    <row r="42" spans="1:22">
      <c r="A42" s="8">
        <v>45147</v>
      </c>
      <c r="B42" s="9">
        <v>125053.42</v>
      </c>
      <c r="C42" s="9">
        <v>92</v>
      </c>
      <c r="D42" s="9">
        <v>1359.27630434783</v>
      </c>
      <c r="E42" s="9">
        <v>30242.7</v>
      </c>
      <c r="F42" s="9">
        <v>19</v>
      </c>
      <c r="G42" s="9">
        <v>1591.72105263158</v>
      </c>
      <c r="H42" s="9">
        <v>2094.84</v>
      </c>
      <c r="I42" s="9">
        <v>8</v>
      </c>
      <c r="J42" s="9">
        <v>261.855</v>
      </c>
      <c r="K42" s="9">
        <v>65.18</v>
      </c>
      <c r="L42" s="9">
        <v>4</v>
      </c>
      <c r="M42" s="9">
        <v>16.295</v>
      </c>
      <c r="N42" s="9">
        <v>325059.71</v>
      </c>
      <c r="O42" s="9">
        <v>369</v>
      </c>
      <c r="P42" s="9">
        <v>880.920623306234</v>
      </c>
      <c r="Q42" s="9">
        <v>0</v>
      </c>
      <c r="R42" s="9">
        <v>0</v>
      </c>
      <c r="S42" s="9" t="s">
        <v>94</v>
      </c>
      <c r="T42" s="11">
        <v>157456.14</v>
      </c>
      <c r="U42" s="11">
        <v>123</v>
      </c>
      <c r="V42" s="9">
        <v>1280.13121951219</v>
      </c>
    </row>
    <row r="43" spans="1:22">
      <c r="A43" s="8">
        <v>45148</v>
      </c>
      <c r="B43" s="9">
        <v>152341.24</v>
      </c>
      <c r="C43" s="9">
        <v>91</v>
      </c>
      <c r="D43" s="9">
        <v>1674.07956043956</v>
      </c>
      <c r="E43" s="9">
        <v>22985.36</v>
      </c>
      <c r="F43" s="9">
        <v>21</v>
      </c>
      <c r="G43" s="9">
        <v>1094.54095238095</v>
      </c>
      <c r="H43" s="9">
        <v>4792.61</v>
      </c>
      <c r="I43" s="9">
        <v>10</v>
      </c>
      <c r="J43" s="9">
        <v>479.261</v>
      </c>
      <c r="K43" s="9">
        <v>95.74</v>
      </c>
      <c r="L43" s="9">
        <v>4</v>
      </c>
      <c r="M43" s="9">
        <v>23.935</v>
      </c>
      <c r="N43" s="9">
        <v>324895.57</v>
      </c>
      <c r="O43" s="9">
        <v>376</v>
      </c>
      <c r="P43" s="9">
        <v>864.083962765958</v>
      </c>
      <c r="Q43" s="9">
        <v>0</v>
      </c>
      <c r="R43" s="9">
        <v>0</v>
      </c>
      <c r="S43" s="9" t="s">
        <v>94</v>
      </c>
      <c r="T43" s="11">
        <v>180214.95</v>
      </c>
      <c r="U43" s="11">
        <v>126</v>
      </c>
      <c r="V43" s="9">
        <v>1430.27738095238</v>
      </c>
    </row>
    <row r="44" spans="1:22">
      <c r="A44" s="8">
        <v>45149</v>
      </c>
      <c r="B44" s="9">
        <v>165413.72</v>
      </c>
      <c r="C44" s="9">
        <v>91</v>
      </c>
      <c r="D44" s="9">
        <v>1817.73318681319</v>
      </c>
      <c r="E44" s="9">
        <v>35567.62</v>
      </c>
      <c r="F44" s="9">
        <v>21</v>
      </c>
      <c r="G44" s="9">
        <v>1693.69619047619</v>
      </c>
      <c r="H44" s="9">
        <v>7672.1</v>
      </c>
      <c r="I44" s="9">
        <v>10</v>
      </c>
      <c r="J44" s="9">
        <v>767.21</v>
      </c>
      <c r="K44" s="9">
        <v>42.37</v>
      </c>
      <c r="L44" s="9">
        <v>4</v>
      </c>
      <c r="M44" s="9">
        <v>10.5925</v>
      </c>
      <c r="N44" s="9">
        <v>361294.62</v>
      </c>
      <c r="O44" s="9">
        <v>398</v>
      </c>
      <c r="P44" s="9">
        <v>907.775427135678</v>
      </c>
      <c r="Q44" s="9">
        <v>0</v>
      </c>
      <c r="R44" s="9">
        <v>0</v>
      </c>
      <c r="S44" s="9" t="s">
        <v>94</v>
      </c>
      <c r="T44" s="11">
        <v>208695.81</v>
      </c>
      <c r="U44" s="11">
        <v>126</v>
      </c>
      <c r="V44" s="9">
        <v>1656.31595238095</v>
      </c>
    </row>
    <row r="45" spans="1:22">
      <c r="A45" s="8">
        <v>45150</v>
      </c>
      <c r="B45" s="9">
        <v>171589.62</v>
      </c>
      <c r="C45" s="9">
        <v>85</v>
      </c>
      <c r="D45" s="9">
        <v>2018.70141176471</v>
      </c>
      <c r="E45" s="9">
        <v>33005.23</v>
      </c>
      <c r="F45" s="9">
        <v>20</v>
      </c>
      <c r="G45" s="9">
        <v>1650.2615</v>
      </c>
      <c r="H45" s="9">
        <v>7480.78</v>
      </c>
      <c r="I45" s="9">
        <v>10</v>
      </c>
      <c r="J45" s="9">
        <v>748.078</v>
      </c>
      <c r="K45" s="9">
        <v>116.89</v>
      </c>
      <c r="L45" s="9">
        <v>3</v>
      </c>
      <c r="M45" s="9">
        <v>38.9633333333333</v>
      </c>
      <c r="N45" s="9">
        <v>372461.65</v>
      </c>
      <c r="O45" s="9">
        <v>382</v>
      </c>
      <c r="P45" s="9">
        <v>975.030497382199</v>
      </c>
      <c r="Q45" s="9">
        <v>0</v>
      </c>
      <c r="R45" s="9">
        <v>0</v>
      </c>
      <c r="S45" s="9" t="s">
        <v>94</v>
      </c>
      <c r="T45" s="11">
        <v>212192.52</v>
      </c>
      <c r="U45" s="11">
        <v>118</v>
      </c>
      <c r="V45" s="9">
        <v>1798.24169491525</v>
      </c>
    </row>
    <row r="46" spans="1:22">
      <c r="A46" s="8">
        <v>45151</v>
      </c>
      <c r="B46" s="9">
        <v>156531.4</v>
      </c>
      <c r="C46" s="9">
        <v>86</v>
      </c>
      <c r="D46" s="9">
        <v>1820.13255813953</v>
      </c>
      <c r="E46" s="9">
        <v>22154.07</v>
      </c>
      <c r="F46" s="9">
        <v>21</v>
      </c>
      <c r="G46" s="9">
        <v>1054.95571428571</v>
      </c>
      <c r="H46" s="9">
        <v>5665.54</v>
      </c>
      <c r="I46" s="9">
        <v>9</v>
      </c>
      <c r="J46" s="9">
        <v>629.504444444444</v>
      </c>
      <c r="K46" s="9">
        <v>229.05</v>
      </c>
      <c r="L46" s="9">
        <v>3</v>
      </c>
      <c r="M46" s="9">
        <v>76.35</v>
      </c>
      <c r="N46" s="9">
        <v>332628.04</v>
      </c>
      <c r="O46" s="9">
        <v>379</v>
      </c>
      <c r="P46" s="9">
        <v>877.646543535619</v>
      </c>
      <c r="Q46" s="9">
        <v>0</v>
      </c>
      <c r="R46" s="9">
        <v>0</v>
      </c>
      <c r="S46" s="9" t="s">
        <v>94</v>
      </c>
      <c r="T46" s="11">
        <v>184580.06</v>
      </c>
      <c r="U46" s="11">
        <v>119</v>
      </c>
      <c r="V46" s="9">
        <v>1551.09294117647</v>
      </c>
    </row>
    <row r="47" spans="1:22">
      <c r="A47" s="8">
        <v>45152</v>
      </c>
      <c r="B47" s="9">
        <v>147293.18</v>
      </c>
      <c r="C47" s="9">
        <v>91</v>
      </c>
      <c r="D47" s="9">
        <v>1618.60637362637</v>
      </c>
      <c r="E47" s="9">
        <v>21143.17</v>
      </c>
      <c r="F47" s="9">
        <v>20</v>
      </c>
      <c r="G47" s="9">
        <v>1057.1585</v>
      </c>
      <c r="H47" s="9">
        <v>3185.85</v>
      </c>
      <c r="I47" s="9">
        <v>10</v>
      </c>
      <c r="J47" s="9">
        <v>318.585</v>
      </c>
      <c r="K47" s="9">
        <v>232.92</v>
      </c>
      <c r="L47" s="9">
        <v>4</v>
      </c>
      <c r="M47" s="9">
        <v>58.23</v>
      </c>
      <c r="N47" s="9">
        <v>311344.21</v>
      </c>
      <c r="O47" s="9">
        <v>379</v>
      </c>
      <c r="P47" s="9">
        <v>821.488680738786</v>
      </c>
      <c r="Q47" s="9">
        <v>0</v>
      </c>
      <c r="R47" s="9">
        <v>0</v>
      </c>
      <c r="S47" s="9" t="s">
        <v>94</v>
      </c>
      <c r="T47" s="11">
        <v>171855.12</v>
      </c>
      <c r="U47" s="11">
        <v>125</v>
      </c>
      <c r="V47" s="9">
        <v>1374.84096</v>
      </c>
    </row>
    <row r="48" spans="1:22">
      <c r="A48" s="8">
        <v>45153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11"/>
      <c r="U48" s="11"/>
      <c r="V48" s="9"/>
    </row>
    <row r="49" spans="1:22">
      <c r="A49" s="8">
        <v>45154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11"/>
      <c r="U49" s="11"/>
      <c r="V49" s="9"/>
    </row>
    <row r="50" spans="1:22">
      <c r="A50" s="8">
        <v>45155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11"/>
      <c r="U50" s="11"/>
      <c r="V50" s="9"/>
    </row>
    <row r="51" spans="1:22">
      <c r="A51" s="8">
        <v>45156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11"/>
      <c r="U51" s="11"/>
      <c r="V51" s="9"/>
    </row>
    <row r="52" spans="1:22">
      <c r="A52" s="8">
        <v>45157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11"/>
      <c r="U52" s="11"/>
      <c r="V52" s="9"/>
    </row>
    <row r="53" spans="1:22">
      <c r="A53" s="8">
        <v>45158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11"/>
      <c r="U53" s="11"/>
      <c r="V53" s="9"/>
    </row>
    <row r="54" spans="1:22">
      <c r="A54" s="8">
        <v>45159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11"/>
      <c r="U54" s="11"/>
      <c r="V54" s="9"/>
    </row>
    <row r="55" spans="1:22">
      <c r="A55" s="8">
        <v>45160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1"/>
      <c r="U55" s="11"/>
      <c r="V55" s="9"/>
    </row>
    <row r="56" spans="1:22">
      <c r="A56" s="8">
        <v>45161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1"/>
      <c r="U56" s="11"/>
      <c r="V56" s="9"/>
    </row>
    <row r="57" spans="1:22">
      <c r="A57" s="8">
        <v>45162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1"/>
      <c r="U57" s="11"/>
      <c r="V57" s="9"/>
    </row>
    <row r="58" spans="1:22">
      <c r="A58" s="8">
        <v>45163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1"/>
      <c r="U58" s="11"/>
      <c r="V58" s="9"/>
    </row>
    <row r="59" spans="1:22">
      <c r="A59" s="8">
        <v>45164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1"/>
      <c r="U59" s="11"/>
      <c r="V59" s="9"/>
    </row>
    <row r="60" spans="1:22">
      <c r="A60" s="8">
        <v>45165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1"/>
      <c r="U60" s="11"/>
      <c r="V60" s="9"/>
    </row>
    <row r="61" spans="1:22">
      <c r="A61" s="8">
        <v>45166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1"/>
      <c r="U61" s="11"/>
      <c r="V61" s="9"/>
    </row>
    <row r="62" spans="1:22">
      <c r="A62" s="8">
        <v>45167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11"/>
      <c r="U62" s="11"/>
      <c r="V62" s="9"/>
    </row>
    <row r="63" spans="1:22">
      <c r="A63" s="8">
        <v>45168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1"/>
      <c r="U63" s="11"/>
      <c r="V63" s="9"/>
    </row>
    <row r="64" spans="1:22">
      <c r="A64" s="8">
        <v>45169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1"/>
      <c r="U64" s="11"/>
      <c r="V64" s="9"/>
    </row>
    <row r="65" spans="1:22">
      <c r="A65" s="8">
        <v>45170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1"/>
      <c r="U65" s="11"/>
      <c r="V65" s="9"/>
    </row>
    <row r="66" spans="1:22">
      <c r="A66" s="8">
        <v>45171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1"/>
      <c r="U66" s="11"/>
      <c r="V66" s="9"/>
    </row>
    <row r="67" spans="1:22">
      <c r="A67" s="8">
        <v>45172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1"/>
      <c r="U67" s="11"/>
      <c r="V67" s="9"/>
    </row>
    <row r="68" spans="1:22">
      <c r="A68" s="8">
        <v>45173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1"/>
      <c r="U68" s="11"/>
      <c r="V68" s="9"/>
    </row>
    <row r="69" spans="1:22">
      <c r="A69" s="8">
        <v>45174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1"/>
      <c r="U69" s="11"/>
      <c r="V69" s="9"/>
    </row>
    <row r="70" spans="1:22">
      <c r="A70" s="8">
        <v>45175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1"/>
      <c r="U70" s="11"/>
      <c r="V70" s="9"/>
    </row>
    <row r="71" spans="1:22">
      <c r="A71" s="8">
        <v>45176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1"/>
      <c r="U71" s="11"/>
      <c r="V71" s="9"/>
    </row>
    <row r="72" spans="1:22">
      <c r="A72" s="8">
        <v>45177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1"/>
      <c r="U72" s="11"/>
      <c r="V72" s="9"/>
    </row>
    <row r="73" spans="1:22">
      <c r="A73" s="8">
        <v>45178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1"/>
      <c r="U73" s="11"/>
      <c r="V73" s="9"/>
    </row>
    <row r="74" spans="1:22">
      <c r="A74" s="8">
        <v>45179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>
      <c r="A75" s="8">
        <v>45180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>
      <c r="A76" s="8">
        <v>45181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>
      <c r="A77" s="8">
        <v>45182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>
      <c r="A78" s="8">
        <v>45183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>
      <c r="A79" s="8">
        <v>45184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>
      <c r="A80" s="8">
        <v>45185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>
      <c r="A81" s="8">
        <v>45186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>
      <c r="A82" s="8">
        <v>45187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>
      <c r="A83" s="8">
        <v>45188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>
      <c r="A84" s="8">
        <v>45189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>
      <c r="A85" s="8">
        <v>45190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>
      <c r="A86" s="8">
        <v>45191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>
      <c r="A87" s="8">
        <v>45192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>
      <c r="A88" s="8">
        <v>45193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>
      <c r="A89" s="8">
        <v>45194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>
      <c r="A90" s="8">
        <v>45195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>
      <c r="A91" s="8">
        <v>45196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>
      <c r="A92" s="8">
        <v>45197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>
      <c r="A93" s="8">
        <v>45198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>
      <c r="A94" s="8">
        <v>45199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</sheetData>
  <mergeCells count="8">
    <mergeCell ref="B1:D1"/>
    <mergeCell ref="E1:G1"/>
    <mergeCell ref="H1:J1"/>
    <mergeCell ref="K1:M1"/>
    <mergeCell ref="N1:P1"/>
    <mergeCell ref="Q1:S1"/>
    <mergeCell ref="T1:V1"/>
    <mergeCell ref="A1:A2"/>
  </mergeCells>
  <conditionalFormatting sqref="A3:A94">
    <cfRule type="expression" dxfId="0" priority="1">
      <formula>OR(WEEKDAY(A3,2)=6,WEEKDAY(A3,2)=7)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总消费监控</vt:lpstr>
      <vt:lpstr>消费任务拆解</vt:lpstr>
      <vt:lpstr>客服部门消费监控</vt:lpstr>
      <vt:lpstr>分地区消费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user</cp:lastModifiedBy>
  <dcterms:created xsi:type="dcterms:W3CDTF">2008-09-11T17:22:00Z</dcterms:created>
  <dcterms:modified xsi:type="dcterms:W3CDTF">2023-08-15T00:49:53Z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BA534F0B8B8F48058EFD39DDFF80B0DD_12</vt:lpwstr>
  </property>
  <property fmtid="{D5CDD505-2E9C-101B-9397-08002B2CF9AE}" pid="3" name="KSOProductBuildVer">
    <vt:lpwstr>2052-11.8.2.8053</vt:lpwstr>
  </property>
</Properties>
</file>