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010"/>
  </bookViews>
  <sheets>
    <sheet name="明细" sheetId="1" r:id="rId1"/>
    <sheet name="各部门完成情况" sheetId="2" r:id="rId2"/>
  </sheets>
  <definedNames>
    <definedName name="_xlnm._FilterDatabase" localSheetId="0" hidden="1">明细!$A$1:$AQ$2169</definedName>
  </definedNames>
  <calcPr calcId="144525"/>
</workbook>
</file>

<file path=xl/sharedStrings.xml><?xml version="1.0" encoding="utf-8"?>
<sst xmlns="http://schemas.openxmlformats.org/spreadsheetml/2006/main" count="15281" uniqueCount="5707">
  <si>
    <t>大区</t>
  </si>
  <si>
    <t>组别</t>
  </si>
  <si>
    <t>客服</t>
  </si>
  <si>
    <t>账户名称</t>
  </si>
  <si>
    <t>公司名称</t>
  </si>
  <si>
    <t>开户日期</t>
  </si>
  <si>
    <t>网站名称</t>
  </si>
  <si>
    <t>网站URL</t>
  </si>
  <si>
    <t>8月总消费</t>
  </si>
  <si>
    <t>有消费天数</t>
  </si>
  <si>
    <t>户均消费</t>
  </si>
  <si>
    <t>户均完成率</t>
  </si>
  <si>
    <t>搜索点击消费20230801</t>
  </si>
  <si>
    <t>搜索点击消费20230802</t>
  </si>
  <si>
    <t>搜索点击消费20230803</t>
  </si>
  <si>
    <t>搜索点击消费20230804</t>
  </si>
  <si>
    <t>搜索点击消费20230805</t>
  </si>
  <si>
    <t>搜索点击消费20230806</t>
  </si>
  <si>
    <t>搜索点击消费20230807</t>
  </si>
  <si>
    <t>搜索点击消费20230808</t>
  </si>
  <si>
    <t>搜索点击消费20230809</t>
  </si>
  <si>
    <t>搜索点击消费20230810</t>
  </si>
  <si>
    <t>搜索点击消费20230811</t>
  </si>
  <si>
    <t>搜索点击消费20230812</t>
  </si>
  <si>
    <t>搜索点击消费20230813</t>
  </si>
  <si>
    <t>搜索点击消费20230814</t>
  </si>
  <si>
    <t>搜索点击消费20230815</t>
  </si>
  <si>
    <t>搜索点击消费20230816</t>
  </si>
  <si>
    <t>搜索点击消费20230817</t>
  </si>
  <si>
    <t>搜索点击消费20230818</t>
  </si>
  <si>
    <t>搜索点击消费20230819</t>
  </si>
  <si>
    <t>搜索点击消费20230820</t>
  </si>
  <si>
    <t>搜索点击消费20230821</t>
  </si>
  <si>
    <t>搜索点击消费20230822</t>
  </si>
  <si>
    <t>搜索点击消费20230823</t>
  </si>
  <si>
    <t>搜索点击消费20230824</t>
  </si>
  <si>
    <t>搜索点击消费20230825</t>
  </si>
  <si>
    <t>搜索点击消费20230826</t>
  </si>
  <si>
    <t>搜索点击消费20230827</t>
  </si>
  <si>
    <t>搜索点击消费20230828</t>
  </si>
  <si>
    <t>搜索点击消费20230829</t>
  </si>
  <si>
    <t>搜索点击消费20230830</t>
  </si>
  <si>
    <t>搜索点击消费20230831</t>
  </si>
  <si>
    <t>漳州客服部</t>
  </si>
  <si>
    <t>漳州新开</t>
  </si>
  <si>
    <t>陈俊华</t>
  </si>
  <si>
    <t>百佳园艺场</t>
  </si>
  <si>
    <t>漳浦县马口百佳园艺场</t>
  </si>
  <si>
    <t>http://www.mkbjyyc.com/</t>
  </si>
  <si>
    <t>泉州中小企业增值部</t>
  </si>
  <si>
    <t>泉州新开</t>
  </si>
  <si>
    <t>傅佳玲</t>
  </si>
  <si>
    <t>福建元辉</t>
  </si>
  <si>
    <t>福建省元辉消防科技有限公司</t>
  </si>
  <si>
    <t>http://qianhu.wejianzhan.com</t>
  </si>
  <si>
    <t>盛兴丰田</t>
  </si>
  <si>
    <t>漳州盛兴丰田汽车销售服务有限公司</t>
  </si>
  <si>
    <t>http://zzsxtoyota.com</t>
  </si>
  <si>
    <t>润彤化工</t>
  </si>
  <si>
    <t>漳州市润彤化工有限公司</t>
  </si>
  <si>
    <t>http://www.zgrt999.com</t>
  </si>
  <si>
    <t>吴燕红</t>
  </si>
  <si>
    <t>唤我</t>
  </si>
  <si>
    <t>泉州唤我电子商务有限公司</t>
  </si>
  <si>
    <t>新开部门</t>
  </si>
  <si>
    <t>新开二部</t>
  </si>
  <si>
    <t>林华卿</t>
  </si>
  <si>
    <t>中闽电子</t>
  </si>
  <si>
    <t>中闽在线（厦门）电子商务有限公司</t>
  </si>
  <si>
    <t>http://qicai.zhongminzaixian.com</t>
  </si>
  <si>
    <t>望大科技</t>
  </si>
  <si>
    <t>厦门望大科技有限公司</t>
  </si>
  <si>
    <t>http://www.12909.com/</t>
  </si>
  <si>
    <t>参天企业</t>
  </si>
  <si>
    <t>漳州市参天企业管理有限公司</t>
  </si>
  <si>
    <t>王凤钦</t>
  </si>
  <si>
    <t>泉州龙人1</t>
  </si>
  <si>
    <t>南安市龙人伍心家园福利养老院</t>
  </si>
  <si>
    <t>梁烨</t>
  </si>
  <si>
    <t>厦门鲲图</t>
  </si>
  <si>
    <t>厦门鲲图全景摄影有限公司</t>
  </si>
  <si>
    <t>http://www.shuaiqitz.com</t>
  </si>
  <si>
    <t>李树芳律师</t>
  </si>
  <si>
    <t>李树芳</t>
  </si>
  <si>
    <t>http://www.axlishufangls.com</t>
  </si>
  <si>
    <t>闽山消防2</t>
  </si>
  <si>
    <t>福建闽山消防有限公司</t>
  </si>
  <si>
    <t>漳州创景园林</t>
  </si>
  <si>
    <t>漳州市创景园林景观工程有限公司</t>
  </si>
  <si>
    <t>http://www.zzcjyl.com/</t>
  </si>
  <si>
    <t>进金白蚁防治</t>
  </si>
  <si>
    <t>平和县进金白蚁防治有限公司</t>
  </si>
  <si>
    <t>http://www.phjjby.com/</t>
  </si>
  <si>
    <t>程秋平</t>
  </si>
  <si>
    <t>顺之彩</t>
  </si>
  <si>
    <t>厦门顺之彩篷业有限公司</t>
  </si>
  <si>
    <t>泉州旺登</t>
  </si>
  <si>
    <t>泉州旺登数据技术有限公司</t>
  </si>
  <si>
    <t>http://www.890.cn</t>
  </si>
  <si>
    <t>漳州中南高科</t>
  </si>
  <si>
    <t>漳州中南高科投资有限公司</t>
  </si>
  <si>
    <t>http://www.zzszngk.com/</t>
  </si>
  <si>
    <t>福昌工贸</t>
  </si>
  <si>
    <t>漳州市福昌工贸有限公司</t>
  </si>
  <si>
    <t>http://www.forchance.com/fuc/about.asp</t>
  </si>
  <si>
    <t>融易2</t>
  </si>
  <si>
    <t>融易（厦门）科技有限公司</t>
  </si>
  <si>
    <t>http://sjh.baidu.com</t>
  </si>
  <si>
    <t>牡丹广告</t>
  </si>
  <si>
    <t>漳州牡丹广告有限公司</t>
  </si>
  <si>
    <t>http://www.2936000.com</t>
  </si>
  <si>
    <t>极智电子</t>
  </si>
  <si>
    <t>漳州市长泰区极智电子商务工作室</t>
  </si>
  <si>
    <t>http://ai8989.com/</t>
  </si>
  <si>
    <t>厦门独众</t>
  </si>
  <si>
    <t>厦门独众科技有限公司</t>
  </si>
  <si>
    <t>永福茂森</t>
  </si>
  <si>
    <t>漳平市永福茂森花木家庭农场</t>
  </si>
  <si>
    <t>新开一部</t>
  </si>
  <si>
    <t>林雅清</t>
  </si>
  <si>
    <t>匡睿税财</t>
  </si>
  <si>
    <t>匡睿（厦门）税财咨询有限公司</t>
  </si>
  <si>
    <t>双硕信息</t>
  </si>
  <si>
    <t>福建双硕信息科技有限公司</t>
  </si>
  <si>
    <t>http://www.xmdrzn.com</t>
  </si>
  <si>
    <t>捷维汽车修配</t>
  </si>
  <si>
    <t>漳州捷维汽车修配有限公司</t>
  </si>
  <si>
    <t>http://www.zzjiewei.com/</t>
  </si>
  <si>
    <t>招商加盟-漳州好氏</t>
  </si>
  <si>
    <t>漳州好氏生物科技有限公司</t>
  </si>
  <si>
    <t>http://www.fjhaoshi.cn/</t>
  </si>
  <si>
    <t>林裕芳</t>
  </si>
  <si>
    <t>厦门紫东花</t>
  </si>
  <si>
    <t>厦门紫东花网络科技有限公司</t>
  </si>
  <si>
    <t>https://www.jzleyou.com</t>
  </si>
  <si>
    <t>金浦医院</t>
  </si>
  <si>
    <t>漳浦金浦医院</t>
  </si>
  <si>
    <t>http://www.3200120.com</t>
  </si>
  <si>
    <t>张唯唯</t>
  </si>
  <si>
    <t>艾瑞恒</t>
  </si>
  <si>
    <t>厦门艾瑞恒信息科技有限公司</t>
  </si>
  <si>
    <t>山珍金线莲</t>
  </si>
  <si>
    <t>漳州市山珍金线莲有限公司</t>
  </si>
  <si>
    <t>http://www.szzct.net</t>
  </si>
  <si>
    <t>连城可爱可亲</t>
  </si>
  <si>
    <t>连城县莲峰可爱可亲母婴用品店</t>
  </si>
  <si>
    <t>http://www.fjsuwan.com/</t>
  </si>
  <si>
    <t>招商-厦门墙酷</t>
  </si>
  <si>
    <t>墙酷新材料（厦门）股份有限公司</t>
  </si>
  <si>
    <t>明城石英砂</t>
  </si>
  <si>
    <t>漳浦县霞美镇明城石英砂加工场</t>
  </si>
  <si>
    <t>http://zpmcsys.com</t>
  </si>
  <si>
    <t>长泰精选石材</t>
  </si>
  <si>
    <t>长泰县精选石材经营部</t>
  </si>
  <si>
    <t>http://www.ctjxsc.com/</t>
  </si>
  <si>
    <t>漳华男科</t>
  </si>
  <si>
    <t>漳州芗城漳华医院</t>
  </si>
  <si>
    <t>http://www.rf120.cn/</t>
  </si>
  <si>
    <t>三聚能源</t>
  </si>
  <si>
    <t>龙岩市永定区三聚能源有限公司</t>
  </si>
  <si>
    <t>http://05975259101sjly.1688.com</t>
  </si>
  <si>
    <t>漳浦立华</t>
  </si>
  <si>
    <t>漳浦县湖西乡立华古建筑材料厂</t>
  </si>
  <si>
    <t>http://www.fjlihua.com/</t>
  </si>
  <si>
    <t>以马美语教育</t>
  </si>
  <si>
    <t>漳州市龙文区以马美语教育咨询有限公司</t>
  </si>
  <si>
    <t>http://www.imaenglish.com/</t>
  </si>
  <si>
    <t>漳州四季美</t>
  </si>
  <si>
    <t>漳州市四季美家政服务有限公司</t>
  </si>
  <si>
    <t>http://www.sijimei999.com/</t>
  </si>
  <si>
    <t>泉州方迈网络</t>
  </si>
  <si>
    <t>泉州方迈网络科技有限公司</t>
  </si>
  <si>
    <t>统高1</t>
  </si>
  <si>
    <t>福建统高管业有限公司</t>
  </si>
  <si>
    <t>http://www.fjtggy.cn/</t>
  </si>
  <si>
    <t>东湖农产品</t>
  </si>
  <si>
    <t>漳州平和东湖农产品有限公司</t>
  </si>
  <si>
    <t>http://www.pomelo-online.com</t>
  </si>
  <si>
    <t>鑫明发花木场</t>
  </si>
  <si>
    <t>漳浦县马口鑫明发花木场</t>
  </si>
  <si>
    <t>http://www.zpxmfhmc.com</t>
  </si>
  <si>
    <t>沙利食品</t>
  </si>
  <si>
    <t>沙利食品(龙海)有限公司</t>
  </si>
  <si>
    <t>http://sarifoods.com</t>
  </si>
  <si>
    <t>宝博士</t>
  </si>
  <si>
    <t>厦门宝博士生物科技有限公司</t>
  </si>
  <si>
    <t>http://ww.bbsswkj.com</t>
  </si>
  <si>
    <t>厦门篷晟</t>
  </si>
  <si>
    <t>厦门市篷晟篷业有限公司</t>
  </si>
  <si>
    <t>融辉苗圃</t>
  </si>
  <si>
    <t>平和县融辉苗圃场</t>
  </si>
  <si>
    <t>http://maoguganmiao.com/</t>
  </si>
  <si>
    <t>福建恒通</t>
  </si>
  <si>
    <t>福建恒通卫浴有限公司</t>
  </si>
  <si>
    <t>http://www.htwyjj.com</t>
  </si>
  <si>
    <t>金蝶奇思软件</t>
  </si>
  <si>
    <t>漳州金蝶奇思软件有限公司</t>
  </si>
  <si>
    <t>http://www.jdqskis.com</t>
  </si>
  <si>
    <t>漳州金福兴</t>
  </si>
  <si>
    <t>漳州市金福兴金属有限公司</t>
  </si>
  <si>
    <t>http://jfx999.com</t>
  </si>
  <si>
    <t>集结号酒业</t>
  </si>
  <si>
    <t>漳州市集结号酒业有限公司</t>
  </si>
  <si>
    <t>http://www.mtpj0596.com</t>
  </si>
  <si>
    <t>漳州路帮</t>
  </si>
  <si>
    <t>漳州市路帮网络科技有限公司</t>
  </si>
  <si>
    <t>http://qianhu.wejianzhan.com/</t>
  </si>
  <si>
    <t>左遇</t>
  </si>
  <si>
    <t>左遇（厦门）餐饮管理有限公司</t>
  </si>
  <si>
    <t>http://www.leftmeet.com</t>
  </si>
  <si>
    <t>四兄弟</t>
  </si>
  <si>
    <t>漳州市四兄弟汽车服务有限公司</t>
  </si>
  <si>
    <t>http://www.jp2sc.com</t>
  </si>
  <si>
    <t>康益龙</t>
  </si>
  <si>
    <t>漳州市芗城康益龙制冷设备有限公司</t>
  </si>
  <si>
    <t>http://www.kylzl.com/</t>
  </si>
  <si>
    <t>巨盛建筑</t>
  </si>
  <si>
    <t>漳州市巨盛建筑机械设备有限公司</t>
  </si>
  <si>
    <t>http://zzjusheng.com</t>
  </si>
  <si>
    <t>东山盛大</t>
  </si>
  <si>
    <t>东山县盛大水产有限公司</t>
  </si>
  <si>
    <t>https://asheng738.1688.com/</t>
  </si>
  <si>
    <t>聚力诚信</t>
  </si>
  <si>
    <t>厦门聚力诚信科技有限公司</t>
  </si>
  <si>
    <t>http://www.bestcert.net</t>
  </si>
  <si>
    <t>承信会计</t>
  </si>
  <si>
    <t>漳州承信会计师事务所有限责任公司</t>
  </si>
  <si>
    <t>http://zz.bj5534548.com</t>
  </si>
  <si>
    <t>吴清玉</t>
  </si>
  <si>
    <t>漳州源泉</t>
  </si>
  <si>
    <t>漳州源泉信息科技有限公司</t>
  </si>
  <si>
    <t>漳州恒雅</t>
  </si>
  <si>
    <t>漳州恒雅商贸有限公司</t>
  </si>
  <si>
    <t>http://www.pakled.cn</t>
  </si>
  <si>
    <t>健德医疗器械</t>
  </si>
  <si>
    <t>漳浦县健德医疗器械有限公司</t>
  </si>
  <si>
    <t>漳州豪美</t>
  </si>
  <si>
    <t>漳州豪美塑料包装制品有限公司</t>
  </si>
  <si>
    <t>http://www.haomeiplastic.com/</t>
  </si>
  <si>
    <t>旺川造船</t>
  </si>
  <si>
    <t>漳浦县旺川造船厂</t>
  </si>
  <si>
    <t>http://www.wcmcc.net</t>
  </si>
  <si>
    <t>建兴峰</t>
  </si>
  <si>
    <t>漳州市建兴峰机械设备制造有限公司</t>
  </si>
  <si>
    <t>http://zzjxfjx.com</t>
  </si>
  <si>
    <t>闽瑞家政</t>
  </si>
  <si>
    <t>漳州市闽瑞家政服务有限公司</t>
  </si>
  <si>
    <t>http://zzmrjz.cn/</t>
  </si>
  <si>
    <t>战友好</t>
  </si>
  <si>
    <t>厦门市思明区战友好家政服务部</t>
  </si>
  <si>
    <t>睿云联</t>
  </si>
  <si>
    <t>睿云联(厦门)网络通讯技术有限公司</t>
  </si>
  <si>
    <t>http://www.akuvox.cn</t>
  </si>
  <si>
    <t>巨达工贸</t>
  </si>
  <si>
    <t>漳州市巨达工贸有限公司</t>
  </si>
  <si>
    <t>http://www.zzjdhh.com</t>
  </si>
  <si>
    <t>兴红邦</t>
  </si>
  <si>
    <t>厦门市湖里区兴红邦再生资源回收经营部</t>
  </si>
  <si>
    <t>登尚服饰</t>
  </si>
  <si>
    <t>漳州登尚服饰有限公司</t>
  </si>
  <si>
    <t>http://www.dsmffs.com/</t>
  </si>
  <si>
    <t>苏建园林</t>
  </si>
  <si>
    <t>漳州苏建园林景观工程有限公司</t>
  </si>
  <si>
    <t>漳州财税通</t>
  </si>
  <si>
    <t>漳州财税通会计服务有限公司</t>
  </si>
  <si>
    <t>http://www.zhangzhoucaishuitong.com/</t>
  </si>
  <si>
    <t>泉州顺兴1</t>
  </si>
  <si>
    <t>泉州市丰泽顺兴家政服务中心</t>
  </si>
  <si>
    <t>漳州同兴木业</t>
  </si>
  <si>
    <t>漳州市同兴木业有限公司</t>
  </si>
  <si>
    <t>http://www.fjtxmy.cn</t>
  </si>
  <si>
    <t>盈晟玻璃钢</t>
  </si>
  <si>
    <t>漳浦县盈晟玻璃钢制品有限公司</t>
  </si>
  <si>
    <t>http://www.zzys6611.com</t>
  </si>
  <si>
    <t>厦门瑞恒达</t>
  </si>
  <si>
    <t>厦门瑞恒达科技有限公司</t>
  </si>
  <si>
    <t>嘉嘉汽车</t>
  </si>
  <si>
    <t>石狮市嘉嘉汽车贸易有限公司</t>
  </si>
  <si>
    <t>漳平市九鼎氟</t>
  </si>
  <si>
    <t>福建省漳平市九鼎氟化工有限公司</t>
  </si>
  <si>
    <t>http://www.jdfhg.com/</t>
  </si>
  <si>
    <t>漳州铭清工贸</t>
  </si>
  <si>
    <t>漳州市铭清工贸有限公司</t>
  </si>
  <si>
    <t>自然红</t>
  </si>
  <si>
    <t>平和县自然红蜜柚苗圃场</t>
  </si>
  <si>
    <t>http://phzrh.cn</t>
  </si>
  <si>
    <t>招商加盟-邦健</t>
  </si>
  <si>
    <t>厦门邦健商贸有限公司</t>
  </si>
  <si>
    <t>标一阀门1</t>
  </si>
  <si>
    <t>标一阀门（福建）有限公司</t>
  </si>
  <si>
    <t>http://www.biaoyifj.com</t>
  </si>
  <si>
    <t>厦门豪建友</t>
  </si>
  <si>
    <t>厦门市豪建友餐饮管理有限公司</t>
  </si>
  <si>
    <t>http://www.hkc-haojiaji.com/</t>
  </si>
  <si>
    <t>木语家具</t>
  </si>
  <si>
    <t>厦门木语家具有限公司</t>
  </si>
  <si>
    <t>http://qianhu.weijianzhan.com</t>
  </si>
  <si>
    <t>潘全刚家政</t>
  </si>
  <si>
    <t>泉州市鲤城区江南街道潘全刚家政服务部</t>
  </si>
  <si>
    <t>厦门九准</t>
  </si>
  <si>
    <t>九准（厦门）装饰设计有限公司</t>
  </si>
  <si>
    <t>邱彬彬</t>
  </si>
  <si>
    <t>泉州鑫磊机械</t>
  </si>
  <si>
    <t>泉州鑫磊机械设备有限公司</t>
  </si>
  <si>
    <t>协丰</t>
  </si>
  <si>
    <t>协丰(福建)卫生用品有限公司</t>
  </si>
  <si>
    <t>http://chinaxiefeng.com</t>
  </si>
  <si>
    <t>万可涂</t>
  </si>
  <si>
    <t>漳州市龙文区万可涂防水材料厂</t>
  </si>
  <si>
    <t>http://www.wktfs.com</t>
  </si>
  <si>
    <t>宝祥石业</t>
  </si>
  <si>
    <t>长泰县宝祥石业有限公司</t>
  </si>
  <si>
    <t>http://www.ctbxsy.com</t>
  </si>
  <si>
    <t>龙岩博仕</t>
  </si>
  <si>
    <t>龙岩博仕胃肠肛肠专科医院有限公司</t>
  </si>
  <si>
    <t>飞鸥科技-feed</t>
  </si>
  <si>
    <t>厦门市飞鸥科技有限公司</t>
  </si>
  <si>
    <t>http://www.feioou.com</t>
  </si>
  <si>
    <t>漳州得劳斯</t>
  </si>
  <si>
    <t>漳州得劳斯移动板房有限公司</t>
  </si>
  <si>
    <t>http://fjdelaosi.com</t>
  </si>
  <si>
    <t>泉州百问</t>
  </si>
  <si>
    <t>泉州市百问科技有限公司</t>
  </si>
  <si>
    <t>欣超源</t>
  </si>
  <si>
    <t>厦门市欣超源电器服务有限公司</t>
  </si>
  <si>
    <t>中大通讯</t>
  </si>
  <si>
    <t>漳州中大通讯器材有限公司</t>
  </si>
  <si>
    <t>http://www.1ysg.com/</t>
  </si>
  <si>
    <t>招游网络</t>
  </si>
  <si>
    <t>厦门招游网络科技有限公司</t>
  </si>
  <si>
    <t>漳州沪泰阀门</t>
  </si>
  <si>
    <t>漳州沪泰阀门制造有限公司</t>
  </si>
  <si>
    <t>http://www.htfmzz.com/</t>
  </si>
  <si>
    <t>xm威仕洁</t>
  </si>
  <si>
    <t>厦门威仕洁环保科技有限公司</t>
  </si>
  <si>
    <t>http://xmweishijie.bdy.5067.org</t>
  </si>
  <si>
    <t>海月园艺场</t>
  </si>
  <si>
    <t>漳浦县海月园艺场</t>
  </si>
  <si>
    <t>http://baishaxishui.1688.com</t>
  </si>
  <si>
    <t>宇拓渔具</t>
  </si>
  <si>
    <t>漳州宇拓渔具有限公司</t>
  </si>
  <si>
    <t>百果苗木</t>
  </si>
  <si>
    <t>漳州百果苗木有限公司</t>
  </si>
  <si>
    <t>http://www.zzbgmm.com</t>
  </si>
  <si>
    <t>漳州和声琴行</t>
  </si>
  <si>
    <t>漳州市芗城和声琴行</t>
  </si>
  <si>
    <t>http://www.fjhesheng.com</t>
  </si>
  <si>
    <t>长泰石材</t>
  </si>
  <si>
    <t>长泰县林兄弟石材厂</t>
  </si>
  <si>
    <t>http://www.fj-g654.com</t>
  </si>
  <si>
    <t>派菲特机电</t>
  </si>
  <si>
    <t>漳州市派菲特机电有限公司</t>
  </si>
  <si>
    <t>http://zzpft.com</t>
  </si>
  <si>
    <t>漳州丹孜</t>
  </si>
  <si>
    <t>漳州丹孜包装制品有限公司</t>
  </si>
  <si>
    <t>http://www.fjdanzi.com/</t>
  </si>
  <si>
    <t>旺朋园艺</t>
  </si>
  <si>
    <t>漳浦县马口旺朋园艺场</t>
  </si>
  <si>
    <t>http://wangpengyuanyi.huamu.cn</t>
  </si>
  <si>
    <t>卖画人</t>
  </si>
  <si>
    <t>漳浦县官浔镇卖画人画场</t>
  </si>
  <si>
    <t>http://mhren.taobao.com</t>
  </si>
  <si>
    <t>鑫茂贸易</t>
  </si>
  <si>
    <t>东山鑫茂贸易有限公司</t>
  </si>
  <si>
    <t>http://www.xinmao-cable.cn/</t>
  </si>
  <si>
    <t>漳浦远东工贸</t>
  </si>
  <si>
    <t>漳浦县远东工贸有限公司</t>
  </si>
  <si>
    <t>http://www.yuandong66.com/</t>
  </si>
  <si>
    <t>漳州科诺依</t>
  </si>
  <si>
    <t>漳州科诺依建材有限公司</t>
  </si>
  <si>
    <t>http://knyjc.com/</t>
  </si>
  <si>
    <t>泉州骏恒</t>
  </si>
  <si>
    <t>福建泉州骏恒园林古建有限公司</t>
  </si>
  <si>
    <t>途锐物流</t>
  </si>
  <si>
    <t>泉州途锐物流有限公司</t>
  </si>
  <si>
    <t>辉讯网络</t>
  </si>
  <si>
    <t>漳州辉讯网络科技有限公司</t>
  </si>
  <si>
    <t>http://www.517rcw.com</t>
  </si>
  <si>
    <t>漳浦诗雅花木</t>
  </si>
  <si>
    <t>漳浦县诗雅花木场</t>
  </si>
  <si>
    <t>http://zzlbyy.cn/</t>
  </si>
  <si>
    <t>佳乐科技1</t>
  </si>
  <si>
    <t>佳乐科技有限责任公司</t>
  </si>
  <si>
    <t>金牌家家政</t>
  </si>
  <si>
    <t>漳州市龙文区金牌家家政服务部</t>
  </si>
  <si>
    <t>http://www.fjjpjz.com</t>
  </si>
  <si>
    <t>上宇环保</t>
  </si>
  <si>
    <t>漳州市上宇环保科技有限公司</t>
  </si>
  <si>
    <t>http://zzsyhbkj.com/</t>
  </si>
  <si>
    <t>巨诚装饰</t>
  </si>
  <si>
    <t>漳州巨诚装饰工程有限公司</t>
  </si>
  <si>
    <t>http://ourhomejc.com/</t>
  </si>
  <si>
    <t>庆发体育用品</t>
  </si>
  <si>
    <t>漳州庆发体育用品有限公司</t>
  </si>
  <si>
    <t>http://www.zzqfty.com</t>
  </si>
  <si>
    <t>明利车业</t>
  </si>
  <si>
    <t>漳州明利车业有限公司</t>
  </si>
  <si>
    <t>http://www.minglicy.com</t>
  </si>
  <si>
    <t>骏鹏工贸</t>
  </si>
  <si>
    <t>漳州市骏鹏工贸有限公司</t>
  </si>
  <si>
    <t>http://zzjpgm.com</t>
  </si>
  <si>
    <t>童莺莺</t>
  </si>
  <si>
    <t>颜轻玺美容</t>
  </si>
  <si>
    <t>厦门传奇花漱颜轻玺美容有限公司</t>
  </si>
  <si>
    <t>宏昌塑料</t>
  </si>
  <si>
    <t>泉州市宏昌塑料制品有限公司</t>
  </si>
  <si>
    <t>http://www.fjhc88.com/</t>
  </si>
  <si>
    <t>厦门境城</t>
  </si>
  <si>
    <t>厦门境城工贸有限公司</t>
  </si>
  <si>
    <t>http://www.xmjcmj.com/</t>
  </si>
  <si>
    <t>锦焕工贸</t>
  </si>
  <si>
    <t>漳州市锦焕工贸有限公司</t>
  </si>
  <si>
    <t>https://shop105768459.taobao.com/</t>
  </si>
  <si>
    <t>鸿宇机电</t>
  </si>
  <si>
    <t>漳州市鸿宇机电设备有限公司</t>
  </si>
  <si>
    <t>http://www.zzhongyujd.com/</t>
  </si>
  <si>
    <t>厦门南允</t>
  </si>
  <si>
    <t>厦门南允科技有限公司</t>
  </si>
  <si>
    <t>招商加盟-厦门茶叶</t>
  </si>
  <si>
    <t>厦门茶叶进出口有限公司</t>
  </si>
  <si>
    <t>金宇电器</t>
  </si>
  <si>
    <t>漳州市金宇电器有限公司</t>
  </si>
  <si>
    <t>http://fjztjy.com</t>
  </si>
  <si>
    <t>山慧科技</t>
  </si>
  <si>
    <t>漳州山慧自动化科技有限公司</t>
  </si>
  <si>
    <t>http://www.shanhui-power.com</t>
  </si>
  <si>
    <t>厦门哈希科技</t>
  </si>
  <si>
    <t>厦门哈希科技有限公司</t>
  </si>
  <si>
    <t>http://www.zlinkchain.com</t>
  </si>
  <si>
    <t>国贸漳州</t>
  </si>
  <si>
    <t>国贸期货有限公司漳州营业部</t>
  </si>
  <si>
    <t>漳州盛景</t>
  </si>
  <si>
    <t>漳州盛景农业科技有限公司</t>
  </si>
  <si>
    <t>http://fjzzsjyy.com/</t>
  </si>
  <si>
    <t>帐速达</t>
  </si>
  <si>
    <t>厦门帐速达信息科技有限公司</t>
  </si>
  <si>
    <t>http://www.flyip.com</t>
  </si>
  <si>
    <t>漳州通诚</t>
  </si>
  <si>
    <t>通诚石英砂(漳州)有限公司</t>
  </si>
  <si>
    <t>http://tcshiyingsha.com/</t>
  </si>
  <si>
    <t>游惠卿</t>
  </si>
  <si>
    <t>锦宸工贸</t>
  </si>
  <si>
    <t>漳州锦宸工贸有限公司</t>
  </si>
  <si>
    <t>超光石材</t>
  </si>
  <si>
    <t>长泰县超光石材经营部</t>
  </si>
  <si>
    <t>http://ctcgstone.com/</t>
  </si>
  <si>
    <t>阿法迪</t>
  </si>
  <si>
    <t>福建阿法迪智能科技有限公司</t>
  </si>
  <si>
    <t>森伟建筑材料</t>
  </si>
  <si>
    <t>漳州市龙文区森伟建筑材料经营部</t>
  </si>
  <si>
    <t>http://senweimuye.com/</t>
  </si>
  <si>
    <t>平和庄家乐</t>
  </si>
  <si>
    <t>平和县庄家乐果蔬专业合作社</t>
  </si>
  <si>
    <t>http://shop1467306337870.1688.com</t>
  </si>
  <si>
    <t>嘉易诺</t>
  </si>
  <si>
    <t>厦门嘉易诺物资回收有限公司</t>
  </si>
  <si>
    <t>厦门松野</t>
  </si>
  <si>
    <t>厦门松野新材料有限公司</t>
  </si>
  <si>
    <t>盛放园林</t>
  </si>
  <si>
    <t>漳浦县盛放园林绿化有限公司</t>
  </si>
  <si>
    <t>http://fjsfmm.com/</t>
  </si>
  <si>
    <t>膜创建筑</t>
  </si>
  <si>
    <t>福建省泉州市膜创建筑工程有限公司</t>
  </si>
  <si>
    <t>漳浦日上</t>
  </si>
  <si>
    <t>漳浦日上日用品有限公司</t>
  </si>
  <si>
    <t>http://rishang8.cn.makepolo.com/</t>
  </si>
  <si>
    <t>百盛铁件</t>
  </si>
  <si>
    <t>漳浦县百盛铁件加工厂</t>
  </si>
  <si>
    <t>http://www.zzbshdf.com/</t>
  </si>
  <si>
    <t>漳州合泉</t>
  </si>
  <si>
    <t>漳州合泉电子商务有限公司</t>
  </si>
  <si>
    <t>http://www.gaozunmaoyi.com</t>
  </si>
  <si>
    <t>漳州佳骏</t>
  </si>
  <si>
    <t>漳州市佳骏机械有限公司</t>
  </si>
  <si>
    <t>http://fjjiajun.net</t>
  </si>
  <si>
    <t>厦门维沙拉</t>
  </si>
  <si>
    <t>厦门维沙拉仪器仪表有限公司</t>
  </si>
  <si>
    <t>http://www.wslyqyb.com</t>
  </si>
  <si>
    <t>泉州腾达</t>
  </si>
  <si>
    <t>泉州腾达洪凤物流有限公司</t>
  </si>
  <si>
    <t>哼哼网络</t>
  </si>
  <si>
    <t>漳州淘客哼哼网络科技有限公司</t>
  </si>
  <si>
    <t>http://www.taokehengheng.com/</t>
  </si>
  <si>
    <t>厦门原创专利事务所</t>
  </si>
  <si>
    <t>厦门原创专利事务所(普通合伙)</t>
  </si>
  <si>
    <t>村秀花卉</t>
  </si>
  <si>
    <t>漳浦县官浔镇村秀花卉专业合作社</t>
  </si>
  <si>
    <t>http://www.cunxiuhh.com</t>
  </si>
  <si>
    <t>品胜农业</t>
  </si>
  <si>
    <t>福建平和品胜农业发展有限公司</t>
  </si>
  <si>
    <t>http://www.phpsny.com/</t>
  </si>
  <si>
    <t>华盛印刷</t>
  </si>
  <si>
    <t>漳州市华盛印刷有限公司</t>
  </si>
  <si>
    <t>http://www.zzhsys.com</t>
  </si>
  <si>
    <t>顺成种子</t>
  </si>
  <si>
    <t>漳州市顺成种子有限公司</t>
  </si>
  <si>
    <t>http://www.fjscseed.com/</t>
  </si>
  <si>
    <t>笑笑熊</t>
  </si>
  <si>
    <t>厦门笑笑熊国际贸易有限公司</t>
  </si>
  <si>
    <t>http://www.artsmith.com.cn</t>
  </si>
  <si>
    <t>乐钢材料</t>
  </si>
  <si>
    <t>厦门乐钢材料科技有限公司</t>
  </si>
  <si>
    <t>http://www.legangtech.com</t>
  </si>
  <si>
    <t>泉州万鼎3</t>
  </si>
  <si>
    <t>泉州晋江万鼎建筑工程有限公司</t>
  </si>
  <si>
    <t>禾仕涂</t>
  </si>
  <si>
    <t>厦门禾仕涂白蚁防治有限公司</t>
  </si>
  <si>
    <t>猎表网</t>
  </si>
  <si>
    <t>福建惠隆网络信息科技有限公司</t>
  </si>
  <si>
    <t>http://www.lb5.com</t>
  </si>
  <si>
    <t>泉州双馨</t>
  </si>
  <si>
    <t>福建泉州双馨工艺品有限公司</t>
  </si>
  <si>
    <t>大扬信息科技</t>
  </si>
  <si>
    <t>漳州大扬信息科技有限公司</t>
  </si>
  <si>
    <t>http://www.dayangtech.cn/</t>
  </si>
  <si>
    <t>国达有塑</t>
  </si>
  <si>
    <t>厦门国达有塑包装制品有限公司</t>
  </si>
  <si>
    <t>精品源</t>
  </si>
  <si>
    <t>漳州精品源教育咨询有限公司</t>
  </si>
  <si>
    <t>http://www.zzjpjy.com</t>
  </si>
  <si>
    <t>泉州新中企</t>
  </si>
  <si>
    <t>泉州新中企企业服务有限公司</t>
  </si>
  <si>
    <t>林霖</t>
  </si>
  <si>
    <t>福建新胜达</t>
  </si>
  <si>
    <t>福建新胜达新材料科技有限公司</t>
  </si>
  <si>
    <t>强石建材</t>
  </si>
  <si>
    <t>泉州强石建材有限公司</t>
  </si>
  <si>
    <t>农福果</t>
  </si>
  <si>
    <t>漳浦县农福果苗木专业合作社</t>
  </si>
  <si>
    <t>林伶伶律师</t>
  </si>
  <si>
    <t>林伶伶</t>
  </si>
  <si>
    <t>耀艺蔬菜</t>
  </si>
  <si>
    <t>漳浦县耀艺蔬菜专业合作社</t>
  </si>
  <si>
    <t>http://yaoyimaoyi.com</t>
  </si>
  <si>
    <t>润达生物</t>
  </si>
  <si>
    <t>漳州市润达生物科技有限公司</t>
  </si>
  <si>
    <t>漳信园艺</t>
  </si>
  <si>
    <t>漳浦县漳信园艺场</t>
  </si>
  <si>
    <t>http://fjmnyyc.com/</t>
  </si>
  <si>
    <t>漳州锦绣</t>
  </si>
  <si>
    <t>漳浦县马口锦绣园艺场</t>
  </si>
  <si>
    <t>http://www.fjjxyy.com</t>
  </si>
  <si>
    <t>漳州景丰</t>
  </si>
  <si>
    <t>漳州景丰装饰工程有限公司</t>
  </si>
  <si>
    <t>http://www.zzjfjc.com</t>
  </si>
  <si>
    <t>尚搜</t>
  </si>
  <si>
    <t>厦门市尚搜网络科技有限公司</t>
  </si>
  <si>
    <t>http://www.3sou.net.cn</t>
  </si>
  <si>
    <t>挖码信息1</t>
  </si>
  <si>
    <t>厦门挖码信息技术有限公司</t>
  </si>
  <si>
    <t>http://www.wapi.cn</t>
  </si>
  <si>
    <t>我是因网络</t>
  </si>
  <si>
    <t>我是因（厦门）网络科技有限公司</t>
  </si>
  <si>
    <t>http://qianhu.weijianzhan.com/</t>
  </si>
  <si>
    <t>邦正茶叶机械</t>
  </si>
  <si>
    <t>漳州邦正茶叶机械有限公司</t>
  </si>
  <si>
    <t>http://aishop.com.cn</t>
  </si>
  <si>
    <t>有有达物流</t>
  </si>
  <si>
    <t>厦门有有达物流有限公司</t>
  </si>
  <si>
    <t>漳州狼途</t>
  </si>
  <si>
    <t>漳州狼途文化传播有限公司</t>
  </si>
  <si>
    <t>http://www.langtuvip.com</t>
  </si>
  <si>
    <t>龙韵机械</t>
  </si>
  <si>
    <t>龙韵（厦门）机械科技有限公司</t>
  </si>
  <si>
    <t>http://www.dragonrhyme.com</t>
  </si>
  <si>
    <t>晶煌石业</t>
  </si>
  <si>
    <t>漳浦晶煌石业有限公司</t>
  </si>
  <si>
    <t>http://www.zpjhsc.com</t>
  </si>
  <si>
    <t>刺桐湾</t>
  </si>
  <si>
    <t>福建刺桐湾体育用品有限公司</t>
  </si>
  <si>
    <t>http://citongwan.com</t>
  </si>
  <si>
    <t>建网平台</t>
  </si>
  <si>
    <t>漳州市建网信息技术有限公司</t>
  </si>
  <si>
    <t>http://www.108198.com</t>
  </si>
  <si>
    <t>漳州德亚商贸</t>
  </si>
  <si>
    <t>漳州德亚商贸有限公司</t>
  </si>
  <si>
    <t>http://www.qianhu.wejianzhan.com/</t>
  </si>
  <si>
    <t>日兴玻璃钢</t>
  </si>
  <si>
    <t>漳州市日兴玻璃钢制品厂</t>
  </si>
  <si>
    <t>http://rixingblg.com</t>
  </si>
  <si>
    <t>漳州市欧</t>
  </si>
  <si>
    <t>漳州市欧曼蒂投资咨询服务有限公司</t>
  </si>
  <si>
    <t>http://www.omdpay.com</t>
  </si>
  <si>
    <t>漳州欧琪</t>
  </si>
  <si>
    <t>漳州市欧琪整体衣柜有限公司</t>
  </si>
  <si>
    <t>http://fjxoq.com/</t>
  </si>
  <si>
    <t>漳州佳采</t>
  </si>
  <si>
    <t>漳州佳采新材料科技有限公司</t>
  </si>
  <si>
    <t>http://www.jacawa.com/</t>
  </si>
  <si>
    <t>美林达</t>
  </si>
  <si>
    <t>漳州市美林达工贸有限公司</t>
  </si>
  <si>
    <t>http://www.zzmeilinda.com</t>
  </si>
  <si>
    <t>福建联福</t>
  </si>
  <si>
    <t>福建联福工贸有限公司</t>
  </si>
  <si>
    <t>http://gffjcn.com</t>
  </si>
  <si>
    <t>飞雪制冷</t>
  </si>
  <si>
    <t>漳州市飞雪制冷设备有限公司</t>
  </si>
  <si>
    <t>http://www.zzfxzl.com/</t>
  </si>
  <si>
    <t>恒源贸易</t>
  </si>
  <si>
    <t>漳州市芗城恒源贸易有限公司</t>
  </si>
  <si>
    <t>http://www.zxtire.com</t>
  </si>
  <si>
    <t>华壶茶叶</t>
  </si>
  <si>
    <t>漳州市华壶茶叶股份有限公司</t>
  </si>
  <si>
    <t>http://www.nsnj.cn</t>
  </si>
  <si>
    <t>鑫兴豪猪</t>
  </si>
  <si>
    <t>漳浦赤土乡鑫兴豪猪养殖场</t>
  </si>
  <si>
    <t>http://www.xinxinghz.com/</t>
  </si>
  <si>
    <t>彬斌有理</t>
  </si>
  <si>
    <t>泉州市彬斌有理网络科技有限公司</t>
  </si>
  <si>
    <t>http://bbyl.n03.5067.org</t>
  </si>
  <si>
    <t>康瑞达环保</t>
  </si>
  <si>
    <t>漳州康瑞达环保科技有限公司</t>
  </si>
  <si>
    <t>http://fjzzkrd.com/</t>
  </si>
  <si>
    <t>佳蕾教育</t>
  </si>
  <si>
    <t>漳州市佳蕾教育咨询有限公司</t>
  </si>
  <si>
    <t>http://www.jialeiedu.com/main/index.asp</t>
  </si>
  <si>
    <t>万欣园艺场</t>
  </si>
  <si>
    <t>漳浦县马口万欣园艺场</t>
  </si>
  <si>
    <t>http://www.zpwanxin.com</t>
  </si>
  <si>
    <t>巨闽市政</t>
  </si>
  <si>
    <t>漳州巨闽市政工程有限公司</t>
  </si>
  <si>
    <t>福建闽庆</t>
  </si>
  <si>
    <t>福建闽庆建筑工程有限公司</t>
  </si>
  <si>
    <t>柏辉机电</t>
  </si>
  <si>
    <t>漳州市龙文区柏辉机电厂</t>
  </si>
  <si>
    <t>http://www.bohuijidian.com</t>
  </si>
  <si>
    <t>欣富田</t>
  </si>
  <si>
    <t>厦门欣富田房地产营销策划有限公司</t>
  </si>
  <si>
    <t>亿德办公</t>
  </si>
  <si>
    <t>鲤城区亿德办公设备商行</t>
  </si>
  <si>
    <t>睿云联1</t>
  </si>
  <si>
    <t>睿云联（厦门）网络通讯技术有限公司</t>
  </si>
  <si>
    <t>佳全胶合板</t>
  </si>
  <si>
    <t>漳浦县佳全人造板加工厂</t>
  </si>
  <si>
    <t>http://www.zzjqmy.cn</t>
  </si>
  <si>
    <t>盖尔建材</t>
  </si>
  <si>
    <t>南安盖尔建材有限公司</t>
  </si>
  <si>
    <t>云霄艺铭</t>
  </si>
  <si>
    <t>云霄艺铭路桥工程设备有限公司</t>
  </si>
  <si>
    <t>http://www.ymluqiao.com/</t>
  </si>
  <si>
    <t>福建蜂窝</t>
  </si>
  <si>
    <t>福建蜂窝物联网科技有限公司</t>
  </si>
  <si>
    <t>漳州双炳</t>
  </si>
  <si>
    <t>漳州双炳金属制品有限公司</t>
  </si>
  <si>
    <t>http://www.fjsbxc.com/</t>
  </si>
  <si>
    <t>格莱美新</t>
  </si>
  <si>
    <t>漳州市格莱美新家园集装箱有限公司</t>
  </si>
  <si>
    <t>http://zzgelaimei.com</t>
  </si>
  <si>
    <t>福建万合鑫</t>
  </si>
  <si>
    <t>福建省晋江万合鑫新能源汽车有限公司</t>
  </si>
  <si>
    <t>聆熵信息</t>
  </si>
  <si>
    <t>漳州开发区聆熵信息技术服务工作室</t>
  </si>
  <si>
    <t>https://feling.net/</t>
  </si>
  <si>
    <t>方丽容</t>
  </si>
  <si>
    <t>平和三宝蜜柚</t>
  </si>
  <si>
    <t>平和县三宝蜜柚有限公司</t>
  </si>
  <si>
    <t>伐木累网络</t>
  </si>
  <si>
    <t>漳州伐木累网络科技有限公司</t>
  </si>
  <si>
    <t>http://www.wujiatuina.com</t>
  </si>
  <si>
    <t>易尔通龙岩</t>
  </si>
  <si>
    <t>龙岩市易尔通网络科技有限公司</t>
  </si>
  <si>
    <t>佳俐源塑料</t>
  </si>
  <si>
    <t>漳州市龙文区佳俐源塑料制品门市部</t>
  </si>
  <si>
    <t>http://fjjlybz.com</t>
  </si>
  <si>
    <t>漳州乐意</t>
  </si>
  <si>
    <t>漳州市乐意信息科技有限公司</t>
  </si>
  <si>
    <t>http://www.365lee.com</t>
  </si>
  <si>
    <t>凯融交通工程</t>
  </si>
  <si>
    <t>漳州凯融交通工程有限公司</t>
  </si>
  <si>
    <t>http://www.krjtgc.com</t>
  </si>
  <si>
    <t>平和冯大果业</t>
  </si>
  <si>
    <t>平和县冯大果业有限公司</t>
  </si>
  <si>
    <t>https://shop215404545.taobao.com/</t>
  </si>
  <si>
    <t>号外贸易</t>
  </si>
  <si>
    <t>厦门号外贸易有限公司</t>
  </si>
  <si>
    <t>http://www.hana-aliceshop.cn</t>
  </si>
  <si>
    <t>龙海谷哥食品</t>
  </si>
  <si>
    <t>龙海谷哥食品有限公司</t>
  </si>
  <si>
    <t>http://gugefood.com/</t>
  </si>
  <si>
    <t>龙兴达</t>
  </si>
  <si>
    <t>漳州龙兴达砂业有限公司</t>
  </si>
  <si>
    <t>http://www.zzlxdsy.cn</t>
  </si>
  <si>
    <t>闽强物流</t>
  </si>
  <si>
    <t>漳州市闽强物流有限公司</t>
  </si>
  <si>
    <t>http://www.zzmqwl.com/</t>
  </si>
  <si>
    <t>鸿云</t>
  </si>
  <si>
    <t>漳州市鸿云农副产品有限公司</t>
  </si>
  <si>
    <t>http://www.zzhongyun.com</t>
  </si>
  <si>
    <t>奇盛柚业</t>
  </si>
  <si>
    <t>平和县奇盛柚业有限公司</t>
  </si>
  <si>
    <t>http://www.qs0596.com</t>
  </si>
  <si>
    <t>泽尚人造板</t>
  </si>
  <si>
    <t>漳州市龙文区泽尚人造板加工场</t>
  </si>
  <si>
    <t>http://zzsjmc.com/</t>
  </si>
  <si>
    <t>漳州诚成</t>
  </si>
  <si>
    <t>漳州市诚成建材有限公司</t>
  </si>
  <si>
    <t>星贸消防</t>
  </si>
  <si>
    <t>福建星贸消防科技有限公司</t>
  </si>
  <si>
    <t>易梦时代</t>
  </si>
  <si>
    <t>厦门易梦时代网络科技有限公司</t>
  </si>
  <si>
    <t>http://www.xmym123.com/cstmp/</t>
  </si>
  <si>
    <t>中娱互动fj</t>
  </si>
  <si>
    <t>中娱互动（福建）网络科技有限公司</t>
  </si>
  <si>
    <t>http://www.xmsmky.com</t>
  </si>
  <si>
    <t>绿春园艺</t>
  </si>
  <si>
    <t>漳浦县马口绿春园艺场</t>
  </si>
  <si>
    <t>http://www.fjyuanlin.com</t>
  </si>
  <si>
    <t>合木木业</t>
  </si>
  <si>
    <t>漳浦合木木业有限公司</t>
  </si>
  <si>
    <t>http://fjzzhemu.com</t>
  </si>
  <si>
    <t>中闽华源茶业</t>
  </si>
  <si>
    <t>福建省中闽华源茶业有限公司厦门分公司</t>
  </si>
  <si>
    <t>东南研究所</t>
  </si>
  <si>
    <t>漳州市东南电子技术研究所有限公司</t>
  </si>
  <si>
    <t>http://www.sedmm.cn</t>
  </si>
  <si>
    <t>蛮厨厨卫</t>
  </si>
  <si>
    <t>漳州市蛮厨厨房设备有限公司</t>
  </si>
  <si>
    <t>http://zzmanchu.com</t>
  </si>
  <si>
    <t>新桥乡体检</t>
  </si>
  <si>
    <t>泉州丰泽新侨乡健康门诊部</t>
  </si>
  <si>
    <t>放心木业</t>
  </si>
  <si>
    <t>漳州市龙文区放心木业加工场</t>
  </si>
  <si>
    <t>http://zzfangxin.com</t>
  </si>
  <si>
    <t>台旺食品</t>
  </si>
  <si>
    <t>漳州市台旺食品有限公司</t>
  </si>
  <si>
    <t>http://www.taiwangfoods.com/</t>
  </si>
  <si>
    <t>浪木环保</t>
  </si>
  <si>
    <t>漳州浪木环保科技有限公司</t>
  </si>
  <si>
    <t>http://www.forwater.com.cn</t>
  </si>
  <si>
    <t>悦读致远</t>
  </si>
  <si>
    <t>厦门悦读致远教育科技有限公司</t>
  </si>
  <si>
    <t>韩方科颜美容店</t>
  </si>
  <si>
    <t>漳州市龙文区韩方科颜美容店</t>
  </si>
  <si>
    <t>http://zzhfky.com/</t>
  </si>
  <si>
    <t>易思成</t>
  </si>
  <si>
    <t>厦门市易思成制冷设备有限公司</t>
  </si>
  <si>
    <t>科信新型建材</t>
  </si>
  <si>
    <t>漳州市科信新型建材有限公司</t>
  </si>
  <si>
    <t>http://gaoloumuye.com</t>
  </si>
  <si>
    <t>凯晟园林</t>
  </si>
  <si>
    <t>漳州市凯晟园林有限公司</t>
  </si>
  <si>
    <t>http://www.fjzzksyl.com/</t>
  </si>
  <si>
    <t>儒兰生物</t>
  </si>
  <si>
    <t>儒兰(福建)生物科技有限公司</t>
  </si>
  <si>
    <t>http://www.fjrulan.com/</t>
  </si>
  <si>
    <t>凯辉绿化</t>
  </si>
  <si>
    <t>漳州市龙文区凯辉绿化树种植场</t>
  </si>
  <si>
    <t>http://www.khlhs.com/</t>
  </si>
  <si>
    <t>福建迦南农业</t>
  </si>
  <si>
    <t>福建迦南农业发展有限公司</t>
  </si>
  <si>
    <t>http://fjjnny.com/</t>
  </si>
  <si>
    <t>共感教育</t>
  </si>
  <si>
    <t>厦门共感教育咨询有限公司</t>
  </si>
  <si>
    <t>http://www.xmggsj.com</t>
  </si>
  <si>
    <t>漳州胜福机电</t>
  </si>
  <si>
    <t>漳州胜福机电有限公司</t>
  </si>
  <si>
    <t>http://www.sfumotor.com/</t>
  </si>
  <si>
    <t>杰美端方</t>
  </si>
  <si>
    <t>杰美端方（厦门）科技有限公司</t>
  </si>
  <si>
    <t>天猫佰润</t>
  </si>
  <si>
    <t>漳州市佰润贸易有限公司</t>
  </si>
  <si>
    <t>http://meitefu.tmall.com</t>
  </si>
  <si>
    <t>厦门科汛</t>
  </si>
  <si>
    <t>厦门科汛软件有限公司</t>
  </si>
  <si>
    <t>http://www.kesion.com</t>
  </si>
  <si>
    <t>泉州如升</t>
  </si>
  <si>
    <t>泉州如升物流有限公司</t>
  </si>
  <si>
    <t>BD二类电商龙岩</t>
  </si>
  <si>
    <t>http://www.ly12t.cn</t>
  </si>
  <si>
    <t>厦门博德诚</t>
  </si>
  <si>
    <t>厦门博德诚精密科技有限公司</t>
  </si>
  <si>
    <t>通控科技</t>
  </si>
  <si>
    <t>厦门通控科技有限公司</t>
  </si>
  <si>
    <t>http://www.tongkongtech.cn</t>
  </si>
  <si>
    <t>天昱生物</t>
  </si>
  <si>
    <t>漳州天昱生物科技有限公司</t>
  </si>
  <si>
    <t>http://goodfoot.cn</t>
  </si>
  <si>
    <t>大鹏防水</t>
  </si>
  <si>
    <t>新罗区大鹏防水材料经营部</t>
  </si>
  <si>
    <t>军飞训练</t>
  </si>
  <si>
    <t>漳州市军飞训练器材科技有限公司</t>
  </si>
  <si>
    <t>http://jfxlqc.com</t>
  </si>
  <si>
    <t>皇家伯爵</t>
  </si>
  <si>
    <t>漳浦县绥安镇皇家伯爵婚纱摄影店</t>
  </si>
  <si>
    <t>http://www.hjbj520.com</t>
  </si>
  <si>
    <t>龙兴</t>
  </si>
  <si>
    <t>漳浦县龙兴石英砂加工厂</t>
  </si>
  <si>
    <t>http://zplxsys.cn.1688.com</t>
  </si>
  <si>
    <t>泉州三年二班</t>
  </si>
  <si>
    <t>泉州市三年二班电子商务有限公司</t>
  </si>
  <si>
    <t>http://www.lhqdzz.com</t>
  </si>
  <si>
    <t>天兴智能</t>
  </si>
  <si>
    <t>漳州市天兴智能科技有限公司</t>
  </si>
  <si>
    <t>http://zztxmotor.com</t>
  </si>
  <si>
    <t>艾睿酷</t>
  </si>
  <si>
    <t>厦门艾睿酷网络科技有限公司</t>
  </si>
  <si>
    <t>鑫金禄</t>
  </si>
  <si>
    <t>龙海市鑫金禄帐篷有限公司</t>
  </si>
  <si>
    <t>漳州众盈</t>
  </si>
  <si>
    <t>漳州众盈建筑材料有限公司</t>
  </si>
  <si>
    <t>http://fjzzzy.com/</t>
  </si>
  <si>
    <t>九湖进强</t>
  </si>
  <si>
    <t>龙海市九湖进强园艺场</t>
  </si>
  <si>
    <t>http://www.lhjqyyc.com</t>
  </si>
  <si>
    <t>金三顺环保</t>
  </si>
  <si>
    <t>漳州市金三顺环保建材有限公司</t>
  </si>
  <si>
    <t>http://www.jsssmdb.com</t>
  </si>
  <si>
    <t>厦门百年</t>
  </si>
  <si>
    <t>厦门百年龚府商贸有限公司</t>
  </si>
  <si>
    <t>http://www.xm100.cn</t>
  </si>
  <si>
    <t>仟万黛</t>
  </si>
  <si>
    <t>厦门仟万黛教育集团有限公司</t>
  </si>
  <si>
    <t>招商-玖安</t>
  </si>
  <si>
    <t>玖安宏盛工程项目管理有限公司</t>
  </si>
  <si>
    <t>卓新建材</t>
  </si>
  <si>
    <t>晋江卓新建材有限公司</t>
  </si>
  <si>
    <t>大梵</t>
  </si>
  <si>
    <t>厦门大梵科技有限公司</t>
  </si>
  <si>
    <t>周运物流</t>
  </si>
  <si>
    <t>厦门周运物流有限公司</t>
  </si>
  <si>
    <t>厦门集新成</t>
  </si>
  <si>
    <t>厦门安肃科技有限公司</t>
  </si>
  <si>
    <t>漳州良福</t>
  </si>
  <si>
    <t>漳州良福钢结构工程有限公司</t>
  </si>
  <si>
    <t>http://liangfu9981.com</t>
  </si>
  <si>
    <t>后元网络</t>
  </si>
  <si>
    <t>厦门后元网络科技有限公司</t>
  </si>
  <si>
    <t>http://www.xmhywl.com</t>
  </si>
  <si>
    <t>中墅1</t>
  </si>
  <si>
    <t>漳州市中墅集装箱制造有限公司漳州古雷港经济开发区分公司</t>
  </si>
  <si>
    <t>康泉环保</t>
  </si>
  <si>
    <t>漳州市康泉环保科技有限公司</t>
  </si>
  <si>
    <t>http://www.kangquanhb.com</t>
  </si>
  <si>
    <t>荣景园艺场</t>
  </si>
  <si>
    <t>漳浦县荣景园艺场</t>
  </si>
  <si>
    <t>http://www.fjrjyy.com</t>
  </si>
  <si>
    <t>爱佳家政服务</t>
  </si>
  <si>
    <t>漳州市爱佳家政服务有限公司</t>
  </si>
  <si>
    <t>漳州科盛</t>
  </si>
  <si>
    <t>漳浦科盛机械有限公司</t>
  </si>
  <si>
    <t>http://www.jinongpai.com</t>
  </si>
  <si>
    <t>贵安工业</t>
  </si>
  <si>
    <t>漳州贵安机械工业有限公司</t>
  </si>
  <si>
    <t>http://www.fjguian.com/guian1/</t>
  </si>
  <si>
    <t>嗨玩购服饰</t>
  </si>
  <si>
    <t>福建省嗨玩购服饰集团有限公司</t>
  </si>
  <si>
    <t>泉州桔香</t>
  </si>
  <si>
    <t>泉州桔香商贸有限公司</t>
  </si>
  <si>
    <t>苏田窑陶瓷</t>
  </si>
  <si>
    <t>德化苏田窑陶瓷有限责任公司</t>
  </si>
  <si>
    <t>程溪千叶</t>
  </si>
  <si>
    <t>龙海市程溪千叶园艺场</t>
  </si>
  <si>
    <t>http://fjqianye.com/</t>
  </si>
  <si>
    <t>华运成</t>
  </si>
  <si>
    <t>厦门市同安区华运成篷业经营部</t>
  </si>
  <si>
    <t>漳州金鸿泰</t>
  </si>
  <si>
    <t>漳州金鸿泰食品机械有限公司</t>
  </si>
  <si>
    <t>http://www.kinhot-mech.com</t>
  </si>
  <si>
    <t>漳州崇文</t>
  </si>
  <si>
    <t>漳州市崇文学校</t>
  </si>
  <si>
    <t>http://www.mbxx.com</t>
  </si>
  <si>
    <t>厦门艾睿酷</t>
  </si>
  <si>
    <t>http://cloud.iruiku.cn</t>
  </si>
  <si>
    <t>福建皇室母婴</t>
  </si>
  <si>
    <t>福建皇室母婴用品有限公司</t>
  </si>
  <si>
    <t>http://www.huangshimuying.com</t>
  </si>
  <si>
    <t>丰圆地毯</t>
  </si>
  <si>
    <t>漳州丰圆地毯有限公司</t>
  </si>
  <si>
    <t>http://zzfydt.1688.com/</t>
  </si>
  <si>
    <t>漳州卓知</t>
  </si>
  <si>
    <t>漳州卓知职业培训学校</t>
  </si>
  <si>
    <t>http://www.zhuozhiedu.cn</t>
  </si>
  <si>
    <t>水米石英砂</t>
  </si>
  <si>
    <t>漳浦县水米石英砂有限公司</t>
  </si>
  <si>
    <t>http://www.15960666533.com</t>
  </si>
  <si>
    <t>天军艺塑</t>
  </si>
  <si>
    <t>厦门天军艺塑道具有限公司</t>
  </si>
  <si>
    <t>http://www.tianjunart.com</t>
  </si>
  <si>
    <t>招商加盟-跨视界1</t>
  </si>
  <si>
    <t>福建省泉州市跨视界健康管理有限公司</t>
  </si>
  <si>
    <t>聚鑫石材1</t>
  </si>
  <si>
    <t>漳浦县聚鑫石材厂</t>
  </si>
  <si>
    <t>http://www.g611.info</t>
  </si>
  <si>
    <t>漳州市海西通</t>
  </si>
  <si>
    <t>漳州市海西通网络科技有限公司</t>
  </si>
  <si>
    <t>http://hxfocus.net</t>
  </si>
  <si>
    <t>福建众行</t>
  </si>
  <si>
    <t>福建众行新能源有限公司</t>
  </si>
  <si>
    <t>漳州晨洋</t>
  </si>
  <si>
    <t>漳州晨洋贸易有限公司</t>
  </si>
  <si>
    <t>http://www.zzchenyang.cn</t>
  </si>
  <si>
    <t>华成液压</t>
  </si>
  <si>
    <t>漳州市华成液压机械制造有限公司</t>
  </si>
  <si>
    <t>http://www.hcyyj.com</t>
  </si>
  <si>
    <t>磊蒙机械设备</t>
  </si>
  <si>
    <t>漳州市磊蒙机械设备有限公司</t>
  </si>
  <si>
    <t>http://www.lmksjx.com</t>
  </si>
  <si>
    <t>阿咿吖呀</t>
  </si>
  <si>
    <t>晋江市罗山阿咿吖呀儿童摄影店</t>
  </si>
  <si>
    <t>马口恒辉</t>
  </si>
  <si>
    <t>漳浦县马口恒辉园艺场</t>
  </si>
  <si>
    <t>http://www.fjzzhhyy.com/</t>
  </si>
  <si>
    <t>大唐针织</t>
  </si>
  <si>
    <t>漳州市芗城区大唐针织行</t>
  </si>
  <si>
    <t>http://www.qiaodada.net</t>
  </si>
  <si>
    <t>漳州万阡</t>
  </si>
  <si>
    <t>漳州万阡园林绿化有限公司</t>
  </si>
  <si>
    <t>http://fjwqhh.com/</t>
  </si>
  <si>
    <t>君狮生物</t>
  </si>
  <si>
    <t>厦门市君狮生物科技有限公司</t>
  </si>
  <si>
    <t>https://xmjsyy.1688.com/</t>
  </si>
  <si>
    <t>超凡工业</t>
  </si>
  <si>
    <t>漳州市超凡工业发展有限公司</t>
  </si>
  <si>
    <t>http://www.zzscfgy.com</t>
  </si>
  <si>
    <t>捷东润滑剂</t>
  </si>
  <si>
    <t>泉州市捷东润滑剂有限公司</t>
  </si>
  <si>
    <t>格绿环保</t>
  </si>
  <si>
    <t>漳州格绿环保科技有限公司</t>
  </si>
  <si>
    <t>http://zzglhb.com</t>
  </si>
  <si>
    <t>漳州恒昌1</t>
  </si>
  <si>
    <t>漳州恒昌机械制造有限公司</t>
  </si>
  <si>
    <t>漳州蓝藻</t>
  </si>
  <si>
    <t>漳州市蓝藻网络科技有限公司</t>
  </si>
  <si>
    <t>http://cphygame.com</t>
  </si>
  <si>
    <t>牙天使口腔</t>
  </si>
  <si>
    <t>厦门思明牙天使口腔门诊部有限公司</t>
  </si>
  <si>
    <t>汉光装饰</t>
  </si>
  <si>
    <t>漳州市汉光装饰工程有限公司</t>
  </si>
  <si>
    <t>http://www.zzhgzs.com/</t>
  </si>
  <si>
    <t>厦门杰客</t>
  </si>
  <si>
    <t>厦门杰客人力资源服务有限公司</t>
  </si>
  <si>
    <t>信义货运</t>
  </si>
  <si>
    <t>漳州市龙文区信义货运服务部</t>
  </si>
  <si>
    <t>http://www.xinyihuoyun.com</t>
  </si>
  <si>
    <t>蜜柚果园</t>
  </si>
  <si>
    <t>平和县蜜柚果园家庭生态农场</t>
  </si>
  <si>
    <t>http://www.phmygm.com</t>
  </si>
  <si>
    <t>漳浦县天城五金</t>
  </si>
  <si>
    <t>漳浦县天城五金制品有限公司</t>
  </si>
  <si>
    <t>http://zptcwj.cn</t>
  </si>
  <si>
    <t>九方园艺</t>
  </si>
  <si>
    <t>漳浦县马口九方园艺场</t>
  </si>
  <si>
    <t>http://www.mkjfyy.com</t>
  </si>
  <si>
    <t>中科易朔厦门</t>
  </si>
  <si>
    <t>中科易朔（厦门）质量技术服务有限公司</t>
  </si>
  <si>
    <t>http://www.casfiretec.com</t>
  </si>
  <si>
    <t>longhaijixiang</t>
  </si>
  <si>
    <t>漳州市吉祥食品有限公司</t>
  </si>
  <si>
    <t>http://www.longhaijixiang.com</t>
  </si>
  <si>
    <t>璋益果蔬</t>
  </si>
  <si>
    <t>平和县璋益果蔬专业合作社</t>
  </si>
  <si>
    <t>http://www.jymym.com</t>
  </si>
  <si>
    <t>旺鹏养殖场</t>
  </si>
  <si>
    <t>云霄县旺鹏牛蛙养殖场</t>
  </si>
  <si>
    <t>漳州597</t>
  </si>
  <si>
    <t>漳州市伍玖柒人力资源服务有限公司</t>
  </si>
  <si>
    <t>http://www.zz597.com</t>
  </si>
  <si>
    <t>钜人工贸</t>
  </si>
  <si>
    <t>漳州市钜人工贸有限公司</t>
  </si>
  <si>
    <t>http://jurenbanye.com/</t>
  </si>
  <si>
    <t>象屿慈爱</t>
  </si>
  <si>
    <t>厦门象屿慈爱老年养护中心</t>
  </si>
  <si>
    <t>http://www.xiangyuciai.com</t>
  </si>
  <si>
    <t>润泰制刀</t>
  </si>
  <si>
    <t>漳州润泰制刀有限公司</t>
  </si>
  <si>
    <t>http://www.rtknife.com</t>
  </si>
  <si>
    <t>漳州拓鼎</t>
  </si>
  <si>
    <t>漳州拓鼎管业有限公司</t>
  </si>
  <si>
    <t>http://www.zztdgy.cn/</t>
  </si>
  <si>
    <t>喜家家</t>
  </si>
  <si>
    <t>漳州市喜家家贸易有限公司</t>
  </si>
  <si>
    <t>http://shop1380041887122.1688.com</t>
  </si>
  <si>
    <t>乾星制衣</t>
  </si>
  <si>
    <t>福建省永春乾星制衣有限公司</t>
  </si>
  <si>
    <t>欢兴家政1</t>
  </si>
  <si>
    <t>泉州市欢兴家政服务有限公司</t>
  </si>
  <si>
    <t>漳州东腾钢</t>
  </si>
  <si>
    <t>漳州东腾钢结构工程有限公司</t>
  </si>
  <si>
    <t>http://zzdongteng.com</t>
  </si>
  <si>
    <t>福建美天</t>
  </si>
  <si>
    <t>福建美天环保科技有限公司</t>
  </si>
  <si>
    <t>http://www.tcbs.com.cn</t>
  </si>
  <si>
    <t>博进贸易</t>
  </si>
  <si>
    <t>漳州市博进贸易有限公司</t>
  </si>
  <si>
    <t>http://zzbjmy.com/</t>
  </si>
  <si>
    <t>水超医疗器械</t>
  </si>
  <si>
    <t>厦门水超医疗器械有限公司</t>
  </si>
  <si>
    <t>厦门和毅</t>
  </si>
  <si>
    <t>厦门和毅机电设备有限公司</t>
  </si>
  <si>
    <t>http://www.xmhy0592.com</t>
  </si>
  <si>
    <t>高楼木业</t>
  </si>
  <si>
    <t>漳州市龙文区高楼木业加工场</t>
  </si>
  <si>
    <t>http://zzxiefeng.cn.alibaba.com</t>
  </si>
  <si>
    <t>肖兵阀门</t>
  </si>
  <si>
    <t>上海肖兵阀门有限公司</t>
  </si>
  <si>
    <t>厦门模基生物</t>
  </si>
  <si>
    <t>厦门模基生物科技有限公司</t>
  </si>
  <si>
    <t>http://www.mogengel.com</t>
  </si>
  <si>
    <t>漳州生合</t>
  </si>
  <si>
    <t>漳州市生合防水补漏工程有限公司</t>
  </si>
  <si>
    <t>http://fjshfs.com</t>
  </si>
  <si>
    <t>合鑫劳务</t>
  </si>
  <si>
    <t>漳州市合鑫劳务派遣有限公司</t>
  </si>
  <si>
    <t>http://zzhxrlzy.com</t>
  </si>
  <si>
    <t>漳州经世</t>
  </si>
  <si>
    <t>漳州经世文化传媒有限公司</t>
  </si>
  <si>
    <t>http://99jianfang.com</t>
  </si>
  <si>
    <t>家家红电器</t>
  </si>
  <si>
    <t>厦门市湖里区家家红家用电器经营部</t>
  </si>
  <si>
    <t>三零陆班</t>
  </si>
  <si>
    <t>厦门三零陆班网络科技有限公司</t>
  </si>
  <si>
    <t>http://www.xiamenzc.cn/</t>
  </si>
  <si>
    <t>闽正食品</t>
  </si>
  <si>
    <t>漳州市闽正食品有限公司</t>
  </si>
  <si>
    <t>http://www.fjminzheng.com/</t>
  </si>
  <si>
    <t>漳州华福化工</t>
  </si>
  <si>
    <t>漳州华福化工有限公司</t>
  </si>
  <si>
    <t>http://www.cn-pvp.cn/</t>
  </si>
  <si>
    <t>成东强物流</t>
  </si>
  <si>
    <t>福建成东强物流有限公司</t>
  </si>
  <si>
    <t>创星盛传媒</t>
  </si>
  <si>
    <t>厦门创星盛传媒有限公司</t>
  </si>
  <si>
    <t>闽源园林</t>
  </si>
  <si>
    <t>漳州市闽源园林有限公司</t>
  </si>
  <si>
    <t>http://zzmyyl.com</t>
  </si>
  <si>
    <t>泉州美熙时尚</t>
  </si>
  <si>
    <t>美熙时尚（泉州）网络科技有限公司</t>
  </si>
  <si>
    <t>https://ninewest.tmall.com</t>
  </si>
  <si>
    <t>招商加盟-脉拓</t>
  </si>
  <si>
    <t>福建脉拓科技有限公司</t>
  </si>
  <si>
    <t>挖码信息5</t>
  </si>
  <si>
    <t>少坤智能</t>
  </si>
  <si>
    <t>厦门少坤智能科技有限公司</t>
  </si>
  <si>
    <t>爱默生物</t>
  </si>
  <si>
    <t>爱默生物科技（厦门）有限公司</t>
  </si>
  <si>
    <t>绿仕德</t>
  </si>
  <si>
    <t>厦门绿仕德有害生物防治有限公司</t>
  </si>
  <si>
    <t>虫语者</t>
  </si>
  <si>
    <t>福建虫语者有害生物防治有限公司</t>
  </si>
  <si>
    <t>http://www.chongyuzhe.com</t>
  </si>
  <si>
    <t>xm美斯家具</t>
  </si>
  <si>
    <t>厦门美斯家具有限公司</t>
  </si>
  <si>
    <t>http://www.xmmeisi.cn</t>
  </si>
  <si>
    <t>漳州宏利</t>
  </si>
  <si>
    <t>漳州宏利缝制设备有限公司</t>
  </si>
  <si>
    <t>http://www.zzhlfz.com/</t>
  </si>
  <si>
    <t>厦门韦氏英语</t>
  </si>
  <si>
    <t>厦门市思明区韦氏英语培训学校</t>
  </si>
  <si>
    <t>http://www.weclfj.com</t>
  </si>
  <si>
    <t>泉州得力机械</t>
  </si>
  <si>
    <t>泉州得力农林机械有限公司</t>
  </si>
  <si>
    <t>百果汇农产品</t>
  </si>
  <si>
    <t>漳州百果汇农产品有限公司</t>
  </si>
  <si>
    <t>http://www.2bgh.com</t>
  </si>
  <si>
    <t>漳州九龙4</t>
  </si>
  <si>
    <t>漳州芗城九龙医院</t>
  </si>
  <si>
    <t>http://www.zzjlnkyy.com</t>
  </si>
  <si>
    <t>鸿展榕树</t>
  </si>
  <si>
    <t>漳浦县鸿展榕树专业合作社</t>
  </si>
  <si>
    <t>http://www.fjhzhh.com/</t>
  </si>
  <si>
    <t>辰强物流1</t>
  </si>
  <si>
    <t>泉州辰强物流有限公司</t>
  </si>
  <si>
    <t>招行厦门分行</t>
  </si>
  <si>
    <t>招商银行股份有限公司厦门分行</t>
  </si>
  <si>
    <t>http://www.cmbchina.com</t>
  </si>
  <si>
    <t>闽杉塑胶</t>
  </si>
  <si>
    <t>漳州市闽杉塑胶有限公司</t>
  </si>
  <si>
    <t>http://minshansj.com</t>
  </si>
  <si>
    <t>祥山大果油茶</t>
  </si>
  <si>
    <t>厦门祥山大果油茶科技有限公司</t>
  </si>
  <si>
    <t>超越健身服务</t>
  </si>
  <si>
    <t>漳州市超越健身服务有限公司</t>
  </si>
  <si>
    <t>漳州金昇顺</t>
  </si>
  <si>
    <t>漳州金昇顺房地产开发有限公司</t>
  </si>
  <si>
    <t>兴互盛</t>
  </si>
  <si>
    <t>厦门兴互盛农业科技有限公司</t>
  </si>
  <si>
    <t>http://913502117912597631</t>
  </si>
  <si>
    <t>漳州奈特</t>
  </si>
  <si>
    <t>漳州市奈特新型建材有限责任公司</t>
  </si>
  <si>
    <t>http://www.naishida.com/Index.aspx</t>
  </si>
  <si>
    <t>东方白领1</t>
  </si>
  <si>
    <t>泉州市东方白领服饰有限公司</t>
  </si>
  <si>
    <t>http://fjdfbl.com</t>
  </si>
  <si>
    <t>火王炉具1</t>
  </si>
  <si>
    <t>漳州火王炉具有限公司</t>
  </si>
  <si>
    <t>http://chinahuowang.com</t>
  </si>
  <si>
    <t>叶晓欢</t>
  </si>
  <si>
    <t>巴掌互动</t>
  </si>
  <si>
    <t>厦门巴掌互动科技有限公司</t>
  </si>
  <si>
    <t>漳州尚云</t>
  </si>
  <si>
    <t>漳州尚云亿家互联网科技有限公司</t>
  </si>
  <si>
    <t>http://zzshangyunyijia.com/</t>
  </si>
  <si>
    <t>厦门洲林</t>
  </si>
  <si>
    <t>厦门洲林气体有限公司</t>
  </si>
  <si>
    <t>漳浦榕颂榕树盆景</t>
  </si>
  <si>
    <t>漳浦县榕颂榕树盆景专业合作社</t>
  </si>
  <si>
    <t>http://zzrshh.com</t>
  </si>
  <si>
    <t>纽佩能文化</t>
  </si>
  <si>
    <t>泉州纽佩能文化创意有限公司</t>
  </si>
  <si>
    <t>建元能源</t>
  </si>
  <si>
    <t>泉州建元能源科技有限公司</t>
  </si>
  <si>
    <t>土楼人家</t>
  </si>
  <si>
    <t>南靖土楼人家生物科技有限公司</t>
  </si>
  <si>
    <t>http://xiaoyegua.com</t>
  </si>
  <si>
    <t>漳州茗居</t>
  </si>
  <si>
    <t>漳州茗居网络科技有限公司</t>
  </si>
  <si>
    <t>http://www.zzhsmjgr.com/</t>
  </si>
  <si>
    <t>万里通物流</t>
  </si>
  <si>
    <t>漳州万里通物流有限公司</t>
  </si>
  <si>
    <t>http://www.fjwlt.com</t>
  </si>
  <si>
    <t>联凤商贸</t>
  </si>
  <si>
    <t>平和县联凤商贸有限公司</t>
  </si>
  <si>
    <t>http://www.zzlianfeng.com</t>
  </si>
  <si>
    <t>厦门纵行</t>
  </si>
  <si>
    <t>厦门纵行信息科技有限公司</t>
  </si>
  <si>
    <t>http://www.zifisense.com</t>
  </si>
  <si>
    <t>缘来花木场</t>
  </si>
  <si>
    <t>漳浦县官浔镇缘来花木场</t>
  </si>
  <si>
    <t>http://zpylhm.com/</t>
  </si>
  <si>
    <t>启明教育2</t>
  </si>
  <si>
    <t>漳州市启明教育科技有限公司</t>
  </si>
  <si>
    <t>宁丰贸易</t>
  </si>
  <si>
    <t>漳州宁丰贸易有限公司</t>
  </si>
  <si>
    <t>http://www.fjnfgd.com</t>
  </si>
  <si>
    <t>厦门立林科技</t>
  </si>
  <si>
    <t>厦门立林科技有限公司</t>
  </si>
  <si>
    <t>招商加盟-传福堂</t>
  </si>
  <si>
    <t>厦门传福堂药业有限公司</t>
  </si>
  <si>
    <t>http://www.chuanfutang.com</t>
  </si>
  <si>
    <t>亚丰</t>
  </si>
  <si>
    <t>厦门亚丰工贸有限公司</t>
  </si>
  <si>
    <t>http://www.xmyafeng.com</t>
  </si>
  <si>
    <t>漳州万青</t>
  </si>
  <si>
    <t>漳州市万青园艺有限公司</t>
  </si>
  <si>
    <t>http://www.wanqingyy.com/</t>
  </si>
  <si>
    <t>漳州华茂建材</t>
  </si>
  <si>
    <t>漳州市华茂建材有限公司</t>
  </si>
  <si>
    <t>http://zzhmjc.com/</t>
  </si>
  <si>
    <t>智库企业</t>
  </si>
  <si>
    <t>厦门智库企业管理咨询有限公司</t>
  </si>
  <si>
    <t>http://www.consulting-china.cn</t>
  </si>
  <si>
    <t>大鹏石材</t>
  </si>
  <si>
    <t>长泰县大鹏石材销售有限公司</t>
  </si>
  <si>
    <t>http://www.ctdpsc.com/</t>
  </si>
  <si>
    <t>万骏电子</t>
  </si>
  <si>
    <t>漳州市万骏电子设备有限公司</t>
  </si>
  <si>
    <t>http://www.fjwjdz.com/</t>
  </si>
  <si>
    <t>长泰县得莱斯</t>
  </si>
  <si>
    <t>长泰县得莱斯移动板房有限公司</t>
  </si>
  <si>
    <t>http://ctdls.com/</t>
  </si>
  <si>
    <t>君维财税</t>
  </si>
  <si>
    <t>漳州市君维财税服务有限公司</t>
  </si>
  <si>
    <t>http://www.0596jw.com/</t>
  </si>
  <si>
    <t>伟林园艺</t>
  </si>
  <si>
    <t>漳州伟林园艺有限公司</t>
  </si>
  <si>
    <t>艺桥绿化</t>
  </si>
  <si>
    <t>漳州艺桥园林绿化工程有限公司</t>
  </si>
  <si>
    <t>胜和大展</t>
  </si>
  <si>
    <t>漳州市胜和大展工贸有限公司</t>
  </si>
  <si>
    <t>http://www.shdzgm.com</t>
  </si>
  <si>
    <t>昊智检测</t>
  </si>
  <si>
    <t>福建昊智检测技术有限公司</t>
  </si>
  <si>
    <t>http://www.xmhowzhi.com</t>
  </si>
  <si>
    <t>集广缘2</t>
  </si>
  <si>
    <t>厦门集广缘网络科技有限公司</t>
  </si>
  <si>
    <t>巾帼园家政</t>
  </si>
  <si>
    <t>漳州市巾帼园家政服务有限公司</t>
  </si>
  <si>
    <t>http://www.zzjgyjz.com/</t>
  </si>
  <si>
    <t>春泰建材</t>
  </si>
  <si>
    <t>长泰县春泰建材有限公司</t>
  </si>
  <si>
    <t>http://www.ctjc0596.com/</t>
  </si>
  <si>
    <t>携旅网</t>
  </si>
  <si>
    <t>厦门携旅网信息科技股份有限公司</t>
  </si>
  <si>
    <t>南靖米雅食品</t>
  </si>
  <si>
    <t>南靖县米雅食品有限公司</t>
  </si>
  <si>
    <t>http://yutaofang.cc/</t>
  </si>
  <si>
    <t>君瑞德</t>
  </si>
  <si>
    <t>漳州君瑞德机电设备有限公司</t>
  </si>
  <si>
    <t>http://www.zzjrd.com.cn/</t>
  </si>
  <si>
    <t>领航国际厦门</t>
  </si>
  <si>
    <t>福建领航国际物流有限公司厦门分公司</t>
  </si>
  <si>
    <t>软众科技</t>
  </si>
  <si>
    <t>福建省软众数字科技股份有限公司</t>
  </si>
  <si>
    <t>天利时贸易</t>
  </si>
  <si>
    <t>漳州市天利时贸易有限公司</t>
  </si>
  <si>
    <t>http://www.tinleesy-3M.com</t>
  </si>
  <si>
    <t>双柚园</t>
  </si>
  <si>
    <t>漳州市双柚园农业开发有限公司</t>
  </si>
  <si>
    <t>百城厦门</t>
  </si>
  <si>
    <t>厦门芝麻街电子商务有限公司</t>
  </si>
  <si>
    <t>漳州鼎业机械</t>
  </si>
  <si>
    <t>漳州市鼎业机械有限公司</t>
  </si>
  <si>
    <t>http://www.zzdingye.com/</t>
  </si>
  <si>
    <t>旺鹏牛蛙2</t>
  </si>
  <si>
    <t>厦门德仁心</t>
  </si>
  <si>
    <t>厦门德仁心教育咨询有限公司</t>
  </si>
  <si>
    <t>雅美雅</t>
  </si>
  <si>
    <t>厦门雅美雅遮阳设备有限公司</t>
  </si>
  <si>
    <t>http://www.ymyzy.com</t>
  </si>
  <si>
    <t>糖心小兔</t>
  </si>
  <si>
    <t>泉州糖心小兔服饰有限公司</t>
  </si>
  <si>
    <t>福建马克</t>
  </si>
  <si>
    <t>马克（福建）科技发展有限公司</t>
  </si>
  <si>
    <t>https://www.marksvers.com/</t>
  </si>
  <si>
    <t>宸净</t>
  </si>
  <si>
    <t>宸净（厦门）环境科技有限公司</t>
  </si>
  <si>
    <t>泉州乾鼎</t>
  </si>
  <si>
    <t>泉州乾鼎物流有限公司</t>
  </si>
  <si>
    <t>招商加盟-长兴</t>
  </si>
  <si>
    <t>泉州市长兴化工材料有限公司</t>
  </si>
  <si>
    <t>http://www.townwe.com</t>
  </si>
  <si>
    <t>马口盛绿</t>
  </si>
  <si>
    <t>漳浦县马口盛绿园艺场</t>
  </si>
  <si>
    <t>http://www.zpslyy.com</t>
  </si>
  <si>
    <t>智研宝</t>
  </si>
  <si>
    <t>智研宝（厦门）信息科技有限公司</t>
  </si>
  <si>
    <t>宇源物流</t>
  </si>
  <si>
    <t>漳州市龙海宇源物流有限公司</t>
  </si>
  <si>
    <t>万达广场</t>
  </si>
  <si>
    <t>漳州万达广场有限公司</t>
  </si>
  <si>
    <t>http://www.zzwanda.com.cn</t>
  </si>
  <si>
    <t>厦门纵美文化</t>
  </si>
  <si>
    <t>厦门纵美文化传播有限公司</t>
  </si>
  <si>
    <t>http://www.ad-zm.com</t>
  </si>
  <si>
    <t>鑫城消防</t>
  </si>
  <si>
    <t>泉州台商投资区鑫城消防器材经营部</t>
  </si>
  <si>
    <t>安麟智能科技</t>
  </si>
  <si>
    <t>福建安麟智能科技股份有限公司</t>
  </si>
  <si>
    <t>http://zzql.1688.com/</t>
  </si>
  <si>
    <t>漳州宏瑞汽车</t>
  </si>
  <si>
    <t>漳州市宏瑞汽车销售有限公司</t>
  </si>
  <si>
    <t>http://zzhrqc.com/</t>
  </si>
  <si>
    <t>立涌包装</t>
  </si>
  <si>
    <t>漳州市立涌包装制品有限公司</t>
  </si>
  <si>
    <t>http://www.lyslbz.com</t>
  </si>
  <si>
    <t>弘敏机电</t>
  </si>
  <si>
    <t>漳州弘敏机电有限公司</t>
  </si>
  <si>
    <t>http://www.high-made.com/home.asp</t>
  </si>
  <si>
    <t>漳州华博基尼</t>
  </si>
  <si>
    <t>厦门华博基尼内衣有限公司石榴分公司</t>
  </si>
  <si>
    <t>http://fjzzxdd.com</t>
  </si>
  <si>
    <t>万青园艺场</t>
  </si>
  <si>
    <t>漳浦县万青园艺场</t>
  </si>
  <si>
    <t>http://liumutu.cnhmsq.com/9/</t>
  </si>
  <si>
    <t>宏旗汽车</t>
  </si>
  <si>
    <t>漳州市宏旗汽车销售服务有限公司</t>
  </si>
  <si>
    <t>绿沅山庄</t>
  </si>
  <si>
    <t>长泰绿源度假山庄有限公司</t>
  </si>
  <si>
    <t>http://www.lylylyly.com</t>
  </si>
  <si>
    <t>厦门德仁心1</t>
  </si>
  <si>
    <t>亿丰门业</t>
  </si>
  <si>
    <t>云霄县亿丰好电动门商行</t>
  </si>
  <si>
    <t>http://www.zzsyfmy.com</t>
  </si>
  <si>
    <t>鸿嘉名创</t>
  </si>
  <si>
    <t>泉州市鸿嘉名创物流有限公司</t>
  </si>
  <si>
    <t>下林花卉</t>
  </si>
  <si>
    <t>漳州市下林花卉有限公司</t>
  </si>
  <si>
    <t>正凯物流</t>
  </si>
  <si>
    <t>漳州市龙文区正凯货物中转站</t>
  </si>
  <si>
    <t>http://www.zzzkwl.com/</t>
  </si>
  <si>
    <t>马口祥鸿</t>
  </si>
  <si>
    <t>漳浦县马口祥鸿花木场</t>
  </si>
  <si>
    <t>http://www.xhhmc.com</t>
  </si>
  <si>
    <t>闽盛包装</t>
  </si>
  <si>
    <t>漳浦县闽盛包装制品有限公司</t>
  </si>
  <si>
    <t>http://minshengjd.1688.com/</t>
  </si>
  <si>
    <t>闽荣园艺</t>
  </si>
  <si>
    <t>漳浦县闽荣园艺场</t>
  </si>
  <si>
    <t>http://www.mryy.jqw.com</t>
  </si>
  <si>
    <t>漳州商桥物流</t>
  </si>
  <si>
    <t>漳州市龙文区商桥物流有限公司</t>
  </si>
  <si>
    <t>http://www.zzsq56.com/</t>
  </si>
  <si>
    <t>美芽商贸</t>
  </si>
  <si>
    <t>漳州美芽商贸有限公司</t>
  </si>
  <si>
    <t>http://www.mashann.com.cn</t>
  </si>
  <si>
    <t>帝标软膜装饰</t>
  </si>
  <si>
    <t>晋江市东石镇帝标装饰材料加工厂</t>
  </si>
  <si>
    <t>http://www.fjdbrm.com</t>
  </si>
  <si>
    <t>庄业贸易</t>
  </si>
  <si>
    <t>漳州市南靖县庄业贸易有限公司</t>
  </si>
  <si>
    <t>亚微米</t>
  </si>
  <si>
    <t>厦门亚微米半导体有限公司</t>
  </si>
  <si>
    <t>华纯茶油</t>
  </si>
  <si>
    <t>漳浦县华纯茶油经营部</t>
  </si>
  <si>
    <t>http://www.zzhuachun.com</t>
  </si>
  <si>
    <t>立格钢构</t>
  </si>
  <si>
    <t>厦门立格钢构技术有限公司</t>
  </si>
  <si>
    <t>http://www.xmlink.cn/</t>
  </si>
  <si>
    <t>龙海鸿绿</t>
  </si>
  <si>
    <t>漳州市龙海鸿绿园林绿化有限公司</t>
  </si>
  <si>
    <t>http://www.zzhllh.com/</t>
  </si>
  <si>
    <t>安发智能</t>
  </si>
  <si>
    <t>漳州安发智能科技有限公司</t>
  </si>
  <si>
    <t>http://www.zzafznkj.com/</t>
  </si>
  <si>
    <t>泉州众翼</t>
  </si>
  <si>
    <t>泉州市众翼膜结构有限公司</t>
  </si>
  <si>
    <t>http://www.qzzymjg.com</t>
  </si>
  <si>
    <t>漳州鑫垣</t>
  </si>
  <si>
    <t>漳州鑫垣广告设计有限公司</t>
  </si>
  <si>
    <t>http://gjysp888.com/</t>
  </si>
  <si>
    <t>张滟莲</t>
  </si>
  <si>
    <t>泉州易旭食品</t>
  </si>
  <si>
    <t>泉州易旭商务服务有限公司</t>
  </si>
  <si>
    <t>乐凡石材</t>
  </si>
  <si>
    <t>漳州市长泰区乐凡石材经营部</t>
  </si>
  <si>
    <t>漳州天冠食品</t>
  </si>
  <si>
    <t>漳州市天冠食品有限公司</t>
  </si>
  <si>
    <t>http://www.haoshifood.com/</t>
  </si>
  <si>
    <t>梅芳装饰</t>
  </si>
  <si>
    <t>泉州市梅芳装饰设计有限公司</t>
  </si>
  <si>
    <t>招商-宇拓渔具</t>
  </si>
  <si>
    <t>北极龙工程</t>
  </si>
  <si>
    <t>漳州市北极龙装饰工程有限公司</t>
  </si>
  <si>
    <t>http://beijilong.cn/</t>
  </si>
  <si>
    <t>泉州山水旅游</t>
  </si>
  <si>
    <t>永春山水生态旅游开发有限公司</t>
  </si>
  <si>
    <t>http://ssstly.n03.5067.org</t>
  </si>
  <si>
    <t>妙简信息科技</t>
  </si>
  <si>
    <t>厦门妙简信息科技有限公司</t>
  </si>
  <si>
    <t>http://www.miaojiancha.com/</t>
  </si>
  <si>
    <t>咭咭哆食品</t>
  </si>
  <si>
    <t>漳州市常山咭咭哆食品有限公司</t>
  </si>
  <si>
    <t>http://zzjjdsp.com</t>
  </si>
  <si>
    <t>厦门睿云联</t>
  </si>
  <si>
    <t>钜亿板材</t>
  </si>
  <si>
    <t>漳州钜亿板材有限公司</t>
  </si>
  <si>
    <t>http://www.jiaxinban66.com</t>
  </si>
  <si>
    <t>同亿达回收</t>
  </si>
  <si>
    <t>漳州市同亿达再生物资回收有限公司</t>
  </si>
  <si>
    <t>金臣商贸</t>
  </si>
  <si>
    <t>南安金臣商贸有限公司</t>
  </si>
  <si>
    <t>http://www.jinchenschool.com</t>
  </si>
  <si>
    <t>北辰之南</t>
  </si>
  <si>
    <t>北辰之南科技（厦门）有限公司</t>
  </si>
  <si>
    <t>http://www.1314gouka.com</t>
  </si>
  <si>
    <t>平和闽红</t>
  </si>
  <si>
    <t>平和县闽红琯溪蜜柚果苗场</t>
  </si>
  <si>
    <t>http://phminhong.com/</t>
  </si>
  <si>
    <t>万科白鹭郡</t>
  </si>
  <si>
    <t>厦门市万科白鹭郡置业有限公司</t>
  </si>
  <si>
    <t>荣纶纸业</t>
  </si>
  <si>
    <t>漳浦县绥安镇荣纶纸制品厂</t>
  </si>
  <si>
    <t>http://shurouya.com/</t>
  </si>
  <si>
    <t>崇融财务</t>
  </si>
  <si>
    <t>崇融（厦门）财务管理有限公司</t>
  </si>
  <si>
    <t>招商加盟-建设监理</t>
  </si>
  <si>
    <t>惠安建设监理有限公司</t>
  </si>
  <si>
    <t>丽声源音响</t>
  </si>
  <si>
    <t>厦门丽声源音响工程有限公司</t>
  </si>
  <si>
    <t>泉州德天1</t>
  </si>
  <si>
    <t>泉州德天物流有限公司</t>
  </si>
  <si>
    <t>昊亮</t>
  </si>
  <si>
    <t>厦门昊亮能源科技有限公司</t>
  </si>
  <si>
    <t>http://www.xmhlny.com</t>
  </si>
  <si>
    <t>聚顶</t>
  </si>
  <si>
    <t>厦门聚顶自动化设备有限公司</t>
  </si>
  <si>
    <t>http://www.pmi-juding.com</t>
  </si>
  <si>
    <t>寰宇网络</t>
  </si>
  <si>
    <t>漳州寰宇网络科技有限公司</t>
  </si>
  <si>
    <t>http://www.zzhynet.com/</t>
  </si>
  <si>
    <t>福建伟宏</t>
  </si>
  <si>
    <t>惠安伟宏石材装饰工程有限公司</t>
  </si>
  <si>
    <t>http://www.fjweihong.com</t>
  </si>
  <si>
    <t>福建富红兴</t>
  </si>
  <si>
    <t>福建富红兴苗木有限公司</t>
  </si>
  <si>
    <t>漳州华骏</t>
  </si>
  <si>
    <t>漳州市华骏知识产权服务有限公司</t>
  </si>
  <si>
    <t>鸣箭户外</t>
  </si>
  <si>
    <t>鸣箭（厦门）户外运动有限公司</t>
  </si>
  <si>
    <t>http://mingjiantuoxun.com</t>
  </si>
  <si>
    <t>闽南龙师团</t>
  </si>
  <si>
    <t>黄春福</t>
  </si>
  <si>
    <t>http://www.minlst.com</t>
  </si>
  <si>
    <t>厦门鑫驰物流</t>
  </si>
  <si>
    <t>厦门鑫驰物流有限公司</t>
  </si>
  <si>
    <t>http://www.xmwuliu.cn</t>
  </si>
  <si>
    <t>招商加盟-小橙</t>
  </si>
  <si>
    <t>福建小橙新能源科技有限公司</t>
  </si>
  <si>
    <t>嘉宏金属</t>
  </si>
  <si>
    <t>漳州市嘉宏金属制品有限公司</t>
  </si>
  <si>
    <t>https://shop1483635177392.1688.com/</t>
  </si>
  <si>
    <t>福建喜相逢5</t>
  </si>
  <si>
    <t>福建喜相逢汽车服务股份有限公司泉州分公司</t>
  </si>
  <si>
    <t>利有膜结构</t>
  </si>
  <si>
    <t>泉州利有膜结构工程有限公司</t>
  </si>
  <si>
    <t>http://www.fjlymjg.com</t>
  </si>
  <si>
    <t>招商加盟-匠多多</t>
  </si>
  <si>
    <t>福建匠多多物联网科技有限公司</t>
  </si>
  <si>
    <t>草根蓝</t>
  </si>
  <si>
    <t>厦门草根蓝实业有限公司</t>
  </si>
  <si>
    <t>http://www.caogenlan.com</t>
  </si>
  <si>
    <t>龙岩江铃汽车</t>
  </si>
  <si>
    <t>新罗区江铃汽车租赁行</t>
  </si>
  <si>
    <t>http://www.lyjlqczl.com/</t>
  </si>
  <si>
    <t>厦门聚龙游</t>
  </si>
  <si>
    <t>厦门聚龙游网络科技有限公司</t>
  </si>
  <si>
    <t>zz佰优食品</t>
  </si>
  <si>
    <t>漳州佰优食品有限公司</t>
  </si>
  <si>
    <t>http://shop295008841.taobao.com</t>
  </si>
  <si>
    <t>福建尚峰1</t>
  </si>
  <si>
    <t>福建省南安市尚峰石材有限公司</t>
  </si>
  <si>
    <t>http://www.shangfengstone.com</t>
  </si>
  <si>
    <t>飞翼环保</t>
  </si>
  <si>
    <t>漳州市飞翼环保科技有限公司</t>
  </si>
  <si>
    <t>http://www.fyhb888.com/</t>
  </si>
  <si>
    <t>石林石材厂</t>
  </si>
  <si>
    <t>长泰县石林石材厂</t>
  </si>
  <si>
    <t>享福缘</t>
  </si>
  <si>
    <t>厦门市享福缘汽车服务有限公司</t>
  </si>
  <si>
    <t>外里科技</t>
  </si>
  <si>
    <t>厦门外里科技有限公司</t>
  </si>
  <si>
    <t>https://wailikeji.com/</t>
  </si>
  <si>
    <t>快牛财务代理</t>
  </si>
  <si>
    <t>漳州快牛财务代理有限公司</t>
  </si>
  <si>
    <t>http://zzkncw.com/</t>
  </si>
  <si>
    <t>早丰食品1</t>
  </si>
  <si>
    <t>漳州市早丰食品有限公司</t>
  </si>
  <si>
    <t>https://mobile.yangkeduo.com/mall_page.html?mall_id=411047038</t>
  </si>
  <si>
    <t>福建依美颜</t>
  </si>
  <si>
    <t>福建依美颜实业有限公司</t>
  </si>
  <si>
    <t>泉州志森</t>
  </si>
  <si>
    <t>泉州市志森营地服务有限公司</t>
  </si>
  <si>
    <t>七星电气3</t>
  </si>
  <si>
    <t>七星电气股份有限公司</t>
  </si>
  <si>
    <t>http://www.qzssec.com</t>
  </si>
  <si>
    <t>漳州科技</t>
  </si>
  <si>
    <t>漳州科技职业学院</t>
  </si>
  <si>
    <t>http://www.tftc.edu.cn</t>
  </si>
  <si>
    <t>中鼎航</t>
  </si>
  <si>
    <t>厦门市中鼎航物流有限公司</t>
  </si>
  <si>
    <t>福建绿格</t>
  </si>
  <si>
    <t>福建绿格新材料科技有限公司</t>
  </si>
  <si>
    <t>http://www.iecogrid.com</t>
  </si>
  <si>
    <t>蔡火成蜜柚</t>
  </si>
  <si>
    <t>平和县蔡火成三红蜜柚苗木专业合作社</t>
  </si>
  <si>
    <t>http://www.miyoumiaopu.com</t>
  </si>
  <si>
    <t>振松花卉</t>
  </si>
  <si>
    <t>漳州市龙文区振松花卉专业合作社</t>
  </si>
  <si>
    <t>http://www.zzzshh.com</t>
  </si>
  <si>
    <t>西博思1</t>
  </si>
  <si>
    <t>西博思（福建）测控有限公司</t>
  </si>
  <si>
    <t>http://www.siposck.com</t>
  </si>
  <si>
    <t>漳州翔明石材</t>
  </si>
  <si>
    <t>长泰翔明石材销售有限公司</t>
  </si>
  <si>
    <t>http://www.ctxmsy.com</t>
  </si>
  <si>
    <t>大拇指家政1</t>
  </si>
  <si>
    <t>石狮市大拇指家政服务部</t>
  </si>
  <si>
    <t>海事职业</t>
  </si>
  <si>
    <t>漳州海事职业技术学校</t>
  </si>
  <si>
    <t>http://www.fjzzhs.cn/</t>
  </si>
  <si>
    <t>诚兴食品</t>
  </si>
  <si>
    <t>诚兴（泉州市）健康食品有限公司</t>
  </si>
  <si>
    <t>嘉邻闪亮</t>
  </si>
  <si>
    <t>厦门市海沧区嘉邻闪亮汽车咨询服务部</t>
  </si>
  <si>
    <t>晋江白驹</t>
  </si>
  <si>
    <t>晋江市陈埭镇白驹货物运输代理服务部</t>
  </si>
  <si>
    <t>百信种植场</t>
  </si>
  <si>
    <t>平和县大溪镇百信苗木种植场</t>
  </si>
  <si>
    <t>http://bxmmzzc.com</t>
  </si>
  <si>
    <t>清乾园艺</t>
  </si>
  <si>
    <t>漳浦县马口清乾园艺场</t>
  </si>
  <si>
    <t>http://www.fjqqyy.com</t>
  </si>
  <si>
    <t>白水金绿</t>
  </si>
  <si>
    <t>龙海市白水金绿园园艺场</t>
  </si>
  <si>
    <t>http://zzjlyyy.com/</t>
  </si>
  <si>
    <t>厦门速安信</t>
  </si>
  <si>
    <t>厦门速安信建筑工程有限公司</t>
  </si>
  <si>
    <t>http://qiegezh.com</t>
  </si>
  <si>
    <t>万佳安白蚁</t>
  </si>
  <si>
    <t>漳州市万佳安白蚁防治服务有限公司</t>
  </si>
  <si>
    <t>挖码信息2</t>
  </si>
  <si>
    <t>美黛子</t>
  </si>
  <si>
    <t>漳州美黛子包装制品有限公司</t>
  </si>
  <si>
    <t>http://www.maidaizi.com</t>
  </si>
  <si>
    <t>崇正棋院</t>
  </si>
  <si>
    <t>福建省崇正文化传播有限公司</t>
  </si>
  <si>
    <t>http://www.zhkezhan.com</t>
  </si>
  <si>
    <t>厦门谷道</t>
  </si>
  <si>
    <t>厦门谷道集团有限公司</t>
  </si>
  <si>
    <t>正祁茶业2</t>
  </si>
  <si>
    <t>泉州市正祁茶业有限公司</t>
  </si>
  <si>
    <t>http://www.chazhimiao02.com</t>
  </si>
  <si>
    <t>笔韵文化</t>
  </si>
  <si>
    <t>漳州开发区笔韵文化创意工作室</t>
  </si>
  <si>
    <t>http://www.bywhcygzs.com/</t>
  </si>
  <si>
    <t>大同发</t>
  </si>
  <si>
    <t>厦门大同发汽车驾驶员培训有限公司</t>
  </si>
  <si>
    <t>闽建建材</t>
  </si>
  <si>
    <t>漳州市芗城区闽建建材有限公司</t>
  </si>
  <si>
    <t>雷鹰文化</t>
  </si>
  <si>
    <t>漳州市雷鹰文化传播有限公司</t>
  </si>
  <si>
    <t>http://zzlyclub.com/</t>
  </si>
  <si>
    <t>思冠科技</t>
  </si>
  <si>
    <t>厦门思冠科技有限公司</t>
  </si>
  <si>
    <t>漳州阿谈内衣</t>
  </si>
  <si>
    <t>漳州市阿谈内衣有限公司</t>
  </si>
  <si>
    <t>http://www.xdd-zzfgs.com/</t>
  </si>
  <si>
    <t>康辉西林</t>
  </si>
  <si>
    <t>厦门康辉国际旅行社有限公司西林东路门市部</t>
  </si>
  <si>
    <t>易旭陶瓷1</t>
  </si>
  <si>
    <t>南盟金属</t>
  </si>
  <si>
    <t>漳州市南盟金属制品有限公司</t>
  </si>
  <si>
    <t>http://www.fjjztai.com</t>
  </si>
  <si>
    <t>瑞芳美容美发</t>
  </si>
  <si>
    <t>漳州市瑞芳美容美发色彩职业培训学校</t>
  </si>
  <si>
    <t>http://www.ruifang.net</t>
  </si>
  <si>
    <t>桃琴智能</t>
  </si>
  <si>
    <t>厦门桃琴智能科技有限公司</t>
  </si>
  <si>
    <t>http://www.fjbaisheng.cn</t>
  </si>
  <si>
    <t>众号通讯</t>
  </si>
  <si>
    <t>漳州好帮手家政服务有限公司</t>
  </si>
  <si>
    <t>http://www.0596haoma.com</t>
  </si>
  <si>
    <t>巴普</t>
  </si>
  <si>
    <t>福建泉州巴普智能科技有限公司</t>
  </si>
  <si>
    <t>http://www.bapuzhileng.com</t>
  </si>
  <si>
    <t>凌盛</t>
  </si>
  <si>
    <t>福建凌盛工贸有限公司</t>
  </si>
  <si>
    <t>http://www.fjlsgm.cn</t>
  </si>
  <si>
    <t>红紫满园</t>
  </si>
  <si>
    <t>厦门红紫满园网络科技有限公司</t>
  </si>
  <si>
    <t>先行交通</t>
  </si>
  <si>
    <t>漳州市先行交通建设有限公司</t>
  </si>
  <si>
    <t>http://www.lansuodiao.com</t>
  </si>
  <si>
    <t>福建星皓</t>
  </si>
  <si>
    <t>福建星皓消防科技有限公司</t>
  </si>
  <si>
    <t>兴邦温室</t>
  </si>
  <si>
    <t>兴邦(漳州)温室制造有限公司</t>
  </si>
  <si>
    <t>http://www.xingbangws.com</t>
  </si>
  <si>
    <t>甄品锦礼</t>
  </si>
  <si>
    <t>泉州甄品锦礼供应链有限公司</t>
  </si>
  <si>
    <t>http://www.zpjinli.com</t>
  </si>
  <si>
    <t>翀御光电</t>
  </si>
  <si>
    <t>漳州市翀御光电有限公司</t>
  </si>
  <si>
    <t>http://www.chongyu-lighting.com</t>
  </si>
  <si>
    <t>泉州锐光机械</t>
  </si>
  <si>
    <t>泉州市锐光机械制造有限公司</t>
  </si>
  <si>
    <t>ly业成防盗门</t>
  </si>
  <si>
    <t>龙岩市新罗区业成防盗门经营部</t>
  </si>
  <si>
    <t>http://lyycmmzns.com</t>
  </si>
  <si>
    <t>坂兴红酒厂</t>
  </si>
  <si>
    <t>长泰坂兴红酒厂</t>
  </si>
  <si>
    <t>https://shop1a5703157s273.1688.com/</t>
  </si>
  <si>
    <t>融易厦门</t>
  </si>
  <si>
    <t>http://www.paypos.com.cn/</t>
  </si>
  <si>
    <t>龙能电力</t>
  </si>
  <si>
    <t>福建龙能电力有限公司</t>
  </si>
  <si>
    <t>http://www.fjlndl.com</t>
  </si>
  <si>
    <t>漳州贵友</t>
  </si>
  <si>
    <t>漳州市贵友工贸有限公司</t>
  </si>
  <si>
    <t>http://www.yoodoo-pomelo.com</t>
  </si>
  <si>
    <t>晟标筛网</t>
  </si>
  <si>
    <t>漳州市晟标筛网有限公司</t>
  </si>
  <si>
    <t>http://www.zzsbsw.com/</t>
  </si>
  <si>
    <t>傲康科技</t>
  </si>
  <si>
    <t>福建傲康科技有限公司</t>
  </si>
  <si>
    <t>http://aokangkeji.cn</t>
  </si>
  <si>
    <t>厦门上风机电</t>
  </si>
  <si>
    <t>厦门上风机电工程有限公司</t>
  </si>
  <si>
    <t>http://www.xmshangfeng.com</t>
  </si>
  <si>
    <t>纪元生命</t>
  </si>
  <si>
    <t>纪元生命（厦门）文化传媒有限公司</t>
  </si>
  <si>
    <t>http://www.jysmwh.com</t>
  </si>
  <si>
    <t>金泰亨商务</t>
  </si>
  <si>
    <t>漳州市龙文区金泰亨商务咨询服务部</t>
  </si>
  <si>
    <t>宏友不锈钢</t>
  </si>
  <si>
    <t>漳州宏友不锈钢制品有限公司</t>
  </si>
  <si>
    <t>http://www.zzhyss.com/</t>
  </si>
  <si>
    <t>龙岩莲源农业</t>
  </si>
  <si>
    <t>福建莲源农业科技有限公司</t>
  </si>
  <si>
    <t>http://fjlynykj.com</t>
  </si>
  <si>
    <t>圣医氏家</t>
  </si>
  <si>
    <t>圣医氏家（厦门）生物科技有限公司</t>
  </si>
  <si>
    <t>马口忠景</t>
  </si>
  <si>
    <t>漳浦县马口忠景园艺场</t>
  </si>
  <si>
    <t>http://www.zpzjyy.com/</t>
  </si>
  <si>
    <t>共享家园</t>
  </si>
  <si>
    <t>漳州共享家园商贸有限公司</t>
  </si>
  <si>
    <t>http://gong529.com/</t>
  </si>
  <si>
    <t>正达护栏1</t>
  </si>
  <si>
    <t>泉州正达交通防护设施有限公司</t>
  </si>
  <si>
    <t>http://www.fjzdhl.com</t>
  </si>
  <si>
    <t>泉净家政</t>
  </si>
  <si>
    <t>泉州市泉净家政服务有限公司</t>
  </si>
  <si>
    <t>福联木业</t>
  </si>
  <si>
    <t>漳州市龙文区福联木业加工场</t>
  </si>
  <si>
    <t>http://www.f16688.cn</t>
  </si>
  <si>
    <t>漳州宸熙</t>
  </si>
  <si>
    <t>漳州宸熙生物科技有限公司</t>
  </si>
  <si>
    <t>漳州鑫辉隆</t>
  </si>
  <si>
    <t>漳州鑫辉隆工贸有限公司</t>
  </si>
  <si>
    <t>http://www.xhlgm.com/</t>
  </si>
  <si>
    <t>至腾鑫顺</t>
  </si>
  <si>
    <t>厦门至腾鑫顺仓储设备有限公司</t>
  </si>
  <si>
    <t>http://www.fjzhtcc.com</t>
  </si>
  <si>
    <t>博显装饰</t>
  </si>
  <si>
    <t>漳州市博显装饰工程有限公司</t>
  </si>
  <si>
    <t>http://zzbxzs.com/</t>
  </si>
  <si>
    <t>发达石材</t>
  </si>
  <si>
    <t>长泰县发达石材经营部</t>
  </si>
  <si>
    <t>http://fadastone.com/</t>
  </si>
  <si>
    <t>天趣数控</t>
  </si>
  <si>
    <t>漳州市天趣数控设备有限公司</t>
  </si>
  <si>
    <t>http://zztqsk.com</t>
  </si>
  <si>
    <t>三千尺科技</t>
  </si>
  <si>
    <t>厦门三千尺科技有限公司</t>
  </si>
  <si>
    <t>https://www.9557.com/</t>
  </si>
  <si>
    <t>漳州英特捷</t>
  </si>
  <si>
    <t>漳州英特捷自动化科技有限公司</t>
  </si>
  <si>
    <t>http://www.2057112.com/</t>
  </si>
  <si>
    <t>厦门邦唱</t>
  </si>
  <si>
    <t>厦门邦唱网络科技有限公司</t>
  </si>
  <si>
    <t>漳浦马口宏远</t>
  </si>
  <si>
    <t>漳浦县马口宏远园艺场</t>
  </si>
  <si>
    <t>http://fjhymm.cn/</t>
  </si>
  <si>
    <t>驭美物流</t>
  </si>
  <si>
    <t>厦门驭美物流有限公司</t>
  </si>
  <si>
    <t>锦华回收</t>
  </si>
  <si>
    <t>泉州锦华再生资源回收有限公司</t>
  </si>
  <si>
    <t>元玉汇</t>
  </si>
  <si>
    <t>石狮市元玉汇科技有限公司</t>
  </si>
  <si>
    <t>漳州建恒建材</t>
  </si>
  <si>
    <t>漳浦县建恒建材有限公司</t>
  </si>
  <si>
    <t>http://www.zzjhjc.cn</t>
  </si>
  <si>
    <t>科晟机械</t>
  </si>
  <si>
    <t>漳州科晟机械有限公司</t>
  </si>
  <si>
    <t>http://www.zzkesheng.com</t>
  </si>
  <si>
    <t>泉州卡奢</t>
  </si>
  <si>
    <t>泉州市卡奢投资咨询有限公司</t>
  </si>
  <si>
    <t>四雄机械</t>
  </si>
  <si>
    <t>泉州市四雄机械设备有限公司</t>
  </si>
  <si>
    <t>马口景林</t>
  </si>
  <si>
    <t>漳浦县马口景林园艺场</t>
  </si>
  <si>
    <t>http://jlyych1688.1688.com</t>
  </si>
  <si>
    <t>鑫达德</t>
  </si>
  <si>
    <t>厦门鑫达德工贸有限公司</t>
  </si>
  <si>
    <t>华鑫汽车培训</t>
  </si>
  <si>
    <t>晋江市华鑫汽车培训有限公司</t>
  </si>
  <si>
    <t>http://www.dsqcpx.com</t>
  </si>
  <si>
    <t>新恒兴</t>
  </si>
  <si>
    <t>漳州市龙文区新恒兴林业综合开发专业合作社</t>
  </si>
  <si>
    <t>http://www.zzxhxgm.com</t>
  </si>
  <si>
    <t>茶千秋信息</t>
  </si>
  <si>
    <t>厦门茶千秋信息科技有限公司</t>
  </si>
  <si>
    <t>要什么网</t>
  </si>
  <si>
    <t>漳州家保网络技术服务有限公司</t>
  </si>
  <si>
    <t>http://www.1shen.me</t>
  </si>
  <si>
    <t>欣创艺1</t>
  </si>
  <si>
    <t>厦门欣创艺广告有限公司</t>
  </si>
  <si>
    <t>http://www.xcygood.com</t>
  </si>
  <si>
    <t>厦门宸展光电</t>
  </si>
  <si>
    <t>宸展光电（厦门）股份有限公司</t>
  </si>
  <si>
    <t>http://www.tes-tec.com.cn</t>
  </si>
  <si>
    <t>宝山木材</t>
  </si>
  <si>
    <t>漳州市龙文区宝山木材加工场</t>
  </si>
  <si>
    <t>http://www.zzbsmc.com</t>
  </si>
  <si>
    <t>蜜原生态</t>
  </si>
  <si>
    <t>漳浦蜜原生态农场有限公司</t>
  </si>
  <si>
    <t>http://www.miyuan2013.com.cn</t>
  </si>
  <si>
    <t>日日兴</t>
  </si>
  <si>
    <t>漳州市龙文区日日兴机电厂</t>
  </si>
  <si>
    <t>http://www.zzrrxjd.com</t>
  </si>
  <si>
    <t>高海滨回收</t>
  </si>
  <si>
    <t>厦门市高海滨再生资源回收有限公司</t>
  </si>
  <si>
    <t>洪俊涂料</t>
  </si>
  <si>
    <t>石狮市洪俊涂料店</t>
  </si>
  <si>
    <t>企飞网络</t>
  </si>
  <si>
    <t>漳州企飞网络科技有限公司</t>
  </si>
  <si>
    <t>http://www.qifei86.com/</t>
  </si>
  <si>
    <t>果立达</t>
  </si>
  <si>
    <t>漳州果立达食品有限公司</t>
  </si>
  <si>
    <t>http://www.guolidafood.com</t>
  </si>
  <si>
    <t>环绿纸塑</t>
  </si>
  <si>
    <t>漳州环绿纸塑包装有限公司</t>
  </si>
  <si>
    <t>http://www.fjhlzs.com/</t>
  </si>
  <si>
    <t>大诚园艺</t>
  </si>
  <si>
    <t>漳州大诚园艺有限公司</t>
  </si>
  <si>
    <t>http://www.zzdcyl.com</t>
  </si>
  <si>
    <t>允诚货运</t>
  </si>
  <si>
    <t>惠安县允诚货物运输代理服务部</t>
  </si>
  <si>
    <t>原生果苗</t>
  </si>
  <si>
    <t>漳州市平和县原生果苗培育专业合作社</t>
  </si>
  <si>
    <t>http://www.fjysgm.com</t>
  </si>
  <si>
    <t>闽昌胶合板</t>
  </si>
  <si>
    <t>漳州市龙文区闽昌胶合板经营部</t>
  </si>
  <si>
    <t>http://fjmlmy.com</t>
  </si>
  <si>
    <t>中唐园林</t>
  </si>
  <si>
    <t>漳州中唐园林绿化工程有限公司</t>
  </si>
  <si>
    <t>http://www.zhongtangyuanlin.com</t>
  </si>
  <si>
    <t>欧维亚</t>
  </si>
  <si>
    <t>漳州市龙文区欧维亚发电机经营部</t>
  </si>
  <si>
    <t>正三红蜜</t>
  </si>
  <si>
    <t>平和县正三红蜜柚专业合作社</t>
  </si>
  <si>
    <t>http://www.zshmy.com</t>
  </si>
  <si>
    <t>南海旺钢结构</t>
  </si>
  <si>
    <t>厦门市南海旺钢结构工程有限公司</t>
  </si>
  <si>
    <t>http://www.nhwgjg.cn</t>
  </si>
  <si>
    <t>厦门可爱学</t>
  </si>
  <si>
    <t>厦门可爱学信息科技有限公司</t>
  </si>
  <si>
    <t>http://www.keaixue.com</t>
  </si>
  <si>
    <t>漳州瑞意达</t>
  </si>
  <si>
    <t>漳州瑞意达新材料有限公司</t>
  </si>
  <si>
    <t>http://www.xmrextra.com/</t>
  </si>
  <si>
    <t>鑫威龙</t>
  </si>
  <si>
    <t>漳州市龙文区鑫威龙卷帘门电机厂</t>
  </si>
  <si>
    <t>http://www.fjxwl.com</t>
  </si>
  <si>
    <t>福建大石</t>
  </si>
  <si>
    <t>福建大石建设有限公司</t>
  </si>
  <si>
    <t>http://www.27975888.cn</t>
  </si>
  <si>
    <t>盛驰园艺</t>
  </si>
  <si>
    <t>漳浦县马口盛驰园艺场</t>
  </si>
  <si>
    <t>http://scyy.85151.com</t>
  </si>
  <si>
    <t>三君子花木1</t>
  </si>
  <si>
    <t>龙海市三君子花木专业合作社</t>
  </si>
  <si>
    <t>http://www.fjsjzmm.com/</t>
  </si>
  <si>
    <t>大正冷冻</t>
  </si>
  <si>
    <t>漳州大正冷冻食品有限公司</t>
  </si>
  <si>
    <t>http://www.fjdzlk.com</t>
  </si>
  <si>
    <t>润添金属</t>
  </si>
  <si>
    <t>漳州润添金属科技有限公司</t>
  </si>
  <si>
    <t>http://www.runtianjs.com</t>
  </si>
  <si>
    <t>漳州冠裕</t>
  </si>
  <si>
    <t>漳州冠裕家具有限公司</t>
  </si>
  <si>
    <t>静帮2</t>
  </si>
  <si>
    <t>厦门静帮信息技术有限公司</t>
  </si>
  <si>
    <t>泉州正誉</t>
  </si>
  <si>
    <t>泉州市正誉餐饮配送有限公司</t>
  </si>
  <si>
    <t>泉州夜秘2</t>
  </si>
  <si>
    <t>泉州市夜秘电子商务有限公司</t>
  </si>
  <si>
    <t>http://detail.tmall.com/item.htm?id=706507162759</t>
  </si>
  <si>
    <t>天羽商贸</t>
  </si>
  <si>
    <t>漳浦天羽商贸有限公司</t>
  </si>
  <si>
    <t>http://www.fjhandada.com</t>
  </si>
  <si>
    <t>厦门威铭</t>
  </si>
  <si>
    <t>厦门威铭杀虫技术服务有限公司</t>
  </si>
  <si>
    <t>http://www.9835.com.cn</t>
  </si>
  <si>
    <t>华舜生物</t>
  </si>
  <si>
    <t>厦门华舜生物科技有限公司</t>
  </si>
  <si>
    <t>http://xmhuashun.bdy.5067.org</t>
  </si>
  <si>
    <t>指纹科技</t>
  </si>
  <si>
    <t>厦门指纹科技有限公司</t>
  </si>
  <si>
    <t>https://www.hicustom.com/</t>
  </si>
  <si>
    <t>汇灿苗木</t>
  </si>
  <si>
    <t>漳浦县马口汇灿苗木场</t>
  </si>
  <si>
    <t>http://www.fjhcmm.com/</t>
  </si>
  <si>
    <t>山河园林</t>
  </si>
  <si>
    <t>漳州市山河园林绿化工程有限公司</t>
  </si>
  <si>
    <t>http://www.fjzzshyl.com/</t>
  </si>
  <si>
    <t>推大</t>
  </si>
  <si>
    <t>厦门市推大文化传播有限公司</t>
  </si>
  <si>
    <t>网红网络</t>
  </si>
  <si>
    <t>厦门网红网络科技有限公司</t>
  </si>
  <si>
    <t>http://www.zzlcr.com</t>
  </si>
  <si>
    <t>金新机电</t>
  </si>
  <si>
    <t>漳州金新机电设备有限公司</t>
  </si>
  <si>
    <t>http://jx-scale.com</t>
  </si>
  <si>
    <t>金米农业</t>
  </si>
  <si>
    <t>漳州市金米农业科技有限公司</t>
  </si>
  <si>
    <t>http://www.jinmi168.cn/</t>
  </si>
  <si>
    <t>腾越劳务派遣</t>
  </si>
  <si>
    <t>漳州市腾越劳务派遣有限公司</t>
  </si>
  <si>
    <t>http://www.zztengyue.com/</t>
  </si>
  <si>
    <t>福建大坚</t>
  </si>
  <si>
    <t>福建大坚润滑科技有限公司</t>
  </si>
  <si>
    <t>http://www.megalube.com.cn/</t>
  </si>
  <si>
    <t>泉州瑞丰财税</t>
  </si>
  <si>
    <t>泉州市瑞丰财税咨询有限公司</t>
  </si>
  <si>
    <t>http://www.refung.cn</t>
  </si>
  <si>
    <t>纬度创意</t>
  </si>
  <si>
    <t>泉州市纬度创意广告有限公司</t>
  </si>
  <si>
    <t>http://www.qzgg8.com</t>
  </si>
  <si>
    <t>漳州龙辉达</t>
  </si>
  <si>
    <t>漳州龙辉达电控设备有限公司</t>
  </si>
  <si>
    <t>http://www.zzlhd.com</t>
  </si>
  <si>
    <t>大大交通</t>
  </si>
  <si>
    <t>漳州大大交通设施有限公司</t>
  </si>
  <si>
    <t>http://www.zzsli.com</t>
  </si>
  <si>
    <t>佰润美妆</t>
  </si>
  <si>
    <t>https://detail.1688.com/offer/553213082938.html?spm=a26286.8251493.0.0.TfEuDL</t>
  </si>
  <si>
    <t>峰森工艺</t>
  </si>
  <si>
    <t>漳州峰森工艺品有限公司</t>
  </si>
  <si>
    <t>http://www.zzfssy.com/</t>
  </si>
  <si>
    <t>鑫泉中转</t>
  </si>
  <si>
    <t>漳州市龙文区鑫泉货物中转站</t>
  </si>
  <si>
    <t>http://www.zzxqwl.com</t>
  </si>
  <si>
    <t>好好文化</t>
  </si>
  <si>
    <t>福建好好文化传媒有限公司</t>
  </si>
  <si>
    <t>漳州晖扬软件</t>
  </si>
  <si>
    <t>漳州晖扬软件有限公司</t>
  </si>
  <si>
    <t>http://www.yunhuiyang.com/</t>
  </si>
  <si>
    <t>乐邦电子</t>
  </si>
  <si>
    <t>漳州市乐邦电子有限公司</t>
  </si>
  <si>
    <t>https://zzlebang.1688.com/</t>
  </si>
  <si>
    <t>xm艺天厦</t>
  </si>
  <si>
    <t>厦门艺天厦文化创意有限公司</t>
  </si>
  <si>
    <t>http://www.tiaozansai.com</t>
  </si>
  <si>
    <t>漳州仁和</t>
  </si>
  <si>
    <t>漳州芗城仁和诊所</t>
  </si>
  <si>
    <t>http://www.2138081.com</t>
  </si>
  <si>
    <t>漳浦和景园林</t>
  </si>
  <si>
    <t>漳浦县和景园林绿化场</t>
  </si>
  <si>
    <t>http://hejing0596.com</t>
  </si>
  <si>
    <t>龙文区迪申</t>
  </si>
  <si>
    <t>漳州市龙文区迪申建材经营部</t>
  </si>
  <si>
    <t>http://www.zzdishen.com/</t>
  </si>
  <si>
    <t>绿城花卉</t>
  </si>
  <si>
    <t>漳州市平和绿城花卉苗木基地</t>
  </si>
  <si>
    <t>http://phlcmm.com/</t>
  </si>
  <si>
    <t>柳美安防</t>
  </si>
  <si>
    <t>福建省柳美安防科技有限公司</t>
  </si>
  <si>
    <t>同安金亥</t>
  </si>
  <si>
    <t>厦门市同安区金亥广告服务部</t>
  </si>
  <si>
    <t>http://www.liangjiancang.com</t>
  </si>
  <si>
    <t>无的创造</t>
  </si>
  <si>
    <t>无的创造（厦门）家居有限公司</t>
  </si>
  <si>
    <t>http://www.modenodesign.com</t>
  </si>
  <si>
    <t>xm群贤世青</t>
  </si>
  <si>
    <t>厦门群贤世青研究院有限公司</t>
  </si>
  <si>
    <t>荣驰</t>
  </si>
  <si>
    <t>漳州市龙文区荣驰汽车信息咨询服务部</t>
  </si>
  <si>
    <t>http://zz2888888.com</t>
  </si>
  <si>
    <t>福骏木业</t>
  </si>
  <si>
    <t>漳州市福骏木业有限公司</t>
  </si>
  <si>
    <t>http://www.chnfj.com/</t>
  </si>
  <si>
    <t>正新汽车文化</t>
  </si>
  <si>
    <t>正新(厦门)汽车国际文化中心有限公司</t>
  </si>
  <si>
    <t>http://www.cstt86.com</t>
  </si>
  <si>
    <t>漳州人和</t>
  </si>
  <si>
    <t>漳州市人和旅游活动房制造有限公司</t>
  </si>
  <si>
    <t>http://www.renhexm.com/</t>
  </si>
  <si>
    <t>逸锐</t>
  </si>
  <si>
    <t>厦门逸锐信息科技有限公司</t>
  </si>
  <si>
    <t>http://www.xmyr.cn</t>
  </si>
  <si>
    <t>鸿铭节能设备</t>
  </si>
  <si>
    <t>漳州市鸿铭节能设备安装工程有限公司</t>
  </si>
  <si>
    <t>http://jydqsd.com</t>
  </si>
  <si>
    <t>酷炫轮滑</t>
  </si>
  <si>
    <t>漳州市龙文区酷炫轮滑鞋店</t>
  </si>
  <si>
    <t>http://www.zzkuxuan.com/</t>
  </si>
  <si>
    <t>思恩腾</t>
  </si>
  <si>
    <t>厦门市思恩腾电子商务有限公司</t>
  </si>
  <si>
    <t>http://www.chuyanmei.com</t>
  </si>
  <si>
    <t>林辉花卉</t>
  </si>
  <si>
    <t>漳浦县林辉花卉专业合作社</t>
  </si>
  <si>
    <t>http://www.lhhmc.com</t>
  </si>
  <si>
    <t>xm欣佳电</t>
  </si>
  <si>
    <t>厦门欣佳电科技有限公司</t>
  </si>
  <si>
    <t>http://www.xjdkj.cn</t>
  </si>
  <si>
    <t>漳州博胜</t>
  </si>
  <si>
    <t>漳州博胜会计师事务所有限公司</t>
  </si>
  <si>
    <t>http://www.zzbsgszc.com/</t>
  </si>
  <si>
    <t>南鹏物联</t>
  </si>
  <si>
    <t>厦门南鹏物联科技有限公司</t>
  </si>
  <si>
    <t>http://www.npiot.com</t>
  </si>
  <si>
    <t>陈万全园艺</t>
  </si>
  <si>
    <t>漳州陈万全园艺有限公司</t>
  </si>
  <si>
    <t>http://www.sanjiaomei0596.com/</t>
  </si>
  <si>
    <t>汇森回收</t>
  </si>
  <si>
    <t>漳州汇森物资回收有限公司</t>
  </si>
  <si>
    <t>赤湖陈志辉</t>
  </si>
  <si>
    <t>漳浦县赤湖镇陈志辉农副产品收购店</t>
  </si>
  <si>
    <t>http://zpmgq.1688.com</t>
  </si>
  <si>
    <t>锦溪三通红</t>
  </si>
  <si>
    <t>平和县锦溪三通红蜜柚苗圃场</t>
  </si>
  <si>
    <t>http://sthmym.com/</t>
  </si>
  <si>
    <t>中科福</t>
  </si>
  <si>
    <t>福建中科福进出口贸易有限公司</t>
  </si>
  <si>
    <t>七个水果</t>
  </si>
  <si>
    <t>厦门七个水果科技有限公司</t>
  </si>
  <si>
    <t>长桥景兴</t>
  </si>
  <si>
    <t>漳浦县长桥景兴木业加工场</t>
  </si>
  <si>
    <t>http://jingxingmuye.com</t>
  </si>
  <si>
    <t>厦门禾仕涂</t>
  </si>
  <si>
    <t>澳丽尔日化</t>
  </si>
  <si>
    <t>厦门澳丽尔日化有限公司</t>
  </si>
  <si>
    <t>http://www.hardingbaby.com</t>
  </si>
  <si>
    <t>森鑫彩钢</t>
  </si>
  <si>
    <t>漳州市森鑫彩钢夹心板有限公司</t>
  </si>
  <si>
    <t>http://www.senxincg.com</t>
  </si>
  <si>
    <t>侯氏防水</t>
  </si>
  <si>
    <t>泉州侯氏防水工程有限公司</t>
  </si>
  <si>
    <t>http://www.qz-fangshui.cn/</t>
  </si>
  <si>
    <t>伊洛科1</t>
  </si>
  <si>
    <t>泉州市伊洛科新材料有限公司</t>
  </si>
  <si>
    <t>金达威</t>
  </si>
  <si>
    <t>厦门金达威电子商务有限公司</t>
  </si>
  <si>
    <t>https://doctorsbest.tmall.hk/</t>
  </si>
  <si>
    <t>鼎缮美</t>
  </si>
  <si>
    <t>厦门鼎缮美建筑工程有限公司</t>
  </si>
  <si>
    <t>http://xmdsm.com.cn</t>
  </si>
  <si>
    <t>厦门欣旺捷</t>
  </si>
  <si>
    <t>欣旺捷标识设备(厦门)有限公司</t>
  </si>
  <si>
    <t>http://www.xwjxm.com</t>
  </si>
  <si>
    <t>道科特</t>
  </si>
  <si>
    <t>厦门道科特设备制造有限公司</t>
  </si>
  <si>
    <t>http://doctor-e.cn</t>
  </si>
  <si>
    <t>固嘉金属</t>
  </si>
  <si>
    <t>漳州市固嘉金属制品有限公司</t>
  </si>
  <si>
    <t>http://zzgujia.com</t>
  </si>
  <si>
    <t>嘉阳物流</t>
  </si>
  <si>
    <t>厦门嘉阳物流有限公司</t>
  </si>
  <si>
    <t>快又好家政服务</t>
  </si>
  <si>
    <t>厦门市快又好家政服务有限公司思明分公司</t>
  </si>
  <si>
    <t>闵远</t>
  </si>
  <si>
    <t>漳州市龙文区闵远货物中转站</t>
  </si>
  <si>
    <t>http://www.zzmy56.com</t>
  </si>
  <si>
    <t>艾锋智能</t>
  </si>
  <si>
    <t>厦门艾锋智能科技有限公司</t>
  </si>
  <si>
    <t>伽伽汽车</t>
  </si>
  <si>
    <t>漳州伽伽汽车服务有限公司</t>
  </si>
  <si>
    <t>http://ab.xmjslwl.com/</t>
  </si>
  <si>
    <t>漳州华乐</t>
  </si>
  <si>
    <t>漳州市华乐塑胶彩印有限公司</t>
  </si>
  <si>
    <t>http://zzhlsj.com</t>
  </si>
  <si>
    <t>恒翔建材</t>
  </si>
  <si>
    <t>漳州市恒翔建材有限公司</t>
  </si>
  <si>
    <t>http://www.fjhxfs.com/</t>
  </si>
  <si>
    <t>居安驰</t>
  </si>
  <si>
    <t>厦门居安驰科技有限公司</t>
  </si>
  <si>
    <t>陈新建</t>
  </si>
  <si>
    <t>雄风纸筋灰钙厂</t>
  </si>
  <si>
    <t>龙岩市永定区雄风纸筋灰钙厂</t>
  </si>
  <si>
    <t>http://www.lyxfzj.com/</t>
  </si>
  <si>
    <t>漳州思程</t>
  </si>
  <si>
    <t>漳州思程人力资源有限公司</t>
  </si>
  <si>
    <t>http://www.sichenghr.com/</t>
  </si>
  <si>
    <t>福建云趣网络</t>
  </si>
  <si>
    <t>福建省云趣网络科技有限公司</t>
  </si>
  <si>
    <t>漳能园艺场</t>
  </si>
  <si>
    <t>漳浦县马口漳能园艺场</t>
  </si>
  <si>
    <t>http://www.znyyc.com</t>
  </si>
  <si>
    <t>昕昕电子</t>
  </si>
  <si>
    <t>漳州昕昕电子科技有限公司</t>
  </si>
  <si>
    <t>http://www.xinxin689.com/</t>
  </si>
  <si>
    <t>漳州思源</t>
  </si>
  <si>
    <t>漳州市思源环保科技有限公司</t>
  </si>
  <si>
    <t>http://www.siyuanzg.com</t>
  </si>
  <si>
    <t>健力体育</t>
  </si>
  <si>
    <t>漳州健力体育设施工程有限公司</t>
  </si>
  <si>
    <t>http://www.zzjlty.com</t>
  </si>
  <si>
    <t>游淑玲</t>
  </si>
  <si>
    <t>漳州三角梅协会</t>
  </si>
  <si>
    <t>漳州市三角梅协会</t>
  </si>
  <si>
    <t>http://sjmxh.com/</t>
  </si>
  <si>
    <t>星莱迪</t>
  </si>
  <si>
    <t>厦门星莱迪教育咨询有限公司</t>
  </si>
  <si>
    <t>http://www.tiaojiu888.com</t>
  </si>
  <si>
    <t>坚果求职</t>
  </si>
  <si>
    <t>坚果求职（厦门）教育信息咨询有限公司</t>
  </si>
  <si>
    <t>http://www.jgqzoffer.com</t>
  </si>
  <si>
    <t>鑫晟元陶瓷</t>
  </si>
  <si>
    <t>德化县鑫晟元陶瓷厂</t>
  </si>
  <si>
    <t>三思电子</t>
  </si>
  <si>
    <t>漳州三思电子科技有限公司</t>
  </si>
  <si>
    <t>http://www.fjsansi.com</t>
  </si>
  <si>
    <t>厦门威万</t>
  </si>
  <si>
    <t>厦门威万金属科技有限公司</t>
  </si>
  <si>
    <t>韦尔通</t>
  </si>
  <si>
    <t>厦门韦尔通科技有限公司</t>
  </si>
  <si>
    <t>http://www.weldtone.com</t>
  </si>
  <si>
    <t>漳州宸熙生物</t>
  </si>
  <si>
    <t>正晓软件</t>
  </si>
  <si>
    <t>漳州市龙文区正晓软件信息咨询服务部</t>
  </si>
  <si>
    <t>http://www.kzpxzx.cn/</t>
  </si>
  <si>
    <t>德亚商贸</t>
  </si>
  <si>
    <t>青柚网苗木</t>
  </si>
  <si>
    <t>平和县青柚网苗木有限公司</t>
  </si>
  <si>
    <t>赋能创新</t>
  </si>
  <si>
    <t>厦门赋能创新信息科技有限公司</t>
  </si>
  <si>
    <t>永宽</t>
  </si>
  <si>
    <t>漳州市龙文区永宽货运中转站</t>
  </si>
  <si>
    <t>http://zzykwl.com/</t>
  </si>
  <si>
    <t>漳州国科</t>
  </si>
  <si>
    <t>漳州市国科知识产权事务有限公司</t>
  </si>
  <si>
    <t>http://fjguoke.com/</t>
  </si>
  <si>
    <t>鲜果缘贸易</t>
  </si>
  <si>
    <t>漳州鲜果缘贸易有限公司</t>
  </si>
  <si>
    <t>http://fjbxgm.com/</t>
  </si>
  <si>
    <t>迈拓斯</t>
  </si>
  <si>
    <t>漳州迈拓斯电子科技有限公司</t>
  </si>
  <si>
    <t>http://www.avmatrix.cn</t>
  </si>
  <si>
    <t>龙岩铁三角</t>
  </si>
  <si>
    <t>福建龙岩铁三角建材有限公司</t>
  </si>
  <si>
    <t>http://www.fjlytsjjc.com/</t>
  </si>
  <si>
    <t>漳州恒昌</t>
  </si>
  <si>
    <t>漳州市芗城恒昌汽车配件店</t>
  </si>
  <si>
    <t>http://zzhc777.com</t>
  </si>
  <si>
    <t>农兴园林</t>
  </si>
  <si>
    <t>漳州市农兴园林绿化工程有限公司</t>
  </si>
  <si>
    <t>http://fjnxmm.com/</t>
  </si>
  <si>
    <t>玄盾网络</t>
  </si>
  <si>
    <t>泉州市玄盾网络科技有限公司</t>
  </si>
  <si>
    <t>福建金泰</t>
  </si>
  <si>
    <t>福建金泰物流有限公司</t>
  </si>
  <si>
    <t>绿地园艺</t>
  </si>
  <si>
    <t>漳浦县马口绿地园艺场</t>
  </si>
  <si>
    <t>http://www.ldmy.jqw.com</t>
  </si>
  <si>
    <t>博众贸易</t>
  </si>
  <si>
    <t>漳州博众磨具有限公司</t>
  </si>
  <si>
    <t>http://zzbozhong.1688.com/</t>
  </si>
  <si>
    <t>李家有料</t>
  </si>
  <si>
    <t>厦门李家有料餐饮有限公司</t>
  </si>
  <si>
    <t>厦门当盛</t>
  </si>
  <si>
    <t>厦门当盛新材料有限公司</t>
  </si>
  <si>
    <t>http://www.dangs.com.cn</t>
  </si>
  <si>
    <t>漳州建上</t>
  </si>
  <si>
    <t>漳州建上房地产营销策划有限公司</t>
  </si>
  <si>
    <t>http://www.jsdc.top/</t>
  </si>
  <si>
    <t>漳州明鑫</t>
  </si>
  <si>
    <t>漳州明鑫包装材料有限公司</t>
  </si>
  <si>
    <t>http://mingxingbz.com</t>
  </si>
  <si>
    <t>简算科技</t>
  </si>
  <si>
    <t>厦门简算科技有限公司</t>
  </si>
  <si>
    <t>http://www.taoxyun.com</t>
  </si>
  <si>
    <t>东鸿木业1</t>
  </si>
  <si>
    <t>漳州开发区东鸿木业有限公司</t>
  </si>
  <si>
    <t>佳宁电器</t>
  </si>
  <si>
    <t>漳州市佳宁电气设备有限公司</t>
  </si>
  <si>
    <t>http://zzjianing.com/index.asp</t>
  </si>
  <si>
    <t>漳州鹏举</t>
  </si>
  <si>
    <t>漳州鹏举园林绿化工程有限公司</t>
  </si>
  <si>
    <t>厦门金纶科技</t>
  </si>
  <si>
    <t>厦门金纶科技有限公司</t>
  </si>
  <si>
    <t>http://qlfiber.com/</t>
  </si>
  <si>
    <t>厦门高染</t>
  </si>
  <si>
    <t>厦门高染网络科技有限公司</t>
  </si>
  <si>
    <t>http://www.qiumawang.com</t>
  </si>
  <si>
    <t>华鸿塑胶</t>
  </si>
  <si>
    <t>漳州市华鸿塑胶有限公司</t>
  </si>
  <si>
    <t>http://www.zzhhsj.com/Default.aspx</t>
  </si>
  <si>
    <t>漳州林联</t>
  </si>
  <si>
    <t>漳州林联木业科技有限公司</t>
  </si>
  <si>
    <t>http://www.linlianmuye.com/</t>
  </si>
  <si>
    <t>泉州希蓝</t>
  </si>
  <si>
    <t>泉州希蓝膜结构工程有限公司</t>
  </si>
  <si>
    <t>http://www.qzxlmjg.com</t>
  </si>
  <si>
    <t>恒基地探</t>
  </si>
  <si>
    <t>漳州市恒基管道检测有限公司</t>
  </si>
  <si>
    <t>http://www.51lem.com</t>
  </si>
  <si>
    <t>zzqjt</t>
  </si>
  <si>
    <t>漳州全景通信息技术有限公司</t>
  </si>
  <si>
    <t>http://www.3dfc.com</t>
  </si>
  <si>
    <t>厦门天俊</t>
  </si>
  <si>
    <t>厦门天俊广告有限公司</t>
  </si>
  <si>
    <t>http://www.xmtjgg.com</t>
  </si>
  <si>
    <t>同辉木业</t>
  </si>
  <si>
    <t>漳州市同辉木业有限公司</t>
  </si>
  <si>
    <t>泉州凡风</t>
  </si>
  <si>
    <t>泉州市凡风新材料有限责任公司</t>
  </si>
  <si>
    <t>http://www.qz3f.com</t>
  </si>
  <si>
    <t>源琳园艺场</t>
  </si>
  <si>
    <t>漳浦县源琳园艺场</t>
  </si>
  <si>
    <t>http://www.zzylyyc.com</t>
  </si>
  <si>
    <t>瓷艺城1</t>
  </si>
  <si>
    <t>德化县瓷艺城运营管理有限公司</t>
  </si>
  <si>
    <t>亿佳兴</t>
  </si>
  <si>
    <t>漳州市龙文区亿佳兴电动门商行</t>
  </si>
  <si>
    <t>http://zzyjddm.com/</t>
  </si>
  <si>
    <t>招商-唯尊贸易</t>
  </si>
  <si>
    <t>漳州市唯尊贸易有限公司</t>
  </si>
  <si>
    <t>漳州锦恒通</t>
  </si>
  <si>
    <t>漳州锦恒通工贸有限公司</t>
  </si>
  <si>
    <t>https://mall.jd.com/index-651414.html</t>
  </si>
  <si>
    <t>招商加盟-厦门精卫</t>
  </si>
  <si>
    <t>厦门精卫智能家居有限公司</t>
  </si>
  <si>
    <t>唯美园艺场</t>
  </si>
  <si>
    <t>漳浦县马口唯美园艺场</t>
  </si>
  <si>
    <t>http://www.fjwmyy.com/</t>
  </si>
  <si>
    <t>正兴医院</t>
  </si>
  <si>
    <t>漳州正兴医院</t>
  </si>
  <si>
    <t>http://sjnk.zxzxmr.com/</t>
  </si>
  <si>
    <t>佳旋家具</t>
  </si>
  <si>
    <t>漳州市佳旋办公家具有限公司</t>
  </si>
  <si>
    <t>http://www.zzjxbgjj.com</t>
  </si>
  <si>
    <t>益美木工</t>
  </si>
  <si>
    <t>漳州市龙文区益美木工机械加工场</t>
  </si>
  <si>
    <t>http://www.fjymjx.cn</t>
  </si>
  <si>
    <t>曾献勇律师</t>
  </si>
  <si>
    <t>曾献勇</t>
  </si>
  <si>
    <t>http://www.zxy-lawyer.com</t>
  </si>
  <si>
    <t>可爱学品牌</t>
  </si>
  <si>
    <t>厦门可爱学品牌管理有限公司</t>
  </si>
  <si>
    <t>http://www.keaixue.com/</t>
  </si>
  <si>
    <t>泊晖园林</t>
  </si>
  <si>
    <t>漳州泊晖园林景观工程有限公司</t>
  </si>
  <si>
    <t>http://www.zzbhyl.com/</t>
  </si>
  <si>
    <t>zz鸿瑞祥</t>
  </si>
  <si>
    <t>漳州鸿瑞祥丝网制品有限公司</t>
  </si>
  <si>
    <t>http://www.zzhrx.com</t>
  </si>
  <si>
    <t>车仆汽车</t>
  </si>
  <si>
    <t>漳州市龙文区车仆汽车美容店</t>
  </si>
  <si>
    <t>http://relax365.cn</t>
  </si>
  <si>
    <t>街空间</t>
  </si>
  <si>
    <t>街空间众创空间（厦门）有限公司</t>
  </si>
  <si>
    <t>http://www.jiekongjian.com/</t>
  </si>
  <si>
    <t>和平加工</t>
  </si>
  <si>
    <t>漳州市龙文区和平塑料制品加工厂</t>
  </si>
  <si>
    <t>http://www.hpsl88.com</t>
  </si>
  <si>
    <t>朴美美容店</t>
  </si>
  <si>
    <t>漳州市龙文区朴美美容店</t>
  </si>
  <si>
    <t>http://fjpm520.com/</t>
  </si>
  <si>
    <t>漳州三龙</t>
  </si>
  <si>
    <t>漳州市三龙环保建材有限公司</t>
  </si>
  <si>
    <t>http://www.chengxinpvc.com</t>
  </si>
  <si>
    <t>漳州龙彪</t>
  </si>
  <si>
    <t>漳州龙彪齿轮传动设备有限公司</t>
  </si>
  <si>
    <t>http://www.zzlbcl.com/</t>
  </si>
  <si>
    <t>嘉殿贸易</t>
  </si>
  <si>
    <t>漳州市嘉殿贸易有限公司</t>
  </si>
  <si>
    <t>http://www.zzsjdmy.com</t>
  </si>
  <si>
    <t>鸿景园艺</t>
  </si>
  <si>
    <t>漳浦县鸿景园园艺场</t>
  </si>
  <si>
    <t>http://www.hjy.jqw.com</t>
  </si>
  <si>
    <t>鑫玉山</t>
  </si>
  <si>
    <t>厦门市集美区鑫玉山体育用品厂</t>
  </si>
  <si>
    <t>http://xinyushan.com</t>
  </si>
  <si>
    <t>漳州新盛园</t>
  </si>
  <si>
    <t>漳州市新盛园园艺有限公司</t>
  </si>
  <si>
    <t>冠诚嘉金属</t>
  </si>
  <si>
    <t>漳州冠诚嘉金属制品有限公</t>
  </si>
  <si>
    <t>http://zzgcj.com</t>
  </si>
  <si>
    <t>亚泰机械1</t>
  </si>
  <si>
    <t>漳州亚泰机械设备有限公司</t>
  </si>
  <si>
    <t>http://www.fjyataijx.com</t>
  </si>
  <si>
    <t>甜甜向尚</t>
  </si>
  <si>
    <t>惠安县甜甜向尚服装商行</t>
  </si>
  <si>
    <t>泉州爱媛</t>
  </si>
  <si>
    <t>泉州市爱媛健康科技有限公司</t>
  </si>
  <si>
    <t>漳州瑞雪制冷</t>
  </si>
  <si>
    <t>漳州瑞雪制冷设备有限公司</t>
  </si>
  <si>
    <t>http://www.zzrxzl.com</t>
  </si>
  <si>
    <t>盛景园艺场</t>
  </si>
  <si>
    <t>漳浦县官浔盛景园艺场</t>
  </si>
  <si>
    <t>http://zpsjyy.com</t>
  </si>
  <si>
    <t>鼎玉贸易</t>
  </si>
  <si>
    <t>漳州鼎玉贸易有限公司</t>
  </si>
  <si>
    <t>http://www.fjhah.com</t>
  </si>
  <si>
    <t>纬象科技</t>
  </si>
  <si>
    <t>厦门纬象州际科技有限公司</t>
  </si>
  <si>
    <t>http://shop276568169.taobao.com</t>
  </si>
  <si>
    <t>领闻会展</t>
  </si>
  <si>
    <t>领闻（厦门）会展服务有限公司</t>
  </si>
  <si>
    <t>http://www.linvenexpo.com</t>
  </si>
  <si>
    <t>厦门爱狮</t>
  </si>
  <si>
    <t>厦门爱狮教育咨询有限公司</t>
  </si>
  <si>
    <t>http://www.xmqbdf.com</t>
  </si>
  <si>
    <t>企微宝网络</t>
  </si>
  <si>
    <t>厦门企微宝网络科技有限公司</t>
  </si>
  <si>
    <t>https://qweib.com</t>
  </si>
  <si>
    <t>招商加盟-泉州全趣</t>
  </si>
  <si>
    <t>泉州全趣商贸有限公司</t>
  </si>
  <si>
    <t>http://www.quinmei.com</t>
  </si>
  <si>
    <t>鸿亿物资回收</t>
  </si>
  <si>
    <t>厦门鸿亿物资回收有限公司</t>
  </si>
  <si>
    <t>中辉中雅</t>
  </si>
  <si>
    <t>漳州台商投资区中辉中雅集装箱有限公司</t>
  </si>
  <si>
    <t>鑫瀚承工贸</t>
  </si>
  <si>
    <t>漳州鑫瀚承工贸有限公司</t>
  </si>
  <si>
    <t>http://www.fjxinhancheng.com/</t>
  </si>
  <si>
    <t>xm昆腾科技</t>
  </si>
  <si>
    <t>厦门昆腾科技开发有限公司</t>
  </si>
  <si>
    <t>http://www.kuantum.com.cn</t>
  </si>
  <si>
    <t>鼎富贸易</t>
  </si>
  <si>
    <t>泉州市鼎富贸易有限公司</t>
  </si>
  <si>
    <t>http://www.caiyu588.com</t>
  </si>
  <si>
    <t>绿洲园艺</t>
  </si>
  <si>
    <t>漳浦县马口绿洲园艺场</t>
  </si>
  <si>
    <t>http://www.fjlzyy.com</t>
  </si>
  <si>
    <t>宏洋包装</t>
  </si>
  <si>
    <t>漳州宏洋包装制品有限公司</t>
  </si>
  <si>
    <t>http://www.zzhybzzp.com/</t>
  </si>
  <si>
    <t>欣园苗木</t>
  </si>
  <si>
    <t>龙海市欣园苗木专业合作社</t>
  </si>
  <si>
    <t>http://www.fjzzxymm.com/</t>
  </si>
  <si>
    <t>万安天下</t>
  </si>
  <si>
    <t>泉州市洛江区万安天下无漏防水材料店</t>
  </si>
  <si>
    <t>绿鹏园艺</t>
  </si>
  <si>
    <t>漳州绿鹏园艺有限公司</t>
  </si>
  <si>
    <t>http://www.zzlpyy.com/</t>
  </si>
  <si>
    <t>七歌</t>
  </si>
  <si>
    <t>七歌(厦门)网络科技有限公司</t>
  </si>
  <si>
    <t>http://www.595wx.com</t>
  </si>
  <si>
    <t>欣旺家</t>
  </si>
  <si>
    <t>厦门市欣旺家机械有限公司</t>
  </si>
  <si>
    <t>鑫诚弘1</t>
  </si>
  <si>
    <t>厦门鑫诚弘物资回收有限公司</t>
  </si>
  <si>
    <t>http://www.xm-xch.com</t>
  </si>
  <si>
    <t>海岸广告</t>
  </si>
  <si>
    <t>漳州市海岸广告有限公司</t>
  </si>
  <si>
    <t>http://fjmlbh.1688.com</t>
  </si>
  <si>
    <t>厦门享康</t>
  </si>
  <si>
    <t>厦门享康旅驾驶服务有限公司</t>
  </si>
  <si>
    <t>鸿森石业1</t>
  </si>
  <si>
    <t>福建省南安市鸿森石业有限公司</t>
  </si>
  <si>
    <t>精选石材2</t>
  </si>
  <si>
    <t>天联软件</t>
  </si>
  <si>
    <t>晋江市天联软件科技有限公司</t>
  </si>
  <si>
    <t>http://www.tlerp.cn</t>
  </si>
  <si>
    <t>招商加盟-圣玛缔</t>
  </si>
  <si>
    <t>圣玛缔（福建）纺织科技有限公司</t>
  </si>
  <si>
    <t>泉鑫福汇</t>
  </si>
  <si>
    <t>厦门市泉鑫福汇建材有限公司</t>
  </si>
  <si>
    <t>奥特路光学</t>
  </si>
  <si>
    <t>奥特路（漳州）光学科技有限公司</t>
  </si>
  <si>
    <t>易旭陶瓷2</t>
  </si>
  <si>
    <t>闽艺花卉</t>
  </si>
  <si>
    <t>南靖县闽艺花卉有限公司</t>
  </si>
  <si>
    <t>http://www.huamupm.com</t>
  </si>
  <si>
    <t>厦门喜德利</t>
  </si>
  <si>
    <t>厦门喜德利商贸有限公司</t>
  </si>
  <si>
    <t>http://www.xmmiyou.com</t>
  </si>
  <si>
    <t>长庆回收1</t>
  </si>
  <si>
    <t>泉州市洛江区双阳长庆废品回收店</t>
  </si>
  <si>
    <t>捷亿化工</t>
  </si>
  <si>
    <t>漳州市捷亿化工有限公司</t>
  </si>
  <si>
    <t>http://www.fjjyhg.com/Default.aspx</t>
  </si>
  <si>
    <t>小种会计</t>
  </si>
  <si>
    <t>厦门小种会计代理有限公司</t>
  </si>
  <si>
    <t>古禾电子</t>
  </si>
  <si>
    <t>厦门市古禾电子商务有限公司</t>
  </si>
  <si>
    <t>http://shop110501862.taobao.com</t>
  </si>
  <si>
    <t>木之嘉橱柜</t>
  </si>
  <si>
    <t>漳州市木之嘉橱柜有限公司</t>
  </si>
  <si>
    <t>http://www.fjmzj.com</t>
  </si>
  <si>
    <t>肖克利</t>
  </si>
  <si>
    <t>厦门肖克利能源技术有限公司</t>
  </si>
  <si>
    <t>http://www.shockleyxm.com/</t>
  </si>
  <si>
    <t>恩泽果业</t>
  </si>
  <si>
    <t>漳州市恩泽果业有限公司</t>
  </si>
  <si>
    <t>http://www.fjezgy.com</t>
  </si>
  <si>
    <t>漳州育德</t>
  </si>
  <si>
    <t>漳州育德润机电设备有限公司</t>
  </si>
  <si>
    <t>http://zzydrjd.com</t>
  </si>
  <si>
    <t>信昇达智能</t>
  </si>
  <si>
    <t>福建信昇达智能科技有限公司</t>
  </si>
  <si>
    <t>http://www.eduxsd.com/</t>
  </si>
  <si>
    <t>衫美服饰</t>
  </si>
  <si>
    <t>厦门衫美服饰有限公司</t>
  </si>
  <si>
    <t>http://www.xmsmfs.com</t>
  </si>
  <si>
    <t>漳州艺鹏</t>
  </si>
  <si>
    <t>漳州艺鹏园林绿化工程有限公司</t>
  </si>
  <si>
    <t>漳州桥头木业</t>
  </si>
  <si>
    <t>漳州市桥头木业有限公司</t>
  </si>
  <si>
    <t>http://www.fjqtmy.com/</t>
  </si>
  <si>
    <t>三桦塑料制品</t>
  </si>
  <si>
    <t>漳浦三桦塑料制品有限公司</t>
  </si>
  <si>
    <t>http://www.zpshsl.cn</t>
  </si>
  <si>
    <t>百信安</t>
  </si>
  <si>
    <t>漳州市百信安白蚁防治服务有限公司</t>
  </si>
  <si>
    <t>http://www.zzby.cn</t>
  </si>
  <si>
    <t>厦门猪角</t>
  </si>
  <si>
    <t>厦门猪角猪脚饭餐饮管理有限公司</t>
  </si>
  <si>
    <t>建发-山外山</t>
  </si>
  <si>
    <t>漳州泛华实业有限公司</t>
  </si>
  <si>
    <t>厦门杰美特</t>
  </si>
  <si>
    <t>杰美特涂层科技（厦门）有限公司</t>
  </si>
  <si>
    <t>泉州易旭食品1</t>
  </si>
  <si>
    <t>漳州绿逸家</t>
  </si>
  <si>
    <t>漳州绿逸家环保科技有限公司</t>
  </si>
  <si>
    <t>http://www.lyljhb888.com</t>
  </si>
  <si>
    <t>龙海福龙</t>
  </si>
  <si>
    <t>龙海市福龙实业有限公司</t>
  </si>
  <si>
    <t>https://shop589424487.taobao.com/</t>
  </si>
  <si>
    <t>小杨锁具</t>
  </si>
  <si>
    <t>漳州市龙文区小杨锁具修理服务部</t>
  </si>
  <si>
    <t>厦门达益丰</t>
  </si>
  <si>
    <t>厦门达益丰文化传媒有限公司</t>
  </si>
  <si>
    <t>福兴建筑1</t>
  </si>
  <si>
    <t>泉州市福兴建筑科技有限公司</t>
  </si>
  <si>
    <t>厦门战友情家政</t>
  </si>
  <si>
    <t>厦门战友情家政服务有限公司</t>
  </si>
  <si>
    <t>王春其农业</t>
  </si>
  <si>
    <t>龙岩市王春其农业发展有限公司</t>
  </si>
  <si>
    <t>http://www.wcqny.com</t>
  </si>
  <si>
    <t>汉德盛</t>
  </si>
  <si>
    <t>厦门汉德盛信息技术有限公司</t>
  </si>
  <si>
    <t>http://www.hardsun.cn</t>
  </si>
  <si>
    <t>厦门唯实</t>
  </si>
  <si>
    <t>厦门唯实信息技术有限公司</t>
  </si>
  <si>
    <t>http://www.serverok.cn</t>
  </si>
  <si>
    <t>三扬五金</t>
  </si>
  <si>
    <t>漳浦三扬五金机械有限公司</t>
  </si>
  <si>
    <t>http://www.xmsunyoung.com</t>
  </si>
  <si>
    <t>皇冠公</t>
  </si>
  <si>
    <t>皇冠公主(厦门)科技有限公司</t>
  </si>
  <si>
    <t>http://www.hggzgw.com/</t>
  </si>
  <si>
    <t>绿博园艺场</t>
  </si>
  <si>
    <t>漳浦县马口绿博园艺场</t>
  </si>
  <si>
    <t>http://zplbyy.com</t>
  </si>
  <si>
    <t>嘉年钢铁</t>
  </si>
  <si>
    <t>漳州嘉年钢铁有限公司</t>
  </si>
  <si>
    <t>金纶投资</t>
  </si>
  <si>
    <t>http://www.qlfiber.com</t>
  </si>
  <si>
    <t>漳州我爱我妻</t>
  </si>
  <si>
    <t>漳州我爱我妻家政服务有限公司</t>
  </si>
  <si>
    <t>http://zzwoaiwoqi.com/</t>
  </si>
  <si>
    <t>佰盛网络</t>
  </si>
  <si>
    <t>漳州市佰盛网络有限公司</t>
  </si>
  <si>
    <t>http://www.xmbaisheng.icoc.cc</t>
  </si>
  <si>
    <t>中粮期货厦门</t>
  </si>
  <si>
    <t>中粮期货有限公司厦门分公司</t>
  </si>
  <si>
    <t>深通信息</t>
  </si>
  <si>
    <t>漳州市深通信息技术服务有限公司</t>
  </si>
  <si>
    <t>http://www.31pos.com</t>
  </si>
  <si>
    <t>厦门浩林</t>
  </si>
  <si>
    <t>厦门市浩林园林绿化工程有限公司</t>
  </si>
  <si>
    <t>http://www.haolinm.com</t>
  </si>
  <si>
    <t>欧迪塑胶</t>
  </si>
  <si>
    <t>漳州市欧迪塑胶有限公司</t>
  </si>
  <si>
    <t>http://fjzzod.1688.com</t>
  </si>
  <si>
    <t>浩博新材料1</t>
  </si>
  <si>
    <t>浩博(福建)新材料科技有限公司</t>
  </si>
  <si>
    <t>http://www.fjhaobo.com</t>
  </si>
  <si>
    <t>金瀚石英砂</t>
  </si>
  <si>
    <t>漳浦县赤湖镇金瀚石英砂经营部</t>
  </si>
  <si>
    <t>http://www.fjjhsys.com</t>
  </si>
  <si>
    <t>福建闽庆2</t>
  </si>
  <si>
    <t>http://fjmqmjg.com</t>
  </si>
  <si>
    <t>晋江路佳货运</t>
  </si>
  <si>
    <t>晋江市池店镇路佳货运代理服务部</t>
  </si>
  <si>
    <t>http://www.qzljwl.com</t>
  </si>
  <si>
    <t>佰马科技</t>
  </si>
  <si>
    <t>厦门佰马科技有限公司</t>
  </si>
  <si>
    <t>http://www.baimatech.com</t>
  </si>
  <si>
    <t>漳州华雅</t>
  </si>
  <si>
    <t>漳州台商投资区华雅集装箱有限公司</t>
  </si>
  <si>
    <t>佳惠园艺场</t>
  </si>
  <si>
    <t>龙海市白水佳惠园艺场</t>
  </si>
  <si>
    <t>逸鹏园艺</t>
  </si>
  <si>
    <t>漳州市龙文区逸鹏园艺场</t>
  </si>
  <si>
    <t>http://www.zzypyy.com/</t>
  </si>
  <si>
    <t>招商加盟-闽螺香餐饮</t>
  </si>
  <si>
    <t>漳州市闽螺香餐饮管理有限公司</t>
  </si>
  <si>
    <t>维诚达工贸</t>
  </si>
  <si>
    <t>厦门维诚达工贸有限公司</t>
  </si>
  <si>
    <t>http://www.xmwcd.com</t>
  </si>
  <si>
    <t>鸿阳蓉</t>
  </si>
  <si>
    <t>厦门鸿阳蓉工程科技有限公司</t>
  </si>
  <si>
    <t>招商加盟-申旺</t>
  </si>
  <si>
    <t>申旺卫浴科技有限公司</t>
  </si>
  <si>
    <t>兆瑞汽车</t>
  </si>
  <si>
    <t>漳州兆瑞汽车销售有限公司</t>
  </si>
  <si>
    <t>兰之都花业</t>
  </si>
  <si>
    <t>漳州市兰之都花业有限公司</t>
  </si>
  <si>
    <t>http://lanzidu.com/</t>
  </si>
  <si>
    <t>铭晖再生物资</t>
  </si>
  <si>
    <t>漳州市铭晖再生物资回收有限公司</t>
  </si>
  <si>
    <t>威派水暖</t>
  </si>
  <si>
    <t>漳州市龙文区威派水暖经营部</t>
  </si>
  <si>
    <t>http://www.oulian0596.com</t>
  </si>
  <si>
    <t>俊生蜜柚</t>
  </si>
  <si>
    <t>平和县俊生蜜柚苗木专业合作社</t>
  </si>
  <si>
    <t>http://www.lijunsheng.cn</t>
  </si>
  <si>
    <t>卓联信息</t>
  </si>
  <si>
    <t>厦门卓联信息科技有限公司</t>
  </si>
  <si>
    <t>http://www.keli33.com</t>
  </si>
  <si>
    <t>智善堂</t>
  </si>
  <si>
    <t>泉州市智善堂文化传播有限公司</t>
  </si>
  <si>
    <t>漳州顺圆盛</t>
  </si>
  <si>
    <t>漳州顺圆盛佛具有限公司</t>
  </si>
  <si>
    <t>http://www.jxymg.com</t>
  </si>
  <si>
    <t>诚彬机电</t>
  </si>
  <si>
    <t>厦门诚彬机电设备有限公司</t>
  </si>
  <si>
    <t>http://www.greecb.com</t>
  </si>
  <si>
    <t>江南春园艺</t>
  </si>
  <si>
    <t>漳浦县马口江南春园艺场</t>
  </si>
  <si>
    <t>http://ab.jytzpx.com/</t>
  </si>
  <si>
    <t>花仙谷花卉</t>
  </si>
  <si>
    <t>南靖县花仙谷花卉有限公司</t>
  </si>
  <si>
    <t>https://shop162602904.taobao.com/</t>
  </si>
  <si>
    <t>厦门德瑞时</t>
  </si>
  <si>
    <t>厦门德瑞时智能科技有限公司</t>
  </si>
  <si>
    <t>https://monicavinader.tmall.com</t>
  </si>
  <si>
    <t>万合鑫汽车</t>
  </si>
  <si>
    <t>漳州金合泰工贸</t>
  </si>
  <si>
    <t>漳州金合泰工贸有限公司</t>
  </si>
  <si>
    <t>招商加盟-米联</t>
  </si>
  <si>
    <t>福建米联支付信息技术有限公司</t>
  </si>
  <si>
    <t>http://lsy.mylandpay.com/</t>
  </si>
  <si>
    <t>福建龙纬</t>
  </si>
  <si>
    <t>福建龙纬精密机械有限公司</t>
  </si>
  <si>
    <t>http://longweikm.com</t>
  </si>
  <si>
    <t>育绿合作社</t>
  </si>
  <si>
    <t>漳州市龙文区育绿食用菌专业合作社</t>
  </si>
  <si>
    <t>http://zzyulv.com</t>
  </si>
  <si>
    <t>好茶香</t>
  </si>
  <si>
    <t>厦门市湖里区集好茶香茶叶店</t>
  </si>
  <si>
    <t>厦门法斯德</t>
  </si>
  <si>
    <t>厦门法斯德科技有限公司</t>
  </si>
  <si>
    <t>http://www.fast888.cn</t>
  </si>
  <si>
    <t>芯项通</t>
  </si>
  <si>
    <t>厦门芯项通科技有限公司</t>
  </si>
  <si>
    <t>http://www.xmxxtkj.com</t>
  </si>
  <si>
    <t>常圆物流</t>
  </si>
  <si>
    <t>厦门常圆物流有限公司</t>
  </si>
  <si>
    <t>康辉西林1</t>
  </si>
  <si>
    <t>雅艺五金</t>
  </si>
  <si>
    <t>泉州市雅艺五金电镀有限公司</t>
  </si>
  <si>
    <t>招商加盟-盈泰文化传媒</t>
  </si>
  <si>
    <t>晋江盈泰文化传媒有限公司</t>
  </si>
  <si>
    <t>平和洲际酒店</t>
  </si>
  <si>
    <t>平和县洲际大酒店有限公司</t>
  </si>
  <si>
    <t>http://phzhouji.com</t>
  </si>
  <si>
    <t>金谷装修</t>
  </si>
  <si>
    <t>漳州市金谷装修工程有限公司</t>
  </si>
  <si>
    <t>http://www.jgzxgc.com</t>
  </si>
  <si>
    <t>富奥电梯销售</t>
  </si>
  <si>
    <t>漳州富奥电梯销售有限公司</t>
  </si>
  <si>
    <t>http://400127.com</t>
  </si>
  <si>
    <t>房加加</t>
  </si>
  <si>
    <t>厦门房加加科技有限公司</t>
  </si>
  <si>
    <t>http://www.xmoffice.net</t>
  </si>
  <si>
    <t>汇梦网络</t>
  </si>
  <si>
    <t>漳州市汇梦网络科技有限公司</t>
  </si>
  <si>
    <t>http://www.ukagou.com</t>
  </si>
  <si>
    <t>浚堡藏香</t>
  </si>
  <si>
    <t>平和县浚堡藏香猪养殖场</t>
  </si>
  <si>
    <t>厦门六芒</t>
  </si>
  <si>
    <t>六芒（厦门）网络科技有限公司</t>
  </si>
  <si>
    <t>漳浦森发</t>
  </si>
  <si>
    <t>漳浦森发工贸有限公司</t>
  </si>
  <si>
    <t>http://zpsfgm.com</t>
  </si>
  <si>
    <t>友图科技</t>
  </si>
  <si>
    <t>厦门友图科技有限公司</t>
  </si>
  <si>
    <t>https://xmyoutu.cn/</t>
  </si>
  <si>
    <t>信诚智创</t>
  </si>
  <si>
    <t>厦门信诚智创信息技术有限公司</t>
  </si>
  <si>
    <t>https://www.xczckj.com/</t>
  </si>
  <si>
    <t>奉谨秦百货</t>
  </si>
  <si>
    <t>永定区奉谨秦百货商行</t>
  </si>
  <si>
    <t>厦门新慧士达</t>
  </si>
  <si>
    <t>厦门艾维克网络科技有限公司</t>
  </si>
  <si>
    <t>http://xmaiweike.com.bdy.5067.org</t>
  </si>
  <si>
    <t>顺辉木业</t>
  </si>
  <si>
    <t>漳州市龙文区顺辉木业有限公司</t>
  </si>
  <si>
    <t>http://www.zzsshmy.com</t>
  </si>
  <si>
    <t>福建科智达</t>
  </si>
  <si>
    <t>福建科智达电子科技有限公司</t>
  </si>
  <si>
    <t>http://fjkzddz.com/</t>
  </si>
  <si>
    <t>紫溪苗木</t>
  </si>
  <si>
    <t>漳浦县官浔镇柏景苑园艺场</t>
  </si>
  <si>
    <t>http://www.bojyyy.com</t>
  </si>
  <si>
    <t>泉州龙商1</t>
  </si>
  <si>
    <t>泉州市龙商机电设备有限公司</t>
  </si>
  <si>
    <t>四海裕农</t>
  </si>
  <si>
    <t>四海裕农(漳州)农业科技有限公司</t>
  </si>
  <si>
    <t>http://www.sihaiwenshi.com</t>
  </si>
  <si>
    <t>昭仕厦门</t>
  </si>
  <si>
    <t>昭仕(厦门)新材料有限公司</t>
  </si>
  <si>
    <t>三盛建材</t>
  </si>
  <si>
    <t>漳州三盛建材有限公司</t>
  </si>
  <si>
    <t>http://www.sansjc.com/</t>
  </si>
  <si>
    <t>顺鑫强</t>
  </si>
  <si>
    <t>厦门顺鑫强门业有限公司</t>
  </si>
  <si>
    <t>昌禄食品</t>
  </si>
  <si>
    <t>漳州昌禄食品有限公司</t>
  </si>
  <si>
    <t>http://www.chanloofoods.com</t>
  </si>
  <si>
    <t>夯实交通</t>
  </si>
  <si>
    <t>漳州夯实交通工程有限公司</t>
  </si>
  <si>
    <t>http://www.zzhshi.icoc.cc</t>
  </si>
  <si>
    <t>泉州征途</t>
  </si>
  <si>
    <t>泉州市征途信息科技有限公司</t>
  </si>
  <si>
    <t>http://www.zentimeit.cn</t>
  </si>
  <si>
    <t>招商加盟-恒净源</t>
  </si>
  <si>
    <t>厦门恒净源水处理设备有限公司</t>
  </si>
  <si>
    <t>http://www.xmhengjingyuan.cn</t>
  </si>
  <si>
    <t>泉州兴远</t>
  </si>
  <si>
    <t>泉州市兴远机械制造有限公司</t>
  </si>
  <si>
    <t>凤凰机械</t>
  </si>
  <si>
    <t>龙岩市凤凰机械有限公司</t>
  </si>
  <si>
    <t>http://www.lyfhjx.com/</t>
  </si>
  <si>
    <t>漳州双龙车业</t>
  </si>
  <si>
    <t>漳州市双龙汽车用品贸易有限公司</t>
  </si>
  <si>
    <t>http://www.zzslcy.cn</t>
  </si>
  <si>
    <t>泉州明胜科技</t>
  </si>
  <si>
    <t>泉州市明胜科技发展有限公司</t>
  </si>
  <si>
    <t>路胜交通</t>
  </si>
  <si>
    <t>漳州路胜交通工程有限公司</t>
  </si>
  <si>
    <t>http://www.zzsli.com/</t>
  </si>
  <si>
    <t>绿优品</t>
  </si>
  <si>
    <t>绿优品（福建）实业发展有限公司</t>
  </si>
  <si>
    <t>明成食品</t>
  </si>
  <si>
    <t>漳州明成食品有限公司</t>
  </si>
  <si>
    <t>http://www.mcfoods.com.cn</t>
  </si>
  <si>
    <t>建磊石材</t>
  </si>
  <si>
    <t>漳浦县建磊石材有限公司</t>
  </si>
  <si>
    <t>http://www.zpjlstone.com/aboutus.htm</t>
  </si>
  <si>
    <t>xm宏谷香</t>
  </si>
  <si>
    <t>厦门宏谷香食品有限公司</t>
  </si>
  <si>
    <t>http://www.shucai188.com</t>
  </si>
  <si>
    <t>漳州博恩</t>
  </si>
  <si>
    <t>漳州博恩口腔门诊有限公司</t>
  </si>
  <si>
    <t>友见房产</t>
  </si>
  <si>
    <t>泉州友见房产经纪有限公司</t>
  </si>
  <si>
    <t>匹洛鞋业</t>
  </si>
  <si>
    <t>泉州匹洛鞋业有限公司</t>
  </si>
  <si>
    <t>http://www.wading-boots.com</t>
  </si>
  <si>
    <t>柯韦</t>
  </si>
  <si>
    <t>柯韦（厦门）科技有限公司</t>
  </si>
  <si>
    <t>http://www.xmkewei.com</t>
  </si>
  <si>
    <t>小象网络1</t>
  </si>
  <si>
    <t>漳州市龙文小象网络科技有限公司</t>
  </si>
  <si>
    <t>老战友2</t>
  </si>
  <si>
    <t>厦门市思明区老战友家政服务部</t>
  </si>
  <si>
    <t>http://www.xmlzybj.com/</t>
  </si>
  <si>
    <t>赢诺厦门</t>
  </si>
  <si>
    <t>赢诺（厦门）管理咨询有限责任公司</t>
  </si>
  <si>
    <t>xm星之光</t>
  </si>
  <si>
    <t>厦门星之光科技有限公司</t>
  </si>
  <si>
    <t>http://www.xzg3d.com</t>
  </si>
  <si>
    <t>怀好饭店</t>
  </si>
  <si>
    <t>南靖县怀好饭店</t>
  </si>
  <si>
    <t>http://www.njhhfd.com/</t>
  </si>
  <si>
    <t>泉州友圣</t>
  </si>
  <si>
    <t>泉州市友圣装饰工程有限公司</t>
  </si>
  <si>
    <t>泉州万鼎2</t>
  </si>
  <si>
    <t>易旭服装2</t>
  </si>
  <si>
    <t>0596工作网</t>
  </si>
  <si>
    <t>漳州市锐捷人力资源有限公司</t>
  </si>
  <si>
    <t>http://www.yes0596.com</t>
  </si>
  <si>
    <t>漳州易云网络</t>
  </si>
  <si>
    <t>漳浦县易云网络服务部</t>
  </si>
  <si>
    <t>http://www.noblocknet.com</t>
  </si>
  <si>
    <t>红兴新型材料</t>
  </si>
  <si>
    <t>漳州市红兴新型材料有限公司</t>
  </si>
  <si>
    <t>http://www.zzhongx.com/</t>
  </si>
  <si>
    <t>立格钢</t>
  </si>
  <si>
    <t>漳州立格钢结构工程有限公司</t>
  </si>
  <si>
    <t>http://www.zhangzhoulink.cn</t>
  </si>
  <si>
    <t>鼎呱呱网络</t>
  </si>
  <si>
    <t>泉州鼎呱呱网络科技有限公司</t>
  </si>
  <si>
    <t>厦门新天会展</t>
  </si>
  <si>
    <t>厦门新天会展有限公司</t>
  </si>
  <si>
    <t>http://www.rfaexpo.com</t>
  </si>
  <si>
    <t>圣木绿源</t>
  </si>
  <si>
    <t>圣木绿源苗木培育</t>
  </si>
  <si>
    <t>http://www.smly9.com</t>
  </si>
  <si>
    <t>绿地苗木合作社</t>
  </si>
  <si>
    <t>云霄县绿地苗木农民专业合作社</t>
  </si>
  <si>
    <t>http://www.zzldmm.com/</t>
  </si>
  <si>
    <t>紫铭集团</t>
  </si>
  <si>
    <t>厦门紫铭集团股份有限公司</t>
  </si>
  <si>
    <t>蔡塘金属制品</t>
  </si>
  <si>
    <t>漳州市蔡塘金属制品有限公司</t>
  </si>
  <si>
    <t>http://www.xmctrdx.com/</t>
  </si>
  <si>
    <t>图睿信息</t>
  </si>
  <si>
    <t>厦门市图睿信息科技有限公司</t>
  </si>
  <si>
    <t>http://www.xmturui.com</t>
  </si>
  <si>
    <t>新技术蜜柚</t>
  </si>
  <si>
    <t>平和县农业新技术开发服务部</t>
  </si>
  <si>
    <t>http://www.phnyxjs.com</t>
  </si>
  <si>
    <t>漳州金东方游乐设备</t>
  </si>
  <si>
    <t>漳州市金东方游乐设备有限公司</t>
  </si>
  <si>
    <t>http://www.jdftoy.com/</t>
  </si>
  <si>
    <t>常量科技</t>
  </si>
  <si>
    <t>厦门市常量科技有限公司</t>
  </si>
  <si>
    <t>https://api.cn/</t>
  </si>
  <si>
    <t>森沐淼</t>
  </si>
  <si>
    <t>厦门市森沐淼环保科技有限公司</t>
  </si>
  <si>
    <t>http://www.fjsmm.com/</t>
  </si>
  <si>
    <t>途兴汽车租赁</t>
  </si>
  <si>
    <t>漳州台商投资区途兴汽车租赁有限公司</t>
  </si>
  <si>
    <t>http://tuxingbc.com</t>
  </si>
  <si>
    <t>厦门永东丰</t>
  </si>
  <si>
    <t>厦门永东丰机器人科技有限公司</t>
  </si>
  <si>
    <t>妙力包装</t>
  </si>
  <si>
    <t>漳州市妙力包装材料有限公司</t>
  </si>
  <si>
    <t>和通家政</t>
  </si>
  <si>
    <t>漳州市芗城和通家政服务部</t>
  </si>
  <si>
    <t>http://www.zzhtjz.com</t>
  </si>
  <si>
    <t>泉州恒业1</t>
  </si>
  <si>
    <t>泉州恒业企业管理咨询有限公司</t>
  </si>
  <si>
    <t>厦门君兮</t>
  </si>
  <si>
    <t>厦门君兮工贸有限公司</t>
  </si>
  <si>
    <t>安佳装饰</t>
  </si>
  <si>
    <t>漳州安佳装饰工程有限公司</t>
  </si>
  <si>
    <t>http://www.fjajzs.com</t>
  </si>
  <si>
    <t>凯利丰农业</t>
  </si>
  <si>
    <t>漳州市凯利丰农业科技有限公司</t>
  </si>
  <si>
    <t>http://zzklfny.1688.com/</t>
  </si>
  <si>
    <t>冠裕家具</t>
  </si>
  <si>
    <t>益塑贸易</t>
  </si>
  <si>
    <t>漳州市益塑贸易有限公司</t>
  </si>
  <si>
    <t>http://www.zzsyisu.com/</t>
  </si>
  <si>
    <t>招商加盟-群展</t>
  </si>
  <si>
    <t>福建省群展项目管理有限公司</t>
  </si>
  <si>
    <t>诚益海产</t>
  </si>
  <si>
    <t>漳浦县六鳌镇诚益海产品经营部</t>
  </si>
  <si>
    <t>http://chengyihc.com/</t>
  </si>
  <si>
    <t>森慧</t>
  </si>
  <si>
    <t>漳州森慧企业管理咨询有限公司</t>
  </si>
  <si>
    <t>http://fjnlp.com/</t>
  </si>
  <si>
    <t>厦门飞凡教育</t>
  </si>
  <si>
    <t>厦门市集美区飞凡教育咨询服务部</t>
  </si>
  <si>
    <t>漳州金蝶软件</t>
  </si>
  <si>
    <t>漳州金蝶软件有限公司</t>
  </si>
  <si>
    <t>http://www.zzkingdee.com/</t>
  </si>
  <si>
    <t>晟盈园林</t>
  </si>
  <si>
    <t>漳浦县晟盈园林有限公司</t>
  </si>
  <si>
    <t>卅名信息</t>
  </si>
  <si>
    <t>厦门卅名信息技术有限公司</t>
  </si>
  <si>
    <t>http://www.30ming.cn/</t>
  </si>
  <si>
    <t>漳州天天</t>
  </si>
  <si>
    <t>漳州市天天向上教育咨询服务有限公司</t>
  </si>
  <si>
    <t>http://www.cnxly.cn</t>
  </si>
  <si>
    <t>漳州百年居</t>
  </si>
  <si>
    <t>漳州市百年居智能家居用品有限公司</t>
  </si>
  <si>
    <t>http://www.bnj-smart.com</t>
  </si>
  <si>
    <t>xm台贸</t>
  </si>
  <si>
    <t>厦门台贸机械设备有限公司</t>
  </si>
  <si>
    <t>http://www.ttcxm.com.cn</t>
  </si>
  <si>
    <t>白驹易财务</t>
  </si>
  <si>
    <t>厦门白驹易财务管理有限公司</t>
  </si>
  <si>
    <t>http://pilipa-xmbjy.com/</t>
  </si>
  <si>
    <t>毅宾花木场</t>
  </si>
  <si>
    <t>漳浦县官浔镇毅宾花木场</t>
  </si>
  <si>
    <t>http://3851885.com</t>
  </si>
  <si>
    <t>万盛石材</t>
  </si>
  <si>
    <t>漳州市万盛石材贸易有限公司</t>
  </si>
  <si>
    <t>http://www.sc0596.com</t>
  </si>
  <si>
    <t>博慧电子</t>
  </si>
  <si>
    <t>博慧电子科技(漳州)有限公司</t>
  </si>
  <si>
    <t>http://www.doorway.net.cn</t>
  </si>
  <si>
    <t>漳州清波</t>
  </si>
  <si>
    <t>漳州清波杀虫灭鼠服务有限公司</t>
  </si>
  <si>
    <t>http://zzqbpco.com/</t>
  </si>
  <si>
    <t>佳得永固</t>
  </si>
  <si>
    <t>漳浦县佳得永固门业有限公司</t>
  </si>
  <si>
    <t>http://www.jdygmy.com</t>
  </si>
  <si>
    <t>飓风物流服务</t>
  </si>
  <si>
    <t>漳州台商投资区角美飓风物流服务中心</t>
  </si>
  <si>
    <t>http://www.bbs56.cn</t>
  </si>
  <si>
    <t>龙纬科技</t>
  </si>
  <si>
    <t>福建龙纬科技有限公司</t>
  </si>
  <si>
    <t>福建管业</t>
  </si>
  <si>
    <t>漳州芗城汽车教练所</t>
  </si>
  <si>
    <t>漳州市芗城汽车教练所</t>
  </si>
  <si>
    <t>http://0594house.com.cn</t>
  </si>
  <si>
    <t>平和财源果苗</t>
  </si>
  <si>
    <t>平和县财源果苗场</t>
  </si>
  <si>
    <t>http://phcygmc.com/</t>
  </si>
  <si>
    <t>漳州森雅</t>
  </si>
  <si>
    <t>漳州森雅园林绿化有限公司</t>
  </si>
  <si>
    <t>http://www.fjsyyy.com/</t>
  </si>
  <si>
    <t>温荣清开锁</t>
  </si>
  <si>
    <t>厦门市集美区温荣清开锁店</t>
  </si>
  <si>
    <t>中福网络</t>
  </si>
  <si>
    <t>泉州市中福网络科技有限公司</t>
  </si>
  <si>
    <t>博诺通</t>
  </si>
  <si>
    <t>漳州市东山县博诺通化工有限责任公司</t>
  </si>
  <si>
    <t>http://www.cproton.com</t>
  </si>
  <si>
    <t>xm天籁之声</t>
  </si>
  <si>
    <t>厦门市思明区天籁之声琴行</t>
  </si>
  <si>
    <t>磐仪科技</t>
  </si>
  <si>
    <t>磐仪科技股份有限公司</t>
  </si>
  <si>
    <t>http://www.pykz.com.cn</t>
  </si>
  <si>
    <t>东南艺术</t>
  </si>
  <si>
    <t>漳州市东南艺术馆</t>
  </si>
  <si>
    <t>http://p.ykjkc.net</t>
  </si>
  <si>
    <t>百游达</t>
  </si>
  <si>
    <t>厦门百游达旅游咨询有限公司</t>
  </si>
  <si>
    <t>http://bydbc.com/</t>
  </si>
  <si>
    <t>亿佳轩电动门业</t>
  </si>
  <si>
    <t>漳州市龙文区亿佳豪电动门商行</t>
  </si>
  <si>
    <t>http://www.qzyjx.com</t>
  </si>
  <si>
    <t>开合文化</t>
  </si>
  <si>
    <t>开合(厦门)文化传媒有限公司</t>
  </si>
  <si>
    <t>http://www.kaihemedia.com</t>
  </si>
  <si>
    <t>互动创想1</t>
  </si>
  <si>
    <t>互动创想(厦门)数字科技有限公司</t>
  </si>
  <si>
    <t>https://www.kefubei.com/</t>
  </si>
  <si>
    <t>天成创世</t>
  </si>
  <si>
    <t>漳州市天成创世智能设备有限公司</t>
  </si>
  <si>
    <t>http://www.zzstccs.com/</t>
  </si>
  <si>
    <t>奥力美装饰</t>
  </si>
  <si>
    <t>漳州奥力美装饰工程有限公司</t>
  </si>
  <si>
    <t>http://zzalm.com/</t>
  </si>
  <si>
    <t>良华金属</t>
  </si>
  <si>
    <t>漳州市良华金属制品有限公司</t>
  </si>
  <si>
    <t>http://zzlhmy.com</t>
  </si>
  <si>
    <t>食维鲜</t>
  </si>
  <si>
    <t>厦门食维鲜食品有限公司</t>
  </si>
  <si>
    <t>汇精</t>
  </si>
  <si>
    <t>汇精（厦门）电子科技有限公司</t>
  </si>
  <si>
    <t>http://www.hugejinn.com</t>
  </si>
  <si>
    <t>辰骐贸易</t>
  </si>
  <si>
    <t>漳州市辰骐贸易有限公司</t>
  </si>
  <si>
    <t>http://www.zzcq168.icoc.in</t>
  </si>
  <si>
    <t>红星爱佳</t>
  </si>
  <si>
    <t>泉州红星爱佳贸易有限公司</t>
  </si>
  <si>
    <t>http://hxajmy.n03.5067.org/</t>
  </si>
  <si>
    <t>福城砂业</t>
  </si>
  <si>
    <t>漳浦县福城砂业有限公司</t>
  </si>
  <si>
    <t>http://www.zzfcsy.com</t>
  </si>
  <si>
    <t>漳州来顺</t>
  </si>
  <si>
    <t>漳州市来顺物流有限公司</t>
  </si>
  <si>
    <t>http://zzlswl.com/</t>
  </si>
  <si>
    <t>佰利乐</t>
  </si>
  <si>
    <t>佰利乐（厦门）工贸有限公司</t>
  </si>
  <si>
    <t>厦门矽创</t>
  </si>
  <si>
    <t>厦门矽创微电子科技有限公司</t>
  </si>
  <si>
    <t>万逢春教育</t>
  </si>
  <si>
    <t>漳州市万逢春教育咨询有限公司</t>
  </si>
  <si>
    <t>http://www.5aicg.com/</t>
  </si>
  <si>
    <t>福建双鼎</t>
  </si>
  <si>
    <t>福建双鼎律师事务所</t>
  </si>
  <si>
    <t>http://www.scpceew.cn</t>
  </si>
  <si>
    <t>易财税证照</t>
  </si>
  <si>
    <t>漳州市龙文区易财税证照代理服务中心</t>
  </si>
  <si>
    <t>国旅洪莲</t>
  </si>
  <si>
    <t>中国国旅（厦门）国际旅行社有限公司洪莲路门市部</t>
  </si>
  <si>
    <t>厦门利成</t>
  </si>
  <si>
    <t>厦门利成智能科技有限公司</t>
  </si>
  <si>
    <t>鸣箭户外运动</t>
  </si>
  <si>
    <t>http://www.mingjiantuoxun.com</t>
  </si>
  <si>
    <t>漳州盛元</t>
  </si>
  <si>
    <t>漳州盛元丰田汽车销售服务有限公司</t>
  </si>
  <si>
    <t>http://www.zzsenuan.com</t>
  </si>
  <si>
    <t>万固家具</t>
  </si>
  <si>
    <t>漳州市万固家具有限公司</t>
  </si>
  <si>
    <t>http://www.fjwgjj.com</t>
  </si>
  <si>
    <t>厦门创想</t>
  </si>
  <si>
    <t>厦门创想通信息技术有限公司</t>
  </si>
  <si>
    <t>龙平果苗</t>
  </si>
  <si>
    <t>平和县龙平果苗场</t>
  </si>
  <si>
    <t>http://www.phlpgm.com</t>
  </si>
  <si>
    <t>漳州千马帮</t>
  </si>
  <si>
    <t>漳州千马帮电子商务有限公司</t>
  </si>
  <si>
    <t>http://www.qmb001.com/</t>
  </si>
  <si>
    <t>漳工环保</t>
  </si>
  <si>
    <t>漳州漳工环保装备研发有限公司</t>
  </si>
  <si>
    <t>http://www.zghbzb.com</t>
  </si>
  <si>
    <t>金科园艺</t>
  </si>
  <si>
    <t>漳州市金科园艺有限公司</t>
  </si>
  <si>
    <t>http://www.fjjkyy.cn/</t>
  </si>
  <si>
    <t>跃白鲤</t>
  </si>
  <si>
    <t>厦门市跃白鲤网络科技有限公司</t>
  </si>
  <si>
    <t>http://www.yuebaili.cc/</t>
  </si>
  <si>
    <t>漳浦马口绿溢</t>
  </si>
  <si>
    <t>漳浦县马口绿溢园艺场</t>
  </si>
  <si>
    <t>http://www.05918899.com/</t>
  </si>
  <si>
    <t>漳州万可涂</t>
  </si>
  <si>
    <t>漳州市万可涂节能建材科技有限公司</t>
  </si>
  <si>
    <t>http://www.wktfs.com/</t>
  </si>
  <si>
    <t>易立特</t>
  </si>
  <si>
    <t>漳浦易立特野营用品有限公司</t>
  </si>
  <si>
    <t>http://zpelite.com</t>
  </si>
  <si>
    <t>厦门普利</t>
  </si>
  <si>
    <t>厦门普利教育咨询有限公司</t>
  </si>
  <si>
    <t>迎龙机电</t>
  </si>
  <si>
    <t>厦门迎龙机电工程有限公司</t>
  </si>
  <si>
    <t>http://www.xmylo.com</t>
  </si>
  <si>
    <t>乐泽电子</t>
  </si>
  <si>
    <t>漳州市乐泽电子商务有限公司</t>
  </si>
  <si>
    <t>富绿苗木</t>
  </si>
  <si>
    <t>华安县富绿苗木经营部</t>
  </si>
  <si>
    <t>漳州双杰</t>
  </si>
  <si>
    <t>漳州市双杰电子衡器有限公司</t>
  </si>
  <si>
    <t>http://www.fjzzsj.com/</t>
  </si>
  <si>
    <t>山山谷</t>
  </si>
  <si>
    <t>平和县山山谷果蔬专业合作社</t>
  </si>
  <si>
    <t>https://shop87804995bb8p9.1688.com/</t>
  </si>
  <si>
    <t>森邻建材</t>
  </si>
  <si>
    <t>漳州森邻建材有限公司</t>
  </si>
  <si>
    <t>http://senlinjc.com/</t>
  </si>
  <si>
    <t>漳州冠龙塑胶</t>
  </si>
  <si>
    <t>漳州冠龙塑胶有限公司</t>
  </si>
  <si>
    <t>http://www.zzglsj.com</t>
  </si>
  <si>
    <t>我连网络</t>
  </si>
  <si>
    <t>漳州市我连网络科技有限公司</t>
  </si>
  <si>
    <t>漳州满格</t>
  </si>
  <si>
    <t>漳州满格贸易有限公司</t>
  </si>
  <si>
    <t>http://mange2000.com</t>
  </si>
  <si>
    <t>田野园艺</t>
  </si>
  <si>
    <t>漳州田野园艺有限公司</t>
  </si>
  <si>
    <t>漳州美家居</t>
  </si>
  <si>
    <t>漳州美家居环保科技有限公司</t>
  </si>
  <si>
    <t>http://ctmjj.cn/</t>
  </si>
  <si>
    <t>佳趣贸易</t>
  </si>
  <si>
    <t>漳州市佳趣贸易有限公司</t>
  </si>
  <si>
    <t>http://520jq.taobao.com/</t>
  </si>
  <si>
    <t>维恩君格</t>
  </si>
  <si>
    <t>厦门思明维恩君格口腔门诊部有限公司</t>
  </si>
  <si>
    <t>莱特激光</t>
  </si>
  <si>
    <t>漳州市莱特激光设备有限公司</t>
  </si>
  <si>
    <t>http://www.laitelaser.com</t>
  </si>
  <si>
    <t>数智引力</t>
  </si>
  <si>
    <t>数智引力（厦门）智能科技有限公司</t>
  </si>
  <si>
    <t>https://detail.tmall.com/item.htm?spm=a230r.1.14.16.2ff557faD7hXlM&amp;id=661273693696&amp;ns=1&amp;abbucket=19</t>
  </si>
  <si>
    <t>润时达轴承</t>
  </si>
  <si>
    <t>漳州润时达轴承制造有限公司</t>
  </si>
  <si>
    <t>https://www.runstarbearings.com</t>
  </si>
  <si>
    <t>贝安馨</t>
  </si>
  <si>
    <t>漳州贝安馨母婴护理服务有限公司</t>
  </si>
  <si>
    <t>http://www.baxmy.com</t>
  </si>
  <si>
    <t>漳州美丽新娘</t>
  </si>
  <si>
    <t>漳州芗城美丽新娘婚纱摄影店</t>
  </si>
  <si>
    <t>http://www.zzmlxn.com/</t>
  </si>
  <si>
    <t>漳州易尔通</t>
  </si>
  <si>
    <t>漳州市易尔通网络科技有限公司</t>
  </si>
  <si>
    <t>福中红</t>
  </si>
  <si>
    <t>漳州市平和县福中红果业有限公司</t>
  </si>
  <si>
    <t>http://www.phfzh88.com/</t>
  </si>
  <si>
    <t>冠诚嘉</t>
  </si>
  <si>
    <t>漳州冠诚嘉金属制品有限公司</t>
  </si>
  <si>
    <t>http://zzgcj.com/</t>
  </si>
  <si>
    <t>美心建材</t>
  </si>
  <si>
    <t>漳州美心建材有限公司</t>
  </si>
  <si>
    <t>http://zzmxjc.1688.com</t>
  </si>
  <si>
    <t>漳州闽之宝</t>
  </si>
  <si>
    <t>漳州闽之宝农业科技有限公司</t>
  </si>
  <si>
    <t>https://minzhibao.1688.com/</t>
  </si>
  <si>
    <t>汇景圆</t>
  </si>
  <si>
    <t>漳浦县马口汇景圆园艺场</t>
  </si>
  <si>
    <t>http://www.zzhjy.com</t>
  </si>
  <si>
    <t>奕铨</t>
  </si>
  <si>
    <t>漳州奕铨金属制品有限公司</t>
  </si>
  <si>
    <t>http://www.zz-yiquan.com</t>
  </si>
  <si>
    <t>南靖监察</t>
  </si>
  <si>
    <t>南靖公开网(福建省南靖县监察局)</t>
  </si>
  <si>
    <t>http://www.njgk.gov.cn/</t>
  </si>
  <si>
    <t>厦门中远</t>
  </si>
  <si>
    <t>厦门中远方舟网络科技有限公司</t>
  </si>
  <si>
    <t>http://jnengyun.com</t>
  </si>
  <si>
    <t>厦门悦读致远</t>
  </si>
  <si>
    <t>xm鼓浪屿</t>
  </si>
  <si>
    <t>厦门鼓浪屿旅游投资集团有限公司</t>
  </si>
  <si>
    <t>http://www.glytig.com</t>
  </si>
  <si>
    <t>华丽园艺场</t>
  </si>
  <si>
    <t>漳浦县沙西镇华丽园艺场</t>
  </si>
  <si>
    <t>http://www.zphly66.com/</t>
  </si>
  <si>
    <t>锦盛贸易</t>
  </si>
  <si>
    <t>漳州市锦盛贸易有限公司</t>
  </si>
  <si>
    <t>http://www.jac-zzjs.com/</t>
  </si>
  <si>
    <t>吉大机械</t>
  </si>
  <si>
    <t>漳州吉大包装机械有限公司</t>
  </si>
  <si>
    <t>http://www.jidapack.com</t>
  </si>
  <si>
    <t>宇杰机械</t>
  </si>
  <si>
    <t>漳州宇杰智能包装设备有限公司</t>
  </si>
  <si>
    <t>http://www.yuj.com.cn</t>
  </si>
  <si>
    <t>漳州精网</t>
  </si>
  <si>
    <t>漳州市精网信息科技有限公司</t>
  </si>
  <si>
    <t>瑞丽美</t>
  </si>
  <si>
    <t>漳州市龙文瑞丽美家装饰工程有限公司</t>
  </si>
  <si>
    <t>http://www.zzlwrlmj.com</t>
  </si>
  <si>
    <t>零典零一</t>
  </si>
  <si>
    <t>厦门零典零一动漫有限公司</t>
  </si>
  <si>
    <t>http://www.0dian01.com/</t>
  </si>
  <si>
    <t>聚力星辰</t>
  </si>
  <si>
    <t>漳州市聚力星辰贸易有限公司</t>
  </si>
  <si>
    <t>http://price.pcauto.com.cn/55148</t>
  </si>
  <si>
    <t>漳浦马口</t>
  </si>
  <si>
    <t>漳浦县马口大农合商园艺场</t>
  </si>
  <si>
    <t>宏樽酒业</t>
  </si>
  <si>
    <t>漳州市宏樽贸易有限公司</t>
  </si>
  <si>
    <t>http://www.zzhzjy.cn</t>
  </si>
  <si>
    <t>恭医堂2</t>
  </si>
  <si>
    <t>漳州芗城恭医堂中医诊所</t>
  </si>
  <si>
    <t>漳州百艺</t>
  </si>
  <si>
    <t>漳州百艺园林有限公司</t>
  </si>
  <si>
    <t>http://05960001.com</t>
  </si>
  <si>
    <t>厦临物流</t>
  </si>
  <si>
    <t>甘肃厦临物流有限公司晋江分公司</t>
  </si>
  <si>
    <t>漳浦南山</t>
  </si>
  <si>
    <t>漳浦县南山花园苗木场</t>
  </si>
  <si>
    <t>https://shop0h72080636279.1688.com/</t>
  </si>
  <si>
    <t>富杰包装袋</t>
  </si>
  <si>
    <t>漳州市龙文区富杰包装带加工厂</t>
  </si>
  <si>
    <t>http://www.0596fjbz.com</t>
  </si>
  <si>
    <t>厦门茶叶进出口</t>
  </si>
  <si>
    <t>四海通软件</t>
  </si>
  <si>
    <t>漳州市四海通软件技术有限公司</t>
  </si>
  <si>
    <t>http://www.fjgjp.cn/</t>
  </si>
  <si>
    <t>钜隆</t>
  </si>
  <si>
    <t>漳州钜隆板业有限公司</t>
  </si>
  <si>
    <t>http://www.julongby.com</t>
  </si>
  <si>
    <t>署光培训</t>
  </si>
  <si>
    <t>漳州市署光职业培训学校</t>
  </si>
  <si>
    <t>http://www.sgyxks.com</t>
  </si>
  <si>
    <t>招商加盟-盈点</t>
  </si>
  <si>
    <t>厦门盈点科技有限公司</t>
  </si>
  <si>
    <t>http://www.intrehome.com</t>
  </si>
  <si>
    <t>创绿花木</t>
  </si>
  <si>
    <t>漳浦县马口创绿花木场</t>
  </si>
  <si>
    <t>http://www.fjclhm.jqw.com/</t>
  </si>
  <si>
    <t>福建贝利云</t>
  </si>
  <si>
    <t>福建省贝利云信息技术有限公司</t>
  </si>
  <si>
    <t>国春豪猪</t>
  </si>
  <si>
    <t>漳平市国春豪猪特种养殖场</t>
  </si>
  <si>
    <t>http://www.zpgcyz.com/</t>
  </si>
  <si>
    <t>奥极亿</t>
  </si>
  <si>
    <t>厦门奥极亿通讯科技有限公司</t>
  </si>
  <si>
    <t>http://saasflow.cn</t>
  </si>
  <si>
    <t>厦门旺洪达</t>
  </si>
  <si>
    <t>厦门旺洪达机电设备有限公司</t>
  </si>
  <si>
    <t>赫瑞德</t>
  </si>
  <si>
    <t>厦门赫瑞德干冰科技有限公司</t>
  </si>
  <si>
    <t>http://www.herdco2.com</t>
  </si>
  <si>
    <t>立胜教育</t>
  </si>
  <si>
    <t>漳州市立胜教育咨询有限公司</t>
  </si>
  <si>
    <t>http://zzslsbx.com</t>
  </si>
  <si>
    <t>漳州盛福</t>
  </si>
  <si>
    <t>漳州市盛福烘干设备有限公司</t>
  </si>
  <si>
    <t>http://www.shengfu88.com/</t>
  </si>
  <si>
    <t>凌赫商贸</t>
  </si>
  <si>
    <t>厦门凌赫商贸有限公司</t>
  </si>
  <si>
    <t>http://www.yuebenhui.com</t>
  </si>
  <si>
    <t>瑞克曼化工</t>
  </si>
  <si>
    <t>厦门瑞克曼化工科技有限公司</t>
  </si>
  <si>
    <t>http://rickmanchem.com</t>
  </si>
  <si>
    <t>厦门精艺</t>
  </si>
  <si>
    <t>厦门精艺兴业科技有限公司</t>
  </si>
  <si>
    <t>https://www.5181717.com/</t>
  </si>
  <si>
    <t>安尔盛机械</t>
  </si>
  <si>
    <t>泉州市安尔盛机械有限公司</t>
  </si>
  <si>
    <t>敬源工贸</t>
  </si>
  <si>
    <t>漳州市敬源工贸有限公司</t>
  </si>
  <si>
    <t>兵速防水</t>
  </si>
  <si>
    <t>漳州兵速防水工程有限公司</t>
  </si>
  <si>
    <t>凤都陶瓷</t>
  </si>
  <si>
    <t>漳州市凤都陶瓷原料有限公司</t>
  </si>
  <si>
    <t>https://shop117w2535po528.1688.com/</t>
  </si>
  <si>
    <t>同星木业</t>
  </si>
  <si>
    <t>漳浦县同星木业有限公司</t>
  </si>
  <si>
    <t>http://www.tongxingmuye.com/</t>
  </si>
  <si>
    <t>泉州欧米达</t>
  </si>
  <si>
    <t>泉州欧米达贸易有限公司</t>
  </si>
  <si>
    <t>http://www.qzomd.com</t>
  </si>
  <si>
    <t>漳州闽阳</t>
  </si>
  <si>
    <t>漳州闽阳联合商贸有限公司</t>
  </si>
  <si>
    <t>http://www.zzmylhsm.com/</t>
  </si>
  <si>
    <t>泉州夜秘1</t>
  </si>
  <si>
    <t>福建捷斯特阀门制造有限公司</t>
  </si>
  <si>
    <t>http://www.jiest.cn</t>
  </si>
  <si>
    <t>温晴养老2</t>
  </si>
  <si>
    <t>石狮温晴养老服务有限公司</t>
  </si>
  <si>
    <t>会赞商务</t>
  </si>
  <si>
    <t>厦门会赞商务服务有限公司</t>
  </si>
  <si>
    <t>http://hycdpt.com</t>
  </si>
  <si>
    <t>塔兔纹身</t>
  </si>
  <si>
    <t>新罗区塔兔纹身美容店</t>
  </si>
  <si>
    <t>南麟金线莲</t>
  </si>
  <si>
    <t>南靖县麟阳金线莲专业合作社</t>
  </si>
  <si>
    <t>http://linyang1688.com</t>
  </si>
  <si>
    <t>宝亮园艺</t>
  </si>
  <si>
    <t>漳浦县马口宝亮园艺</t>
  </si>
  <si>
    <t>http://blyyc.host.weidunet.com</t>
  </si>
  <si>
    <t>富泰精工xm</t>
  </si>
  <si>
    <t>富泰精工(厦门)科技有限公司</t>
  </si>
  <si>
    <t>http://xddxmhbjnsj.com</t>
  </si>
  <si>
    <t>领秀科技</t>
  </si>
  <si>
    <t>晋江市领秀智能科技有限公司</t>
  </si>
  <si>
    <t>http://www.qzlingxiu.com</t>
  </si>
  <si>
    <t>泉州开放大学</t>
  </si>
  <si>
    <t>http://www.qzrtvu.com</t>
  </si>
  <si>
    <t>泉州首艺</t>
  </si>
  <si>
    <t>泉州市首艺时尚教育咨询有限公司</t>
  </si>
  <si>
    <t>福建顺鑫</t>
  </si>
  <si>
    <t>福建省顺鑫财务咨询集团有限公司</t>
  </si>
  <si>
    <t>http://www.fjsxcw.com</t>
  </si>
  <si>
    <t>启扬商务</t>
  </si>
  <si>
    <t>漳州市龙文区启扬商务咨询部</t>
  </si>
  <si>
    <t>缘予通</t>
  </si>
  <si>
    <t>厦门市湖里区缘予通资源回收服务部</t>
  </si>
  <si>
    <t>志达再生资源</t>
  </si>
  <si>
    <t>泉州志达再生资源有限公司</t>
  </si>
  <si>
    <t>金尚卷帘门</t>
  </si>
  <si>
    <t>漳州市龙文区金尚卷帘门电机厂</t>
  </si>
  <si>
    <t>http://www.jinshang360.com</t>
  </si>
  <si>
    <t>厦门点泽网络</t>
  </si>
  <si>
    <t>厦门市点泽网络科技有限公司</t>
  </si>
  <si>
    <t>铂禧菲声</t>
  </si>
  <si>
    <t>铂禧菲声（厦门）设计有限公司</t>
  </si>
  <si>
    <t>厦门玖顺</t>
  </si>
  <si>
    <t>厦门玖顺新材料科技有限公司</t>
  </si>
  <si>
    <t>http://xmjiushun.com</t>
  </si>
  <si>
    <t>四正园艺</t>
  </si>
  <si>
    <t>漳浦县官浔镇四正园艺场</t>
  </si>
  <si>
    <t>http://www.zzszhmc.com/</t>
  </si>
  <si>
    <t>伊洛科2</t>
  </si>
  <si>
    <t>http://www.qzylk.com/</t>
  </si>
  <si>
    <t>即刻互动1</t>
  </si>
  <si>
    <t>泉州即刻互动网络科技有限公司</t>
  </si>
  <si>
    <t>http://niduoya.cn</t>
  </si>
  <si>
    <t>多吃粗粮</t>
  </si>
  <si>
    <t>多吃粗粮（福建）食品有限责任公司</t>
  </si>
  <si>
    <t>福建钰丰乐器</t>
  </si>
  <si>
    <t>钰丰乐器(福建)有限公司</t>
  </si>
  <si>
    <t>http://www.randonguitar.com/</t>
  </si>
  <si>
    <t>财小猫</t>
  </si>
  <si>
    <t>厦门财小猫科技有限公司</t>
  </si>
  <si>
    <t>http://cxmkj.com</t>
  </si>
  <si>
    <t>信康美化妆品</t>
  </si>
  <si>
    <t>信康美（福建）化妆品有限公司</t>
  </si>
  <si>
    <t>http://www.xinkangmei.com</t>
  </si>
  <si>
    <t>泉州天久</t>
  </si>
  <si>
    <t>泉州市天久环保科技有限公司</t>
  </si>
  <si>
    <t>亿佳天辰</t>
  </si>
  <si>
    <t>厦门亿佳天辰贸易有限公司</t>
  </si>
  <si>
    <t>http://www.xmyjtc.com</t>
  </si>
  <si>
    <t>铭晖回收</t>
  </si>
  <si>
    <t>福建壹戈</t>
  </si>
  <si>
    <t>福建壹戈食品科技有限公司</t>
  </si>
  <si>
    <t>瑞福石材</t>
  </si>
  <si>
    <t>华安县瑞福石材有限公司</t>
  </si>
  <si>
    <t>漳浦万樟园</t>
  </si>
  <si>
    <t>万樟园(漳州)园林有限公司</t>
  </si>
  <si>
    <t>http://www.wanzy.cn</t>
  </si>
  <si>
    <t>美丽都酒店</t>
  </si>
  <si>
    <t>漳州市美丽都商务酒店有限公司</t>
  </si>
  <si>
    <t>http://www.yeefish.com/</t>
  </si>
  <si>
    <t>漳浦鸿胜石材</t>
  </si>
  <si>
    <t>漳浦县鸿胜石材有限公司</t>
  </si>
  <si>
    <t>http://yxf5361.1688.com/</t>
  </si>
  <si>
    <t>厦门浩科电子</t>
  </si>
  <si>
    <t>厦门浩科电子有限公司</t>
  </si>
  <si>
    <t>http://www.horkoo.com</t>
  </si>
  <si>
    <t>铭恩网络</t>
  </si>
  <si>
    <t>漳州市铭恩网络科技有限公司</t>
  </si>
  <si>
    <t>http://www.zzme.net/</t>
  </si>
  <si>
    <t>钻石酒店</t>
  </si>
  <si>
    <t>泉州钻石酒店有限公司</t>
  </si>
  <si>
    <t>丰泽蟹都汇</t>
  </si>
  <si>
    <t>丰泽区蟹都汇水产品商行</t>
  </si>
  <si>
    <t>芗城中医院1</t>
  </si>
  <si>
    <t>漳州市芗城中医院</t>
  </si>
  <si>
    <t>马口乔农</t>
  </si>
  <si>
    <t>漳浦县马口乔农园艺场</t>
  </si>
  <si>
    <t>http://www.qnyyc.cn/</t>
  </si>
  <si>
    <t>厦门文广金信</t>
  </si>
  <si>
    <t>厦门文广金信会展有限公司</t>
  </si>
  <si>
    <t>宸实财务</t>
  </si>
  <si>
    <t>漳州市宸实财务管理有限公司</t>
  </si>
  <si>
    <t>http://www.zzchenshi.com/</t>
  </si>
  <si>
    <t>邦弘讯信息</t>
  </si>
  <si>
    <t>厦门邦弘讯信息技术有限公司</t>
  </si>
  <si>
    <t>http://www.ycsphy.com</t>
  </si>
  <si>
    <t>艺美</t>
  </si>
  <si>
    <t>漳浦县艺美花卉专业合作社</t>
  </si>
  <si>
    <t>http://www.zpymhh.com/Default.aspx</t>
  </si>
  <si>
    <t>漳州爱羽</t>
  </si>
  <si>
    <t>漳州市龙文区爱羽教育信息咨询服务有限公司</t>
  </si>
  <si>
    <t>http://yzb0596.com/</t>
  </si>
  <si>
    <t>红柏花卉</t>
  </si>
  <si>
    <t>华安县红柏花卉经营部</t>
  </si>
  <si>
    <t>厦门友图</t>
  </si>
  <si>
    <t>zz正兴</t>
  </si>
  <si>
    <t>漳州市正兴学校</t>
  </si>
  <si>
    <t>维多克1</t>
  </si>
  <si>
    <t>厦门市维多克商务咨询事务所</t>
  </si>
  <si>
    <t>泉州徽壹</t>
  </si>
  <si>
    <t>泉州市徽壹再生资源有限公司</t>
  </si>
  <si>
    <t>耀诚玻璃</t>
  </si>
  <si>
    <t>福建省耀诚玻璃科技有限公司</t>
  </si>
  <si>
    <t>http://www.vicsinglass.com</t>
  </si>
  <si>
    <t>机械批发</t>
  </si>
  <si>
    <t>漳州台商投资区角美少斌机械配件经营部</t>
  </si>
  <si>
    <t>http://www.shaobinjixie.com</t>
  </si>
  <si>
    <t>漳州奥米</t>
  </si>
  <si>
    <t>漳州市奥米会展服务有限公司</t>
  </si>
  <si>
    <t>http://www.ommyexpo.com/</t>
  </si>
  <si>
    <t>漳州理工</t>
  </si>
  <si>
    <t>漳州理工职业学院</t>
  </si>
  <si>
    <t>http://www.zzlg.org/</t>
  </si>
  <si>
    <t>万厦天成</t>
  </si>
  <si>
    <t>厦门万厦天成房地产开发有限公司</t>
  </si>
  <si>
    <t>友利金银回收</t>
  </si>
  <si>
    <t>泉州市洛江区双阳友利金银回收行</t>
  </si>
  <si>
    <t>厦门顺廉</t>
  </si>
  <si>
    <t>厦门顺廉国际物流有限公司</t>
  </si>
  <si>
    <t>柏霖工贸</t>
  </si>
  <si>
    <t>漳州柏霖工贸有限公司</t>
  </si>
  <si>
    <t>http://zzblgm.com</t>
  </si>
  <si>
    <t>飞华通讯</t>
  </si>
  <si>
    <t>晋江市深沪镇飞华通讯店</t>
  </si>
  <si>
    <t>赛客医疗器械</t>
  </si>
  <si>
    <t>赛客（厦门）医疗器械有限公司</t>
  </si>
  <si>
    <t>厦门拓客</t>
  </si>
  <si>
    <t>厦门拓客金融技术服务有限公司</t>
  </si>
  <si>
    <t>http://www.kuaicha.info</t>
  </si>
  <si>
    <t>庄业雕刻</t>
  </si>
  <si>
    <t>http://www.zhjp2006.com.cn</t>
  </si>
  <si>
    <t>瑞清饭店</t>
  </si>
  <si>
    <t>南靖县瑞清饭店</t>
  </si>
  <si>
    <t>http://www.52tulou.com</t>
  </si>
  <si>
    <t>泉州益森能1</t>
  </si>
  <si>
    <t>泉州益森能液压机电设备有限公司</t>
  </si>
  <si>
    <t>瑞齿口腔</t>
  </si>
  <si>
    <t>厦门湖里瑞齿口腔门诊部有限公司</t>
  </si>
  <si>
    <t>德信餐饮管理</t>
  </si>
  <si>
    <t>漳州胡宏斌德信餐饮管理有限公司</t>
  </si>
  <si>
    <t>http://fjdxhb.com/</t>
  </si>
  <si>
    <t>得利斯活动房</t>
  </si>
  <si>
    <t>晋江得利斯活动房有限公司</t>
  </si>
  <si>
    <t>新菱机电</t>
  </si>
  <si>
    <t>漳州新菱机电设备有限公司</t>
  </si>
  <si>
    <t>http://eksc.com.cn/</t>
  </si>
  <si>
    <t>连木松日用品</t>
  </si>
  <si>
    <t>漳州市龙文区连木松日用品店</t>
  </si>
  <si>
    <t>http://www.zzjiangdong.com/</t>
  </si>
  <si>
    <t>财狗智能科技</t>
  </si>
  <si>
    <t>厦门财狗智能科技有限公司</t>
  </si>
  <si>
    <t>http://www.caigoumail.com</t>
  </si>
  <si>
    <t>厦门东亚</t>
  </si>
  <si>
    <t>厦门东亚机械工业股份有限公司</t>
  </si>
  <si>
    <t>http://www.jaguar-compressor.com</t>
  </si>
  <si>
    <t>文惠园林</t>
  </si>
  <si>
    <t>漳州市文惠园林绿化工程有限公司</t>
  </si>
  <si>
    <t>每日财税</t>
  </si>
  <si>
    <t>福建省每日财税管理有限公司</t>
  </si>
  <si>
    <t>http://www.fjmrcs.com</t>
  </si>
  <si>
    <t>胜鑫达</t>
  </si>
  <si>
    <t>厦门市湖里区胜鑫达空调维修服务部</t>
  </si>
  <si>
    <t>佳睿达</t>
  </si>
  <si>
    <t>厦门佳睿达供应链有限公司</t>
  </si>
  <si>
    <t>恩尊电子</t>
  </si>
  <si>
    <t>漳州市恩尊电子有限公司</t>
  </si>
  <si>
    <t>https://enzun.1688.com</t>
  </si>
  <si>
    <t>达康蔬菜</t>
  </si>
  <si>
    <t>漳浦县达康蔬菜专业合作社</t>
  </si>
  <si>
    <t>http://zpdksc.com</t>
  </si>
  <si>
    <t>彩钢板</t>
  </si>
  <si>
    <t>漳州耀洁净化彩钢板有限公司</t>
  </si>
  <si>
    <t>http://www.zzyaojie.cn</t>
  </si>
  <si>
    <t>春华园艺</t>
  </si>
  <si>
    <t>漳浦县春华园艺场</t>
  </si>
  <si>
    <t>http://www.chunhuayy.com</t>
  </si>
  <si>
    <t>泉州蚂蝗</t>
  </si>
  <si>
    <t>泉州蚂蝗贸易有限公司</t>
  </si>
  <si>
    <t>福建创融</t>
  </si>
  <si>
    <t>福建省创融信息科技有限公司</t>
  </si>
  <si>
    <t>坚实钢管</t>
  </si>
  <si>
    <t>漳州市坚实钢管制品有限公司</t>
  </si>
  <si>
    <t>http://www.fjjs.com.cn</t>
  </si>
  <si>
    <t>皇室母婴</t>
  </si>
  <si>
    <t>德众盛</t>
  </si>
  <si>
    <t>漳浦县德众盛农产品有限公司</t>
  </si>
  <si>
    <t>http://www.meiguiqie.com.cn/</t>
  </si>
  <si>
    <t>连瑞工贸</t>
  </si>
  <si>
    <t>长泰连瑞工贸有限公司</t>
  </si>
  <si>
    <t>http://www.lrstone.cn/</t>
  </si>
  <si>
    <t>厦门美榉</t>
  </si>
  <si>
    <t>厦门美榉健康管理有限公司</t>
  </si>
  <si>
    <t>漳浦吉隆化工</t>
  </si>
  <si>
    <t>漳浦县吉隆化工有限公司</t>
  </si>
  <si>
    <t>http://www.jilonghg.com</t>
  </si>
  <si>
    <t>福建华膳</t>
  </si>
  <si>
    <t>福建华膳健康产业科技有限公司</t>
  </si>
  <si>
    <t>泉州易旭</t>
  </si>
  <si>
    <t>龙华矿产</t>
  </si>
  <si>
    <t>漳州市龙华矿产有限公司</t>
  </si>
  <si>
    <t>http://www.zzslhkc.com/</t>
  </si>
  <si>
    <t>厦门艺品</t>
  </si>
  <si>
    <t>厦门艺品标牌有限公司</t>
  </si>
  <si>
    <t>http://www.xmypgg.com</t>
  </si>
  <si>
    <t>高新人才培训</t>
  </si>
  <si>
    <t>漳州市高新人才职业培训学校</t>
  </si>
  <si>
    <t>http://yjs.okrc.net</t>
  </si>
  <si>
    <t>厦门恺吉</t>
  </si>
  <si>
    <t>厦门恺吉智能科技有限公司</t>
  </si>
  <si>
    <t>http://crazymcn.com</t>
  </si>
  <si>
    <t>崇辉货运代理</t>
  </si>
  <si>
    <t>晋江市池店镇崇辉货运代理服务部</t>
  </si>
  <si>
    <t>专利事务所</t>
  </si>
  <si>
    <t>厦门原创专利事务所（普通合伙）</t>
  </si>
  <si>
    <t>漳浦锐光医院</t>
  </si>
  <si>
    <t>http://www.zprgyy.com</t>
  </si>
  <si>
    <t>暖光信息</t>
  </si>
  <si>
    <t>泉州市暖光广告设计有限公司</t>
  </si>
  <si>
    <t>http://www.warmlightbrand.com</t>
  </si>
  <si>
    <t>华跃贸易</t>
  </si>
  <si>
    <t>漳州华跃贸易有限公司</t>
  </si>
  <si>
    <t>http://shop1438880093291.1688.com/</t>
  </si>
  <si>
    <t>木科自动化</t>
  </si>
  <si>
    <t>漳州市木科自动化设备有限公司</t>
  </si>
  <si>
    <t>http://www.zzmuke.com</t>
  </si>
  <si>
    <t>潜意识巨人1</t>
  </si>
  <si>
    <t>漳州市成富文化传播有限公司</t>
  </si>
  <si>
    <t>http://www.qianyishijuren.com</t>
  </si>
  <si>
    <t>平和亿佳</t>
  </si>
  <si>
    <t>平和县亿佳木业有限公司</t>
  </si>
  <si>
    <t>http://yijiamuye.37group.net/</t>
  </si>
  <si>
    <t>厦门南极圈</t>
  </si>
  <si>
    <t>厦门南极圈科技有限公司</t>
  </si>
  <si>
    <t>峰军膜结构1</t>
  </si>
  <si>
    <t>福建峰军膜结构工程有限公司</t>
  </si>
  <si>
    <t>永恒日用品</t>
  </si>
  <si>
    <t>漳州永恒化妆品有限公司</t>
  </si>
  <si>
    <t>http://www.zzyhhzp.com</t>
  </si>
  <si>
    <t>zz三益</t>
  </si>
  <si>
    <t>漳州三益不锈钢制品有限公司</t>
  </si>
  <si>
    <t>http://www.fjsysx.com</t>
  </si>
  <si>
    <t>漳浦永昌</t>
  </si>
  <si>
    <t>漳浦永昌农业机械有限公司</t>
  </si>
  <si>
    <t>http://www.yongchangyj.com</t>
  </si>
  <si>
    <t>湃瑞珅</t>
  </si>
  <si>
    <t>厦门湃瑞珅网络科技有限公司</t>
  </si>
  <si>
    <t>三正建材</t>
  </si>
  <si>
    <t>漳州市三正建材有限公司</t>
  </si>
  <si>
    <t>http://www.zzszjc.com</t>
  </si>
  <si>
    <t>山里路生态</t>
  </si>
  <si>
    <t>漳州山里路生态农业科技有限公司</t>
  </si>
  <si>
    <t>http://www.fjshengtainongchang.com</t>
  </si>
  <si>
    <t>雅静园艺</t>
  </si>
  <si>
    <t>漳州雅静园艺有限公司</t>
  </si>
  <si>
    <t>http://www.fjyajing.com/</t>
  </si>
  <si>
    <t>福柚红</t>
  </si>
  <si>
    <t>平和县福柚红三红蜜柚培育基地</t>
  </si>
  <si>
    <t>http://phfyh.com</t>
  </si>
  <si>
    <t>漳州诚林</t>
  </si>
  <si>
    <t>漳州诚林绿化苗木有限公司</t>
  </si>
  <si>
    <t>兰秀丽诗</t>
  </si>
  <si>
    <t>厦门兰秀丽诗商贸有限公司</t>
  </si>
  <si>
    <t>http://www.kikixuanchuan.com</t>
  </si>
  <si>
    <t>漳浦四季青</t>
  </si>
  <si>
    <t>漳浦县四季青园艺场</t>
  </si>
  <si>
    <t>http://sjqyyc.com</t>
  </si>
  <si>
    <t>鼎加盛</t>
  </si>
  <si>
    <t>漳浦县长桥镇鼎加盛苗木场</t>
  </si>
  <si>
    <t>诺航软件</t>
  </si>
  <si>
    <t>漳州市诺航软件有限公司</t>
  </si>
  <si>
    <t>http://zznhrj.cn</t>
  </si>
  <si>
    <t>深南联合</t>
  </si>
  <si>
    <t>深南联合（厦门）产业服务有限公司</t>
  </si>
  <si>
    <t>八尺门业</t>
  </si>
  <si>
    <t>漳州八尺门装饰材料有限公司</t>
  </si>
  <si>
    <t>http://www.8cmy.com</t>
  </si>
  <si>
    <t>厦门奥普勒斯</t>
  </si>
  <si>
    <t>厦门奥普勒斯贸易有限公司</t>
  </si>
  <si>
    <t>http://www.xmapls.com</t>
  </si>
  <si>
    <t>瑞克曼</t>
  </si>
  <si>
    <t>http://www.rickmanchem.com</t>
  </si>
  <si>
    <t>泉州建站</t>
  </si>
  <si>
    <t>福建航雅</t>
  </si>
  <si>
    <t>福建航雅智能科技有限公司</t>
  </si>
  <si>
    <t>http://www.hangya123.com</t>
  </si>
  <si>
    <t>厦门炫浪</t>
  </si>
  <si>
    <t>厦门炫浪网络科技有限公司</t>
  </si>
  <si>
    <t>竞迪</t>
  </si>
  <si>
    <t>厦门竞迪网络科技有限公司</t>
  </si>
  <si>
    <t>http://www.shangjiahai.com</t>
  </si>
  <si>
    <t>福建鑫源祥</t>
  </si>
  <si>
    <t>福建省鑫源祥木业有限公司</t>
  </si>
  <si>
    <t>http://www.fjxyxmy.com/</t>
  </si>
  <si>
    <t>鑫兴达机械</t>
  </si>
  <si>
    <t>漳州鑫兴达机械铸造有限公司</t>
  </si>
  <si>
    <t>http://www.xxdjxzz.com</t>
  </si>
  <si>
    <t>漳州盛胤</t>
  </si>
  <si>
    <t>漳州市盛胤机械设备有限公司</t>
  </si>
  <si>
    <t>鸿华源石材</t>
  </si>
  <si>
    <t>漳浦县鸿华源石材厂</t>
  </si>
  <si>
    <t>http://hhycrm.stonebuy.com</t>
  </si>
  <si>
    <t>坤达石材</t>
  </si>
  <si>
    <t>长泰县坤达石材厂</t>
  </si>
  <si>
    <t>http://www.xinleishicai.com</t>
  </si>
  <si>
    <t>招商加盟-又喜食品</t>
  </si>
  <si>
    <t>福建又喜食品有限公司</t>
  </si>
  <si>
    <t>http://www.cgtea.net</t>
  </si>
  <si>
    <t>万邦货运1</t>
  </si>
  <si>
    <t>泉州经济技术开发区万邦货运代理服务中心</t>
  </si>
  <si>
    <t>瓷艺城</t>
  </si>
  <si>
    <t>众豪商贸</t>
  </si>
  <si>
    <t>厦门众豪商贸有限公司</t>
  </si>
  <si>
    <t>http://www.chaoxzm.com</t>
  </si>
  <si>
    <t>华厦酒店1</t>
  </si>
  <si>
    <t>安溪县华厦大酒店有限公司东山分公司</t>
  </si>
  <si>
    <t>http://www.dshx-hotel.com</t>
  </si>
  <si>
    <t>爱好家塑料</t>
  </si>
  <si>
    <t>漳州市爱好家塑料制品有限公司</t>
  </si>
  <si>
    <t>http://www.lhaojia.com/</t>
  </si>
  <si>
    <t>华超液压</t>
  </si>
  <si>
    <t>漳州市龙文区华超液压机械加工场</t>
  </si>
  <si>
    <t>http://www.zzhcyyjx.com</t>
  </si>
  <si>
    <t>红博培训</t>
  </si>
  <si>
    <t>龙岩市红博培训服务有限公司</t>
  </si>
  <si>
    <t>http://gtgbjy.com.cn/</t>
  </si>
  <si>
    <t>夏天园艺</t>
  </si>
  <si>
    <t>龙海市九湖夏天园艺场</t>
  </si>
  <si>
    <t>韩艺韩辰</t>
  </si>
  <si>
    <t>厦门韩艺韩辰教育咨询有限公司</t>
  </si>
  <si>
    <t>http://www.xmhyhcpx.com</t>
  </si>
  <si>
    <t>漳州鑫创</t>
  </si>
  <si>
    <t>漳州鑫创金属制品有限公司</t>
  </si>
  <si>
    <t>http://www.xcmy0596.com/</t>
  </si>
  <si>
    <t>文广金信</t>
  </si>
  <si>
    <t>厦门万能通</t>
  </si>
  <si>
    <t>厦门万能通管理咨询有限公司</t>
  </si>
  <si>
    <t>厦门鼎美新</t>
  </si>
  <si>
    <t>厦门鼎美新复合材料有限公司</t>
  </si>
  <si>
    <t>http://www.xmfrp.cn</t>
  </si>
  <si>
    <t>恒诚网络</t>
  </si>
  <si>
    <t>漳州市恒诚网络科技有限公司</t>
  </si>
  <si>
    <t>http://www.hcwlyun.com/</t>
  </si>
  <si>
    <t>大兴装饰板</t>
  </si>
  <si>
    <t>漳州市大兴装饰板有限公司</t>
  </si>
  <si>
    <t>http://zzdaxing.com</t>
  </si>
  <si>
    <t>将军山农业</t>
  </si>
  <si>
    <t>漳州市将军山农业开发有限公司</t>
  </si>
  <si>
    <t>http://www.ph-jjs.com</t>
  </si>
  <si>
    <t>福建璨晖3</t>
  </si>
  <si>
    <t>福建璨晖反光材料有限公司</t>
  </si>
  <si>
    <t>清宁园艺场</t>
  </si>
  <si>
    <t>漳浦县沙西镇清宁园艺场</t>
  </si>
  <si>
    <t>http://www.zpqnyy.com/</t>
  </si>
  <si>
    <t>双景园艺场</t>
  </si>
  <si>
    <t>漳浦县官浔镇双景园艺场</t>
  </si>
  <si>
    <t>http://www.zzsjyyc.cn</t>
  </si>
  <si>
    <t>漳州迪可士</t>
  </si>
  <si>
    <t>漳州市迪可士餐饮管理有限公司</t>
  </si>
  <si>
    <t>http://www.dekescy.com/</t>
  </si>
  <si>
    <t>吉腾电子</t>
  </si>
  <si>
    <t>漳州市吉腾电子有限公司</t>
  </si>
  <si>
    <t>http://www.jiteng.com/</t>
  </si>
  <si>
    <t>艾桔梗</t>
  </si>
  <si>
    <t>厦门艾桔梗教育咨询有限公司</t>
  </si>
  <si>
    <t>http://www.aijiegeng.com</t>
  </si>
  <si>
    <t>厦门鑫创鑫</t>
  </si>
  <si>
    <t>厦门鑫创鑫建筑科技有限公司</t>
  </si>
  <si>
    <t>http://www.xcxjz.com</t>
  </si>
  <si>
    <t>开兴苗圃1</t>
  </si>
  <si>
    <t>平和县开兴苗圃专业合作社</t>
  </si>
  <si>
    <t>骏德建筑</t>
  </si>
  <si>
    <t>漳州市骏德建筑工程有限公司</t>
  </si>
  <si>
    <t>http://zzjdjzgc.com</t>
  </si>
  <si>
    <t>三好卫生用品</t>
  </si>
  <si>
    <t>漳州市三好卫生用品有限公司</t>
  </si>
  <si>
    <t>http://www.fjsh88.com</t>
  </si>
  <si>
    <t>荣强货运</t>
  </si>
  <si>
    <t>漳州市龙文区荣强货运中转站</t>
  </si>
  <si>
    <t>http://www.51zx51.com</t>
  </si>
  <si>
    <t>马口绿景</t>
  </si>
  <si>
    <t>漳浦县马口绿景园艺场</t>
  </si>
  <si>
    <t>http://www.0596001.com/Default.aspx</t>
  </si>
  <si>
    <t>泉州磨缘</t>
  </si>
  <si>
    <t>泉州磨缘电动石磨有限公司</t>
  </si>
  <si>
    <t>水夫人</t>
  </si>
  <si>
    <t>水夫人（福建）环保科技股份有限公司</t>
  </si>
  <si>
    <t>http://www.sfrhb.com</t>
  </si>
  <si>
    <t>福建菌源</t>
  </si>
  <si>
    <t>福建菌源进出口贸易有限公司</t>
  </si>
  <si>
    <t>精锴五金</t>
  </si>
  <si>
    <t>漳浦县精锴五金制品有限公司</t>
  </si>
  <si>
    <t>http://www.fj-jk.com</t>
  </si>
  <si>
    <t>巢派</t>
  </si>
  <si>
    <t>巢派(厦门)实业有限公司</t>
  </si>
  <si>
    <t>金亿地</t>
  </si>
  <si>
    <t>厦门金亿地再生资源回收有限公司</t>
  </si>
  <si>
    <t>https://qianhu.wejianzhan.com/</t>
  </si>
  <si>
    <t>金黑宝机械</t>
  </si>
  <si>
    <t>漳州金黑宝食用菌机械有限公司</t>
  </si>
  <si>
    <t>http://www.heibaojixie.com/</t>
  </si>
  <si>
    <t>紫东花厦门</t>
  </si>
  <si>
    <t>博达制冷</t>
  </si>
  <si>
    <t>漳州市博达制冷设备有限公司</t>
  </si>
  <si>
    <t>奇力纸品</t>
  </si>
  <si>
    <t>漳州市奇力纸品有限公司</t>
  </si>
  <si>
    <t>http://www.ukkuss.com/</t>
  </si>
  <si>
    <t>漳州天牌财务咨询</t>
  </si>
  <si>
    <t>漳州天牌财务咨询有限公司</t>
  </si>
  <si>
    <t>http://www.tp1618.com</t>
  </si>
  <si>
    <t>喵宝科技1</t>
  </si>
  <si>
    <t>厦门喵宝科技有限公司</t>
  </si>
  <si>
    <t>http://www.paperang.com</t>
  </si>
  <si>
    <t>集广缘3</t>
  </si>
  <si>
    <t>坤阳瑜伽馆</t>
  </si>
  <si>
    <t>厦门市同安区坤阳瑜伽馆</t>
  </si>
  <si>
    <t>厦门盈点</t>
  </si>
  <si>
    <t>漳州极速</t>
  </si>
  <si>
    <t>漳州市龙文区极速家电维修服务部</t>
  </si>
  <si>
    <t>千禧用品</t>
  </si>
  <si>
    <t>艾勤</t>
  </si>
  <si>
    <t>http://shop35826972.taobao.com</t>
  </si>
  <si>
    <t>益腾软件</t>
  </si>
  <si>
    <t>漳州益腾软件有限公司</t>
  </si>
  <si>
    <t>http://www.zzytrj.net</t>
  </si>
  <si>
    <t>厦门敏创</t>
  </si>
  <si>
    <t>厦门敏创信息科技有限公司</t>
  </si>
  <si>
    <t>http://www.a345.com</t>
  </si>
  <si>
    <t>恒昌润滑油</t>
  </si>
  <si>
    <t>漳州市恒昌润滑油贸易有限公司</t>
  </si>
  <si>
    <t>http://zzhcrhy.com/</t>
  </si>
  <si>
    <t>聚金回收</t>
  </si>
  <si>
    <t>南安市霞美聚金再生资源回收站</t>
  </si>
  <si>
    <t>漳州云顶</t>
  </si>
  <si>
    <t>漳州云顶温泉大酒店有限公司</t>
  </si>
  <si>
    <t>http://www.cnrhotel888.com</t>
  </si>
  <si>
    <t>晓月欣家政</t>
  </si>
  <si>
    <t>厦门晓月欣家政服务有限公司</t>
  </si>
  <si>
    <t>http://www.xyxbj.com/</t>
  </si>
  <si>
    <t>卡比宠物</t>
  </si>
  <si>
    <t>漳州市龙文区卡比宠物医院</t>
  </si>
  <si>
    <t>厦门辰力</t>
  </si>
  <si>
    <t>厦门辰力防水建材有限公司</t>
  </si>
  <si>
    <t>http://www.chenlifs.com</t>
  </si>
  <si>
    <t>厦门兴红邦</t>
  </si>
  <si>
    <t>厦门复信</t>
  </si>
  <si>
    <t>厦门复信智业科技有限公司</t>
  </si>
  <si>
    <t>http://www.hangyeka.cn</t>
  </si>
  <si>
    <t>精选石材</t>
  </si>
  <si>
    <t>星辰陶瓷1</t>
  </si>
  <si>
    <t>福建省德化星辰陶瓷有限公司</t>
  </si>
  <si>
    <t>康怀</t>
  </si>
  <si>
    <t>厦门市湖里区康怀家用电器维修经营部</t>
  </si>
  <si>
    <t>厦门宏发</t>
  </si>
  <si>
    <t>厦门宏发开关设备有限公司</t>
  </si>
  <si>
    <t>https://www.hongfa.cn/Product/Category/Low-Voltage-Devices</t>
  </si>
  <si>
    <t>漳州恒裕隆</t>
  </si>
  <si>
    <t>漳州市恒裕隆商贸有限公司</t>
  </si>
  <si>
    <t>厦门轩易1</t>
  </si>
  <si>
    <t>厦门轩易干燥剂有限公司</t>
  </si>
  <si>
    <t>http://www.xmxuanyi.cn</t>
  </si>
  <si>
    <t>闽南龙狮团</t>
  </si>
  <si>
    <t>漳州闽南龙狮文化传媒有限公司</t>
  </si>
  <si>
    <t>http://www.mnlst.cn/</t>
  </si>
  <si>
    <t>华玉石业</t>
  </si>
  <si>
    <t>漳州市华玉石业有限公司</t>
  </si>
  <si>
    <t>http://www.hy-stone.com</t>
  </si>
  <si>
    <t>合诚展会</t>
  </si>
  <si>
    <t>福建合诚展会策划有限责任公司</t>
  </si>
  <si>
    <t>闽粤涂料</t>
  </si>
  <si>
    <t>厦门市杏林闽粤涂料工业有限公司</t>
  </si>
  <si>
    <t>万石通</t>
  </si>
  <si>
    <t>漳州市万石通超硬材料工具有限公司</t>
  </si>
  <si>
    <t>http://www.walstones.com</t>
  </si>
  <si>
    <t>漳州红门门业</t>
  </si>
  <si>
    <t>漳州红门门业有限公司</t>
  </si>
  <si>
    <t>漳州丰汇</t>
  </si>
  <si>
    <t>漳州市丰汇金属丝网制品有限公司</t>
  </si>
  <si>
    <t>建晟家具</t>
  </si>
  <si>
    <t>漳州建晟家具有限公司</t>
  </si>
  <si>
    <t>http://www.l-doctor.com</t>
  </si>
  <si>
    <t>漳州康佳丽</t>
  </si>
  <si>
    <t>漳州市康佳丽健康咨询有限公司</t>
  </si>
  <si>
    <t>http://www.kjlhealth.com</t>
  </si>
  <si>
    <t>会隆超多传媒</t>
  </si>
  <si>
    <t>漳州市龙文区会隆超多文化传媒工作室</t>
  </si>
  <si>
    <t>金浦钢丝厂</t>
  </si>
  <si>
    <t>漳浦县金浦钢丝厂</t>
  </si>
  <si>
    <t>http://www.zpjpgsc.com</t>
  </si>
  <si>
    <t>力迈机械设备</t>
  </si>
  <si>
    <t>力迈机械设备（厦门）有限公司</t>
  </si>
  <si>
    <t>厦门缤凡</t>
  </si>
  <si>
    <t>厦门市缤凡贸易有限公司</t>
  </si>
  <si>
    <t>https://binfan.1688.com</t>
  </si>
  <si>
    <t>金植康</t>
  </si>
  <si>
    <t>厦门金植康生物科技有限公司</t>
  </si>
  <si>
    <t>http://shop8n83058428g86.1688.com</t>
  </si>
  <si>
    <t>聚源酒店</t>
  </si>
  <si>
    <t>漳州市聚源大酒店有限公司</t>
  </si>
  <si>
    <t>http://www.lvdout.com</t>
  </si>
  <si>
    <t>少斌机械</t>
  </si>
  <si>
    <t>富茂果苗</t>
  </si>
  <si>
    <t>平和县富茂果苗场</t>
  </si>
  <si>
    <t>http://fumaogm.com/</t>
  </si>
  <si>
    <t>泉州搜富</t>
  </si>
  <si>
    <t>泉州搜富网络科技有限公司</t>
  </si>
  <si>
    <t>http://www.woxiaoka.com</t>
  </si>
  <si>
    <t>林荧东律师</t>
  </si>
  <si>
    <t>林荧东</t>
  </si>
  <si>
    <t>http://linyingdong.com</t>
  </si>
  <si>
    <t>亲禾</t>
  </si>
  <si>
    <t>厦门亲禾教育科技有限公司</t>
  </si>
  <si>
    <t>http://www.xiaohebook.com</t>
  </si>
  <si>
    <t>全晟</t>
  </si>
  <si>
    <t>漳州市全晟法律咨询服务有限公司</t>
  </si>
  <si>
    <t>云凡生物</t>
  </si>
  <si>
    <t>厦门云凡生物科技有限公司</t>
  </si>
  <si>
    <t>http://www.yfpharm.com</t>
  </si>
  <si>
    <t>厦门水源村</t>
  </si>
  <si>
    <t>厦门水源村科技有限公司</t>
  </si>
  <si>
    <t>厦门礼舞泉</t>
  </si>
  <si>
    <t>厦门礼舞泉商贸有限公司</t>
  </si>
  <si>
    <t>福建绿园</t>
  </si>
  <si>
    <t>王</t>
  </si>
  <si>
    <t>http://fjlyhm.com</t>
  </si>
  <si>
    <t>康睿机械</t>
  </si>
  <si>
    <t>漳州康睿机械有限公司</t>
  </si>
  <si>
    <t>无名指门业</t>
  </si>
  <si>
    <t>漳州市无名指门业有限公司</t>
  </si>
  <si>
    <t>http://www.wmzmy.com/</t>
  </si>
  <si>
    <t>xm威尔邦</t>
  </si>
  <si>
    <t>厦门威尔邦新材料有限公司</t>
  </si>
  <si>
    <t>厦门正正钢结构</t>
  </si>
  <si>
    <t>厦门正正钢结构工程有限公司</t>
  </si>
  <si>
    <t>http://www.zhengzhenggjg.com</t>
  </si>
  <si>
    <t>米联支付</t>
  </si>
  <si>
    <t>厦门乾良</t>
  </si>
  <si>
    <t>厦门乾良企业征信有限公司</t>
  </si>
  <si>
    <t>http://www.qiangliang888.com</t>
  </si>
  <si>
    <t>宏泰石雕1</t>
  </si>
  <si>
    <t>惠安县山霞镇宏泰石雕厂</t>
  </si>
  <si>
    <t>鑫辉宇</t>
  </si>
  <si>
    <t>厦门鑫辉宇商务信息咨询有限公司</t>
  </si>
  <si>
    <t>http://www.xmxhy007.com</t>
  </si>
  <si>
    <t>百利园艺</t>
  </si>
  <si>
    <t>漳州市百利园艺有限公司</t>
  </si>
  <si>
    <t>http://www.fjblmm.com</t>
  </si>
  <si>
    <t>伟英贸易</t>
  </si>
  <si>
    <t>漳州市伟英贸易有限公司</t>
  </si>
  <si>
    <t>http://www.weiyingmaoyi.com</t>
  </si>
  <si>
    <t>招商加盟-沃联</t>
  </si>
  <si>
    <t>福建沃联控股集团有限公司</t>
  </si>
  <si>
    <t>浩源废品</t>
  </si>
  <si>
    <t>惠安县浩源废品收购站</t>
  </si>
  <si>
    <t>润声汽车</t>
  </si>
  <si>
    <t>漳州市润声汽车配件有限公司</t>
  </si>
  <si>
    <t>http://baift.com.cn</t>
  </si>
  <si>
    <t>榕梅园艺</t>
  </si>
  <si>
    <t>漳浦县沙西镇榕梅园艺场</t>
  </si>
  <si>
    <t>http://www.fjrmyl.com/</t>
  </si>
  <si>
    <t>厦门郝诚</t>
  </si>
  <si>
    <t>厦门郝诚钢结构有限公司</t>
  </si>
  <si>
    <t>马口恒艺</t>
  </si>
  <si>
    <t>漳浦县官浔镇马口恒艺园艺场</t>
  </si>
  <si>
    <t>http://www.zphyyy.com/</t>
  </si>
  <si>
    <t>建龙苗木</t>
  </si>
  <si>
    <t>漳州市龙文区建龙苗木专业合作社</t>
  </si>
  <si>
    <t>http://www.fjyyc.com</t>
  </si>
  <si>
    <t>胜艺园景</t>
  </si>
  <si>
    <t>漳浦县胜艺园艺场</t>
  </si>
  <si>
    <t>http://www.zpsyyy.com</t>
  </si>
  <si>
    <t>漳州南将</t>
  </si>
  <si>
    <t>漳州南将贸易有限公司</t>
  </si>
  <si>
    <t>纵捷程</t>
  </si>
  <si>
    <t>厦门纵捷程物流有限公司</t>
  </si>
  <si>
    <t>http://www.xmzjcwl.com</t>
  </si>
  <si>
    <t>姿加歌服饰</t>
  </si>
  <si>
    <t>厦门姿加歌服饰有限公司</t>
  </si>
  <si>
    <t>http://www.ylage.com</t>
  </si>
  <si>
    <t>麦盾警用装备</t>
  </si>
  <si>
    <t>福建麦盾警用装备制造有限公司</t>
  </si>
  <si>
    <t>http://www.mdaq110.com/i</t>
  </si>
  <si>
    <t>福建聚合</t>
  </si>
  <si>
    <t>福建聚合信信息技术有限公司</t>
  </si>
  <si>
    <t>厦门坤阳瑜伽馆</t>
  </si>
  <si>
    <t>xm宏佳</t>
  </si>
  <si>
    <t>厦门宏佳新环境工程有限公司</t>
  </si>
  <si>
    <t>精石文化</t>
  </si>
  <si>
    <t>漳州市精石文化传播有限公司</t>
  </si>
  <si>
    <t>http://www.0596jswh.com</t>
  </si>
  <si>
    <t>鑫林豪猪</t>
  </si>
  <si>
    <t>漳浦县长桥镇鑫林豪猪养殖场</t>
  </si>
  <si>
    <t>http://zzhaozhu.com</t>
  </si>
  <si>
    <t>宏跃陶瓷</t>
  </si>
  <si>
    <t>福建省德化县宏跃陶瓷有限公司</t>
  </si>
  <si>
    <t>泉州海德</t>
  </si>
  <si>
    <t>泉州海德能水处理设备有限公司</t>
  </si>
  <si>
    <t>http://www.qzhdn.com</t>
  </si>
  <si>
    <t>家家益贸易</t>
  </si>
  <si>
    <t>厦门家家益贸易有限公司漳州分公司</t>
  </si>
  <si>
    <t>http://www.xmjjymy.com</t>
  </si>
  <si>
    <t>中营汽车</t>
  </si>
  <si>
    <t>泉州市中营汽车服务有限公司</t>
  </si>
  <si>
    <t>漳州诚惠贸易</t>
  </si>
  <si>
    <t>漳州诚惠贸易有限公司</t>
  </si>
  <si>
    <t>http://www.tao-tokyo.com/</t>
  </si>
  <si>
    <t>地圆天方</t>
  </si>
  <si>
    <t>厦门地圆天方企业管理有限公司</t>
  </si>
  <si>
    <t>厦门壹电</t>
  </si>
  <si>
    <t>厦门壹电电力服务有限公司</t>
  </si>
  <si>
    <t>http://www.cndydl.com</t>
  </si>
  <si>
    <t>树德岩寺</t>
  </si>
  <si>
    <t>云霄树德岩寺</t>
  </si>
  <si>
    <t>福建茂盈</t>
  </si>
  <si>
    <t>福建茂盈景观工程有限公司</t>
  </si>
  <si>
    <t>挖码信息4</t>
  </si>
  <si>
    <t>漳州恒诚信</t>
  </si>
  <si>
    <t>漳州市恒诚信纸箱包装有限公司</t>
  </si>
  <si>
    <t>http://www.zzhcxzx.com</t>
  </si>
  <si>
    <t>宝松竹制品</t>
  </si>
  <si>
    <t>漳州市宝松竹制品有限公司</t>
  </si>
  <si>
    <t>http://www.zzbszzp.com/</t>
  </si>
  <si>
    <t>漳州兴亿豪</t>
  </si>
  <si>
    <t>漳州台商投资区角美兴亿豪金属制品店</t>
  </si>
  <si>
    <t>http://www.jyhjszp.com</t>
  </si>
  <si>
    <t>林恩建材</t>
  </si>
  <si>
    <t>福建林恩建材有限公司</t>
  </si>
  <si>
    <t>语萱启明</t>
  </si>
  <si>
    <t>厦门语萱启明教育咨询有限公司</t>
  </si>
  <si>
    <t>美康锁业</t>
  </si>
  <si>
    <t>晋江美康锁业有限公司</t>
  </si>
  <si>
    <t>汤建曦</t>
  </si>
  <si>
    <t>漳州科南</t>
  </si>
  <si>
    <t>漳州科南新材料科技有限公司</t>
  </si>
  <si>
    <t>http://www.fjconan.com/</t>
  </si>
  <si>
    <t>豪矿网络</t>
  </si>
  <si>
    <t>厦门豪矿网络科技有限公司</t>
  </si>
  <si>
    <t>http://www.hkqykj.com</t>
  </si>
  <si>
    <t>厦门壹电电力</t>
  </si>
  <si>
    <t>蓝建胶合板</t>
  </si>
  <si>
    <t>漳州市龙文区蓝建胶合板加工场</t>
  </si>
  <si>
    <t>http://www.fjlanjian.com</t>
  </si>
  <si>
    <t>厦门中网互动</t>
  </si>
  <si>
    <t>中网互动（厦门）网络科技有限公司</t>
  </si>
  <si>
    <t>板桥酒业</t>
  </si>
  <si>
    <t>漳州市板桥酒业有限公司</t>
  </si>
  <si>
    <t>http://www.dafengwanggu.com</t>
  </si>
  <si>
    <t>新华东</t>
  </si>
  <si>
    <t>漳州新华东五交化有限公司</t>
  </si>
  <si>
    <t>http://www.xhdwjh.com</t>
  </si>
  <si>
    <t>永远昌隆</t>
  </si>
  <si>
    <t>厦门市永远昌隆工贸有限公司</t>
  </si>
  <si>
    <t>http://www.xmyycl.com</t>
  </si>
  <si>
    <t>厦门宝士洁</t>
  </si>
  <si>
    <t>厦门宝士洁科技有限公司</t>
  </si>
  <si>
    <t>红鑫家政</t>
  </si>
  <si>
    <t>漳州市红鑫家政服务有限公司</t>
  </si>
  <si>
    <t>http://www.honxin999.com</t>
  </si>
  <si>
    <t>义奋花木</t>
  </si>
  <si>
    <t>漳浦县官浔镇义奋花木场</t>
  </si>
  <si>
    <t>http://laorenkui.com/index.php?_m=frontpage&amp;_a=index</t>
  </si>
  <si>
    <t>厦门羽风</t>
  </si>
  <si>
    <t>厦门羽风电子商务有限公司</t>
  </si>
  <si>
    <t>https://shop177526507.taobao.com</t>
  </si>
  <si>
    <t>漳州鸿发</t>
  </si>
  <si>
    <t>漳州市鸿发物流有限公司</t>
  </si>
  <si>
    <t>http://www.hongfals.com</t>
  </si>
  <si>
    <t>三仁建材</t>
  </si>
  <si>
    <t>福建省漳州三仁建材有限公司</t>
  </si>
  <si>
    <t>http://www.fjsanren.com</t>
  </si>
  <si>
    <t>漳浦亿晟</t>
  </si>
  <si>
    <t>漳浦亿晟绿化苗木有限公司</t>
  </si>
  <si>
    <t>http://www.zpysmm.com/</t>
  </si>
  <si>
    <t>威吧汽车</t>
  </si>
  <si>
    <t>新罗区威吧汽车租赁行</t>
  </si>
  <si>
    <t>http://www.lyv88zc.com/</t>
  </si>
  <si>
    <t>恒龙汽车</t>
  </si>
  <si>
    <t>漳浦县恒龙汽车运输有限公司</t>
  </si>
  <si>
    <t>http://zphenglong.com</t>
  </si>
  <si>
    <t>洁利通</t>
  </si>
  <si>
    <t>漳州市洁利通家政服务有限公司</t>
  </si>
  <si>
    <t>厦门台冠</t>
  </si>
  <si>
    <t>厦门台冠电子有限公司</t>
  </si>
  <si>
    <t>http://www.xmtaiguan.com</t>
  </si>
  <si>
    <t>全锋冷链</t>
  </si>
  <si>
    <t>东山县全锋冷链速运有限公司</t>
  </si>
  <si>
    <t>漳州众家宝</t>
  </si>
  <si>
    <t>漳州众家宝建材有限公司</t>
  </si>
  <si>
    <t>http://tgtz24.hk01.5067.org/</t>
  </si>
  <si>
    <t>福建鼎臻</t>
  </si>
  <si>
    <t>福建鼎臻贸易有限公司</t>
  </si>
  <si>
    <t>http://www.fjdingzhen.com</t>
  </si>
  <si>
    <t>泉民</t>
  </si>
  <si>
    <t>泉州泉民文化有限公司</t>
  </si>
  <si>
    <t>微客云购电商</t>
  </si>
  <si>
    <t>漳州微客云购电子商务有限公司</t>
  </si>
  <si>
    <t>http://www.weikeyungou.com</t>
  </si>
  <si>
    <t>贝克建材</t>
  </si>
  <si>
    <t>漳州贝克建材科技有限公司</t>
  </si>
  <si>
    <t>南禾工贸</t>
  </si>
  <si>
    <t>漳州市南禾工贸有限公司</t>
  </si>
  <si>
    <t>http://www.nanhepower.com</t>
  </si>
  <si>
    <t>和丰食品</t>
  </si>
  <si>
    <t>福建和丰食品科技有限公司</t>
  </si>
  <si>
    <t>http://www.qianchuangfeng.com</t>
  </si>
  <si>
    <t>万佳华盛</t>
  </si>
  <si>
    <t>漳州市万佳华盛化工有限公司</t>
  </si>
  <si>
    <t>http://www.oneka.com.cn</t>
  </si>
  <si>
    <t>新时信息</t>
  </si>
  <si>
    <t>泉州市新时信息技术有限公司</t>
  </si>
  <si>
    <t>http://www.117w.com</t>
  </si>
  <si>
    <t>鑫科工贸</t>
  </si>
  <si>
    <t>漳州鑫科工贸有限公司</t>
  </si>
  <si>
    <t>http://zzxkgm.com</t>
  </si>
  <si>
    <t>友家</t>
  </si>
  <si>
    <t>漳州友家网络科技有限公司</t>
  </si>
  <si>
    <t>http://zz.you315.com/</t>
  </si>
  <si>
    <t>乐邦妮</t>
  </si>
  <si>
    <t>漳州市乐邦妮家政服务有限责任公司</t>
  </si>
  <si>
    <t>http://www.0596lbn.com</t>
  </si>
  <si>
    <t>xm艾睿酷</t>
  </si>
  <si>
    <t>漳州立康</t>
  </si>
  <si>
    <t>漳州立康有害生物防控有限公司</t>
  </si>
  <si>
    <t>http://zz.xmxlv.com/</t>
  </si>
  <si>
    <t>天籁之声琴行</t>
  </si>
  <si>
    <t>盛世华生</t>
  </si>
  <si>
    <t>泉州市盛世华生网络科技有限公司</t>
  </si>
  <si>
    <t>http://www.qzsshs.com</t>
  </si>
  <si>
    <t>万福园艺</t>
  </si>
  <si>
    <t>漳州万福园艺有限公司</t>
  </si>
  <si>
    <t>http://www.sanjiaomei520.com</t>
  </si>
  <si>
    <t>漳龙木材加工场</t>
  </si>
  <si>
    <t>漳浦县长桥镇漳龙木材加工场</t>
  </si>
  <si>
    <t>http://fjzlmy.com/</t>
  </si>
  <si>
    <t>立行果蔬</t>
  </si>
  <si>
    <t>平和县立行果蔬专业合作社</t>
  </si>
  <si>
    <t>云当网络</t>
  </si>
  <si>
    <t>厦门云当网络科技有限公司</t>
  </si>
  <si>
    <t>http://www.yundangnet.com</t>
  </si>
  <si>
    <t>陆斯网络</t>
  </si>
  <si>
    <t>漳州陆斯网络技术有限公司</t>
  </si>
  <si>
    <t>http://www.zzlsjr.com</t>
  </si>
  <si>
    <t>九九译</t>
  </si>
  <si>
    <t>厦门九九译网络科技有限公司</t>
  </si>
  <si>
    <t>http://www.99yee.cn</t>
  </si>
  <si>
    <t>泉州双鑫投资</t>
  </si>
  <si>
    <t>泉州双鑫投资合伙企业（有限合伙）</t>
  </si>
  <si>
    <t>厦门艺海生非</t>
  </si>
  <si>
    <t>厦门市艺海生非开挖工程技术有限公司</t>
  </si>
  <si>
    <t>http://www.yihaisheng.cn</t>
  </si>
  <si>
    <t>安发金属</t>
  </si>
  <si>
    <t>漳州市安发金属制品有限公司</t>
  </si>
  <si>
    <t>http://www.zzanfa.com</t>
  </si>
  <si>
    <t>金博辉餐饮</t>
  </si>
  <si>
    <t>漳州市金博辉餐饮有限公司</t>
  </si>
  <si>
    <t>http://zzsjbh.com/</t>
  </si>
  <si>
    <t>仰德医院</t>
  </si>
  <si>
    <t>泉州市鲤城仰德医院有限公司</t>
  </si>
  <si>
    <t>闽佳艺家具</t>
  </si>
  <si>
    <t>厦门闽佳艺家具有限公司</t>
  </si>
  <si>
    <t>漳州晟辉</t>
  </si>
  <si>
    <t>漳州市晟辉园艺有限公司</t>
  </si>
  <si>
    <t>元辉消防</t>
  </si>
  <si>
    <t>卡尔顿2</t>
  </si>
  <si>
    <t>卡尔顿（集团）有限公司</t>
  </si>
  <si>
    <t>https://calleton.tmall.com/</t>
  </si>
  <si>
    <t>福建闽宏</t>
  </si>
  <si>
    <t>福建闽宏水利机械制造有限公司</t>
  </si>
  <si>
    <t>http://www.fjmhsl.com</t>
  </si>
  <si>
    <t>摩尔企业</t>
  </si>
  <si>
    <t>厦门摩尔企业管理咨询有限公司</t>
  </si>
  <si>
    <t>http://www.cnmore.cn</t>
  </si>
  <si>
    <t>闽粤源绿化</t>
  </si>
  <si>
    <t>漳州市闽粤源绿化工程有限公司</t>
  </si>
  <si>
    <t>华雅得力斯</t>
  </si>
  <si>
    <t>漳州华雅得力斯移动板房有限公司</t>
  </si>
  <si>
    <t>http://www.fjdelisi.com</t>
  </si>
  <si>
    <t>荣丰园林</t>
  </si>
  <si>
    <t>漳浦县荣丰园林绿化有限公司</t>
  </si>
  <si>
    <t>http://www.yuanyi.jqw.com</t>
  </si>
  <si>
    <t>伯兰克科技</t>
  </si>
  <si>
    <t>伯兰克（福建）科技有限公司</t>
  </si>
  <si>
    <t>鑫毅煌工贸</t>
  </si>
  <si>
    <t>泉州市鑫毅煌工贸有限公司</t>
  </si>
  <si>
    <t>丽景园艺</t>
  </si>
  <si>
    <t>漳浦县丽景园艺场</t>
  </si>
  <si>
    <t>http://zpljyy.com</t>
  </si>
  <si>
    <t>浦垣鑫</t>
  </si>
  <si>
    <t>漳州市浦垣鑫机械设备有限公司</t>
  </si>
  <si>
    <t>力展电子</t>
  </si>
  <si>
    <t>漳州力展电子科技有限公司</t>
  </si>
  <si>
    <t>http://www.zzlzkj.com</t>
  </si>
  <si>
    <t>仁泽同创</t>
  </si>
  <si>
    <t>厦门仁泽同创网络科技有限公司</t>
  </si>
  <si>
    <t>平和透明红</t>
  </si>
  <si>
    <t>平和县透明红蜜柚苗木培育场</t>
  </si>
  <si>
    <t>http://www.fjzjl.cn/</t>
  </si>
  <si>
    <t>吕红焱</t>
  </si>
  <si>
    <t>漳州吕红焱厨具有限公司</t>
  </si>
  <si>
    <t>http://hongyancj.com</t>
  </si>
  <si>
    <t>大洋古泉</t>
  </si>
  <si>
    <t>厦门大洋古泉拍卖有限公司</t>
  </si>
  <si>
    <t>西福雄盛</t>
  </si>
  <si>
    <t>福建西福雄盛光电科技有限公司</t>
  </si>
  <si>
    <t>漳州园林</t>
  </si>
  <si>
    <t>漳州市洪昇林园艺有限公司</t>
  </si>
  <si>
    <t>招商-食鉴万物</t>
  </si>
  <si>
    <t>厦门食鉴万物餐饮管理有限公司</t>
  </si>
  <si>
    <t>漳州南华</t>
  </si>
  <si>
    <t>漳州市南华机电有限公司</t>
  </si>
  <si>
    <t>http://www.zznanhua.cn</t>
  </si>
  <si>
    <t>惠安龙博</t>
  </si>
  <si>
    <t>惠安龙博石业有限公司</t>
  </si>
  <si>
    <t>http://halbsy.com</t>
  </si>
  <si>
    <t>圣玛缔</t>
  </si>
  <si>
    <t>启众</t>
  </si>
  <si>
    <t>厦门启众智达科技有限公司</t>
  </si>
  <si>
    <t>http://www.qizhongzd.com</t>
  </si>
  <si>
    <t>漳州缆通</t>
  </si>
  <si>
    <t>漳州市缆通贸易有限公司</t>
  </si>
  <si>
    <t>宇腾生物</t>
  </si>
  <si>
    <t>福建宇腾生物科技有限公司</t>
  </si>
  <si>
    <t>http://www.fjytswkj.com/</t>
  </si>
  <si>
    <t>厦门御米</t>
  </si>
  <si>
    <t>御米（厦门）进出口股份有限公司</t>
  </si>
  <si>
    <t>https://mall.jd.com/index-10274161.html?from=pc</t>
  </si>
  <si>
    <t>漳州鑫瀚承</t>
  </si>
  <si>
    <t>厦门盖杰回收</t>
  </si>
  <si>
    <t>厦门市同安区盖杰再生资源回收店</t>
  </si>
  <si>
    <t>福农鑫苗木</t>
  </si>
  <si>
    <t>漳州市福农鑫苗木有限公司</t>
  </si>
  <si>
    <t>http://www.fnxmm.cn/</t>
  </si>
  <si>
    <t>建站十分</t>
  </si>
  <si>
    <t>厦门通城建辉</t>
  </si>
  <si>
    <t>厦门通城建辉工贸有限公司</t>
  </si>
  <si>
    <t>http://www.xmwujin.cn</t>
  </si>
  <si>
    <t>招商加盟-飞亚思</t>
  </si>
  <si>
    <t>福建飞亚思厨卫科技有限公司</t>
  </si>
  <si>
    <t>早丰食品</t>
  </si>
  <si>
    <t>http://zaofeng.tmall.com</t>
  </si>
  <si>
    <t>石狮大拇指</t>
  </si>
  <si>
    <t>诚长鞋材1</t>
  </si>
  <si>
    <t>晋江市诚长鞋材有限公司</t>
  </si>
  <si>
    <t>http://www.chengzhang.com</t>
  </si>
  <si>
    <t>闽之旅</t>
  </si>
  <si>
    <t>漳州闽之旅旅游服务有限公司</t>
  </si>
  <si>
    <t>http://www.tulou-ly.cn</t>
  </si>
  <si>
    <t>顺万家</t>
  </si>
  <si>
    <t>漳州市龙文区顺万家家电维修部</t>
  </si>
  <si>
    <t>http://swjjd.com</t>
  </si>
  <si>
    <t>闽胜园艺</t>
  </si>
  <si>
    <t>漳浦县闽胜园艺场</t>
  </si>
  <si>
    <t>http://zpxmsyyc.com/</t>
  </si>
  <si>
    <t>暖胜建材</t>
  </si>
  <si>
    <t>漳州暖胜建材有限公司</t>
  </si>
  <si>
    <t>泉州闽泰1</t>
  </si>
  <si>
    <t>泉州闽泰建筑有限公司</t>
  </si>
  <si>
    <t>漳州旭峰建材</t>
  </si>
  <si>
    <t>漳州旭峰建材有限公司</t>
  </si>
  <si>
    <t>http://www.zzxufeng.com/</t>
  </si>
  <si>
    <t>微虾米</t>
  </si>
  <si>
    <t>漳州市微虾米传媒发展有限责任公司</t>
  </si>
  <si>
    <t>http://www.vsomi.com</t>
  </si>
  <si>
    <t>漳州奥特路</t>
  </si>
  <si>
    <t>奥特路(漳州)光学科技有限公司</t>
  </si>
  <si>
    <t>http://www.ourlook168.com/</t>
  </si>
  <si>
    <t>艺泉绿化</t>
  </si>
  <si>
    <t>漳浦县艺泉园林绿化场</t>
  </si>
  <si>
    <t>http://www.sxrspj.com/</t>
  </si>
  <si>
    <t>安雅贸易</t>
  </si>
  <si>
    <t>漳州安雅贸易有限公司</t>
  </si>
  <si>
    <t>http://www.0596ay.com/</t>
  </si>
  <si>
    <t>闽宇建材</t>
  </si>
  <si>
    <t>福建闽宇新型建材科技有限公司</t>
  </si>
  <si>
    <t>http://www.fjmy978.com</t>
  </si>
  <si>
    <t>随源网络科技</t>
  </si>
  <si>
    <t>福建省漳州市随源网络科技有限公司</t>
  </si>
  <si>
    <t>http://www.suiyuan666.cn/</t>
  </si>
  <si>
    <t>漳州大力</t>
  </si>
  <si>
    <t>漳州市大力干燥剂有限公司</t>
  </si>
  <si>
    <t>http://www.dlgzj.cn/</t>
  </si>
  <si>
    <t>微元量食品</t>
  </si>
  <si>
    <t>泉州市微元量食品科技有限公司</t>
  </si>
  <si>
    <t>卅名</t>
  </si>
  <si>
    <t>http://www.30ming.cn</t>
  </si>
  <si>
    <t>知柚信息</t>
  </si>
  <si>
    <t>厦门知柚信息技术有限公司</t>
  </si>
  <si>
    <t>http://www.pomeloteam.com</t>
  </si>
  <si>
    <t>同建工贸</t>
  </si>
  <si>
    <t>漳州同建工贸有限公司</t>
  </si>
  <si>
    <t>http://www.tongjiangongmao.com/</t>
  </si>
  <si>
    <t>鸿竹塑料</t>
  </si>
  <si>
    <t>漳浦县鸿竹塑料加工厂</t>
  </si>
  <si>
    <t>http://hzsljt.cn.alibaba.com</t>
  </si>
  <si>
    <t>漳州恒裕隆1</t>
  </si>
  <si>
    <t>云霄翠丰</t>
  </si>
  <si>
    <t>云霄翠丰房地产开发有限公司</t>
  </si>
  <si>
    <t>http://www.tritonbay.com.cn</t>
  </si>
  <si>
    <t>漳州开源</t>
  </si>
  <si>
    <t>漳州开源软件有限公司</t>
  </si>
  <si>
    <t>http://www.yskis.com</t>
  </si>
  <si>
    <t>莱茵贝格</t>
  </si>
  <si>
    <t>漳州市莱茵贝格电梯有限公司</t>
  </si>
  <si>
    <t>http://laiyinbeige.com</t>
  </si>
  <si>
    <t>新豪威金属</t>
  </si>
  <si>
    <t>漳州新豪威金属制品有限公司</t>
  </si>
  <si>
    <t>http://www.zzxhwmy.com</t>
  </si>
  <si>
    <t>仙由果蔬</t>
  </si>
  <si>
    <t>漳浦县马坪镇仙由果蔬农民专业合作社</t>
  </si>
  <si>
    <t>http://fjzpxy.com/</t>
  </si>
  <si>
    <t>互通互联</t>
  </si>
  <si>
    <t>厦门互通互联信息科技有限公司</t>
  </si>
  <si>
    <t>http://www.fbahuodai.com</t>
  </si>
  <si>
    <t>华承软件</t>
  </si>
  <si>
    <t>漳州华承软件有限公司</t>
  </si>
  <si>
    <t>http://www.zzhcsoft.cn/</t>
  </si>
  <si>
    <t>泉州识君2</t>
  </si>
  <si>
    <t>泉州识君电子商务有限公司</t>
  </si>
  <si>
    <t>豫鑫沙发</t>
  </si>
  <si>
    <t>漳州市龙文区豫鑫沙发维修店</t>
  </si>
  <si>
    <t>绿地园艺场</t>
  </si>
  <si>
    <t>漳浦县绿地园艺有限公司</t>
  </si>
  <si>
    <t>http://www.fjldyy.com/</t>
  </si>
  <si>
    <t>常青园艺</t>
  </si>
  <si>
    <t>漳浦县沙西镇常青园艺场</t>
  </si>
  <si>
    <t>http://sxchangqing.cn.1688.com/</t>
  </si>
  <si>
    <t>瑞兴阁</t>
  </si>
  <si>
    <t>漳州瑞兴阁茶叶有限公司</t>
  </si>
  <si>
    <t>http://www.rxgtea.com</t>
  </si>
  <si>
    <t>博视源机器</t>
  </si>
  <si>
    <t>厦门博视源机器视觉技术有限公司</t>
  </si>
  <si>
    <t>http://www.xmbsy.net</t>
  </si>
  <si>
    <t>漳州四叶草</t>
  </si>
  <si>
    <t>漳州市四叶草食品有限责任公司</t>
  </si>
  <si>
    <t>http://kksweet.cn</t>
  </si>
  <si>
    <t>倍纯</t>
  </si>
  <si>
    <t>厦门倍纯电子商务有限公司</t>
  </si>
  <si>
    <t>https://zhimaike.tmall.com/?spm=a220o.1000855.1997427721.d4918089.6c62786e1AZHUY</t>
  </si>
  <si>
    <t>贝尔光电</t>
  </si>
  <si>
    <t>漳州贝尔光电有限公司</t>
  </si>
  <si>
    <t>http://www.zzbe.cn</t>
  </si>
  <si>
    <t>洪俊涂料1</t>
  </si>
  <si>
    <t>福建统高</t>
  </si>
  <si>
    <t>http://www.fjtggy.cn</t>
  </si>
  <si>
    <t>伟业生物</t>
  </si>
  <si>
    <t>泉州伟业生物医学科技有限公司</t>
  </si>
  <si>
    <t>闽顺回收</t>
  </si>
  <si>
    <t>泉州台商投资区闽顺再生资源回收站</t>
  </si>
  <si>
    <t>启胜园艺</t>
  </si>
  <si>
    <t>漳浦县启胜园艺场</t>
  </si>
  <si>
    <t>http://www.qsyyc168.com/</t>
  </si>
  <si>
    <t>漳州立信联创</t>
  </si>
  <si>
    <t>漳州立信联创财务咨询有限公司</t>
  </si>
  <si>
    <t>http://firesex.com.cn/</t>
  </si>
  <si>
    <t>会隆超多</t>
  </si>
  <si>
    <t>高宅茶业</t>
  </si>
  <si>
    <t>漳州高宅茶业有限公司</t>
  </si>
  <si>
    <t>http://tgdzw.org</t>
  </si>
  <si>
    <t>水之露</t>
  </si>
  <si>
    <t>厦门水之露商贸有限公司</t>
  </si>
  <si>
    <t>华乐塑胶彩印</t>
  </si>
  <si>
    <t>漳州市华乐塑胶有限公司</t>
  </si>
  <si>
    <t>http://zzhlsj.com/</t>
  </si>
  <si>
    <t>马口山河园艺</t>
  </si>
  <si>
    <t>漳浦县马口山河园艺场</t>
  </si>
  <si>
    <t>http://www.zpshyy.com/</t>
  </si>
  <si>
    <t>卫蓝环保科技</t>
  </si>
  <si>
    <t>漳州市卫蓝环保科技有限公司</t>
  </si>
  <si>
    <t>http://weilan666.com</t>
  </si>
  <si>
    <t>厦门百乐宝</t>
  </si>
  <si>
    <t>厦门百乐宝科技有限公司</t>
  </si>
  <si>
    <t>宏城园艺</t>
  </si>
  <si>
    <t>漳浦县官浔镇宏城园艺场</t>
  </si>
  <si>
    <t>http://www.zphcyy.com</t>
  </si>
  <si>
    <t>白驹货运</t>
  </si>
  <si>
    <t>顺顺十月</t>
  </si>
  <si>
    <t>厦门顺顺十月网络科技有限公司</t>
  </si>
  <si>
    <t>http://www.aqiangui.com</t>
  </si>
  <si>
    <t>福建必拓</t>
  </si>
  <si>
    <t>福建必拓供应链管理有限公司</t>
  </si>
  <si>
    <t>http://www.fjbituo.com/</t>
  </si>
  <si>
    <t>漳州科邦机电</t>
  </si>
  <si>
    <t>漳州科邦机电设备有限公司</t>
  </si>
  <si>
    <t>http://www.china-nabakem.com/</t>
  </si>
  <si>
    <t>八宝丹</t>
  </si>
  <si>
    <t>八宝丹健康产业（厦门）有限公司</t>
  </si>
  <si>
    <t>广达汽车护理</t>
  </si>
  <si>
    <t>漳州市龙文区广达汽车护理部</t>
  </si>
  <si>
    <t>丞佑</t>
  </si>
  <si>
    <t>漳州丞佑贸易有限公司</t>
  </si>
  <si>
    <t>http://www.normadyshoes.com</t>
  </si>
  <si>
    <t>匠心远航</t>
  </si>
  <si>
    <t>厦门匠心远航雕塑工程有限公司</t>
  </si>
  <si>
    <t>圣雅化妆品</t>
  </si>
  <si>
    <t>漳州市圣雅化妆品有限公司</t>
  </si>
  <si>
    <t>http://www.chenzifan.com/</t>
  </si>
  <si>
    <t>泉州众诚</t>
  </si>
  <si>
    <t>泉州市众诚户外拓展运动有限公司</t>
  </si>
  <si>
    <t>全水苗木</t>
  </si>
  <si>
    <t>漳州市全水苗木培育有限公司</t>
  </si>
  <si>
    <t>http://ekjkc.net</t>
  </si>
  <si>
    <t>壹点缘1</t>
  </si>
  <si>
    <t>泉州台商投资区壹点缘健康咨询服务中心</t>
  </si>
  <si>
    <t>晋江尚迪</t>
  </si>
  <si>
    <t>晋江尚迪商贸有限公司</t>
  </si>
  <si>
    <t>http://jjshangdi.bdy.5067.org</t>
  </si>
  <si>
    <t>闽香世家餐饮</t>
  </si>
  <si>
    <t>漳州市闽香世家餐饮管理有限公司</t>
  </si>
  <si>
    <t>http://www.mxsjfood.com/</t>
  </si>
  <si>
    <t>问君传媒</t>
  </si>
  <si>
    <t>厦门市问君传媒有限公司</t>
  </si>
  <si>
    <t>陈孟楷</t>
  </si>
  <si>
    <t>漳州楷欣网络技术服务有限公司</t>
  </si>
  <si>
    <t>http://www.zzrc.net</t>
  </si>
  <si>
    <t>中达集团</t>
  </si>
  <si>
    <t>福建省漳州中达集团有限公司</t>
  </si>
  <si>
    <t>http://www.fjzzzd.com</t>
  </si>
  <si>
    <t>海丝船舶</t>
  </si>
  <si>
    <t>福建省泉州海丝船舶评估咨询有限公司</t>
  </si>
  <si>
    <t>http://www.fjhscb.com</t>
  </si>
  <si>
    <t>常青石材</t>
  </si>
  <si>
    <t>长泰县常青石材厂</t>
  </si>
  <si>
    <t>http://www.zhimahei.top</t>
  </si>
  <si>
    <t>厦门指纹</t>
  </si>
  <si>
    <t>福典木</t>
  </si>
  <si>
    <t>漳州巿福典木结构工程有限公司</t>
  </si>
  <si>
    <t>http://www.fjffm.com</t>
  </si>
  <si>
    <t>永富塑料</t>
  </si>
  <si>
    <t>漳州市龙文永富塑料制品有限公司</t>
  </si>
  <si>
    <t>一联时代</t>
  </si>
  <si>
    <t>厦门一联时代科技有限公司</t>
  </si>
  <si>
    <t>我是因</t>
  </si>
  <si>
    <t>速动汽车</t>
  </si>
  <si>
    <t>漳州市速动汽车服务有限公司</t>
  </si>
  <si>
    <t>http://sudongbsx.com/</t>
  </si>
  <si>
    <t>爱佛贸易</t>
  </si>
  <si>
    <t>漳州市爱佛贸易有限公司</t>
  </si>
  <si>
    <t>http://yishareys.com/</t>
  </si>
  <si>
    <t>嘉荣投资</t>
  </si>
  <si>
    <t>漳州嘉荣投资集团有限公司</t>
  </si>
  <si>
    <t>http://www.jiaronggroup.cn</t>
  </si>
  <si>
    <t>漳州沪泰</t>
  </si>
  <si>
    <t>都山合作社</t>
  </si>
  <si>
    <t>福建省南安市都山生态农林专业合作社</t>
  </si>
  <si>
    <t>http://www.dshzs.net</t>
  </si>
  <si>
    <t>川盛贸易</t>
  </si>
  <si>
    <t>漳州市川盛贸易有限公司</t>
  </si>
  <si>
    <t>锦多石材</t>
  </si>
  <si>
    <t>南安市水头镇锦多石材经营部</t>
  </si>
  <si>
    <t>http://shop317801991.taobao.com</t>
  </si>
  <si>
    <t>成华木业</t>
  </si>
  <si>
    <t>漳浦县成华木业制品厂</t>
  </si>
  <si>
    <t>http://www.chenghuamuye.com</t>
  </si>
  <si>
    <t>福建徐钢</t>
  </si>
  <si>
    <t>福建徐钢重工有限公司</t>
  </si>
  <si>
    <t>http://www.xgxugang.com/</t>
  </si>
  <si>
    <t>富骏汽车</t>
  </si>
  <si>
    <t>漳州富骏汽车有限公司</t>
  </si>
  <si>
    <t>http://fujun.net.cn</t>
  </si>
  <si>
    <t>双景园艺1</t>
  </si>
  <si>
    <t>厦门城投</t>
  </si>
  <si>
    <t>厦门城投数智产业发展有限公司</t>
  </si>
  <si>
    <t>捡单科技</t>
  </si>
  <si>
    <t>厦门捡单科技有限公司</t>
  </si>
  <si>
    <t>http://ttjiandan.com/</t>
  </si>
  <si>
    <t>锦坤花木</t>
  </si>
  <si>
    <t>漳浦县锦坤花木场</t>
  </si>
  <si>
    <t>http://www.jkhmc.jqw.com</t>
  </si>
  <si>
    <t>挖码信息3</t>
  </si>
  <si>
    <t>东星石材</t>
  </si>
  <si>
    <t>福建泉州南星大理石有限公司</t>
  </si>
  <si>
    <t>http://www.dongxingstone.com</t>
  </si>
  <si>
    <t>国立电器</t>
  </si>
  <si>
    <t>漳州市宇达工贸有限公司</t>
  </si>
  <si>
    <t>http://www.yudagm.com/</t>
  </si>
  <si>
    <t>招商加盟-赛菲奴</t>
  </si>
  <si>
    <t>晋江市赛菲奴鞋业科技有限公司</t>
  </si>
  <si>
    <t>http://www.saifeinu.com.cn</t>
  </si>
  <si>
    <t>米兜熊实业</t>
  </si>
  <si>
    <t>福建省米兜熊实业有限责任公司</t>
  </si>
  <si>
    <t>http://www.middaybear.com</t>
  </si>
  <si>
    <t>泉州博远</t>
  </si>
  <si>
    <t>泉州博远再生资源有限公司</t>
  </si>
  <si>
    <t>易创客</t>
  </si>
  <si>
    <t>厦门易创客科技有限公司</t>
  </si>
  <si>
    <t>缔景丰胜</t>
  </si>
  <si>
    <t>漳州市缔景丰胜商贸有限公司</t>
  </si>
  <si>
    <t>http://zzdijing.com</t>
  </si>
  <si>
    <t>贰六六园林</t>
  </si>
  <si>
    <t>漳浦县贰六六园林专业合作社</t>
  </si>
  <si>
    <t>http://www.ellyl.cn</t>
  </si>
  <si>
    <t>护念文化</t>
  </si>
  <si>
    <t>漳州市护念文化发展有限公司</t>
  </si>
  <si>
    <t>漳浦信发会计</t>
  </si>
  <si>
    <t>漳浦信发会计服务有限公司</t>
  </si>
  <si>
    <t>http://www.059612315.com/</t>
  </si>
  <si>
    <t>金幸防水</t>
  </si>
  <si>
    <t>晋江市陈埭镇金幸防水技术经营部</t>
  </si>
  <si>
    <t>xm网拓</t>
  </si>
  <si>
    <t>厦门网拓科技有限公司</t>
  </si>
  <si>
    <t>http://www.peaceton.com</t>
  </si>
  <si>
    <t>鹭水青山</t>
  </si>
  <si>
    <t>厦门鹭水青山旅行社有限公司</t>
  </si>
  <si>
    <t>http://www.lsqstrip.com</t>
  </si>
  <si>
    <t>泉州正源</t>
  </si>
  <si>
    <t>泉州经济技术开发区正源五金水暖店</t>
  </si>
  <si>
    <t>盛鑫金属制品</t>
  </si>
  <si>
    <t>漳州市盛鑫金属制品有限公司</t>
  </si>
  <si>
    <t>旺旺喜财务</t>
  </si>
  <si>
    <t>厦门旺旺喜财务代理有限公司</t>
  </si>
  <si>
    <t>http://www.wangwangxi.com</t>
  </si>
  <si>
    <t>成峰回收</t>
  </si>
  <si>
    <t>漳州市龙文区成峰再生资源回收经营部</t>
  </si>
  <si>
    <t>福建尚晟1</t>
  </si>
  <si>
    <t>福建省尚晟环保科技有限公司</t>
  </si>
  <si>
    <t>http://www.ruihua650.com</t>
  </si>
  <si>
    <t>宇泽园艺</t>
  </si>
  <si>
    <t>漳浦县宇泽园艺场</t>
  </si>
  <si>
    <t>http://www.zpyuze.com/</t>
  </si>
  <si>
    <t>厦门信盛欣</t>
  </si>
  <si>
    <t>厦门信盛欣环保工程有限公司</t>
  </si>
  <si>
    <t>李更顺制冷</t>
  </si>
  <si>
    <t>厦门李更顺制冷设备服务有限公司</t>
  </si>
  <si>
    <t>http://www.zff68.com</t>
  </si>
  <si>
    <t>招商加盟-淘大白</t>
  </si>
  <si>
    <t>福建淘大白信息科技有限公司</t>
  </si>
  <si>
    <t>漳州高通</t>
  </si>
  <si>
    <t>漳州市高通软件有限公司</t>
  </si>
  <si>
    <t>http://www.gtgjp.com</t>
  </si>
  <si>
    <t>诺宏回收</t>
  </si>
  <si>
    <t>泉州市诺宏再生资源回收有限公司</t>
  </si>
  <si>
    <t>兴顺达铁件</t>
  </si>
  <si>
    <t>龙海市颜厝兴顺达铁件加工场</t>
  </si>
  <si>
    <t>http://tieyi66.com/</t>
  </si>
  <si>
    <t>柳忠环保</t>
  </si>
  <si>
    <t>漳州柳忠环保工程有限公司</t>
  </si>
  <si>
    <t>http://www.fjliuzhong.com/</t>
  </si>
  <si>
    <t>漳浦园艺</t>
  </si>
  <si>
    <t>漳浦县马口长瑞园艺场</t>
  </si>
  <si>
    <t>http://www.cryyyc.cn</t>
  </si>
  <si>
    <t>捷宁水产</t>
  </si>
  <si>
    <t>漳州捷宁水产养殖有限公司</t>
  </si>
  <si>
    <t>http://www.jnswyz.com</t>
  </si>
  <si>
    <t>和浩源塑料</t>
  </si>
  <si>
    <t>漳州市和浩源塑料制品有限公司</t>
  </si>
  <si>
    <t>http://www.hehaoyuan.com/</t>
  </si>
  <si>
    <t>众线新能源</t>
  </si>
  <si>
    <t>漳州众线新能源科技有限公司</t>
  </si>
  <si>
    <t>招商加盟-国踏</t>
  </si>
  <si>
    <t>晋江国踏鞋业有限公司</t>
  </si>
  <si>
    <t>http://www.fjguota.com</t>
  </si>
  <si>
    <t>茶客餐饮</t>
  </si>
  <si>
    <t>漳州市街头茶客餐饮有限公司</t>
  </si>
  <si>
    <t>http://www.jtck88.com</t>
  </si>
  <si>
    <t>泉州咚咚锵</t>
  </si>
  <si>
    <t>泉州咚咚锵科技有限公司</t>
  </si>
  <si>
    <t>漳州凯斯</t>
  </si>
  <si>
    <t>漳州凯斯特尔教育科技有限公司</t>
  </si>
  <si>
    <t>http://www.zzwljg.com/</t>
  </si>
  <si>
    <t>德睿工业</t>
  </si>
  <si>
    <t>福建德睿工业科技集团有限公司</t>
  </si>
  <si>
    <t>厦门澳尔美</t>
  </si>
  <si>
    <t>厦门澳尔美涂料科技有限公司</t>
  </si>
  <si>
    <t>http://www.aoermei.com.cn</t>
  </si>
  <si>
    <t>厦门述说</t>
  </si>
  <si>
    <t>厦门述说企业管理咨询有限公司</t>
  </si>
  <si>
    <t>漳浦悦乐</t>
  </si>
  <si>
    <t>漳浦悦乐网络科技有限公司</t>
  </si>
  <si>
    <t>http://www.zuhaowanwan.com/</t>
  </si>
  <si>
    <t>泉州识君1</t>
  </si>
  <si>
    <t>彧鑫财税</t>
  </si>
  <si>
    <t>彧鑫（厦门）财税管理有限公司</t>
  </si>
  <si>
    <t>zz草山金线莲</t>
  </si>
  <si>
    <t>南靖县草山金线莲店</t>
  </si>
  <si>
    <t>http://njcsjxl.1688.com</t>
  </si>
  <si>
    <t>名翰教育</t>
  </si>
  <si>
    <t>漳州市汇名翰教育咨询有限公司</t>
  </si>
  <si>
    <t>http://www.hanlinedu.com.cn/</t>
  </si>
  <si>
    <t>柚冠果业</t>
  </si>
  <si>
    <t>漳州市平和县柚冠果业有限公司</t>
  </si>
  <si>
    <t>http://www.fjphyg.com</t>
  </si>
  <si>
    <t>漳州鸿盛达</t>
  </si>
  <si>
    <t>漳州鸿盛达工贸有限公司</t>
  </si>
  <si>
    <t>http://zzhsdtm.com/</t>
  </si>
  <si>
    <t>平和三宝</t>
  </si>
  <si>
    <t>http://www.3baomiyou.cn</t>
  </si>
  <si>
    <t>万宝龙法</t>
  </si>
  <si>
    <t>万宝龙(漳州)金属制品有限公司</t>
  </si>
  <si>
    <t>http://www.129can.com</t>
  </si>
  <si>
    <t>圣木园艺</t>
  </si>
  <si>
    <t>漳浦县马口圣木绿源园艺场</t>
  </si>
  <si>
    <t>http://www.smly9.jqw.com</t>
  </si>
  <si>
    <t>安禾通货运</t>
  </si>
  <si>
    <t>泉州台商投资区安禾通货运代理服务部</t>
  </si>
  <si>
    <t>招商加盟-弹弓科技</t>
  </si>
  <si>
    <t>弹弓科技（厦门）有限公司</t>
  </si>
  <si>
    <t>http://www.oksanok.com</t>
  </si>
  <si>
    <t>漳州蚝友惠</t>
  </si>
  <si>
    <t>漳州蚝友惠生态农业有限公司</t>
  </si>
  <si>
    <t>漳平永福</t>
  </si>
  <si>
    <t>漳平市永福万盛花卉专业合作社</t>
  </si>
  <si>
    <t>博雄钢结构</t>
  </si>
  <si>
    <t>漳州博雄钢结构有限公司</t>
  </si>
  <si>
    <t>http://www.boxionggjg.com</t>
  </si>
  <si>
    <t>平和闽红蜜柚</t>
  </si>
  <si>
    <t>http://www.phminhong.com</t>
  </si>
  <si>
    <t>鹏举园林</t>
  </si>
  <si>
    <t>http://zzpjyl.com</t>
  </si>
  <si>
    <t>安蒙建筑</t>
  </si>
  <si>
    <t>安蒙（福建）建筑工程有限公司</t>
  </si>
  <si>
    <t>百年居</t>
  </si>
  <si>
    <t>厦门国信达</t>
  </si>
  <si>
    <t>厦门国信达智能科技有限公司</t>
  </si>
  <si>
    <t>诚冠木业</t>
  </si>
  <si>
    <t>漳州诚冠木业有限公司</t>
  </si>
  <si>
    <t>好客园艺场</t>
  </si>
  <si>
    <t>漳浦县马口好客园艺场</t>
  </si>
  <si>
    <t>http://www.hkyyc.cn</t>
  </si>
  <si>
    <t>漳州麒麟</t>
  </si>
  <si>
    <t>漳州市麒麟电子有限公司</t>
  </si>
  <si>
    <t>一凡窑陶艺</t>
  </si>
  <si>
    <t>漳浦县盘陀镇一凡窑陶艺工作室</t>
  </si>
  <si>
    <t>http://yifanyao.com</t>
  </si>
  <si>
    <t>鼎兴泰和</t>
  </si>
  <si>
    <t>厦门鼎兴泰和信息技术有限公司</t>
  </si>
  <si>
    <t>http://www.g20auto.com</t>
  </si>
  <si>
    <t>漳浦小贝内衣</t>
  </si>
  <si>
    <t>漳浦县石榴镇小贝健康内衣店</t>
  </si>
  <si>
    <t>http://www.fjxdada.com/</t>
  </si>
  <si>
    <t>富桂园艺场</t>
  </si>
  <si>
    <t>漳浦县富桂园艺场</t>
  </si>
  <si>
    <t>http://www.fjfgyy.com/</t>
  </si>
  <si>
    <t>正顺兴钛金</t>
  </si>
  <si>
    <t>厦门正顺兴钛金科技有限公司</t>
  </si>
  <si>
    <t>http://www.zsxpvd.com</t>
  </si>
  <si>
    <t>hhyang</t>
  </si>
  <si>
    <t>漳州台商投资区角美文阳手机店</t>
  </si>
  <si>
    <t>http://www.tribon.net</t>
  </si>
  <si>
    <t>泉州富临</t>
  </si>
  <si>
    <t>泉州市富临物流有限公司</t>
  </si>
  <si>
    <t>晟源食品</t>
  </si>
  <si>
    <t>漳州晟源食品有限公司</t>
  </si>
  <si>
    <t>http://www.zzsyfood.com</t>
  </si>
  <si>
    <t>泉州亿佳</t>
  </si>
  <si>
    <t>泉州市亿佳再生资源有限公司</t>
  </si>
  <si>
    <t>格维陶瓷</t>
  </si>
  <si>
    <t>福建格维陶瓷科技有限公司</t>
  </si>
  <si>
    <t>骐路能源</t>
  </si>
  <si>
    <t>漳州市骐裕再生能源技术有限公司</t>
  </si>
  <si>
    <t>http://www.qiyuenergy.com</t>
  </si>
  <si>
    <t>漳浦三龙</t>
  </si>
  <si>
    <t>漳浦三龙文化传播有限公司</t>
  </si>
  <si>
    <t>http://sltz3030.com/</t>
  </si>
  <si>
    <t>质速物流</t>
  </si>
  <si>
    <t>泉州质速物流有限公司</t>
  </si>
  <si>
    <t>茂盈景观</t>
  </si>
  <si>
    <t>李连顺废品</t>
  </si>
  <si>
    <t>漳州市龙文区李连顺废品回收店</t>
  </si>
  <si>
    <t>泉州銮峰</t>
  </si>
  <si>
    <t>泉州銮峰贸易有限公司</t>
  </si>
  <si>
    <t>http://shop1401382741126.1688.com</t>
  </si>
  <si>
    <t>东成石材</t>
  </si>
  <si>
    <t>南安市东成石材工艺有限公司</t>
  </si>
  <si>
    <t>南靖山庄</t>
  </si>
  <si>
    <t>南靖县山庄宾馆</t>
  </si>
  <si>
    <t>http://www.tulou100.com</t>
  </si>
  <si>
    <t>王昌文化传媒</t>
  </si>
  <si>
    <t>漳州王昌文化传媒有限公司</t>
  </si>
  <si>
    <t>http://www.zzwccm.com/</t>
  </si>
  <si>
    <t>非常享食品</t>
  </si>
  <si>
    <t>漳州市龙文区非常享食品有限责任公司</t>
  </si>
  <si>
    <t>http://shop60041585.taobao.com/</t>
  </si>
  <si>
    <t>漳州恒进</t>
  </si>
  <si>
    <t>漳州恒进环境工程有限公司</t>
  </si>
  <si>
    <t>http://www.0596hj.com</t>
  </si>
  <si>
    <t>集聚畜牧</t>
  </si>
  <si>
    <t>漳州市集聚畜牧养殖技术开发有限公司</t>
  </si>
  <si>
    <t>http://www.fjjiju.com/</t>
  </si>
  <si>
    <t>原创专利</t>
  </si>
  <si>
    <t>柏圣鞋服</t>
  </si>
  <si>
    <t>石狮市柏圣鞋服商行</t>
  </si>
  <si>
    <t>依美颜</t>
  </si>
  <si>
    <t>漳州信美达</t>
  </si>
  <si>
    <t>龙海市颜厝信美达电器经营部</t>
  </si>
  <si>
    <t>http://www.fjxmd.com</t>
  </si>
  <si>
    <t>泉州大华1</t>
  </si>
  <si>
    <t>泉州市大华电子衡器有限公司</t>
  </si>
  <si>
    <t>三奇机电</t>
  </si>
  <si>
    <t>漳州市三奇机电设备有限公司</t>
  </si>
  <si>
    <t>http://www.zzsanqi.com</t>
  </si>
  <si>
    <t>招商加盟-捷东</t>
  </si>
  <si>
    <t>摆度新能源</t>
  </si>
  <si>
    <t>漳州摆度新能源汽车有限公司</t>
  </si>
  <si>
    <t>http://dederc.cn</t>
  </si>
  <si>
    <t>帮企信息</t>
  </si>
  <si>
    <t>厦门帮企信息技术有限公司</t>
  </si>
  <si>
    <t>招商加盟-乐彩</t>
  </si>
  <si>
    <t>泉州乐彩母婴用品有限公司</t>
  </si>
  <si>
    <t>闽合力</t>
  </si>
  <si>
    <t>漳州闽合力机械设备有限公司</t>
  </si>
  <si>
    <t>http://www.fjnlcc.com</t>
  </si>
  <si>
    <t>泉州龙之文</t>
  </si>
  <si>
    <t>泉州市鲤城区龙之文课外培训中心有限公司</t>
  </si>
  <si>
    <t>华星保利</t>
  </si>
  <si>
    <t>漳州市华星保利汽车贸易有限公司</t>
  </si>
  <si>
    <t>http://www.zzlkqc.com/</t>
  </si>
  <si>
    <t>厦门印钢</t>
  </si>
  <si>
    <t>厦门印钢再生资源有限公司</t>
  </si>
  <si>
    <t>传百年工贸</t>
  </si>
  <si>
    <t>漳州市传百年工贸有限公司</t>
  </si>
  <si>
    <t>http://www.dashamuye.com/</t>
  </si>
  <si>
    <t>家嘉物流</t>
  </si>
  <si>
    <t>漳州市家嘉物流有限公司</t>
  </si>
  <si>
    <t>http://www.zzjjwl.com</t>
  </si>
  <si>
    <t>宸品鲜生</t>
  </si>
  <si>
    <t>东山县宸品鲜生贸易有限公司</t>
  </si>
  <si>
    <t>福建闽浩</t>
  </si>
  <si>
    <t>福建闽浩律师事务所</t>
  </si>
  <si>
    <t>九湖鑫创</t>
  </si>
  <si>
    <t>龙海市九湖鑫创卷帘门加工场</t>
  </si>
  <si>
    <t>东山天之源</t>
  </si>
  <si>
    <t>漳州东山天之源绿色农业科技有限公司</t>
  </si>
  <si>
    <t>http://tenziu.com/</t>
  </si>
  <si>
    <t>福建科特</t>
  </si>
  <si>
    <t>福建泉州科特新材料有限公司</t>
  </si>
  <si>
    <t>http://www.qzkete.com</t>
  </si>
  <si>
    <t>驴友管家</t>
  </si>
  <si>
    <t>厦门驴友管家国际旅行社有限公司</t>
  </si>
  <si>
    <t>http://www.lvyouwenda.cn</t>
  </si>
  <si>
    <t>马口森景</t>
  </si>
  <si>
    <t>漳浦县马口森景园艺场</t>
  </si>
  <si>
    <t>http://www.fjsjyyc.com</t>
  </si>
  <si>
    <t>漳州大正财务</t>
  </si>
  <si>
    <t>漳州大正财务咨询有限公司</t>
  </si>
  <si>
    <t>http://www.zzdzcw.com/</t>
  </si>
  <si>
    <t>诚良装饰</t>
  </si>
  <si>
    <t>泉州诚良装饰装修有限公司</t>
  </si>
  <si>
    <t>壹点缘</t>
  </si>
  <si>
    <t>鑫博泰遮阳</t>
  </si>
  <si>
    <t>厦门鑫博泰遮阳技术有限公司</t>
  </si>
  <si>
    <t>http://www.xmxbtzy.com/</t>
  </si>
  <si>
    <t>福佳网络</t>
  </si>
  <si>
    <t>漳州市福佳网络科技有限公司</t>
  </si>
  <si>
    <t>http://www.fjjsp.com</t>
  </si>
  <si>
    <t>万国汽车</t>
  </si>
  <si>
    <t>漳州市万国汽车销售服务有限公司</t>
  </si>
  <si>
    <t>https://dealer.autohome.com.cn/5345/</t>
  </si>
  <si>
    <t>招商加盟-康雅思</t>
  </si>
  <si>
    <t>福建省泉州市康雅思家居用品有限公司</t>
  </si>
  <si>
    <t>影巨人</t>
  </si>
  <si>
    <t>厦门影巨人文化传媒有限公司</t>
  </si>
  <si>
    <t>三岸雕塑</t>
  </si>
  <si>
    <t>福建三岸雕塑工程有限公司</t>
  </si>
  <si>
    <t>http://www.fjsanan.com</t>
  </si>
  <si>
    <t>万维网聚</t>
  </si>
  <si>
    <t>漳州市万维网聚网络科技有限公司</t>
  </si>
  <si>
    <t>马口园艺场</t>
  </si>
  <si>
    <t>http://www.sanheyy.com</t>
  </si>
  <si>
    <t>泉州汇漫</t>
  </si>
  <si>
    <t>泉州汇漫动漫科技有限公司</t>
  </si>
  <si>
    <t>http://www.hmbrand.net</t>
  </si>
  <si>
    <t>恒新卷帘门</t>
  </si>
  <si>
    <t>南靖县恒新卷帘门店</t>
  </si>
  <si>
    <t>http://www.zzhxjcm.com/</t>
  </si>
  <si>
    <t>名宠宠物</t>
  </si>
  <si>
    <t>泉州名宠宠物服务有限公司</t>
  </si>
  <si>
    <t>新慧士达</t>
  </si>
  <si>
    <t>厦门卡莱汽车服务有限公司</t>
  </si>
  <si>
    <t>http://xmaoxianxiufu.com/</t>
  </si>
  <si>
    <t>创亿豪</t>
  </si>
  <si>
    <t>漳州市创亿豪门业有限公司</t>
  </si>
  <si>
    <t>http://cyh0596.com</t>
  </si>
  <si>
    <t>石狮闻达</t>
  </si>
  <si>
    <t>石狮市闻达纺织贸易有限公司</t>
  </si>
  <si>
    <t>http://www.coco-adam.com</t>
  </si>
  <si>
    <t>福发园艺</t>
  </si>
  <si>
    <t>漳浦县福发园艺场</t>
  </si>
  <si>
    <t>http://www.0596ff.cn</t>
  </si>
  <si>
    <t>桐木关茶</t>
  </si>
  <si>
    <t>福建泉州三叶堂茶业有限公司</t>
  </si>
  <si>
    <t>http://www.cha898.com</t>
  </si>
  <si>
    <t>盛世恒丰</t>
  </si>
  <si>
    <t>漳州盛世恒丰机电设备有限公司</t>
  </si>
  <si>
    <t>http://www.zzhfgree.com/</t>
  </si>
  <si>
    <t>美聆科技</t>
  </si>
  <si>
    <t>厦门市美聆科技有限公司</t>
  </si>
  <si>
    <t>泉州微元量</t>
  </si>
  <si>
    <t>闽红琯溪</t>
  </si>
  <si>
    <t>馨安宝</t>
  </si>
  <si>
    <t>厦门馨安宝生物科技有限公司</t>
  </si>
  <si>
    <t>https://shop419234612.taobao.com/</t>
  </si>
  <si>
    <t>飞宏回收</t>
  </si>
  <si>
    <t>泉州台商投资区飞宏再生资源回收站</t>
  </si>
  <si>
    <t>古槐石油</t>
  </si>
  <si>
    <t>福建古槐石油有限公司</t>
  </si>
  <si>
    <t>巨舟网络</t>
  </si>
  <si>
    <t>厦门巨舟网络有限公司</t>
  </si>
  <si>
    <t>http://juzhouxm.com.bdy.5067.org/</t>
  </si>
  <si>
    <t>漳州恒丰制冷</t>
  </si>
  <si>
    <t>漳州市恒丰制冷设备有限公司</t>
  </si>
  <si>
    <t>兰博涂装</t>
  </si>
  <si>
    <t>兰博涂装科技(泉州)有限公司</t>
  </si>
  <si>
    <t>http://www.qzfhjd.com</t>
  </si>
  <si>
    <t>呼博仕</t>
  </si>
  <si>
    <t>厦门呼博仕环境工程产业股份有限公司</t>
  </si>
  <si>
    <t>多顺多</t>
  </si>
  <si>
    <t>多顺多（福建）食材供应链有限公司</t>
  </si>
  <si>
    <t>厦门龙鼎盛世</t>
  </si>
  <si>
    <t>龙鼎盛世铝业（厦门）有限公司</t>
  </si>
  <si>
    <t>http://ldssly.com/</t>
  </si>
  <si>
    <t>纵恒木业</t>
  </si>
  <si>
    <t>漳州市纵恒木业有限公司</t>
  </si>
  <si>
    <t>指航教育</t>
  </si>
  <si>
    <t>厦门指航教育咨询有限公司</t>
  </si>
  <si>
    <t>http://shop67496362.taobao.com</t>
  </si>
  <si>
    <t>鼎顺家具</t>
  </si>
  <si>
    <t>南安市鼎顺家具加工厂</t>
  </si>
  <si>
    <t>http://qzdsjj.com</t>
  </si>
  <si>
    <t>顶峰园艺场</t>
  </si>
  <si>
    <t>漳浦县顶峰园艺场</t>
  </si>
  <si>
    <t>招商加盟-骏泽生物科技</t>
  </si>
  <si>
    <t>晋江市骏泽生物科技有限公司</t>
  </si>
  <si>
    <t>巴厘春天</t>
  </si>
  <si>
    <t>漳浦县绥安巴厘春天摄影店</t>
  </si>
  <si>
    <t>http://www.fjblct.com</t>
  </si>
  <si>
    <t>泉州衍生</t>
  </si>
  <si>
    <t>泉州台商投资区衍生信息技术中心</t>
  </si>
  <si>
    <t>漳州嘉成</t>
  </si>
  <si>
    <t>漳州市龙文区嘉成胶合板加工场</t>
  </si>
  <si>
    <t>http://fujianmuban.com</t>
  </si>
  <si>
    <t>金童子文化</t>
  </si>
  <si>
    <t>漳州金童子文化传媒有限公司</t>
  </si>
  <si>
    <t>http://fjjtzcm.com/</t>
  </si>
  <si>
    <t>好汉园林</t>
  </si>
  <si>
    <t>漳州市好汉园林绿化工程有限公司</t>
  </si>
  <si>
    <t>叮铛食品</t>
  </si>
  <si>
    <t>漳州叮铛食品有限公司</t>
  </si>
  <si>
    <t>http://dingdangfood.com</t>
  </si>
  <si>
    <t>泉州誉信</t>
  </si>
  <si>
    <t>泉州誉信商务信息咨询有限公司</t>
  </si>
  <si>
    <t>三凌机械</t>
  </si>
  <si>
    <t>漳州三凌机械电子有限公司</t>
  </si>
  <si>
    <t>http://www.sanlingw.com</t>
  </si>
  <si>
    <t>鸿远防水</t>
  </si>
  <si>
    <t>漳州鸿远防水工程有限公司</t>
  </si>
  <si>
    <t>http://hyfsbl.com/</t>
  </si>
  <si>
    <t>坚铝铝业</t>
  </si>
  <si>
    <t>厦门坚铝铝业有限公司</t>
  </si>
  <si>
    <t>力源电源</t>
  </si>
  <si>
    <t>漳州市常山力源电源有限公司</t>
  </si>
  <si>
    <t>http://www.manyu-battery.com</t>
  </si>
  <si>
    <t>红色开元1</t>
  </si>
  <si>
    <t>连城县红色开元党性教育培训中心</t>
  </si>
  <si>
    <t>众为贸易</t>
  </si>
  <si>
    <t>漳州众为汽车贸易有限公司</t>
  </si>
  <si>
    <t>http://www.zwesc.com</t>
  </si>
  <si>
    <t>汇净康1</t>
  </si>
  <si>
    <t>厦门汇净康环保科技有限公司</t>
  </si>
  <si>
    <t>厦门正正</t>
  </si>
  <si>
    <t>亚德园艺</t>
  </si>
  <si>
    <t>漳浦县亚德园艺场</t>
  </si>
  <si>
    <t>http://fjzzydyy.com/</t>
  </si>
  <si>
    <t>里信</t>
  </si>
  <si>
    <t>厦门市里信贸易有限公司</t>
  </si>
  <si>
    <t>http://www.ayingwl.com</t>
  </si>
  <si>
    <t>早丰食品2</t>
  </si>
  <si>
    <t>https://mobile.yangkeduo.com/mall_page.html?mall_id=841402605</t>
  </si>
  <si>
    <t>多路发</t>
  </si>
  <si>
    <t>漳州市芗城多路发机械设备有限公司</t>
  </si>
  <si>
    <t>http://www.zzdlf.com</t>
  </si>
  <si>
    <t>传奇货运</t>
  </si>
  <si>
    <t>晋江市西园传奇货运代理服务部</t>
  </si>
  <si>
    <t>http://jyrd56.com</t>
  </si>
  <si>
    <t>福建康佳顺</t>
  </si>
  <si>
    <t>福建康佳顺工程科技有限公司</t>
  </si>
  <si>
    <t>http://www.xm-kjs.com</t>
  </si>
  <si>
    <t>进强园林</t>
  </si>
  <si>
    <t>漳州进强园林绿化有限公司</t>
  </si>
  <si>
    <t>http://www.jqyllh.com/</t>
  </si>
  <si>
    <t>漳州长久</t>
  </si>
  <si>
    <t>漳州市长久物流有限公司</t>
  </si>
  <si>
    <t>梦悦电子</t>
  </si>
  <si>
    <t>南安市乐峰镇梦悦电子商务工作室</t>
  </si>
  <si>
    <t>http://www.elcigar.cn</t>
  </si>
  <si>
    <t>国红果业</t>
  </si>
  <si>
    <t>平和国红果业有限公司</t>
  </si>
  <si>
    <t>http://www.phghmy.com</t>
  </si>
  <si>
    <t>小控科技</t>
  </si>
  <si>
    <t>厦门小控科技有限公司</t>
  </si>
  <si>
    <t>http://www.keycity.cn</t>
  </si>
  <si>
    <t>漳州腾飞</t>
  </si>
  <si>
    <t>漳州腾飞软件科技有限公司</t>
  </si>
  <si>
    <t>http://www.zztfrj.com</t>
  </si>
  <si>
    <t>盛世佳装饰</t>
  </si>
  <si>
    <t>漳州盛世佳装饰工程有限公司</t>
  </si>
  <si>
    <t>http://www.zzssjzs.com/</t>
  </si>
  <si>
    <t>韶华网络</t>
  </si>
  <si>
    <t>韶华（福建）网络科技有限公司</t>
  </si>
  <si>
    <t>荣炜苗木场</t>
  </si>
  <si>
    <t>平和县荣炜苗木场</t>
  </si>
  <si>
    <t>http://phrwmm.com</t>
  </si>
  <si>
    <t>百付通</t>
  </si>
  <si>
    <t>厦门市百付通软件开发有限公司</t>
  </si>
  <si>
    <t>漳州恒佳</t>
  </si>
  <si>
    <t>漳州市恒佳工贸有限公司</t>
  </si>
  <si>
    <t>http://www.zzhengjia.com/</t>
  </si>
  <si>
    <t>漳州帆顺</t>
  </si>
  <si>
    <t>漳州帆顺道路车辆救援有限公司</t>
  </si>
  <si>
    <t>林晟水处理</t>
  </si>
  <si>
    <t>漳州市林晟水处理设备有限公司</t>
  </si>
  <si>
    <t>http://www.zzlsscl.com/</t>
  </si>
  <si>
    <t>精诚餐饮</t>
  </si>
  <si>
    <t>漳州市精诚餐饮管理有限公司</t>
  </si>
  <si>
    <t>http://www.zzcygl.com</t>
  </si>
  <si>
    <t>广瑞贸易</t>
  </si>
  <si>
    <t>漳州市广瑞贸易有限公司</t>
  </si>
  <si>
    <t>https://shop110479817.taobao.com/</t>
  </si>
  <si>
    <t>集新成</t>
  </si>
  <si>
    <t>厦门集新成科技有限公司</t>
  </si>
  <si>
    <t>xm云之端</t>
  </si>
  <si>
    <t>厦门云之端信息科技有限公司</t>
  </si>
  <si>
    <t>https://www.deepaso.com/</t>
  </si>
  <si>
    <t>森泉环境</t>
  </si>
  <si>
    <t>漳州森泉环境产业有限公司</t>
  </si>
  <si>
    <t>http://www.sthb2006.com/</t>
  </si>
  <si>
    <t>xm都美丽</t>
  </si>
  <si>
    <t>厦门都美丽进出口有限公司</t>
  </si>
  <si>
    <t>http://www.doomili.com</t>
  </si>
  <si>
    <t>金合泰工贸</t>
  </si>
  <si>
    <t>漳州龙工叉车</t>
  </si>
  <si>
    <t>漳州龙工叉车销售有限公司</t>
  </si>
  <si>
    <t>http://www.zzlgcc.com/</t>
  </si>
  <si>
    <t>厦门金得</t>
  </si>
  <si>
    <t>厦门金得工业有限公司</t>
  </si>
  <si>
    <t>http://www.jindeoil.com</t>
  </si>
  <si>
    <t>漳州闽和</t>
  </si>
  <si>
    <t>漳州市闽和焊接设备有限公司</t>
  </si>
  <si>
    <t>http://www.mhhjsb.com/</t>
  </si>
  <si>
    <t>厦门搜鸽天下</t>
  </si>
  <si>
    <t>厦门市搜鸽天下信息科技有限公司</t>
  </si>
  <si>
    <t>http://www.yingnafu.com</t>
  </si>
  <si>
    <t>芳筑木业</t>
  </si>
  <si>
    <t>漳州市芳筑木业有限公司</t>
  </si>
  <si>
    <t>http://www.fjhongpeng.com</t>
  </si>
  <si>
    <t>福建爱福趣</t>
  </si>
  <si>
    <t>福建爱福趣环保科技有限公司</t>
  </si>
  <si>
    <t>优仓</t>
  </si>
  <si>
    <t>优仓（厦门）科技有限公司</t>
  </si>
  <si>
    <t>http://www.uccang.com</t>
  </si>
  <si>
    <t>山水智业1</t>
  </si>
  <si>
    <t>福建山水智业旅游发展有限公司</t>
  </si>
  <si>
    <t>http://www.sszyly.com</t>
  </si>
  <si>
    <t>兴弘福农业</t>
  </si>
  <si>
    <t>漳州兴弘福农业开发有限公司</t>
  </si>
  <si>
    <t>http://fjzzxhf.com</t>
  </si>
  <si>
    <t>xxxsunpk1</t>
  </si>
  <si>
    <t>福建乐邦管业有限公司</t>
  </si>
  <si>
    <t>http://www.fjlbgy.com</t>
  </si>
  <si>
    <t>漳州威华电子</t>
  </si>
  <si>
    <t>漳州市威华电子有限公司</t>
  </si>
  <si>
    <t>http://www.weihuameter.com</t>
  </si>
  <si>
    <t>鸣箭少年</t>
  </si>
  <si>
    <t>漳州万物通</t>
  </si>
  <si>
    <t>漳州市万物通信息科技有限公司</t>
  </si>
  <si>
    <t>邦唱网络科技</t>
  </si>
  <si>
    <t>易创互娱</t>
  </si>
  <si>
    <t>厦门易创互娱文化传媒有限公司</t>
  </si>
  <si>
    <t>盛福烘干设备</t>
  </si>
  <si>
    <t>宝丽石业</t>
  </si>
  <si>
    <t>漳州宝丽石业有限公司</t>
  </si>
  <si>
    <t>http://www.baoyuns.com/</t>
  </si>
  <si>
    <t>漳州明智电子</t>
  </si>
  <si>
    <t>漳州明智电子有限公司</t>
  </si>
  <si>
    <t>http://www.mingzhidianzi.com/cn/</t>
  </si>
  <si>
    <t>荣塑建材</t>
  </si>
  <si>
    <t>漳州荣塑建材有限公司</t>
  </si>
  <si>
    <t>http://www.zzrsjc.com</t>
  </si>
  <si>
    <t>瑞泉合缘</t>
  </si>
  <si>
    <t>厦门市思明区瑞泉合缘保健服务部</t>
  </si>
  <si>
    <t>http://rqhyspa.com.bdy.5067.org</t>
  </si>
  <si>
    <t>明远物流</t>
  </si>
  <si>
    <t>漳州明远物流有限公司</t>
  </si>
  <si>
    <t>http://www.fjmywl.com</t>
  </si>
  <si>
    <t>上地网络</t>
  </si>
  <si>
    <t>漳州上地网络科技有限公司</t>
  </si>
  <si>
    <t>http://www.e-xyun.com</t>
  </si>
  <si>
    <t>漳州乐付</t>
  </si>
  <si>
    <t>漳州乐付信息科技有限公司</t>
  </si>
  <si>
    <t>http://www.lefuhk.com/</t>
  </si>
  <si>
    <t>xm锦秋</t>
  </si>
  <si>
    <t>厦门锦秋家政服务有限公司</t>
  </si>
  <si>
    <t>厦门澄边</t>
  </si>
  <si>
    <t>厦门澄边网络科技有限公司</t>
  </si>
  <si>
    <t>超达金属</t>
  </si>
  <si>
    <t>丰泽区超达金属结构商行</t>
  </si>
  <si>
    <t>福建德睿</t>
  </si>
  <si>
    <t>漳州市德睿机械设备有限公司</t>
  </si>
  <si>
    <t>http://deruijt.net</t>
  </si>
  <si>
    <t>厦门竞迪网络</t>
  </si>
  <si>
    <t>http://vshangtong.com</t>
  </si>
  <si>
    <t>厦门百达信</t>
  </si>
  <si>
    <t>厦门百达信物流有限公司</t>
  </si>
  <si>
    <t>三龙驾校</t>
  </si>
  <si>
    <t>漳州三龙机动车驾驶员培训有限公司</t>
  </si>
  <si>
    <t>厦门众联世纪</t>
  </si>
  <si>
    <t>厦门众联世纪科技有限公司</t>
  </si>
  <si>
    <t>漳州奥立达</t>
  </si>
  <si>
    <t>漳州市奥立达电梯有限公司</t>
  </si>
  <si>
    <t>http://www.zzaolida.com</t>
  </si>
  <si>
    <t>马口宝亮</t>
  </si>
  <si>
    <t>漳浦县马口宝亮园艺场</t>
  </si>
  <si>
    <t>漳州爱佳</t>
  </si>
  <si>
    <t>漳州东运</t>
  </si>
  <si>
    <t>福建漳州东运物流有限公司</t>
  </si>
  <si>
    <t>厦门民点</t>
  </si>
  <si>
    <t>厦门民点食品有限公司</t>
  </si>
  <si>
    <t>xm纽优</t>
  </si>
  <si>
    <t>厦门纽优新型工艺有限公司</t>
  </si>
  <si>
    <t>泉州晨瑞机床</t>
  </si>
  <si>
    <t>泉州市晨瑞机床附件制造有限公司</t>
  </si>
  <si>
    <t>http://www.chenruichina.com</t>
  </si>
  <si>
    <t>广净机电</t>
  </si>
  <si>
    <t>厦门广净机电工程有限公司</t>
  </si>
  <si>
    <t>漳州嘉宝果</t>
  </si>
  <si>
    <t>南靖县金永鹏嘉宝果专业合作社</t>
  </si>
  <si>
    <t>http://www.fjhyp.com</t>
  </si>
  <si>
    <t>黎盛石材</t>
  </si>
  <si>
    <t>漳州市黎盛贸易有限公司</t>
  </si>
  <si>
    <t>http://www.stonels.com</t>
  </si>
  <si>
    <t>龙溪竹笋加工</t>
  </si>
  <si>
    <t>漳浦县南浦乡龙溪竹笋加工厂</t>
  </si>
  <si>
    <t>http://fjlxsg.com</t>
  </si>
  <si>
    <t>鑫广绳带</t>
  </si>
  <si>
    <t>晋江市龙湖镇鑫广绳带加工厂</t>
  </si>
  <si>
    <t>http://www.xgsdc.com</t>
  </si>
  <si>
    <t>zz民生</t>
  </si>
  <si>
    <t>漳州市宁丰贸易有限公司</t>
  </si>
  <si>
    <t>http://defensor.baidu.com/</t>
  </si>
  <si>
    <t>厦门燕旺达</t>
  </si>
  <si>
    <t>厦门燕旺达货运代理有限公司</t>
  </si>
  <si>
    <t>http://www.ywdhy.com/</t>
  </si>
  <si>
    <t>片仔癀化妆品</t>
  </si>
  <si>
    <t>福建片仔癀化妆品有限公司</t>
  </si>
  <si>
    <t>http://www.pzhchina.com/</t>
  </si>
  <si>
    <t>鹏达加工</t>
  </si>
  <si>
    <t>漳浦县鹏达果蔬加工厂</t>
  </si>
  <si>
    <t>http://www.zppdgs.com</t>
  </si>
  <si>
    <t>丫丫日用品</t>
  </si>
  <si>
    <t>龙海市石码丫丫日用品店</t>
  </si>
  <si>
    <t>http://www.fjxmzyf.com/</t>
  </si>
  <si>
    <t>漳龙顺工贸</t>
  </si>
  <si>
    <t>漳浦漳龙顺工贸有限公司</t>
  </si>
  <si>
    <t>漳州明达鑫</t>
  </si>
  <si>
    <t>漳州明达鑫五金有限公司</t>
  </si>
  <si>
    <t>http://www.zzmdxwj.com</t>
  </si>
  <si>
    <t>南坊机械</t>
  </si>
  <si>
    <t>漳州市南坊罐头食品机械有限公司</t>
  </si>
  <si>
    <t>http://zznfjx.com</t>
  </si>
  <si>
    <t>xm安宠</t>
  </si>
  <si>
    <t>厦门安宠宠物医院有限公司</t>
  </si>
  <si>
    <t>http://wj0592.com</t>
  </si>
  <si>
    <t>施朗格</t>
  </si>
  <si>
    <t>施朗格(漳州)建材科技有限公司</t>
  </si>
  <si>
    <t>http://www.stonelution.com</t>
  </si>
  <si>
    <t>高丽园艺</t>
  </si>
  <si>
    <t>漳浦县马口高丽园艺场</t>
  </si>
  <si>
    <t>http://www.zzgaoli.com</t>
  </si>
  <si>
    <t>华升环保科技</t>
  </si>
  <si>
    <t>漳州市华升环保科技有限公司</t>
  </si>
  <si>
    <t>厦门享游</t>
  </si>
  <si>
    <t>厦门享游网络科技有限公司</t>
  </si>
  <si>
    <t>http://www.htjsq.com</t>
  </si>
  <si>
    <t>贵鑫园艺</t>
  </si>
  <si>
    <t>漳浦县长桥镇贵鑫园艺场</t>
  </si>
  <si>
    <t>http://zxyymp.com</t>
  </si>
  <si>
    <t>xm屿上</t>
  </si>
  <si>
    <t>厦门屿上五金工具有限公司</t>
  </si>
  <si>
    <t>http://www.ysgjtool.com</t>
  </si>
  <si>
    <t>泉州台商</t>
  </si>
  <si>
    <t>泉州台商投资区洛阳国兴石雕经营部</t>
  </si>
  <si>
    <t>http://www.qzgxstone.com</t>
  </si>
  <si>
    <t>一元合购1</t>
  </si>
  <si>
    <t>漳州市龙文区一元网络技术服务部</t>
  </si>
  <si>
    <t>http://www.1yhg.com</t>
  </si>
  <si>
    <t>厦门威仕洁</t>
  </si>
  <si>
    <t>捷润设备2</t>
  </si>
  <si>
    <t>漳州市捷润机电设备有限公司</t>
  </si>
  <si>
    <t>http://www.fjjrsb.com/</t>
  </si>
  <si>
    <t>鸿运饭店</t>
  </si>
  <si>
    <t>南靖鸿运饭店</t>
  </si>
  <si>
    <t>http://www.tuloucom.com</t>
  </si>
  <si>
    <t>厦门领头羊</t>
  </si>
  <si>
    <t>厦门领头羊科技股份有限公司</t>
  </si>
  <si>
    <t>http://lingder.cn</t>
  </si>
  <si>
    <t>皖闽膜结构</t>
  </si>
  <si>
    <t>泉州市皖闽膜结构工程有限公司</t>
  </si>
  <si>
    <t>厦门鉴誊</t>
  </si>
  <si>
    <t>厦门鉴誊家电维修有限公司</t>
  </si>
  <si>
    <t>易舞星</t>
  </si>
  <si>
    <t>厦门易舞星文化传播有限公司</t>
  </si>
  <si>
    <t>http://www.e-five.cn</t>
  </si>
  <si>
    <t>博胜会计服务</t>
  </si>
  <si>
    <t>漳州博胜会计服务有限公司</t>
  </si>
  <si>
    <t>http://www.bs6231138.com</t>
  </si>
  <si>
    <t>漳州金品</t>
  </si>
  <si>
    <t>漳州金品(压克力)艺品有限公司</t>
  </si>
  <si>
    <t>http://www.jpykl.com/</t>
  </si>
  <si>
    <t>瑞派卡比</t>
  </si>
  <si>
    <t>漳州市龙文区瑞派卡比宠物医院有限公司</t>
  </si>
  <si>
    <t>益尔乐生物</t>
  </si>
  <si>
    <t>厦门益尔乐生物科技有限公司</t>
  </si>
  <si>
    <t>http://www.xmyierle.cn</t>
  </si>
  <si>
    <t>泉州天骏投资</t>
  </si>
  <si>
    <t>泉州天骏投资有限公司</t>
  </si>
  <si>
    <t>http://www.skyunicorn.com.cn</t>
  </si>
  <si>
    <t>同缘婚介</t>
  </si>
  <si>
    <t>漳浦县同缘婚姻介绍服务有限公司</t>
  </si>
  <si>
    <t>http://www.tongyuan1314.com</t>
  </si>
  <si>
    <t>陶姐爱心</t>
  </si>
  <si>
    <t>漳州市陶姐爱心家政服务有限公司</t>
  </si>
  <si>
    <t>http://www.tjaxys.com</t>
  </si>
  <si>
    <t>福杰石制品</t>
  </si>
  <si>
    <t>长泰县福杰石制品厂</t>
  </si>
  <si>
    <t>http://www.fujiestone.com/</t>
  </si>
  <si>
    <t>佳速货运1</t>
  </si>
  <si>
    <t>晋江市池店镇佳速货运代理服务部</t>
  </si>
  <si>
    <t>艺特卫浴</t>
  </si>
  <si>
    <t>厦门艺特卫浴有限公司</t>
  </si>
  <si>
    <t>漳州明大</t>
  </si>
  <si>
    <t>漳州明大房产代理有限公司</t>
  </si>
  <si>
    <t>梁翔</t>
  </si>
  <si>
    <t>漳州梁翔卷闸门贸易有限公司</t>
  </si>
  <si>
    <t>http://www.zzlxjlm.com</t>
  </si>
  <si>
    <t>马口荣兴</t>
  </si>
  <si>
    <t>漳浦县马口荣兴园艺场</t>
  </si>
  <si>
    <t>http://www.zprxyy.com</t>
  </si>
  <si>
    <t>裕德塑料</t>
  </si>
  <si>
    <t>漳州裕德塑料制品有限公司</t>
  </si>
  <si>
    <t>http://www.zzydsl.com</t>
  </si>
  <si>
    <t>速动汽车修理</t>
  </si>
  <si>
    <t>漳州市龙文区速动汽车修理场</t>
  </si>
  <si>
    <t>http://www.zzsudong.com</t>
  </si>
  <si>
    <t>东扬白蚁</t>
  </si>
  <si>
    <t>漳州东扬白蚁防治有限公司</t>
  </si>
  <si>
    <t>http://www.zzbmy.cn</t>
  </si>
  <si>
    <t>三柏牛樟</t>
  </si>
  <si>
    <t>三柏(南靖)农业科技有限公司</t>
  </si>
  <si>
    <t>http://www.cnnzzxw.com/</t>
  </si>
  <si>
    <t>承泰物流</t>
  </si>
  <si>
    <t>泉州市承泰物流有限公司</t>
  </si>
  <si>
    <t>阿波罗检测</t>
  </si>
  <si>
    <t>泉州市阿波罗质量检测服务有限公司</t>
  </si>
  <si>
    <t>中闽园艺场</t>
  </si>
  <si>
    <t>漳浦县沙西镇中闽大地园艺场</t>
  </si>
  <si>
    <t>http://www.xiaoyerong.com/</t>
  </si>
  <si>
    <t>福建路视达</t>
  </si>
  <si>
    <t>福建路视达反光材料有限公司</t>
  </si>
  <si>
    <t>http://www.rsdtw.com</t>
  </si>
  <si>
    <t>金达威电子</t>
  </si>
  <si>
    <t>宏盛园艺</t>
  </si>
  <si>
    <t>漳州市宏盛园艺发展有限公司</t>
  </si>
  <si>
    <t>http://hsflower.cn.1688.com</t>
  </si>
  <si>
    <t>全盈磨料磨具</t>
  </si>
  <si>
    <t>漳州全盈磨料磨具有限公司</t>
  </si>
  <si>
    <t>http://www.a-win.com.cn/</t>
  </si>
  <si>
    <t>诚誉工艺品</t>
  </si>
  <si>
    <t>漳州台商投资区角美诚誉工艺品加工厂</t>
  </si>
  <si>
    <t>http://www.jade-mosaic.cn</t>
  </si>
  <si>
    <t>马口园艺2</t>
  </si>
  <si>
    <t>漳浦县马口可购园艺场</t>
  </si>
  <si>
    <t>丹艺塑料</t>
  </si>
  <si>
    <t>漳州市芗城丹艺民政塑料厂</t>
  </si>
  <si>
    <t>http://www.zzdanyi.com</t>
  </si>
  <si>
    <t>和菱电梯</t>
  </si>
  <si>
    <t>漳州和菱电梯工程有限公司</t>
  </si>
  <si>
    <t>http://zzhldt.com</t>
  </si>
  <si>
    <t>巴顿建材</t>
  </si>
  <si>
    <t>福建省南安市巴顿建材有限公司</t>
  </si>
  <si>
    <t>漳州凌峰</t>
  </si>
  <si>
    <t>漳州市芗城区凌峰起重工具商行</t>
  </si>
  <si>
    <t>漳州精铖</t>
  </si>
  <si>
    <t>漳州市精铖广告有限公司</t>
  </si>
  <si>
    <t>http://www.zzjcgg.com</t>
  </si>
  <si>
    <t>厦门零一</t>
  </si>
  <si>
    <t>厦门零一世界科技有限公司</t>
  </si>
  <si>
    <t>凡诺文化</t>
  </si>
  <si>
    <t>厦门凡诺文化传媒有限公司</t>
  </si>
  <si>
    <t>http://www.ddcheshi.com</t>
  </si>
  <si>
    <t>陆顺驾驶</t>
  </si>
  <si>
    <t>漳州市陆顺机动车驾驶培训有限公司</t>
  </si>
  <si>
    <t>嘉盈工贸</t>
  </si>
  <si>
    <t>漳州嘉盈工贸有限公司</t>
  </si>
  <si>
    <t>http://www.zzjiaquanju.com</t>
  </si>
  <si>
    <t>xm日长</t>
  </si>
  <si>
    <t>厦门日长信息科技有限公司</t>
  </si>
  <si>
    <t>http://www.jyhcn.cn</t>
  </si>
  <si>
    <t>奕宝互联</t>
  </si>
  <si>
    <t>厦门奕宝互联科技有限公司</t>
  </si>
  <si>
    <t>http://www.0592zp.cn</t>
  </si>
  <si>
    <t>泉州聚格</t>
  </si>
  <si>
    <t>泉州聚格建材有限公司</t>
  </si>
  <si>
    <t>http://www.qzjugejc.com</t>
  </si>
  <si>
    <t>漳州六方</t>
  </si>
  <si>
    <t>漳州六方神网络科技有限公司</t>
  </si>
  <si>
    <t>http://www.liufangshen.com/</t>
  </si>
  <si>
    <t>骏源辉</t>
  </si>
  <si>
    <t>厦门骏源辉汽车服务有限公司</t>
  </si>
  <si>
    <t>http://www.jyhqc.com</t>
  </si>
  <si>
    <t>福建展中宝</t>
  </si>
  <si>
    <t>福建展中宝科技集团有限公司</t>
  </si>
  <si>
    <t>http://www.bosshzw.com</t>
  </si>
  <si>
    <t>圣达智联</t>
  </si>
  <si>
    <t>福建圣达智联信息技术有限公司</t>
  </si>
  <si>
    <t>信盛欣</t>
  </si>
  <si>
    <t>漳州奥佛卡</t>
  </si>
  <si>
    <t>漳州市奥佛卡体育用品有限公司</t>
  </si>
  <si>
    <t>http://www.aofoka.com/</t>
  </si>
  <si>
    <t>云霄国林沉香</t>
  </si>
  <si>
    <t>云霄县国林沉香种植开发农民专业合作社</t>
  </si>
  <si>
    <t>北岸科技</t>
  </si>
  <si>
    <t>漳浦县北岸生物科技有限公司</t>
  </si>
  <si>
    <t>漳州雷米电子</t>
  </si>
  <si>
    <t>漳州雷米电子科技有限公司</t>
  </si>
  <si>
    <t>http://www.reimey.com/</t>
  </si>
  <si>
    <t>厦门金星达</t>
  </si>
  <si>
    <t>厦门金星达电力科技有限公司</t>
  </si>
  <si>
    <t>物思科技</t>
  </si>
  <si>
    <t>厦门物思科技有限公司</t>
  </si>
  <si>
    <t>http://www.topeti.com</t>
  </si>
  <si>
    <t>厦门米辣科技4</t>
  </si>
  <si>
    <t>厦门米辣科技有限公司</t>
  </si>
  <si>
    <t>https://qianhu.wejianzhan.com</t>
  </si>
  <si>
    <t>唯阿商贸</t>
  </si>
  <si>
    <t>泉州经济技术开发区唯阿商贸有限公司</t>
  </si>
  <si>
    <t>http://ctao.com.cn</t>
  </si>
  <si>
    <t>三宝黄金蜜柚</t>
  </si>
  <si>
    <t>平和县三宝黄金蜜柚专业合作社</t>
  </si>
  <si>
    <t>http://blog.sina.com.cn/sanbaomy</t>
  </si>
  <si>
    <t>长泰翔明石材</t>
  </si>
  <si>
    <t>http://www.ctxmsy.com/</t>
  </si>
  <si>
    <t>宏兴企业</t>
  </si>
  <si>
    <t>泉州宏兴企业管理咨询有限公司漳州分公司</t>
  </si>
  <si>
    <t>http://www.hongxing-kj.com/</t>
  </si>
  <si>
    <t>联海工贸</t>
  </si>
  <si>
    <t>漳州市联海工贸有限公司</t>
  </si>
  <si>
    <t>http://www.zzlhgm.cn</t>
  </si>
  <si>
    <t>全景餐饮管理</t>
  </si>
  <si>
    <t>漳州全景餐饮管理有限公司</t>
  </si>
  <si>
    <t>http://ykjkc.com.cn</t>
  </si>
  <si>
    <t>王瑛搬家</t>
  </si>
  <si>
    <t>鲤城区江南王瑛搬家服务中心</t>
  </si>
  <si>
    <t>恭医堂1</t>
  </si>
  <si>
    <t>顺兴门业</t>
  </si>
  <si>
    <t>漳浦县绥安镇顺兴好电动门商行</t>
  </si>
  <si>
    <t>http://www.zzssxmy.com</t>
  </si>
  <si>
    <t>招商加盟-蓉台木业</t>
  </si>
  <si>
    <t>漳州蓉台木业有限公司</t>
  </si>
  <si>
    <t>鑫通源电子</t>
  </si>
  <si>
    <t>泉州市鑫通源电子科技有限公司</t>
  </si>
  <si>
    <t>http://www.qzxtydz.com</t>
  </si>
  <si>
    <t>好名利</t>
  </si>
  <si>
    <t>厦门好名利网络科技有限公司</t>
  </si>
  <si>
    <t>http://www.hmingli.com</t>
  </si>
  <si>
    <t>泉州烁翔</t>
  </si>
  <si>
    <t>泉州烁翔制冷设备有限公司</t>
  </si>
  <si>
    <t>金傅防水</t>
  </si>
  <si>
    <t>漳州金傅防水建材有限公司</t>
  </si>
  <si>
    <t>http://www.jinfufs.com</t>
  </si>
  <si>
    <t>思明思迈尔口腔</t>
  </si>
  <si>
    <t>厦门思明思迈尔口腔门诊部有限公司</t>
  </si>
  <si>
    <t>厦门钟弘</t>
  </si>
  <si>
    <t>厦门市钟弘文化传媒有限公司</t>
  </si>
  <si>
    <t>燕臻王</t>
  </si>
  <si>
    <t>厦门市湖里区燕臻王食品店</t>
  </si>
  <si>
    <t>漳州优控</t>
  </si>
  <si>
    <t>漳州龙文优控自动化设备有限公司</t>
  </si>
  <si>
    <t>http://www.fjykzd.com/</t>
  </si>
  <si>
    <t>途柚新能源</t>
  </si>
  <si>
    <t>福建途柚新能源汽车集团有限公司</t>
  </si>
  <si>
    <t>http://www.tuyouauto.com</t>
  </si>
  <si>
    <t>一心花店</t>
  </si>
  <si>
    <t>漳浦县绥安镇一心花店</t>
  </si>
  <si>
    <t>http://hxmqw.com.cn</t>
  </si>
  <si>
    <t>星之光1</t>
  </si>
  <si>
    <t>大地轻钢</t>
  </si>
  <si>
    <t>漳州大地轻钢结构有限公司</t>
  </si>
  <si>
    <t>http://www.fzdadi.com</t>
  </si>
  <si>
    <t>厦门猛狮</t>
  </si>
  <si>
    <t>厦门猛狮汽车贸易有限公司</t>
  </si>
  <si>
    <t>http://gb.xmmsqc.cn</t>
  </si>
  <si>
    <t>十二五中试</t>
  </si>
  <si>
    <t>南安市十二五中试家庭农场</t>
  </si>
  <si>
    <t>乙辉榕树</t>
  </si>
  <si>
    <t>漳浦县乙辉榕树专业合作社</t>
  </si>
  <si>
    <t>https://rongshuficus.1688.com/page/offerlist.htm?spm=a2615.2177701.0.0.561e28a5KCY1Vf</t>
  </si>
  <si>
    <t>海时鲜贸易</t>
  </si>
  <si>
    <t>福建省东山海时鲜贸易有限责任公司</t>
  </si>
  <si>
    <t>福建选矿</t>
  </si>
  <si>
    <t>福建紫金选矿药剂有限公司</t>
  </si>
  <si>
    <t>印象视界1</t>
  </si>
  <si>
    <t>厦门印象视界广告有限公司</t>
  </si>
  <si>
    <t>http://www.vedesign.com.cn</t>
  </si>
  <si>
    <t>厦门青橙青果</t>
  </si>
  <si>
    <t>厦门青橙青果科技有限公司</t>
  </si>
  <si>
    <t>园艺场</t>
  </si>
  <si>
    <t>漳浦县官浔镇许鸿楠园艺场</t>
  </si>
  <si>
    <t>http://www.zzhhh.jqw.com</t>
  </si>
  <si>
    <t>来复</t>
  </si>
  <si>
    <t>来复（厦门）基因科技有限公司</t>
  </si>
  <si>
    <t>道升贸易</t>
  </si>
  <si>
    <t>龙岩市道升贸易有限公司</t>
  </si>
  <si>
    <t>http://www.lydsyxgz.com/</t>
  </si>
  <si>
    <t>超音速传媒</t>
  </si>
  <si>
    <t>超音速(厦门)传媒科技有限公司</t>
  </si>
  <si>
    <t>http://www.supersonicwx.com</t>
  </si>
  <si>
    <t>漳州泊晖</t>
  </si>
  <si>
    <t>漳州泊晖工艺品有限公司</t>
  </si>
  <si>
    <t>农福果苗木</t>
  </si>
  <si>
    <t>芗城新世纪</t>
  </si>
  <si>
    <t>漳州芗城新世纪包装机械有限公司</t>
  </si>
  <si>
    <t>http://www.zzxsj998.com</t>
  </si>
  <si>
    <t>开门大吉电机</t>
  </si>
  <si>
    <t>漳州市龙文区开门大吉电机厂</t>
  </si>
  <si>
    <t>http://www.160123.com</t>
  </si>
  <si>
    <t>博德诚</t>
  </si>
  <si>
    <t>潜利谷</t>
  </si>
  <si>
    <t>漳州潜利谷网络技术服务有限公司</t>
  </si>
  <si>
    <t>http://www.qlg123.com/</t>
  </si>
  <si>
    <t>静心园艺</t>
  </si>
  <si>
    <t>漳浦县官浔镇静心园艺场</t>
  </si>
  <si>
    <t>http://fjzzjxyy.com/</t>
  </si>
  <si>
    <t>泉州天娇2</t>
  </si>
  <si>
    <t>泉州天娇妇幼卫生用品有限公司</t>
  </si>
  <si>
    <t>亿佳电动</t>
  </si>
  <si>
    <t>漳州市龙文区亿佳电动门经营部</t>
  </si>
  <si>
    <t>http://www.yjjzm.com.cn</t>
  </si>
  <si>
    <t>永鑫园艺场</t>
  </si>
  <si>
    <t>漳浦县沙西镇永鑫园艺场</t>
  </si>
  <si>
    <t>http://fjyxyyc.com/</t>
  </si>
  <si>
    <t>泉州德上</t>
  </si>
  <si>
    <t>泉州德上软件科技有限公司</t>
  </si>
  <si>
    <t>大势方略1</t>
  </si>
  <si>
    <t>厦门大势方略咨询集团有限公司</t>
  </si>
  <si>
    <t>http://www.dashifanglue.com</t>
  </si>
  <si>
    <t>zz福安堂</t>
  </si>
  <si>
    <t>漳州福安堂中药材有限公司</t>
  </si>
  <si>
    <t>http://www.zzfat.com</t>
  </si>
  <si>
    <t>碧源厦门</t>
  </si>
  <si>
    <t>碧源（厦门）净化科技有限公司</t>
  </si>
  <si>
    <t>福建抠抠网</t>
  </si>
  <si>
    <t>抠抠(福建)电子商务有限公司</t>
  </si>
  <si>
    <t>http://www.kouclo.com</t>
  </si>
  <si>
    <t>首立德包装</t>
  </si>
  <si>
    <t>首立德（漳州）包装有限公司</t>
  </si>
  <si>
    <t>美感印象</t>
  </si>
  <si>
    <t>厦门美感印象文化艺术有限公司</t>
  </si>
  <si>
    <t>http://www.xmmeigan.com</t>
  </si>
  <si>
    <t>易升优</t>
  </si>
  <si>
    <t>厦门易升优教育科技有限公司</t>
  </si>
  <si>
    <t>http://www.isenu.xyz</t>
  </si>
  <si>
    <t>漳州畅通</t>
  </si>
  <si>
    <t>漳州畅通管道清洁服务有限公司</t>
  </si>
  <si>
    <t>http://www.ctqy0596.com/</t>
  </si>
  <si>
    <t>鹏胜彩钢</t>
  </si>
  <si>
    <t>漳浦县鹏胜彩钢有限公司</t>
  </si>
  <si>
    <t>http://zppengsheng.com/</t>
  </si>
  <si>
    <t>三河塑胶</t>
  </si>
  <si>
    <t>漳州市三河塑胶有限公司</t>
  </si>
  <si>
    <t>http://www.fjshsj.com</t>
  </si>
  <si>
    <t>永豪木片</t>
  </si>
  <si>
    <t>漳州市龙文区永豪木片加工场</t>
  </si>
  <si>
    <t>http://fjzzyhmy.1688.com</t>
  </si>
  <si>
    <t>昌盛露发</t>
  </si>
  <si>
    <t>长汀县昌盛露发农业有限公司</t>
  </si>
  <si>
    <t>http://www.ctxcslf.com</t>
  </si>
  <si>
    <t>站食光</t>
  </si>
  <si>
    <t>厦门市站食光餐饮管理有限公司</t>
  </si>
  <si>
    <t>双龙家庭农场</t>
  </si>
  <si>
    <t>平和县双龙家庭农场</t>
  </si>
  <si>
    <t>http://www.fjslmm.com/</t>
  </si>
  <si>
    <t>漳州俊兴</t>
  </si>
  <si>
    <t>漳州俊兴再生物资回收有限公司</t>
  </si>
  <si>
    <t>http://www.zzjxzswzhs.com</t>
  </si>
  <si>
    <t>金富顺生物</t>
  </si>
  <si>
    <t>漳州金富顺生物科技有限公司</t>
  </si>
  <si>
    <t>http://www.zzjfs.com</t>
  </si>
  <si>
    <t>旺鲜翁海鲜</t>
  </si>
  <si>
    <t>东山县陈城镇旺鲜翁水产品经营部</t>
  </si>
  <si>
    <t>浦邦苗木场</t>
  </si>
  <si>
    <t>漳浦县浦邦苗木场</t>
  </si>
  <si>
    <t>http://www.pb0596.com/</t>
  </si>
  <si>
    <t>厦门睿霖</t>
  </si>
  <si>
    <t>厦门睿霖自动化设备有限公司</t>
  </si>
  <si>
    <t>http://www.xmrlzd.com</t>
  </si>
  <si>
    <t>圣熠辉</t>
  </si>
  <si>
    <t>厦门圣熠辉工贸有限公司</t>
  </si>
  <si>
    <t>达方电缆</t>
  </si>
  <si>
    <t>漳州市达方电缆有限公司</t>
  </si>
  <si>
    <t>区盖杰回收</t>
  </si>
  <si>
    <t>平和华宇</t>
  </si>
  <si>
    <t>福建平和华宇机械有限公司</t>
  </si>
  <si>
    <t>http://www.phhyjx.com/</t>
  </si>
  <si>
    <t>漳州志乐</t>
  </si>
  <si>
    <t>漳州志乐旅游咨询服务有限公司</t>
  </si>
  <si>
    <t>http://www.fjhuiyue.com/</t>
  </si>
  <si>
    <t>厦门同翰</t>
  </si>
  <si>
    <t>厦门同翰科技有限公司</t>
  </si>
  <si>
    <t>溪坂花卉</t>
  </si>
  <si>
    <t>漳浦县溪坂花卉专业合作社</t>
  </si>
  <si>
    <t>http://zphhhzs.com/</t>
  </si>
  <si>
    <t>漳州剑辉苗木</t>
  </si>
  <si>
    <t>漳州市剑辉苗木有限公司</t>
  </si>
  <si>
    <t>http://www.fjjhmm.com/</t>
  </si>
  <si>
    <t>智准</t>
  </si>
  <si>
    <t>厦门智准信息科技有限公司</t>
  </si>
  <si>
    <t>http://qihaoming.vip</t>
  </si>
  <si>
    <t>宁豪管业</t>
  </si>
  <si>
    <t>漳州台商投资区角美宁豪管桩经营部</t>
  </si>
  <si>
    <t>http://www.zznhgy.com</t>
  </si>
  <si>
    <t>龙江妇幼</t>
  </si>
  <si>
    <t>漳州芗城龙江妇女儿童医院</t>
  </si>
  <si>
    <t>中国婚纱</t>
  </si>
  <si>
    <t>漳州安达理网络有限公司</t>
  </si>
  <si>
    <t>http://bossmall.cn/</t>
  </si>
  <si>
    <t>爱拼团购</t>
  </si>
  <si>
    <t>漳州市丰贝商贸有限公司</t>
  </si>
  <si>
    <t>http://www.ipintuan.net</t>
  </si>
  <si>
    <t>铭艺信息技术</t>
  </si>
  <si>
    <t>漳州市铭艺信息技术有限公司</t>
  </si>
  <si>
    <t>http://www.zzqyw.net</t>
  </si>
  <si>
    <t>厦门优莱柏</t>
  </si>
  <si>
    <t>厦门优莱柏网络科技有限公司</t>
  </si>
  <si>
    <t>http://www.udongman.cn</t>
  </si>
  <si>
    <t>丰泽艺创</t>
  </si>
  <si>
    <t>丰泽区艺创室内设计工作室</t>
  </si>
  <si>
    <t>甘海连废品回收</t>
  </si>
  <si>
    <t>厦门市湖里区甘海连废品回收店</t>
  </si>
  <si>
    <t>http://xmwz888.com</t>
  </si>
  <si>
    <t>福建璨晖1</t>
  </si>
  <si>
    <t>叶惠</t>
  </si>
  <si>
    <t>厦门童声</t>
  </si>
  <si>
    <t>厦门市翔安区童声儿童康复服务中心</t>
  </si>
  <si>
    <t>维麦啤酒</t>
  </si>
  <si>
    <t>福建维麦啤酒有限公司</t>
  </si>
  <si>
    <t>http://www.fjwmpj.com/</t>
  </si>
  <si>
    <t>漳州润民</t>
  </si>
  <si>
    <t>漳州市润民电子商务有限公司</t>
  </si>
  <si>
    <t>http://shop1436893367298.1688.com</t>
  </si>
  <si>
    <t>诚长鞋材</t>
  </si>
  <si>
    <t>实力数码</t>
  </si>
  <si>
    <t>晋江市陈埭镇实力数码店</t>
  </si>
  <si>
    <t>万黛兰</t>
  </si>
  <si>
    <t>厦门万黛兰文化传媒有限公司同安分公司</t>
  </si>
  <si>
    <t>漳浦华博基尼</t>
  </si>
  <si>
    <t>漳浦县古雷新港城华博基尼内衣有限公司</t>
  </si>
  <si>
    <t>http://www.chinaxdd.cn/</t>
  </si>
  <si>
    <t>创美园林</t>
  </si>
  <si>
    <t>漳州市创美园林有限公司</t>
  </si>
  <si>
    <t>http://www.zzcmyl.com/</t>
  </si>
  <si>
    <t>漳州得力斯</t>
  </si>
  <si>
    <t>漳州东刚精密机械</t>
  </si>
  <si>
    <t>漳州东刚精密机械有限公司</t>
  </si>
  <si>
    <t>http://www.ecomcnc.com</t>
  </si>
  <si>
    <t>涂料工贸</t>
  </si>
  <si>
    <t>漳州市祥豪涂料工贸有限公司</t>
  </si>
  <si>
    <t>http://www.xianghaotl.com</t>
  </si>
  <si>
    <t>漳州金宾利</t>
  </si>
  <si>
    <t>漳州金宾利五金制品有限公司</t>
  </si>
  <si>
    <t>http://www.t596.com</t>
  </si>
  <si>
    <t>川盛景观石1</t>
  </si>
  <si>
    <t>惠安县川盛景观石经营部</t>
  </si>
  <si>
    <t>绿禾苗木</t>
  </si>
  <si>
    <t>漳州绿禾苗木有限公司</t>
  </si>
  <si>
    <t>http://zzlhmm.com/cn/index.htm</t>
  </si>
  <si>
    <t>荣天货运</t>
  </si>
  <si>
    <t>漳州市龙文区荣天货运中转服务部</t>
  </si>
  <si>
    <t>http://www.rtwlsong.com</t>
  </si>
  <si>
    <t>生力军</t>
  </si>
  <si>
    <t>厦门市生力军教育咨询有限公司</t>
  </si>
  <si>
    <t>http://www.xmsljjy.com</t>
  </si>
  <si>
    <t>漳州嘉韧</t>
  </si>
  <si>
    <t>漳州嘉韧机械有限公司</t>
  </si>
  <si>
    <t>永得信包装</t>
  </si>
  <si>
    <t>龙海市颜厝永得信包装器具店</t>
  </si>
  <si>
    <t>http://www.fjydxpack.com</t>
  </si>
  <si>
    <t>东坂装饰</t>
  </si>
  <si>
    <t>漳州市东坂装饰设计有限公司</t>
  </si>
  <si>
    <t>http://zzdongban.com</t>
  </si>
  <si>
    <t>瑞邦德</t>
  </si>
  <si>
    <t>厦门瑞邦德智能科技有限公司</t>
  </si>
  <si>
    <t>绿鸿新能源</t>
  </si>
  <si>
    <t>漳州绿鸿新能源汽车贸易有限公司</t>
  </si>
  <si>
    <t>http://www.zzlhxny.com/</t>
  </si>
  <si>
    <t>厦门墨远</t>
  </si>
  <si>
    <t>厦门墨远文化艺术有限公司</t>
  </si>
  <si>
    <t>http://www.xmmyjy.com</t>
  </si>
  <si>
    <t>连盛装潢</t>
  </si>
  <si>
    <t>泉州市鲤城展城连盛汽车装潢用品商店</t>
  </si>
  <si>
    <t>http://www.qzhgjr.com</t>
  </si>
  <si>
    <t>金玉晟</t>
  </si>
  <si>
    <t>厦门金玉晟电子商务有限公司</t>
  </si>
  <si>
    <t>凌峰起重工</t>
  </si>
  <si>
    <t>坤达园艺场</t>
  </si>
  <si>
    <t>漳浦县坤达园艺场</t>
  </si>
  <si>
    <t>http://www.kundayy.com</t>
  </si>
  <si>
    <t>漳州祥英妇产3</t>
  </si>
  <si>
    <t>漳州角美祥英妇产医院</t>
  </si>
  <si>
    <t>http://www.jmxyfuke.com</t>
  </si>
  <si>
    <t>龙鼎盛世</t>
  </si>
  <si>
    <t>名扬物流</t>
  </si>
  <si>
    <t>福建省南安市名扬物流有限公司</t>
  </si>
  <si>
    <t>http://www.qzmywl.com</t>
  </si>
  <si>
    <t>睿云联网络</t>
  </si>
  <si>
    <t>易尔通泉州</t>
  </si>
  <si>
    <t>厦门易尔通网络科技有限公司泉州分公司</t>
  </si>
  <si>
    <t>厦门世纪鹰驰</t>
  </si>
  <si>
    <t>厦门世纪鹰驰文化传媒有限公司</t>
  </si>
  <si>
    <t>http://www.xbcms.com</t>
  </si>
  <si>
    <t>祥莹科技</t>
  </si>
  <si>
    <t>厦门祥莹科技有限公司</t>
  </si>
  <si>
    <t>耀璋园艺场</t>
  </si>
  <si>
    <t>漳浦县耀璋园艺场</t>
  </si>
  <si>
    <t>http://www.zpyzyy.com</t>
  </si>
  <si>
    <t>鑫共赢</t>
  </si>
  <si>
    <t>厦门鑫共赢科技有限公司</t>
  </si>
  <si>
    <t>漳州金亿机电</t>
  </si>
  <si>
    <t>漳州金亿机电科技有限公司</t>
  </si>
  <si>
    <t>http://zzjinyi.com/</t>
  </si>
  <si>
    <t>易瑞通</t>
  </si>
  <si>
    <t>厦门易瑞通网络科技有限公司</t>
  </si>
  <si>
    <t>亚米提</t>
  </si>
  <si>
    <t>漳浦县绥安镇亚米提冷饮店</t>
  </si>
  <si>
    <t>http://www.yamity.com</t>
  </si>
  <si>
    <t>泓益修</t>
  </si>
  <si>
    <t>泓益修（厦门）家电有限公司</t>
  </si>
  <si>
    <t>漳州翔运物流</t>
  </si>
  <si>
    <t>漳州翔运物流有限公司</t>
  </si>
  <si>
    <t>http://zpxywl.com/</t>
  </si>
  <si>
    <t>朴树园林</t>
  </si>
  <si>
    <t>漳州市朴树园林绿化工程有限公司</t>
  </si>
  <si>
    <t>漳浦茂林园艺</t>
  </si>
  <si>
    <t>漳浦县茂林园艺场</t>
  </si>
  <si>
    <t>鑫桥建材</t>
  </si>
  <si>
    <t>漳州鑫桥建材有限公司</t>
  </si>
  <si>
    <t>http://www.zzxqjc.com</t>
  </si>
  <si>
    <t>厦门涂工博</t>
  </si>
  <si>
    <t>厦门涂工博科技有限公司</t>
  </si>
  <si>
    <t>http://www.xmtgbkj.com</t>
  </si>
  <si>
    <t>谊美吉斯</t>
  </si>
  <si>
    <t>谊美吉斯光电科技（福建）有限公司</t>
  </si>
  <si>
    <t>http://www.imgstech.com</t>
  </si>
  <si>
    <t>立行果蔬2</t>
  </si>
  <si>
    <t>泉州鑫胜达</t>
  </si>
  <si>
    <t>泉州鑫胜达物流有限公司</t>
  </si>
  <si>
    <t>上水园林</t>
  </si>
  <si>
    <t>漳州市上水园林绿化工程有限公司</t>
  </si>
  <si>
    <t>http://zzsssyl.com/</t>
  </si>
  <si>
    <t>布迦文化</t>
  </si>
  <si>
    <t>布迦（厦门）文化科技有限公司</t>
  </si>
  <si>
    <t>http://www.3dsmw.com</t>
  </si>
  <si>
    <t>墙酷</t>
  </si>
  <si>
    <t>http://www.wallcool.net</t>
  </si>
  <si>
    <t>金桔蜜柚</t>
  </si>
  <si>
    <t>福建省平和县金吉蜜柚开发有限公司</t>
  </si>
  <si>
    <t>http://www.phjxmy.com</t>
  </si>
  <si>
    <t>漳州金世达</t>
  </si>
  <si>
    <t>漳州市金世达家具有限公司</t>
  </si>
  <si>
    <t>https://shop104212692.taobao.com</t>
  </si>
  <si>
    <t>漳州瑞信</t>
  </si>
  <si>
    <t>漳州瑞信财务咨询有限公司</t>
  </si>
  <si>
    <t>欣联达</t>
  </si>
  <si>
    <t>厦门欣联达物流有限公司</t>
  </si>
  <si>
    <t>含章</t>
  </si>
  <si>
    <t>福建含章数据科技有限公司</t>
  </si>
  <si>
    <t>http://www.xiaohandata.com</t>
  </si>
  <si>
    <t>厦门一阳生</t>
  </si>
  <si>
    <t>一阳生集团有限公司</t>
  </si>
  <si>
    <t>http://www.yysbio.com</t>
  </si>
  <si>
    <t>厦门亿池麟</t>
  </si>
  <si>
    <t>厦门亿池麟科技有限公司</t>
  </si>
  <si>
    <t>https://www.migozg.com/</t>
  </si>
  <si>
    <t>漳州花仙谷</t>
  </si>
  <si>
    <t>大佳商贸</t>
  </si>
  <si>
    <t>漳州市大佳商贸有限公司</t>
  </si>
  <si>
    <t>http://www.531009.com</t>
  </si>
  <si>
    <t>晶洁辉</t>
  </si>
  <si>
    <t>漳州晶洁辉陶瓷新材料有限公司</t>
  </si>
  <si>
    <t>http://www.inlai.cc.cm</t>
  </si>
  <si>
    <t>惠安川盛</t>
  </si>
  <si>
    <t>昇顺贸易</t>
  </si>
  <si>
    <t>漳州市昇顺贸易有限公司</t>
  </si>
  <si>
    <t>http://www.zzsshun.com</t>
  </si>
  <si>
    <t>博力根</t>
  </si>
  <si>
    <t>博力根(厦门)复合材料有限公司</t>
  </si>
  <si>
    <t>http://www.polygoncompany.com.cn</t>
  </si>
  <si>
    <t>贰师兄食品</t>
  </si>
  <si>
    <t>南靖县贰师兄食品商行</t>
  </si>
  <si>
    <t>http://shop124302512.taobao.com</t>
  </si>
  <si>
    <t>厦门海洋心语</t>
  </si>
  <si>
    <t>厦门市海洋心语启智中心</t>
  </si>
  <si>
    <t>聚易优选</t>
  </si>
  <si>
    <t>福建聚易优选物流科技有限公司</t>
  </si>
  <si>
    <t>摩友运动</t>
  </si>
  <si>
    <t>厦门摩友运动用品有限公司</t>
  </si>
  <si>
    <t>http://moyoucp.tmall.com</t>
  </si>
  <si>
    <t>绿国花木</t>
  </si>
  <si>
    <t>漳州市龙文区绿国花木专业合作社</t>
  </si>
  <si>
    <t>http://zzlg.85151.com</t>
  </si>
  <si>
    <t>南安佳阳</t>
  </si>
  <si>
    <t>南安市省新尤佳阳电脑经营部</t>
  </si>
  <si>
    <t>聚盛祥工贸</t>
  </si>
  <si>
    <t>漳州市长泰聚盛祥工贸有限公司</t>
  </si>
  <si>
    <t>永顺船舶服务</t>
  </si>
  <si>
    <t>泉州市永顺船舶服务有限公司</t>
  </si>
  <si>
    <t>志敏建材</t>
  </si>
  <si>
    <t>漳州市长泰区志敏建材经营部</t>
  </si>
  <si>
    <t>蜜柚王1</t>
  </si>
  <si>
    <t>平和县荣民果蔬专业合作社</t>
  </si>
  <si>
    <t>http://www.nywzg.com/Index.asp</t>
  </si>
  <si>
    <t>美植园林</t>
  </si>
  <si>
    <t>漳州市美植园林绿化工程有限公司</t>
  </si>
  <si>
    <t>嗨动</t>
  </si>
  <si>
    <t>嗨动（厦门）食品有限公司</t>
  </si>
  <si>
    <t>http://www.hiups.cn</t>
  </si>
  <si>
    <t>xm坚铝</t>
  </si>
  <si>
    <t>http://www.xmjlly.com</t>
  </si>
  <si>
    <t>越兴园艺场</t>
  </si>
  <si>
    <t>漳浦县官浔镇越兴园艺场</t>
  </si>
  <si>
    <t>http://www.zpyxyyc.com</t>
  </si>
  <si>
    <t>龙岩市凤凰机械</t>
  </si>
  <si>
    <t>http://www.lyfhjx.com</t>
  </si>
  <si>
    <t>双馨学校</t>
  </si>
  <si>
    <t>漳州市龙文区双馨培训学校有限公司</t>
  </si>
  <si>
    <t>琥珀兰园</t>
  </si>
  <si>
    <t>南靖县琥珀花卉有限公司</t>
  </si>
  <si>
    <t>http://www.cnlhhpw.com</t>
  </si>
  <si>
    <t>胜景绿化</t>
  </si>
  <si>
    <t>漳浦县胜景园林绿化工程有限公司</t>
  </si>
  <si>
    <t>http://sjyllh.cn.alibaba.com</t>
  </si>
  <si>
    <t>漳州金雅装饰</t>
  </si>
  <si>
    <t>漳州金雅装饰工程有限公司</t>
  </si>
  <si>
    <t>http://jinyazs.com/</t>
  </si>
  <si>
    <t>尚益冠</t>
  </si>
  <si>
    <t>丰泽区尚益冠好茶叶商行</t>
  </si>
  <si>
    <t>http://www.syghc658.com</t>
  </si>
  <si>
    <t>安山文武学校</t>
  </si>
  <si>
    <t>漳州安山文武学校</t>
  </si>
  <si>
    <t>http://www.an3.cn/</t>
  </si>
  <si>
    <t>华伟锁具</t>
  </si>
  <si>
    <t>石狮市华伟锁具店</t>
  </si>
  <si>
    <t>金源花卉</t>
  </si>
  <si>
    <t>漳浦县金源花卉专业合作社</t>
  </si>
  <si>
    <t>http://www.jylhyl.com</t>
  </si>
  <si>
    <t>南越货运</t>
  </si>
  <si>
    <t>晋江市池店镇南越货运代理服务部</t>
  </si>
  <si>
    <t>厦门日易</t>
  </si>
  <si>
    <t>厦门日易科技有限公司</t>
  </si>
  <si>
    <t>http://www.smartpaperhelper.com</t>
  </si>
  <si>
    <t>丽森食品</t>
  </si>
  <si>
    <t>漳浦丽森食品有限公司</t>
  </si>
  <si>
    <t>http://www.zzlisen.com</t>
  </si>
  <si>
    <t>梵象文化</t>
  </si>
  <si>
    <t>厦门梵象文化传播有限公司</t>
  </si>
  <si>
    <t>http://www.fovso.com</t>
  </si>
  <si>
    <t>美辉化工</t>
  </si>
  <si>
    <t>漳州市美辉化工有限公司</t>
  </si>
  <si>
    <t>http://www.mhhg1688.com/</t>
  </si>
  <si>
    <t>叭叭找</t>
  </si>
  <si>
    <t>漳州市叭叭找网络科技有限公司</t>
  </si>
  <si>
    <t>泉州迈辉园林</t>
  </si>
  <si>
    <t>泉州迈辉园林古建工程有限公司</t>
  </si>
  <si>
    <t>厦门星旗互娱</t>
  </si>
  <si>
    <t>厦门星旗互娱网络科技有限公司</t>
  </si>
  <si>
    <t>http://www.xingqitv.cn/</t>
  </si>
  <si>
    <t>漳州万通</t>
  </si>
  <si>
    <t>漳州万通知识产权代理有限公司</t>
  </si>
  <si>
    <t>http://www.wantongzz.com</t>
  </si>
  <si>
    <t>顺景绿化</t>
  </si>
  <si>
    <t>漳州市顺景园林绿化有限公司</t>
  </si>
  <si>
    <t>http://www.zzsjyllh.com</t>
  </si>
  <si>
    <t>漳州上宇</t>
  </si>
  <si>
    <t>九泰</t>
  </si>
  <si>
    <t>漳州市九泰医疗器械有限公司</t>
  </si>
  <si>
    <t>http://www.zzztq.cn</t>
  </si>
  <si>
    <t>福兴汽车配件</t>
  </si>
  <si>
    <t>漳州福兴汽车配件有限公司</t>
  </si>
  <si>
    <t>俊生柚苗</t>
  </si>
  <si>
    <t>丰润科技</t>
  </si>
  <si>
    <t>漳州市丰润伟业网络科技有限公司</t>
  </si>
  <si>
    <t>http://www.fonrun.com</t>
  </si>
  <si>
    <t>冀闽工贸1</t>
  </si>
  <si>
    <t>厦门冀闽工贸有限公司</t>
  </si>
  <si>
    <t>http://www.wlxzscl.com</t>
  </si>
  <si>
    <t>玩声文化</t>
  </si>
  <si>
    <t>厦门玩声文化艺术有限公司</t>
  </si>
  <si>
    <t>福通海</t>
  </si>
  <si>
    <t>厦门福通海物流有限公司</t>
  </si>
  <si>
    <t>宁悦化工</t>
  </si>
  <si>
    <t>厦门市宁悦化工贸易有限公司</t>
  </si>
  <si>
    <t>http://www.xmnyhg.com</t>
  </si>
  <si>
    <t>陈木生蜜柚</t>
  </si>
  <si>
    <t>平和县陈木生蜜柚经营部</t>
  </si>
  <si>
    <t>http://www.phcmsmy.com/</t>
  </si>
  <si>
    <t>榕翔苗木场</t>
  </si>
  <si>
    <t>漳浦县官浔镇榕翔苗木场</t>
  </si>
  <si>
    <t>http://www.fjrxmm.com</t>
  </si>
  <si>
    <t>向荣工贸</t>
  </si>
  <si>
    <t>龙海市向荣工贸有限公司</t>
  </si>
  <si>
    <t>福记生鲜</t>
  </si>
  <si>
    <t>东山县福记生鲜水产贸易部</t>
  </si>
  <si>
    <t>弘扬汽车咨询</t>
  </si>
  <si>
    <t>漳州市弘扬汽车咨询服务有限公司</t>
  </si>
  <si>
    <t>http://www.zzsdtaxi.cn/</t>
  </si>
  <si>
    <t>福佑农业开发</t>
  </si>
  <si>
    <t>平和县福佑农业开发有限公司</t>
  </si>
  <si>
    <t>http://phfyny.com</t>
  </si>
  <si>
    <t>壹创联合</t>
  </si>
  <si>
    <t>壹创联合（厦门）产品设计有限公司</t>
  </si>
  <si>
    <t>http://www.sanweizhizao.com</t>
  </si>
  <si>
    <t>厦门创泰恒盛</t>
  </si>
  <si>
    <t>厦门市创泰恒盛电子有限公司</t>
  </si>
  <si>
    <t>http://cthsdz.com</t>
  </si>
  <si>
    <t>天民茶具</t>
  </si>
  <si>
    <t>安溪城厢天民茶具店</t>
  </si>
  <si>
    <t>缘满财务</t>
  </si>
  <si>
    <t>厦门市缘满财务管理有限公司</t>
  </si>
  <si>
    <t>http://pczxm.com</t>
  </si>
  <si>
    <t>xm豪迪克</t>
  </si>
  <si>
    <t>厦门豪迪克进出口有限公司</t>
  </si>
  <si>
    <t>https://mall.jd.com/index-16793.html</t>
  </si>
  <si>
    <t>扬基园艺</t>
  </si>
  <si>
    <t>漳浦县扬基园艺发展有限公司</t>
  </si>
  <si>
    <t>http://www.zpyangji.com/</t>
  </si>
  <si>
    <t>和祥投资</t>
  </si>
  <si>
    <t>漳州和祥投资管理有限公司</t>
  </si>
  <si>
    <t>http://www.fy0771.com/</t>
  </si>
  <si>
    <t>江霖兴活动房</t>
  </si>
  <si>
    <t>漳州市江霖兴活动房有限公司</t>
  </si>
  <si>
    <t>http://www.jlxhdf.com/</t>
  </si>
  <si>
    <t>固诚机电</t>
  </si>
  <si>
    <t>厦门固诚机电设备有限公司</t>
  </si>
  <si>
    <t>http://www.guchengjidian.cn</t>
  </si>
  <si>
    <t>邻里亲家政</t>
  </si>
  <si>
    <t>厦门市湖里区邻里亲家政服务部</t>
  </si>
  <si>
    <t>yuanhongfz</t>
  </si>
  <si>
    <t>漳浦源鸿服装配件有限公司</t>
  </si>
  <si>
    <t>http://www.straps.com.cn</t>
  </si>
  <si>
    <t>米辣科技</t>
  </si>
  <si>
    <t>http:///www.xmmila.com</t>
  </si>
  <si>
    <t>厦门互动创想</t>
  </si>
  <si>
    <t>http://www.huudon.com</t>
  </si>
  <si>
    <t>恺韵信息</t>
  </si>
  <si>
    <t>厦门市恺韵信息科技有限公司</t>
  </si>
  <si>
    <t>http://www.kaiyuninfo.com</t>
  </si>
  <si>
    <t>静帮1</t>
  </si>
  <si>
    <t>港川木业</t>
  </si>
  <si>
    <t>漳州市港川木业有限公司</t>
  </si>
  <si>
    <t>http://www.fjgcmy.com/</t>
  </si>
  <si>
    <t>云梅废品</t>
  </si>
  <si>
    <t>晋江市罗山云梅废品回收站</t>
  </si>
  <si>
    <t>http://www.qzhuishou.cn</t>
  </si>
  <si>
    <t>老徐旅馆</t>
  </si>
  <si>
    <t>南靖县老徐旅馆</t>
  </si>
  <si>
    <t>http://www.laoxukezhan.com</t>
  </si>
  <si>
    <t>暴驰网络</t>
  </si>
  <si>
    <t>福建暴驰网络科技有限公司</t>
  </si>
  <si>
    <t>http://www.game579.com</t>
  </si>
  <si>
    <t>福建璨晖2</t>
  </si>
  <si>
    <t>泉州旺登1</t>
  </si>
  <si>
    <t>天地一家</t>
  </si>
  <si>
    <t>泉州天地一家装饰设计有限公司</t>
  </si>
  <si>
    <t>漳州博通</t>
  </si>
  <si>
    <t>漳州博通贸易有限公司</t>
  </si>
  <si>
    <t>http://zzbotone.com/</t>
  </si>
  <si>
    <t>长翔钢结构</t>
  </si>
  <si>
    <t>泉州长翔钢结构工程有限公司</t>
  </si>
  <si>
    <t>http://qzcxgjg.com</t>
  </si>
  <si>
    <t>泰途物流</t>
  </si>
  <si>
    <t>厦门泰途物流有限公司</t>
  </si>
  <si>
    <t>多吃粗粮1</t>
  </si>
  <si>
    <t>海邦水产</t>
  </si>
  <si>
    <t>漳州市海邦水产科技有限公司</t>
  </si>
  <si>
    <t>http://highbon.com</t>
  </si>
  <si>
    <t>泉州富临物流</t>
  </si>
  <si>
    <t>泉州德天</t>
  </si>
  <si>
    <t>墨典</t>
  </si>
  <si>
    <t>漳州墨典知识产权代理有限公司</t>
  </si>
  <si>
    <t>http://www.modianip.com</t>
  </si>
  <si>
    <t>诚远商贸1</t>
  </si>
  <si>
    <t>漳州市诚远商贸有限公司</t>
  </si>
  <si>
    <t>http://www.fjshq.com</t>
  </si>
  <si>
    <t>漳州天威科技</t>
  </si>
  <si>
    <t>漳州天威科技有限公司</t>
  </si>
  <si>
    <t>http://www.t-wei.cn/</t>
  </si>
  <si>
    <t>新风体育</t>
  </si>
  <si>
    <t>漳浦县新风体育文化传播有限公司</t>
  </si>
  <si>
    <t>增浩电子秤</t>
  </si>
  <si>
    <t>平和县增浩电子秤店</t>
  </si>
  <si>
    <t>http://zzzhdb.com/</t>
  </si>
  <si>
    <t>万云能</t>
  </si>
  <si>
    <t>漳浦县万云能互联网工作室</t>
  </si>
  <si>
    <t>江杨紧固件</t>
  </si>
  <si>
    <t>漳州江扬紧固件有限公司</t>
  </si>
  <si>
    <t>厦门辰力1</t>
  </si>
  <si>
    <t>厦门群贤世青</t>
  </si>
  <si>
    <t>双恒</t>
  </si>
  <si>
    <t>福建省泉州双恒集团有限公司</t>
  </si>
  <si>
    <t>http://shuangheng.com</t>
  </si>
  <si>
    <t>立诚家政</t>
  </si>
  <si>
    <t>漳州立诚家政服务有限公司</t>
  </si>
  <si>
    <t>http://www.zzslcjz.com</t>
  </si>
  <si>
    <t>漳州立施棒</t>
  </si>
  <si>
    <t>漳州立施棒复合材料有限公司</t>
  </si>
  <si>
    <t>http://www.ystbond.com/</t>
  </si>
  <si>
    <t>将帅工业</t>
  </si>
  <si>
    <t>漳州市将帅工业设备有限公司</t>
  </si>
  <si>
    <t>http://www.dcqwx.com</t>
  </si>
  <si>
    <t>中装速配</t>
  </si>
  <si>
    <t>中装速配（厦门）科技有限公司</t>
  </si>
  <si>
    <t>漳州商友</t>
  </si>
  <si>
    <t>漳州市商友信息技术有限公司</t>
  </si>
  <si>
    <t>http://www.0596360.com</t>
  </si>
  <si>
    <t>九克拉</t>
  </si>
  <si>
    <t>漳州市龙文区九克拉摄影室</t>
  </si>
  <si>
    <t>http://www.9carats.net</t>
  </si>
  <si>
    <t>奥立达工程</t>
  </si>
  <si>
    <t>漳州市奥立达电梯工程有限公司</t>
  </si>
  <si>
    <t>http://www.zzaolida.com/</t>
  </si>
  <si>
    <t>海通生物科技</t>
  </si>
  <si>
    <t>漳州市海通生物科技有限公司</t>
  </si>
  <si>
    <t>http://www.zzhtsw666.com</t>
  </si>
  <si>
    <t>哈哈科技</t>
  </si>
  <si>
    <t>泉州哈哈网络科技有限公司</t>
  </si>
  <si>
    <t>http://www.qzhhkj.com</t>
  </si>
  <si>
    <t>25468888</t>
  </si>
  <si>
    <t>漳州鑫亿豪门业有限公司</t>
  </si>
  <si>
    <t>http://xm.erp.xm12t.net/admin/index.aspx</t>
  </si>
  <si>
    <t>少斌经营部</t>
  </si>
  <si>
    <t>厦门朗晔</t>
  </si>
  <si>
    <t>厦门朗晔科技有限公司</t>
  </si>
  <si>
    <t>优庭家居</t>
  </si>
  <si>
    <t>厦门优庭家居建材有限公司</t>
  </si>
  <si>
    <t>http://www.uting-home.com</t>
  </si>
  <si>
    <t>漳州泰诺</t>
  </si>
  <si>
    <t>漳州市泰诺液压机械制造有限公司</t>
  </si>
  <si>
    <t>http://www.fjtnjx.com/</t>
  </si>
  <si>
    <t>漳州中墅</t>
  </si>
  <si>
    <t>荣鑫园艺</t>
  </si>
  <si>
    <t>漳浦县荣鑫园艺场</t>
  </si>
  <si>
    <t>http://rongxinyy.com/</t>
  </si>
  <si>
    <t>美佳尔</t>
  </si>
  <si>
    <t>厦门美佳尔生物科技有限公司</t>
  </si>
  <si>
    <t>泉州千秋</t>
  </si>
  <si>
    <t>泉州千秋互联网技术有限公司</t>
  </si>
  <si>
    <t>http://quanhu.wejianzhan.com</t>
  </si>
  <si>
    <t>星鲨</t>
  </si>
  <si>
    <t>国药控股星鲨制药(厦门)有限公司</t>
  </si>
  <si>
    <t>https://http://senxiarendan.tmall.com/</t>
  </si>
  <si>
    <t>厦门体线</t>
  </si>
  <si>
    <t>厦门体线网络科技有限公司</t>
  </si>
  <si>
    <t>荣尚园艺</t>
  </si>
  <si>
    <t>漳州市荣尚园艺有限公司</t>
  </si>
  <si>
    <t>南山园艺场</t>
  </si>
  <si>
    <t>漳浦县南山园艺场</t>
  </si>
  <si>
    <t>http://www.zznsyy.com/</t>
  </si>
  <si>
    <t>豪旺石英砂</t>
  </si>
  <si>
    <t>漳州豪旺砂石贸易有限公司</t>
  </si>
  <si>
    <t>http://www.zzhwsys.com</t>
  </si>
  <si>
    <t>易贝城</t>
  </si>
  <si>
    <t>厦门易贝城网络科技有限公司</t>
  </si>
  <si>
    <t>凌岳物流1</t>
  </si>
  <si>
    <t>泉州凌岳物流有限公司</t>
  </si>
  <si>
    <t>天锐网络公司</t>
  </si>
  <si>
    <t>漳州市天锐网络服务有限公司</t>
  </si>
  <si>
    <t>http://www.trnm.cn</t>
  </si>
  <si>
    <t>厦门精卫</t>
  </si>
  <si>
    <t>漳州得亿</t>
  </si>
  <si>
    <t>漳州得亿新型包装材料有限公司</t>
  </si>
  <si>
    <t>http://deyi0596.com/</t>
  </si>
  <si>
    <t>三力福建</t>
  </si>
  <si>
    <t>三力(福建)拉链有限公司</t>
  </si>
  <si>
    <t>http://sanlizp.1688.com</t>
  </si>
  <si>
    <t>易旭服装1</t>
  </si>
  <si>
    <t>土形生教育</t>
  </si>
  <si>
    <t>漳州龙文土形生教育咨询有限责任公司</t>
  </si>
  <si>
    <t>http://ab.fjalienware.com/</t>
  </si>
  <si>
    <t>漳州安越新</t>
  </si>
  <si>
    <t>漳州安越新材料科技有限公司</t>
  </si>
  <si>
    <t>康茂园林</t>
  </si>
  <si>
    <t>漳州市康茂园林绿化有限公司</t>
  </si>
  <si>
    <t>环亚信息</t>
  </si>
  <si>
    <t>漳州市环亚信息技术有限公司</t>
  </si>
  <si>
    <t>http://www.juche123.com</t>
  </si>
  <si>
    <t>金顿橱柜</t>
  </si>
  <si>
    <t>漳州金顿厨柜家具制造有限公司</t>
  </si>
  <si>
    <t>http://www.ca-sns.com</t>
  </si>
  <si>
    <t>厦门汇川</t>
  </si>
  <si>
    <t>福建汇川环保科技有限公司</t>
  </si>
  <si>
    <t>http://www.fjhchb.com</t>
  </si>
  <si>
    <t>林岫峰律师</t>
  </si>
  <si>
    <t>林岫峰</t>
  </si>
  <si>
    <t>http://www.lxf5lawyers.com</t>
  </si>
  <si>
    <t>鸿瑞祥丝网</t>
  </si>
  <si>
    <t>http://www.zzhrx.com/</t>
  </si>
  <si>
    <t>厦门赢诺</t>
  </si>
  <si>
    <t>华势信息</t>
  </si>
  <si>
    <t>漳州华势信息技术咨询有限公司</t>
  </si>
  <si>
    <t>http://www.21posji.com</t>
  </si>
  <si>
    <t>厦金机械</t>
  </si>
  <si>
    <t>厦门厦金机械股份有限公司</t>
  </si>
  <si>
    <t>谢金春</t>
  </si>
  <si>
    <t>欣辰晔工贸</t>
  </si>
  <si>
    <t>厦门欣辰晔工贸有限公司</t>
  </si>
  <si>
    <t>http://www.xinchenye.com</t>
  </si>
  <si>
    <t>漳浦小贝</t>
  </si>
  <si>
    <t>晟顺工贸</t>
  </si>
  <si>
    <t>漳州市晟顺工贸有限公司</t>
  </si>
  <si>
    <t>http://www.zzssgm.com</t>
  </si>
  <si>
    <t>厦门欧迪森</t>
  </si>
  <si>
    <t>厦门欧迪森新材料有限公司</t>
  </si>
  <si>
    <t>http://www.disnchem.com</t>
  </si>
  <si>
    <t>南安中试</t>
  </si>
  <si>
    <t>厦门墙酷</t>
  </si>
  <si>
    <t>老温数码</t>
  </si>
  <si>
    <t>厦门市思明区老温数码经营部</t>
  </si>
  <si>
    <t>海通建材</t>
  </si>
  <si>
    <t>漳州市龙池混凝土工程有限公司</t>
  </si>
  <si>
    <t>http://www.fjhaitong.cn/main.asp</t>
  </si>
  <si>
    <t>xm美好时光</t>
  </si>
  <si>
    <t>厦门美好时光国际旅行社有限公司</t>
  </si>
  <si>
    <t>http://trip666.cn</t>
  </si>
  <si>
    <t>泉州腾丰</t>
  </si>
  <si>
    <t>泉州市腾丰环保科技有限公司</t>
  </si>
  <si>
    <t>宏洋苗木</t>
  </si>
  <si>
    <t>漳州市宏洋苗木有限公司</t>
  </si>
  <si>
    <t>彼之良</t>
  </si>
  <si>
    <t>漳州彼之良网络科技有限公司</t>
  </si>
  <si>
    <t>厦门快涂</t>
  </si>
  <si>
    <t>厦门快涂装饰工程有限公司</t>
  </si>
  <si>
    <t>http://www.xm-ktzs.com</t>
  </si>
  <si>
    <t>成功机床1</t>
  </si>
  <si>
    <t>福建成功机床有限公司</t>
  </si>
  <si>
    <t>http://www.cgjx.com.cn</t>
  </si>
  <si>
    <t>创赢电子商务</t>
  </si>
  <si>
    <t>泉州鲤城创赢电子商务有限公司</t>
  </si>
  <si>
    <t>http://www.hgq01.cn</t>
  </si>
  <si>
    <t>漳州得逸斯</t>
  </si>
  <si>
    <t>漳州得逸斯集装箱有限公司</t>
  </si>
  <si>
    <t>http://www.dys188.com/</t>
  </si>
  <si>
    <t>一块砖</t>
  </si>
  <si>
    <t>厦门一块砖家政服务有限公司</t>
  </si>
  <si>
    <t>http://www.yikuaiz.com</t>
  </si>
  <si>
    <t>厦门金海</t>
  </si>
  <si>
    <t>厦门金海旭升光电材料有限公司</t>
  </si>
  <si>
    <t>http://shopjhxs.1688.com</t>
  </si>
  <si>
    <t>胶合板商会</t>
  </si>
  <si>
    <t>漳州市胶合板商会</t>
  </si>
  <si>
    <t>http://www.zzsjhbsh.com/</t>
  </si>
  <si>
    <t>东鑫涂装</t>
  </si>
  <si>
    <t>漳州市东鑫涂装设备有限公司</t>
  </si>
  <si>
    <t>http://www.zzsdxtz.com</t>
  </si>
  <si>
    <t>厦门战友好</t>
  </si>
  <si>
    <t>xm鑫华阳</t>
  </si>
  <si>
    <t>厦门鑫华阳门窗有限公司</t>
  </si>
  <si>
    <t>http://xhyjzm.com</t>
  </si>
  <si>
    <t>百众信</t>
  </si>
  <si>
    <t>漳州市龙文区百众信贸易有限公司</t>
  </si>
  <si>
    <t>通万家家政服务</t>
  </si>
  <si>
    <t>漳州市龙文区通万家家政服务部</t>
  </si>
  <si>
    <t>http://zztwjjz.com/</t>
  </si>
  <si>
    <t>好生物科技</t>
  </si>
  <si>
    <t>漳州年年好生物科技有限公司</t>
  </si>
  <si>
    <t>http://www.fjnnh.com</t>
  </si>
  <si>
    <t>厦门商锐</t>
  </si>
  <si>
    <t>厦门商锐教育科技有限公司</t>
  </si>
  <si>
    <t>http://www.xmjishang.com/</t>
  </si>
  <si>
    <t>漳州元竹</t>
  </si>
  <si>
    <t>漳州元竹工艺品有限公司</t>
  </si>
  <si>
    <t>http://www.yuanzhugongyi.com</t>
  </si>
  <si>
    <t>安捷货运代理</t>
  </si>
  <si>
    <t>漳州市龙文区安捷货运代理有限公司</t>
  </si>
  <si>
    <t>http://zzjf56.com/</t>
  </si>
  <si>
    <t>鲜美源水产</t>
  </si>
  <si>
    <t>东山县鲜美源水产品贸易有限公司</t>
  </si>
  <si>
    <t>泉州夜秘</t>
  </si>
  <si>
    <t>爱立昇</t>
  </si>
  <si>
    <t>漳州市爱立昇机电有限公司</t>
  </si>
  <si>
    <t>http://www.zzalisen.com</t>
  </si>
  <si>
    <t>六宇</t>
  </si>
  <si>
    <t>六宇（厦门）工贸有限公司</t>
  </si>
  <si>
    <t>http://www.xm358.com</t>
  </si>
  <si>
    <t>漳州远大制冷</t>
  </si>
  <si>
    <t>漳州远大制冷技术应用有限公司</t>
  </si>
  <si>
    <t>http://www.zzyuanda.cn</t>
  </si>
  <si>
    <t>华师希平双语</t>
  </si>
  <si>
    <t>厦门市华师希平双语学校</t>
  </si>
  <si>
    <t>http://www.ecnuxp.com</t>
  </si>
  <si>
    <t>能强电子1</t>
  </si>
  <si>
    <t>厦门能强电子有限公司</t>
  </si>
  <si>
    <t>http://www.hpe-power.com</t>
  </si>
  <si>
    <t>豪佳汇餐饮</t>
  </si>
  <si>
    <t>漳州市豪佳汇餐饮有限公司</t>
  </si>
  <si>
    <t>http://zzhjhcy.com/</t>
  </si>
  <si>
    <t>通流苗木</t>
  </si>
  <si>
    <t>南靖县通流苗木经营部</t>
  </si>
  <si>
    <t>洪少娟律师</t>
  </si>
  <si>
    <t>洪少娟</t>
  </si>
  <si>
    <t>脉拓科技</t>
  </si>
  <si>
    <t>http://www.fjmtkj.com/</t>
  </si>
  <si>
    <t>漳州力贝</t>
  </si>
  <si>
    <t>漳州力贝机械有限公司</t>
  </si>
  <si>
    <t>http://www.zzlbjx.cn</t>
  </si>
  <si>
    <t>漳浦海宏石英砂</t>
  </si>
  <si>
    <t>漳浦海宏石英砂有限公司</t>
  </si>
  <si>
    <t>http://www.fwqsys.com/</t>
  </si>
  <si>
    <t>厦门金菲仕</t>
  </si>
  <si>
    <t>厦门金菲仕能源科技有限公司</t>
  </si>
  <si>
    <t>迪庆商贸</t>
  </si>
  <si>
    <t>厦门市迪庆商贸有限公司</t>
  </si>
  <si>
    <t>http://college.pose1998.com</t>
  </si>
  <si>
    <t>福建闽庆1</t>
  </si>
  <si>
    <t>恒盛蜜柚</t>
  </si>
  <si>
    <t>漳州市恒盛农业有限公司</t>
  </si>
  <si>
    <t>http://zzhsny.com</t>
  </si>
  <si>
    <t>国兰花卉</t>
  </si>
  <si>
    <t>漳浦国兰花卉有限公司</t>
  </si>
  <si>
    <t>http://www.fjglhh.com</t>
  </si>
  <si>
    <t>庭祥制品</t>
  </si>
  <si>
    <t>漳州市龙文区庭祥金属制品厂</t>
  </si>
  <si>
    <t>http://www.zztxjszp.com</t>
  </si>
  <si>
    <t>厦门聚顶</t>
  </si>
  <si>
    <t>厦门德电</t>
  </si>
  <si>
    <t>厦门德电股份有限公司</t>
  </si>
  <si>
    <t>http://www.xmded.com</t>
  </si>
  <si>
    <t>弓厶成乐器</t>
  </si>
  <si>
    <t>漳州市弓厶成乐器有限公司</t>
  </si>
  <si>
    <t>http://www.hongchengpiano.com/</t>
  </si>
  <si>
    <t>国鑫砂业</t>
  </si>
  <si>
    <t>漳浦县国鑫石英砂有限公司</t>
  </si>
  <si>
    <t>http://www.gxsys.cn/</t>
  </si>
  <si>
    <t>飒飒皮革</t>
  </si>
  <si>
    <t>福建飒飒皮革修复服务有限公司</t>
  </si>
  <si>
    <t>朝春环保科技</t>
  </si>
  <si>
    <t>漳州市朝春环保科技有限公司</t>
  </si>
  <si>
    <t>http://www.zzcchbkj.com/</t>
  </si>
  <si>
    <t>山高农产</t>
  </si>
  <si>
    <t>漳州山高农产有限公司</t>
  </si>
  <si>
    <t>http://www.fujianzhusun.cn</t>
  </si>
  <si>
    <t>时间支配</t>
  </si>
  <si>
    <t>厦门时间支配科技有限公司</t>
  </si>
  <si>
    <t>https://didadog.com/</t>
  </si>
  <si>
    <t>泉州天利</t>
  </si>
  <si>
    <t>泉州天利磨具有限公司</t>
  </si>
  <si>
    <t>http://tianli-china.net</t>
  </si>
  <si>
    <t>招商加盟-八八九</t>
  </si>
  <si>
    <t>泉州市八八九网络科技有限公司</t>
  </si>
  <si>
    <t>达菲机械2</t>
  </si>
  <si>
    <t>漳州达菲机械有限公司</t>
  </si>
  <si>
    <t>http://www.fjdafei.com/</t>
  </si>
  <si>
    <t>宏杨酒业</t>
  </si>
  <si>
    <t>漳州宏杨酒业有限公司</t>
  </si>
  <si>
    <t>http://www.zz-hyymj.com</t>
  </si>
  <si>
    <t>九正商贸</t>
  </si>
  <si>
    <t>漳州九正商贸有限公司</t>
  </si>
  <si>
    <t>http://www.zzztq.cn/</t>
  </si>
  <si>
    <t>九锋</t>
  </si>
  <si>
    <t>龙岩九锋贸易有限公司</t>
  </si>
  <si>
    <t>http://ab.mzdfxys.com/</t>
  </si>
  <si>
    <t>炳坤木制</t>
  </si>
  <si>
    <t>晋江市磁灶镇炳坤木制品加工厂</t>
  </si>
  <si>
    <t>http://www.qzbkmzp.com</t>
  </si>
  <si>
    <t>金穗子</t>
  </si>
  <si>
    <t>厦门金穗子财务管理集团有限公司</t>
  </si>
  <si>
    <t>鑫福石材销售</t>
  </si>
  <si>
    <t>长泰县鑫福石材销售有限公司</t>
  </si>
  <si>
    <t>聚力宏泰</t>
  </si>
  <si>
    <t>漳州聚力宏泰汽车销售服务有限公司</t>
  </si>
  <si>
    <t>http://www.zzluxgen.com</t>
  </si>
  <si>
    <t>南靖土楼</t>
  </si>
  <si>
    <t>南靖土楼宾馆</t>
  </si>
  <si>
    <t>http://www.cntulou.com/</t>
  </si>
  <si>
    <t>百佳源</t>
  </si>
  <si>
    <t>漳浦县长桥镇百佳源园艺场</t>
  </si>
  <si>
    <t>鑫宜庭酒店</t>
  </si>
  <si>
    <t>漳浦县绥安鑫宜庭商务酒店</t>
  </si>
  <si>
    <t>http://www.zpythotel.com</t>
  </si>
  <si>
    <t>泉州易尔通1</t>
  </si>
  <si>
    <t>泉州易尔通网络科技有限公司</t>
  </si>
  <si>
    <t>三宝蜜柚</t>
  </si>
  <si>
    <t>http://www.3baomiyou.com</t>
  </si>
  <si>
    <t>哈德</t>
  </si>
  <si>
    <t>漳州市哈德防水防腐技术开发有限公司</t>
  </si>
  <si>
    <t>http://www.heart-hd.com</t>
  </si>
  <si>
    <t>漳州盛鑫</t>
  </si>
  <si>
    <t>http://www.zzshengxin.cn/</t>
  </si>
  <si>
    <t>宜益</t>
  </si>
  <si>
    <t>漳浦宜益农业机械有限公司</t>
  </si>
  <si>
    <t>http://www.ietw.com.cn</t>
  </si>
  <si>
    <t>鼎兴佳活动房</t>
  </si>
  <si>
    <t>漳州市鼎兴佳活动房有限公司</t>
  </si>
  <si>
    <t>泉州嘉富</t>
  </si>
  <si>
    <t>泉州市嘉富供应链有限公司</t>
  </si>
  <si>
    <t>多元汽车销售</t>
  </si>
  <si>
    <t>漳州市多元汽车销售有限公司</t>
  </si>
  <si>
    <t>http://duoyuancar.com</t>
  </si>
  <si>
    <t>顺兴蜜柚</t>
  </si>
  <si>
    <t>平和县顺兴三红蜜柚果苗场</t>
  </si>
  <si>
    <t>http://sxshmiyou.com/</t>
  </si>
  <si>
    <t>正祁茶业1</t>
  </si>
  <si>
    <t>http://www.chazhimiao01.com</t>
  </si>
  <si>
    <t>中泽园艺场</t>
  </si>
  <si>
    <t>漳浦县中泽园艺场</t>
  </si>
  <si>
    <t>http://www.zzsanjiaomei.cn</t>
  </si>
  <si>
    <t>中讯起重3</t>
  </si>
  <si>
    <t>晋江市中讯起重设备有限公司</t>
  </si>
  <si>
    <t>比泽尔</t>
  </si>
  <si>
    <t>漳州比泽尔制冷设备有限公司</t>
  </si>
  <si>
    <t>http://www.zzbze.com</t>
  </si>
  <si>
    <t>喧越文化</t>
  </si>
  <si>
    <t>石狮市喧越文化传媒有限公司</t>
  </si>
  <si>
    <t>厦门欣锐</t>
  </si>
  <si>
    <t>厦门欣锐仪器仪表有限公司</t>
  </si>
  <si>
    <t>https://fj059217.1688.com/</t>
  </si>
  <si>
    <t>富红兴苗木</t>
  </si>
  <si>
    <t>神州畅行</t>
  </si>
  <si>
    <t>神州畅行(福建)汽车服务有限公司漳州分公司</t>
  </si>
  <si>
    <t>http://zz.xzwsk.com</t>
  </si>
  <si>
    <t>招商加盟-长兴化工</t>
  </si>
  <si>
    <t>化建防水</t>
  </si>
  <si>
    <t>漳州市龙文区化建防水材料经营部</t>
  </si>
  <si>
    <t>http://www.zzfscl.com</t>
  </si>
  <si>
    <t>晓辉贸易</t>
  </si>
  <si>
    <t>漳州晓辉贸易有限公司</t>
  </si>
  <si>
    <t>http://www.sxjg.com.cn</t>
  </si>
  <si>
    <t>云霄宝楼花果</t>
  </si>
  <si>
    <t>云霄县宝楼花果良种场</t>
  </si>
  <si>
    <t>http://www.yxbaolou.com/</t>
  </si>
  <si>
    <t>三龙园艺场</t>
  </si>
  <si>
    <t>漳浦县三龙园艺场</t>
  </si>
  <si>
    <t>http://www.xiangzhang888.com/</t>
  </si>
  <si>
    <t>和健塑料</t>
  </si>
  <si>
    <t>漳浦和健塑料制品有限公司</t>
  </si>
  <si>
    <t>http://zphjsl.com/</t>
  </si>
  <si>
    <t>部门</t>
  </si>
  <si>
    <t>部别</t>
  </si>
  <si>
    <t>有消费客户数</t>
  </si>
  <si>
    <t>达标客户数</t>
  </si>
  <si>
    <t>完成率</t>
  </si>
  <si>
    <t>有消费客户</t>
  </si>
  <si>
    <t>完成率-截止昨天</t>
  </si>
  <si>
    <t>新开部门
（户均70）</t>
  </si>
  <si>
    <t>朱惠敏</t>
  </si>
  <si>
    <t>新开部</t>
  </si>
  <si>
    <t>泉州部门</t>
  </si>
  <si>
    <t>漳州部门</t>
  </si>
  <si>
    <t>蓝淑敏</t>
  </si>
  <si>
    <t>泉州部门
（户均50）</t>
  </si>
  <si>
    <t>漳州部门
（户均50）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</si>
</sst>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_);[Red]\(#,##0\)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17" borderId="0">
      <alignment vertical="center"/>
    </xf>
    <xf numFmtId="0" fontId="7" fillId="9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0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4" fillId="24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8" borderId="5">
      <alignment vertical="center"/>
    </xf>
    <xf numFmtId="0" fontId="4" fillId="4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0" fillId="8" borderId="5">
      <alignment vertical="center"/>
    </xf>
    <xf numFmtId="0" fontId="6" fillId="0" borderId="4">
      <alignment vertical="center"/>
    </xf>
    <xf numFmtId="0" fontId="11" fillId="0" borderId="9">
      <alignment vertical="center"/>
    </xf>
    <xf numFmtId="0" fontId="4" fillId="3" borderId="0">
      <alignment vertical="center"/>
    </xf>
    <xf numFmtId="0" fontId="16" fillId="0" borderId="12">
      <alignment vertical="center"/>
    </xf>
    <xf numFmtId="0" fontId="4" fillId="28" borderId="0">
      <alignment vertical="center"/>
    </xf>
    <xf numFmtId="0" fontId="9" fillId="13" borderId="7">
      <alignment vertical="center"/>
    </xf>
    <xf numFmtId="0" fontId="8" fillId="13" borderId="6">
      <alignment vertical="center"/>
    </xf>
    <xf numFmtId="0" fontId="13" fillId="23" borderId="10">
      <alignment vertical="center"/>
    </xf>
    <xf numFmtId="0" fontId="0" fillId="27" borderId="0">
      <alignment vertical="center"/>
    </xf>
    <xf numFmtId="0" fontId="4" fillId="26" borderId="0">
      <alignment vertical="center"/>
    </xf>
    <xf numFmtId="0" fontId="10" fillId="0" borderId="8">
      <alignment vertical="center"/>
    </xf>
    <xf numFmtId="0" fontId="15" fillId="0" borderId="11">
      <alignment vertical="center"/>
    </xf>
    <xf numFmtId="0" fontId="14" fillId="25" borderId="0">
      <alignment vertical="center"/>
    </xf>
    <xf numFmtId="0" fontId="19" fillId="32" borderId="0">
      <alignment vertical="center"/>
    </xf>
    <xf numFmtId="0" fontId="0" fillId="16" borderId="0">
      <alignment vertical="center"/>
    </xf>
    <xf numFmtId="0" fontId="4" fillId="15" borderId="0">
      <alignment vertical="center"/>
    </xf>
    <xf numFmtId="0" fontId="0" fillId="22" borderId="0">
      <alignment vertical="center"/>
    </xf>
    <xf numFmtId="0" fontId="0" fillId="20" borderId="0">
      <alignment vertical="center"/>
    </xf>
    <xf numFmtId="0" fontId="0" fillId="19" borderId="0">
      <alignment vertical="center"/>
    </xf>
    <xf numFmtId="0" fontId="0" fillId="31" borderId="0">
      <alignment vertical="center"/>
    </xf>
    <xf numFmtId="0" fontId="4" fillId="30" borderId="0">
      <alignment vertical="center"/>
    </xf>
    <xf numFmtId="0" fontId="4" fillId="18" borderId="0">
      <alignment vertical="center"/>
    </xf>
    <xf numFmtId="0" fontId="0" fillId="12" borderId="0">
      <alignment vertical="center"/>
    </xf>
    <xf numFmtId="0" fontId="0" fillId="11" borderId="0">
      <alignment vertical="center"/>
    </xf>
    <xf numFmtId="0" fontId="4" fillId="21" borderId="0">
      <alignment vertical="center"/>
    </xf>
    <xf numFmtId="0" fontId="0" fillId="7" borderId="0">
      <alignment vertical="center"/>
    </xf>
    <xf numFmtId="0" fontId="4" fillId="2" borderId="0">
      <alignment vertical="center"/>
    </xf>
    <xf numFmtId="0" fontId="4" fillId="29" borderId="0">
      <alignment vertical="center"/>
    </xf>
    <xf numFmtId="0" fontId="0" fillId="14" borderId="0">
      <alignment vertical="center"/>
    </xf>
    <xf numFmtId="0" fontId="4" fillId="6" borderId="0">
      <alignment vertical="center"/>
    </xf>
    <xf numFmtId="0" fontId="0" fillId="0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11" applyNumberFormat="1" applyFont="1" applyBorder="1" applyAlignment="1">
      <alignment horizontal="center" vertical="center"/>
    </xf>
    <xf numFmtId="0" fontId="0" fillId="0" borderId="2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2" fillId="0" borderId="3" xfId="0" applyFont="1" applyBorder="1" applyAlignment="1">
      <alignment horizontal="center" vertical="center"/>
    </xf>
    <xf numFmtId="10" fontId="2" fillId="0" borderId="0" xfId="11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0" fontId="1" fillId="0" borderId="0" xfId="11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8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注释 2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5"/>
  <cols>
    <col min="1" max="1" width="16" style="2" customWidth="1"/>
    <col min="2" max="2" width="11.875" style="2" customWidth="1"/>
    <col min="3" max="3" width="11" style="2" customWidth="1"/>
    <col min="4" max="4" width="13" style="2" customWidth="1"/>
    <col min="5" max="5" width="26.5" style="2" customWidth="1"/>
    <col min="6" max="6" width="12.375" style="12" customWidth="1"/>
    <col min="7" max="9" width="12.375" style="2" customWidth="1"/>
    <col min="10" max="10" width="14.625" style="2" customWidth="1"/>
    <col min="11" max="11" width="12.625" style="2" customWidth="1"/>
    <col min="12" max="12" width="12.625" style="11" customWidth="1"/>
    <col min="13" max="13" width="12.125" style="2" customWidth="1"/>
    <col min="14" max="14" width="12.75" style="2" customWidth="1"/>
    <col min="15" max="19" width="11.75" style="2" customWidth="1"/>
    <col min="20" max="20" width="13.75" style="2" customWidth="1"/>
    <col min="21" max="21" width="11.75" style="2" customWidth="1"/>
    <col min="22" max="22" width="10.75" style="2" customWidth="1"/>
    <col min="23" max="26" width="11.75" style="2" customWidth="1"/>
    <col min="27" max="27" width="11.75" style="13" customWidth="1"/>
    <col min="28" max="40" width="11.75" style="2" customWidth="1"/>
    <col min="41" max="16384" width="9" style="2" customWidth="1"/>
  </cols>
  <sheetData>
    <row r="1" s="1" customForma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15" t="s">
        <v>43</v>
      </c>
      <c r="B2" s="15" t="s">
        <v>44</v>
      </c>
      <c r="C2" s="15" t="s">
        <v>45</v>
      </c>
      <c r="D2" s="15" t="s">
        <v>46</v>
      </c>
      <c r="E2" s="15" t="s">
        <v>47</v>
      </c>
      <c r="F2" s="16">
        <v>42706.611875</v>
      </c>
      <c r="G2" s="15" t="s">
        <v>47</v>
      </c>
      <c r="H2" s="15" t="s">
        <v>48</v>
      </c>
      <c r="I2" s="18">
        <v>0</v>
      </c>
      <c r="J2" s="18">
        <v>0</v>
      </c>
      <c r="K2" s="19">
        <v>0</v>
      </c>
      <c r="L2" s="20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15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15"/>
      <c r="AP2" s="15"/>
      <c r="AQ2" s="15"/>
    </row>
    <row r="3" spans="1:43">
      <c r="A3" s="15" t="s">
        <v>49</v>
      </c>
      <c r="B3" s="15" t="s">
        <v>50</v>
      </c>
      <c r="C3" s="15" t="s">
        <v>51</v>
      </c>
      <c r="D3" s="15" t="s">
        <v>52</v>
      </c>
      <c r="E3" s="15" t="s">
        <v>53</v>
      </c>
      <c r="F3" s="16">
        <v>45112.6480671296</v>
      </c>
      <c r="G3" s="15" t="s">
        <v>53</v>
      </c>
      <c r="H3" s="15" t="s">
        <v>54</v>
      </c>
      <c r="I3" s="18">
        <v>1563.84</v>
      </c>
      <c r="J3" s="18">
        <v>14</v>
      </c>
      <c r="K3" s="19">
        <v>111.702857142857</v>
      </c>
      <c r="L3" s="20">
        <v>2.23405714285714</v>
      </c>
      <c r="M3" s="21">
        <v>142.13</v>
      </c>
      <c r="N3" s="21">
        <v>114.42</v>
      </c>
      <c r="O3" s="21">
        <v>110.51</v>
      </c>
      <c r="P3" s="21">
        <v>100.75</v>
      </c>
      <c r="Q3" s="21">
        <v>115.81</v>
      </c>
      <c r="R3" s="21">
        <v>46.6</v>
      </c>
      <c r="S3" s="21">
        <v>120.37</v>
      </c>
      <c r="T3" s="21">
        <v>142.48</v>
      </c>
      <c r="U3" s="21">
        <v>52.46</v>
      </c>
      <c r="V3" s="21">
        <v>107.26</v>
      </c>
      <c r="W3" s="21">
        <v>106.35</v>
      </c>
      <c r="X3" s="21">
        <v>117.97</v>
      </c>
      <c r="Y3" s="21">
        <v>151.33</v>
      </c>
      <c r="Z3" s="21">
        <v>135.4</v>
      </c>
      <c r="AA3" s="15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15"/>
      <c r="AP3" s="15"/>
      <c r="AQ3" s="15"/>
    </row>
    <row r="4" spans="1:43">
      <c r="A4" s="15" t="s">
        <v>43</v>
      </c>
      <c r="B4" s="15" t="s">
        <v>44</v>
      </c>
      <c r="C4" s="15" t="s">
        <v>45</v>
      </c>
      <c r="D4" s="15" t="s">
        <v>55</v>
      </c>
      <c r="E4" s="15" t="s">
        <v>56</v>
      </c>
      <c r="F4" s="16">
        <v>42122.6750578704</v>
      </c>
      <c r="G4" s="15" t="s">
        <v>56</v>
      </c>
      <c r="H4" s="15" t="s">
        <v>57</v>
      </c>
      <c r="I4" s="18">
        <v>0</v>
      </c>
      <c r="J4" s="18">
        <v>0</v>
      </c>
      <c r="K4" s="19">
        <v>0</v>
      </c>
      <c r="L4" s="20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15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15"/>
      <c r="AP4" s="15"/>
      <c r="AQ4" s="15"/>
    </row>
    <row r="5" spans="1:43">
      <c r="A5" s="15" t="s">
        <v>43</v>
      </c>
      <c r="B5" s="15" t="s">
        <v>44</v>
      </c>
      <c r="C5" s="15" t="s">
        <v>45</v>
      </c>
      <c r="D5" s="15" t="s">
        <v>58</v>
      </c>
      <c r="E5" s="15" t="s">
        <v>59</v>
      </c>
      <c r="F5" s="16">
        <v>41400.4841666667</v>
      </c>
      <c r="G5" s="15" t="s">
        <v>59</v>
      </c>
      <c r="H5" s="15" t="s">
        <v>60</v>
      </c>
      <c r="I5" s="18">
        <v>0</v>
      </c>
      <c r="J5" s="18">
        <v>0</v>
      </c>
      <c r="K5" s="19">
        <v>0</v>
      </c>
      <c r="L5" s="20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15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15"/>
      <c r="AP5" s="15"/>
      <c r="AQ5" s="15"/>
    </row>
    <row r="6" spans="1:43">
      <c r="A6" s="15" t="s">
        <v>49</v>
      </c>
      <c r="B6" s="15" t="s">
        <v>50</v>
      </c>
      <c r="C6" s="15" t="s">
        <v>61</v>
      </c>
      <c r="D6" s="15" t="s">
        <v>62</v>
      </c>
      <c r="E6" s="15" t="s">
        <v>63</v>
      </c>
      <c r="F6" s="16">
        <v>0</v>
      </c>
      <c r="G6" s="15" t="s">
        <v>63</v>
      </c>
      <c r="H6" s="15" t="s">
        <v>54</v>
      </c>
      <c r="I6" s="18">
        <v>0</v>
      </c>
      <c r="J6" s="18">
        <v>0</v>
      </c>
      <c r="K6" s="19">
        <v>0</v>
      </c>
      <c r="L6" s="20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15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15"/>
      <c r="AP6" s="15"/>
      <c r="AQ6" s="15"/>
    </row>
    <row r="7" spans="1:43">
      <c r="A7" s="15" t="s">
        <v>64</v>
      </c>
      <c r="B7" s="15" t="s">
        <v>65</v>
      </c>
      <c r="C7" s="15" t="s">
        <v>66</v>
      </c>
      <c r="D7" s="15" t="s">
        <v>67</v>
      </c>
      <c r="E7" s="15" t="s">
        <v>68</v>
      </c>
      <c r="F7" s="16">
        <v>45140.3989930555</v>
      </c>
      <c r="G7" s="15" t="s">
        <v>68</v>
      </c>
      <c r="H7" s="15" t="s">
        <v>69</v>
      </c>
      <c r="I7" s="18">
        <v>1146.96</v>
      </c>
      <c r="J7" s="18">
        <v>9</v>
      </c>
      <c r="K7" s="19">
        <v>127.44</v>
      </c>
      <c r="L7" s="20">
        <v>1.82057142857143</v>
      </c>
      <c r="M7" s="21">
        <v>0</v>
      </c>
      <c r="N7" s="21">
        <v>0</v>
      </c>
      <c r="O7" s="21">
        <v>0</v>
      </c>
      <c r="P7" s="21">
        <v>178.33</v>
      </c>
      <c r="Q7" s="21">
        <v>0</v>
      </c>
      <c r="R7" s="21">
        <v>0</v>
      </c>
      <c r="S7" s="21">
        <v>37.42</v>
      </c>
      <c r="T7" s="21">
        <v>75.31</v>
      </c>
      <c r="U7" s="21">
        <v>115</v>
      </c>
      <c r="V7" s="21">
        <v>137.24</v>
      </c>
      <c r="W7" s="21">
        <v>67.87</v>
      </c>
      <c r="X7" s="21">
        <v>129.25</v>
      </c>
      <c r="Y7" s="21">
        <v>78.5</v>
      </c>
      <c r="Z7" s="21">
        <v>328.04</v>
      </c>
      <c r="AA7" s="15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15"/>
      <c r="AP7" s="15"/>
      <c r="AQ7" s="15"/>
    </row>
    <row r="8" spans="1:43">
      <c r="A8" s="15" t="s">
        <v>49</v>
      </c>
      <c r="B8" s="15" t="s">
        <v>50</v>
      </c>
      <c r="C8" s="15" t="s">
        <v>61</v>
      </c>
      <c r="D8" s="15" t="s">
        <v>70</v>
      </c>
      <c r="E8" s="15" t="s">
        <v>71</v>
      </c>
      <c r="F8" s="16">
        <v>0</v>
      </c>
      <c r="G8" s="15" t="s">
        <v>71</v>
      </c>
      <c r="H8" s="15" t="s">
        <v>72</v>
      </c>
      <c r="I8" s="18">
        <v>0</v>
      </c>
      <c r="J8" s="18">
        <v>0</v>
      </c>
      <c r="K8" s="19">
        <v>0</v>
      </c>
      <c r="L8" s="20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15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15"/>
      <c r="AP8" s="15"/>
      <c r="AQ8" s="15"/>
    </row>
    <row r="9" spans="1:43">
      <c r="A9" s="15" t="s">
        <v>43</v>
      </c>
      <c r="B9" s="15" t="s">
        <v>44</v>
      </c>
      <c r="C9" s="15" t="s">
        <v>45</v>
      </c>
      <c r="D9" s="15" t="s">
        <v>73</v>
      </c>
      <c r="E9" s="15" t="s">
        <v>74</v>
      </c>
      <c r="F9" s="16">
        <v>44694.6908449074</v>
      </c>
      <c r="G9" s="15" t="s">
        <v>74</v>
      </c>
      <c r="H9" s="15" t="s">
        <v>54</v>
      </c>
      <c r="I9" s="18">
        <v>0</v>
      </c>
      <c r="J9" s="18">
        <v>0</v>
      </c>
      <c r="K9" s="19">
        <v>0</v>
      </c>
      <c r="L9" s="20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15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15"/>
      <c r="AP9" s="15"/>
      <c r="AQ9" s="15"/>
    </row>
    <row r="10" spans="1:43">
      <c r="A10" s="15" t="s">
        <v>49</v>
      </c>
      <c r="B10" s="15" t="s">
        <v>50</v>
      </c>
      <c r="C10" s="15" t="s">
        <v>75</v>
      </c>
      <c r="D10" s="15" t="s">
        <v>76</v>
      </c>
      <c r="E10" s="15" t="s">
        <v>77</v>
      </c>
      <c r="F10" s="16">
        <v>44855.5945486111</v>
      </c>
      <c r="G10" s="15" t="s">
        <v>77</v>
      </c>
      <c r="H10" s="15" t="s">
        <v>54</v>
      </c>
      <c r="I10" s="18">
        <v>0</v>
      </c>
      <c r="J10" s="18">
        <v>0</v>
      </c>
      <c r="K10" s="19">
        <v>0</v>
      </c>
      <c r="L10" s="20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15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15"/>
      <c r="AP10" s="15"/>
      <c r="AQ10" s="15"/>
    </row>
    <row r="11" spans="1:43">
      <c r="A11" s="15" t="s">
        <v>64</v>
      </c>
      <c r="B11" s="15" t="s">
        <v>65</v>
      </c>
      <c r="C11" s="15" t="s">
        <v>78</v>
      </c>
      <c r="D11" s="15" t="s">
        <v>79</v>
      </c>
      <c r="E11" s="15" t="s">
        <v>80</v>
      </c>
      <c r="F11" s="16">
        <v>45076.4407986111</v>
      </c>
      <c r="G11" s="15" t="s">
        <v>80</v>
      </c>
      <c r="H11" s="15" t="s">
        <v>81</v>
      </c>
      <c r="I11" s="18">
        <v>963.74</v>
      </c>
      <c r="J11" s="18">
        <v>14</v>
      </c>
      <c r="K11" s="19">
        <v>68.8385714285714</v>
      </c>
      <c r="L11" s="20">
        <v>0.983408163265306</v>
      </c>
      <c r="M11" s="21">
        <v>82.51</v>
      </c>
      <c r="N11" s="21">
        <v>61.21</v>
      </c>
      <c r="O11" s="21">
        <v>100.06</v>
      </c>
      <c r="P11" s="21">
        <v>101.66</v>
      </c>
      <c r="Q11" s="21">
        <v>81.74</v>
      </c>
      <c r="R11" s="21">
        <v>76.64</v>
      </c>
      <c r="S11" s="21">
        <v>79.34</v>
      </c>
      <c r="T11" s="21">
        <v>100.59</v>
      </c>
      <c r="U11" s="21">
        <v>45.87</v>
      </c>
      <c r="V11" s="21">
        <v>87.26</v>
      </c>
      <c r="W11" s="21">
        <v>52.82</v>
      </c>
      <c r="X11" s="21">
        <v>11.52</v>
      </c>
      <c r="Y11" s="21">
        <v>25.73</v>
      </c>
      <c r="Z11" s="21">
        <v>56.79</v>
      </c>
      <c r="AA11" s="15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15"/>
      <c r="AP11" s="15"/>
      <c r="AQ11" s="15"/>
    </row>
    <row r="12" spans="1:43">
      <c r="A12" s="15" t="s">
        <v>49</v>
      </c>
      <c r="B12" s="15" t="s">
        <v>50</v>
      </c>
      <c r="C12" s="15" t="s">
        <v>61</v>
      </c>
      <c r="D12" s="15" t="s">
        <v>82</v>
      </c>
      <c r="E12" s="15" t="s">
        <v>83</v>
      </c>
      <c r="F12" s="16">
        <v>0</v>
      </c>
      <c r="G12" s="15" t="s">
        <v>83</v>
      </c>
      <c r="H12" s="15" t="s">
        <v>84</v>
      </c>
      <c r="I12" s="18">
        <v>0</v>
      </c>
      <c r="J12" s="18">
        <v>0</v>
      </c>
      <c r="K12" s="19">
        <v>0</v>
      </c>
      <c r="L12" s="20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15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15"/>
      <c r="AP12" s="15"/>
      <c r="AQ12" s="15"/>
    </row>
    <row r="13" spans="1:43">
      <c r="A13" s="15" t="s">
        <v>49</v>
      </c>
      <c r="B13" s="15" t="s">
        <v>50</v>
      </c>
      <c r="C13" s="15" t="s">
        <v>61</v>
      </c>
      <c r="D13" s="15" t="s">
        <v>85</v>
      </c>
      <c r="E13" s="15" t="s">
        <v>86</v>
      </c>
      <c r="F13" s="16">
        <v>0</v>
      </c>
      <c r="G13" s="15" t="s">
        <v>86</v>
      </c>
      <c r="H13" s="15" t="s">
        <v>54</v>
      </c>
      <c r="I13" s="18">
        <v>0</v>
      </c>
      <c r="J13" s="18">
        <v>0</v>
      </c>
      <c r="K13" s="19">
        <v>0</v>
      </c>
      <c r="L13" s="20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15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15"/>
      <c r="AP13" s="15"/>
      <c r="AQ13" s="15"/>
    </row>
    <row r="14" spans="1:43">
      <c r="A14" s="15" t="s">
        <v>43</v>
      </c>
      <c r="B14" s="15" t="s">
        <v>44</v>
      </c>
      <c r="C14" s="15" t="s">
        <v>45</v>
      </c>
      <c r="D14" s="15" t="s">
        <v>87</v>
      </c>
      <c r="E14" s="15" t="s">
        <v>88</v>
      </c>
      <c r="F14" s="16">
        <v>43236.5953125</v>
      </c>
      <c r="G14" s="15" t="s">
        <v>88</v>
      </c>
      <c r="H14" s="15" t="s">
        <v>89</v>
      </c>
      <c r="I14" s="18">
        <v>0</v>
      </c>
      <c r="J14" s="18">
        <v>0</v>
      </c>
      <c r="K14" s="19">
        <v>0</v>
      </c>
      <c r="L14" s="20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15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15"/>
      <c r="AP14" s="15"/>
      <c r="AQ14" s="15"/>
    </row>
    <row r="15" spans="1:43">
      <c r="A15" s="15" t="s">
        <v>43</v>
      </c>
      <c r="B15" s="15" t="s">
        <v>44</v>
      </c>
      <c r="C15" s="15" t="s">
        <v>45</v>
      </c>
      <c r="D15" s="15" t="s">
        <v>90</v>
      </c>
      <c r="E15" s="15" t="s">
        <v>91</v>
      </c>
      <c r="F15" s="16">
        <v>42271.6120023148</v>
      </c>
      <c r="G15" s="15" t="s">
        <v>91</v>
      </c>
      <c r="H15" s="15" t="s">
        <v>92</v>
      </c>
      <c r="I15" s="18">
        <v>0</v>
      </c>
      <c r="J15" s="18">
        <v>0</v>
      </c>
      <c r="K15" s="19">
        <v>0</v>
      </c>
      <c r="L15" s="20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15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15"/>
      <c r="AP15" s="15"/>
      <c r="AQ15" s="15"/>
    </row>
    <row r="16" spans="1:43">
      <c r="A16" s="15" t="s">
        <v>64</v>
      </c>
      <c r="B16" s="15" t="s">
        <v>65</v>
      </c>
      <c r="C16" s="15" t="s">
        <v>93</v>
      </c>
      <c r="D16" s="15" t="s">
        <v>94</v>
      </c>
      <c r="E16" s="15" t="s">
        <v>95</v>
      </c>
      <c r="F16" s="16">
        <v>44994.4679513889</v>
      </c>
      <c r="G16" s="15" t="s">
        <v>95</v>
      </c>
      <c r="H16" s="15" t="s">
        <v>54</v>
      </c>
      <c r="I16" s="18">
        <v>959.01</v>
      </c>
      <c r="J16" s="18">
        <v>14</v>
      </c>
      <c r="K16" s="19">
        <v>68.5007142857143</v>
      </c>
      <c r="L16" s="20">
        <v>0.978581632653061</v>
      </c>
      <c r="M16" s="21">
        <v>110.97</v>
      </c>
      <c r="N16" s="21">
        <v>80.24</v>
      </c>
      <c r="O16" s="21">
        <v>33.06</v>
      </c>
      <c r="P16" s="21">
        <v>61.08</v>
      </c>
      <c r="Q16" s="21">
        <v>107.79</v>
      </c>
      <c r="R16" s="21">
        <v>66.48</v>
      </c>
      <c r="S16" s="21">
        <v>41.41</v>
      </c>
      <c r="T16" s="21">
        <v>80.47</v>
      </c>
      <c r="U16" s="21">
        <v>106.5</v>
      </c>
      <c r="V16" s="21">
        <v>43.87</v>
      </c>
      <c r="W16" s="21">
        <v>9.61</v>
      </c>
      <c r="X16" s="21">
        <v>30.29</v>
      </c>
      <c r="Y16" s="21">
        <v>79.1</v>
      </c>
      <c r="Z16" s="21">
        <v>108.14</v>
      </c>
      <c r="AA16" s="15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15"/>
      <c r="AP16" s="15"/>
      <c r="AQ16" s="15"/>
    </row>
    <row r="17" spans="1:43">
      <c r="A17" s="15" t="s">
        <v>49</v>
      </c>
      <c r="B17" s="15" t="s">
        <v>50</v>
      </c>
      <c r="C17" s="15" t="s">
        <v>61</v>
      </c>
      <c r="D17" s="15" t="s">
        <v>96</v>
      </c>
      <c r="E17" s="15" t="s">
        <v>97</v>
      </c>
      <c r="F17" s="16">
        <v>0</v>
      </c>
      <c r="G17" s="15" t="s">
        <v>97</v>
      </c>
      <c r="H17" s="15" t="s">
        <v>98</v>
      </c>
      <c r="I17" s="18">
        <v>0</v>
      </c>
      <c r="J17" s="18">
        <v>0</v>
      </c>
      <c r="K17" s="19">
        <v>0</v>
      </c>
      <c r="L17" s="20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15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15"/>
      <c r="AP17" s="15"/>
      <c r="AQ17" s="15"/>
    </row>
    <row r="18" spans="1:43">
      <c r="A18" s="15" t="s">
        <v>43</v>
      </c>
      <c r="B18" s="15" t="s">
        <v>44</v>
      </c>
      <c r="C18" s="15" t="s">
        <v>45</v>
      </c>
      <c r="D18" s="15" t="s">
        <v>99</v>
      </c>
      <c r="E18" s="15" t="s">
        <v>100</v>
      </c>
      <c r="F18" s="16">
        <v>43326.4402662037</v>
      </c>
      <c r="G18" s="15" t="s">
        <v>100</v>
      </c>
      <c r="H18" s="15" t="s">
        <v>101</v>
      </c>
      <c r="I18" s="18">
        <v>0</v>
      </c>
      <c r="J18" s="18">
        <v>0</v>
      </c>
      <c r="K18" s="19">
        <v>0</v>
      </c>
      <c r="L18" s="20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15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15"/>
      <c r="AP18" s="15"/>
      <c r="AQ18" s="15"/>
    </row>
    <row r="19" spans="1:43">
      <c r="A19" s="15" t="s">
        <v>43</v>
      </c>
      <c r="B19" s="15" t="s">
        <v>44</v>
      </c>
      <c r="C19" s="15" t="s">
        <v>45</v>
      </c>
      <c r="D19" s="15" t="s">
        <v>102</v>
      </c>
      <c r="E19" s="15" t="s">
        <v>103</v>
      </c>
      <c r="F19" s="16">
        <v>40590.7246412037</v>
      </c>
      <c r="G19" s="15" t="s">
        <v>103</v>
      </c>
      <c r="H19" s="15" t="s">
        <v>104</v>
      </c>
      <c r="I19" s="18">
        <v>0</v>
      </c>
      <c r="J19" s="18">
        <v>0</v>
      </c>
      <c r="K19" s="19">
        <v>0</v>
      </c>
      <c r="L19" s="20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15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15"/>
      <c r="AP19" s="15"/>
      <c r="AQ19" s="15"/>
    </row>
    <row r="20" spans="1:43">
      <c r="A20" s="15" t="s">
        <v>49</v>
      </c>
      <c r="B20" s="15" t="s">
        <v>50</v>
      </c>
      <c r="C20" s="15" t="s">
        <v>61</v>
      </c>
      <c r="D20" s="15" t="s">
        <v>105</v>
      </c>
      <c r="E20" s="15" t="s">
        <v>106</v>
      </c>
      <c r="F20" s="16">
        <v>0</v>
      </c>
      <c r="G20" s="15" t="s">
        <v>106</v>
      </c>
      <c r="H20" s="15" t="s">
        <v>107</v>
      </c>
      <c r="I20" s="18">
        <v>0</v>
      </c>
      <c r="J20" s="18">
        <v>0</v>
      </c>
      <c r="K20" s="19">
        <v>0</v>
      </c>
      <c r="L20" s="20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15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15"/>
      <c r="AP20" s="15"/>
      <c r="AQ20" s="15"/>
    </row>
    <row r="21" spans="1:43">
      <c r="A21" s="15" t="s">
        <v>43</v>
      </c>
      <c r="B21" s="15" t="s">
        <v>44</v>
      </c>
      <c r="C21" s="15" t="s">
        <v>45</v>
      </c>
      <c r="D21" s="15" t="s">
        <v>108</v>
      </c>
      <c r="E21" s="15" t="s">
        <v>109</v>
      </c>
      <c r="F21" s="16">
        <v>39633.7034259259</v>
      </c>
      <c r="G21" s="15" t="s">
        <v>109</v>
      </c>
      <c r="H21" s="15" t="s">
        <v>110</v>
      </c>
      <c r="I21" s="18">
        <v>0</v>
      </c>
      <c r="J21" s="18">
        <v>0</v>
      </c>
      <c r="K21" s="19">
        <v>0</v>
      </c>
      <c r="L21" s="20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15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15"/>
      <c r="AP21" s="15"/>
      <c r="AQ21" s="15"/>
    </row>
    <row r="22" spans="1:43">
      <c r="A22" s="15" t="s">
        <v>49</v>
      </c>
      <c r="B22" s="15" t="s">
        <v>50</v>
      </c>
      <c r="C22" s="15" t="s">
        <v>61</v>
      </c>
      <c r="D22" s="15" t="s">
        <v>111</v>
      </c>
      <c r="E22" s="15" t="s">
        <v>112</v>
      </c>
      <c r="F22" s="16">
        <v>0</v>
      </c>
      <c r="G22" s="15" t="s">
        <v>112</v>
      </c>
      <c r="H22" s="15" t="s">
        <v>113</v>
      </c>
      <c r="I22" s="18">
        <v>0</v>
      </c>
      <c r="J22" s="18">
        <v>0</v>
      </c>
      <c r="K22" s="19">
        <v>0</v>
      </c>
      <c r="L22" s="20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15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15"/>
      <c r="AP22" s="15"/>
      <c r="AQ22" s="15"/>
    </row>
    <row r="23" spans="1:43">
      <c r="A23" s="15" t="s">
        <v>49</v>
      </c>
      <c r="B23" s="15" t="s">
        <v>50</v>
      </c>
      <c r="C23" s="15" t="s">
        <v>61</v>
      </c>
      <c r="D23" s="15" t="s">
        <v>114</v>
      </c>
      <c r="E23" s="15" t="s">
        <v>115</v>
      </c>
      <c r="F23" s="16">
        <v>0</v>
      </c>
      <c r="G23" s="15" t="s">
        <v>115</v>
      </c>
      <c r="H23" s="15" t="s">
        <v>54</v>
      </c>
      <c r="I23" s="18">
        <v>0</v>
      </c>
      <c r="J23" s="18">
        <v>0</v>
      </c>
      <c r="K23" s="19">
        <v>0</v>
      </c>
      <c r="L23" s="20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15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15"/>
      <c r="AP23" s="15"/>
      <c r="AQ23" s="15"/>
    </row>
    <row r="24" spans="1:43">
      <c r="A24" s="15" t="s">
        <v>49</v>
      </c>
      <c r="B24" s="15" t="s">
        <v>50</v>
      </c>
      <c r="C24" s="15" t="s">
        <v>61</v>
      </c>
      <c r="D24" s="15" t="s">
        <v>116</v>
      </c>
      <c r="E24" s="15" t="s">
        <v>117</v>
      </c>
      <c r="F24" s="16">
        <v>0</v>
      </c>
      <c r="G24" s="15" t="s">
        <v>117</v>
      </c>
      <c r="H24" s="15" t="s">
        <v>54</v>
      </c>
      <c r="I24" s="18">
        <v>0</v>
      </c>
      <c r="J24" s="18">
        <v>0</v>
      </c>
      <c r="K24" s="19">
        <v>0</v>
      </c>
      <c r="L24" s="20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15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15"/>
      <c r="AP24" s="15"/>
      <c r="AQ24" s="15"/>
    </row>
    <row r="25" spans="1:43">
      <c r="A25" s="15" t="s">
        <v>64</v>
      </c>
      <c r="B25" s="15" t="s">
        <v>118</v>
      </c>
      <c r="C25" s="15" t="s">
        <v>119</v>
      </c>
      <c r="D25" s="15" t="s">
        <v>120</v>
      </c>
      <c r="E25" s="15" t="s">
        <v>121</v>
      </c>
      <c r="F25" s="16">
        <v>45149.483599537</v>
      </c>
      <c r="G25" s="15" t="s">
        <v>121</v>
      </c>
      <c r="H25" s="15" t="s">
        <v>54</v>
      </c>
      <c r="I25" s="18">
        <v>0</v>
      </c>
      <c r="J25" s="18">
        <v>0</v>
      </c>
      <c r="K25" s="19">
        <v>0</v>
      </c>
      <c r="L25" s="20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15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15"/>
      <c r="AP25" s="15"/>
      <c r="AQ25" s="15"/>
    </row>
    <row r="26" spans="1:43">
      <c r="A26" s="15" t="s">
        <v>49</v>
      </c>
      <c r="B26" s="15" t="s">
        <v>50</v>
      </c>
      <c r="C26" s="15" t="s">
        <v>61</v>
      </c>
      <c r="D26" s="15" t="s">
        <v>122</v>
      </c>
      <c r="E26" s="15" t="s">
        <v>123</v>
      </c>
      <c r="F26" s="16">
        <v>0</v>
      </c>
      <c r="G26" s="15" t="s">
        <v>123</v>
      </c>
      <c r="H26" s="15" t="s">
        <v>124</v>
      </c>
      <c r="I26" s="18">
        <v>0</v>
      </c>
      <c r="J26" s="18">
        <v>0</v>
      </c>
      <c r="K26" s="19">
        <v>0</v>
      </c>
      <c r="L26" s="20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15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15"/>
      <c r="AP26" s="15"/>
      <c r="AQ26" s="15"/>
    </row>
    <row r="27" spans="1:43">
      <c r="A27" s="15" t="s">
        <v>43</v>
      </c>
      <c r="B27" s="15" t="s">
        <v>44</v>
      </c>
      <c r="C27" s="15" t="s">
        <v>45</v>
      </c>
      <c r="D27" s="15" t="s">
        <v>125</v>
      </c>
      <c r="E27" s="15" t="s">
        <v>126</v>
      </c>
      <c r="F27" s="16">
        <v>41772.6916203704</v>
      </c>
      <c r="G27" s="15" t="s">
        <v>126</v>
      </c>
      <c r="H27" s="15" t="s">
        <v>127</v>
      </c>
      <c r="I27" s="18">
        <v>0</v>
      </c>
      <c r="J27" s="18">
        <v>0</v>
      </c>
      <c r="K27" s="19">
        <v>0</v>
      </c>
      <c r="L27" s="20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15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15"/>
      <c r="AP27" s="15"/>
      <c r="AQ27" s="15"/>
    </row>
    <row r="28" spans="1:43">
      <c r="A28" s="15" t="s">
        <v>43</v>
      </c>
      <c r="B28" s="15" t="s">
        <v>44</v>
      </c>
      <c r="C28" s="15" t="s">
        <v>45</v>
      </c>
      <c r="D28" s="15" t="s">
        <v>128</v>
      </c>
      <c r="E28" s="15" t="s">
        <v>129</v>
      </c>
      <c r="F28" s="16">
        <v>43616.4015740741</v>
      </c>
      <c r="G28" s="15" t="s">
        <v>129</v>
      </c>
      <c r="H28" s="15" t="s">
        <v>130</v>
      </c>
      <c r="I28" s="18">
        <v>0</v>
      </c>
      <c r="J28" s="18">
        <v>0</v>
      </c>
      <c r="K28" s="19">
        <v>0</v>
      </c>
      <c r="L28" s="20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15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15"/>
      <c r="AP28" s="15"/>
      <c r="AQ28" s="15"/>
    </row>
    <row r="29" spans="1:43">
      <c r="A29" s="15" t="s">
        <v>64</v>
      </c>
      <c r="B29" s="15" t="s">
        <v>118</v>
      </c>
      <c r="C29" s="15" t="s">
        <v>131</v>
      </c>
      <c r="D29" s="15" t="s">
        <v>132</v>
      </c>
      <c r="E29" s="15" t="s">
        <v>133</v>
      </c>
      <c r="F29" s="16">
        <v>44742.4318981481</v>
      </c>
      <c r="G29" s="15" t="s">
        <v>133</v>
      </c>
      <c r="H29" s="15" t="s">
        <v>134</v>
      </c>
      <c r="I29" s="18">
        <v>0</v>
      </c>
      <c r="J29" s="18">
        <v>0</v>
      </c>
      <c r="K29" s="19">
        <v>0</v>
      </c>
      <c r="L29" s="20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15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15"/>
      <c r="AP29" s="15"/>
      <c r="AQ29" s="15"/>
    </row>
    <row r="30" spans="1:43">
      <c r="A30" s="15" t="s">
        <v>43</v>
      </c>
      <c r="B30" s="15" t="s">
        <v>44</v>
      </c>
      <c r="C30" s="15" t="s">
        <v>45</v>
      </c>
      <c r="D30" s="15" t="s">
        <v>135</v>
      </c>
      <c r="E30" s="15" t="s">
        <v>136</v>
      </c>
      <c r="F30" s="16">
        <v>40721.7905671296</v>
      </c>
      <c r="G30" s="15" t="s">
        <v>136</v>
      </c>
      <c r="H30" s="15" t="s">
        <v>137</v>
      </c>
      <c r="I30" s="18">
        <v>0</v>
      </c>
      <c r="J30" s="18">
        <v>0</v>
      </c>
      <c r="K30" s="19">
        <v>0</v>
      </c>
      <c r="L30" s="20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15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15"/>
      <c r="AP30" s="15"/>
      <c r="AQ30" s="15"/>
    </row>
    <row r="31" spans="1:43">
      <c r="A31" s="15" t="s">
        <v>64</v>
      </c>
      <c r="B31" s="15" t="s">
        <v>118</v>
      </c>
      <c r="C31" s="15" t="s">
        <v>138</v>
      </c>
      <c r="D31" s="15" t="s">
        <v>139</v>
      </c>
      <c r="E31" s="15" t="s">
        <v>140</v>
      </c>
      <c r="F31" s="16">
        <v>45097.6593402778</v>
      </c>
      <c r="G31" s="15" t="s">
        <v>140</v>
      </c>
      <c r="H31" s="15" t="s">
        <v>54</v>
      </c>
      <c r="I31" s="18">
        <v>933.28</v>
      </c>
      <c r="J31" s="18">
        <v>10</v>
      </c>
      <c r="K31" s="19">
        <v>93.328</v>
      </c>
      <c r="L31" s="20">
        <v>1.33325714285714</v>
      </c>
      <c r="M31" s="21">
        <v>90.17</v>
      </c>
      <c r="N31" s="21">
        <v>59.99</v>
      </c>
      <c r="O31" s="21">
        <v>52.36</v>
      </c>
      <c r="P31" s="21">
        <v>100.29</v>
      </c>
      <c r="Q31" s="21">
        <v>0</v>
      </c>
      <c r="R31" s="21">
        <v>0</v>
      </c>
      <c r="S31" s="21">
        <v>104.96</v>
      </c>
      <c r="T31" s="21">
        <v>100.14</v>
      </c>
      <c r="U31" s="21">
        <v>106.01</v>
      </c>
      <c r="V31" s="21">
        <v>115.26</v>
      </c>
      <c r="W31" s="21">
        <v>103.93</v>
      </c>
      <c r="X31" s="21">
        <v>0</v>
      </c>
      <c r="Y31" s="21">
        <v>0</v>
      </c>
      <c r="Z31" s="21">
        <v>100.17</v>
      </c>
      <c r="AA31" s="15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15"/>
      <c r="AP31" s="15"/>
      <c r="AQ31" s="15"/>
    </row>
    <row r="32" spans="1:43">
      <c r="A32" s="15" t="s">
        <v>43</v>
      </c>
      <c r="B32" s="15" t="s">
        <v>44</v>
      </c>
      <c r="C32" s="15" t="s">
        <v>45</v>
      </c>
      <c r="D32" s="15" t="s">
        <v>141</v>
      </c>
      <c r="E32" s="15" t="s">
        <v>142</v>
      </c>
      <c r="F32" s="16">
        <v>41449.4743518519</v>
      </c>
      <c r="G32" s="15" t="s">
        <v>142</v>
      </c>
      <c r="H32" s="15" t="s">
        <v>143</v>
      </c>
      <c r="I32" s="18">
        <v>0</v>
      </c>
      <c r="J32" s="18">
        <v>0</v>
      </c>
      <c r="K32" s="19">
        <v>0</v>
      </c>
      <c r="L32" s="20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15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15"/>
      <c r="AP32" s="15"/>
      <c r="AQ32" s="15"/>
    </row>
    <row r="33" spans="1:43">
      <c r="A33" s="15" t="s">
        <v>49</v>
      </c>
      <c r="B33" s="15" t="s">
        <v>50</v>
      </c>
      <c r="C33" s="15" t="s">
        <v>61</v>
      </c>
      <c r="D33" s="15" t="s">
        <v>144</v>
      </c>
      <c r="E33" s="15" t="s">
        <v>145</v>
      </c>
      <c r="F33" s="16">
        <v>0</v>
      </c>
      <c r="G33" s="15" t="s">
        <v>145</v>
      </c>
      <c r="H33" s="15" t="s">
        <v>146</v>
      </c>
      <c r="I33" s="18">
        <v>0</v>
      </c>
      <c r="J33" s="18">
        <v>0</v>
      </c>
      <c r="K33" s="19">
        <v>0</v>
      </c>
      <c r="L33" s="20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15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15"/>
      <c r="AP33" s="15"/>
      <c r="AQ33" s="15"/>
    </row>
    <row r="34" spans="1:43">
      <c r="A34" s="15" t="s">
        <v>64</v>
      </c>
      <c r="B34" s="15" t="s">
        <v>65</v>
      </c>
      <c r="C34" s="15" t="s">
        <v>93</v>
      </c>
      <c r="D34" s="15" t="s">
        <v>147</v>
      </c>
      <c r="E34" s="15" t="s">
        <v>148</v>
      </c>
      <c r="F34" s="16">
        <v>45083.5781365741</v>
      </c>
      <c r="G34" s="15" t="s">
        <v>148</v>
      </c>
      <c r="H34" s="15" t="s">
        <v>54</v>
      </c>
      <c r="I34" s="18">
        <v>0</v>
      </c>
      <c r="J34" s="18">
        <v>0</v>
      </c>
      <c r="K34" s="19">
        <v>0</v>
      </c>
      <c r="L34" s="20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15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15"/>
      <c r="AP34" s="15"/>
      <c r="AQ34" s="15"/>
    </row>
    <row r="35" spans="1:43">
      <c r="A35" s="15" t="s">
        <v>43</v>
      </c>
      <c r="B35" s="15" t="s">
        <v>44</v>
      </c>
      <c r="C35" s="15" t="s">
        <v>45</v>
      </c>
      <c r="D35" s="15" t="s">
        <v>149</v>
      </c>
      <c r="E35" s="15" t="s">
        <v>150</v>
      </c>
      <c r="F35" s="16">
        <v>40161.6167013889</v>
      </c>
      <c r="G35" s="15" t="s">
        <v>150</v>
      </c>
      <c r="H35" s="15" t="s">
        <v>151</v>
      </c>
      <c r="I35" s="18">
        <v>0</v>
      </c>
      <c r="J35" s="18">
        <v>0</v>
      </c>
      <c r="K35" s="19">
        <v>0</v>
      </c>
      <c r="L35" s="20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15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15"/>
      <c r="AP35" s="15"/>
      <c r="AQ35" s="15"/>
    </row>
    <row r="36" spans="1:43">
      <c r="A36" s="15" t="s">
        <v>49</v>
      </c>
      <c r="B36" s="15" t="s">
        <v>50</v>
      </c>
      <c r="C36" s="15" t="s">
        <v>61</v>
      </c>
      <c r="D36" s="15" t="s">
        <v>152</v>
      </c>
      <c r="E36" s="15" t="s">
        <v>153</v>
      </c>
      <c r="F36" s="16">
        <v>0</v>
      </c>
      <c r="G36" s="15" t="s">
        <v>153</v>
      </c>
      <c r="H36" s="15" t="s">
        <v>154</v>
      </c>
      <c r="I36" s="18">
        <v>0</v>
      </c>
      <c r="J36" s="18">
        <v>0</v>
      </c>
      <c r="K36" s="19">
        <v>0</v>
      </c>
      <c r="L36" s="20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15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15"/>
      <c r="AP36" s="15"/>
      <c r="AQ36" s="15"/>
    </row>
    <row r="37" spans="1:43">
      <c r="A37" s="15" t="s">
        <v>43</v>
      </c>
      <c r="B37" s="15" t="s">
        <v>44</v>
      </c>
      <c r="C37" s="15" t="s">
        <v>45</v>
      </c>
      <c r="D37" s="15" t="s">
        <v>155</v>
      </c>
      <c r="E37" s="15" t="s">
        <v>156</v>
      </c>
      <c r="F37" s="16">
        <v>40787.4329861111</v>
      </c>
      <c r="G37" s="15" t="s">
        <v>156</v>
      </c>
      <c r="H37" s="15" t="s">
        <v>157</v>
      </c>
      <c r="I37" s="18">
        <v>0</v>
      </c>
      <c r="J37" s="18">
        <v>0</v>
      </c>
      <c r="K37" s="19">
        <v>0</v>
      </c>
      <c r="L37" s="20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15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15"/>
      <c r="AP37" s="15"/>
      <c r="AQ37" s="15"/>
    </row>
    <row r="38" spans="1:43">
      <c r="A38" s="15" t="s">
        <v>49</v>
      </c>
      <c r="B38" s="15" t="s">
        <v>50</v>
      </c>
      <c r="C38" s="15" t="s">
        <v>61</v>
      </c>
      <c r="D38" s="15" t="s">
        <v>158</v>
      </c>
      <c r="E38" s="15" t="s">
        <v>159</v>
      </c>
      <c r="F38" s="16">
        <v>0</v>
      </c>
      <c r="G38" s="15" t="s">
        <v>159</v>
      </c>
      <c r="H38" s="15" t="s">
        <v>160</v>
      </c>
      <c r="I38" s="18">
        <v>0</v>
      </c>
      <c r="J38" s="18">
        <v>0</v>
      </c>
      <c r="K38" s="19">
        <v>0</v>
      </c>
      <c r="L38" s="20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15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15"/>
      <c r="AP38" s="15"/>
      <c r="AQ38" s="15"/>
    </row>
    <row r="39" spans="1:43">
      <c r="A39" s="15" t="s">
        <v>43</v>
      </c>
      <c r="B39" s="15" t="s">
        <v>44</v>
      </c>
      <c r="C39" s="15" t="s">
        <v>45</v>
      </c>
      <c r="D39" s="15" t="s">
        <v>161</v>
      </c>
      <c r="E39" s="15" t="s">
        <v>162</v>
      </c>
      <c r="F39" s="16">
        <v>42793.6840856482</v>
      </c>
      <c r="G39" s="15" t="s">
        <v>162</v>
      </c>
      <c r="H39" s="15" t="s">
        <v>163</v>
      </c>
      <c r="I39" s="18">
        <v>0</v>
      </c>
      <c r="J39" s="18">
        <v>0</v>
      </c>
      <c r="K39" s="19">
        <v>0</v>
      </c>
      <c r="L39" s="20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15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15"/>
      <c r="AP39" s="15"/>
      <c r="AQ39" s="15"/>
    </row>
    <row r="40" spans="1:43">
      <c r="A40" s="15" t="s">
        <v>43</v>
      </c>
      <c r="B40" s="15" t="s">
        <v>44</v>
      </c>
      <c r="C40" s="15" t="s">
        <v>45</v>
      </c>
      <c r="D40" s="15" t="s">
        <v>164</v>
      </c>
      <c r="E40" s="15" t="s">
        <v>165</v>
      </c>
      <c r="F40" s="16">
        <v>42934.3707986111</v>
      </c>
      <c r="G40" s="15" t="s">
        <v>165</v>
      </c>
      <c r="H40" s="15" t="s">
        <v>166</v>
      </c>
      <c r="I40" s="18">
        <v>0</v>
      </c>
      <c r="J40" s="18">
        <v>0</v>
      </c>
      <c r="K40" s="19">
        <v>0</v>
      </c>
      <c r="L40" s="20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15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15"/>
      <c r="AP40" s="15"/>
      <c r="AQ40" s="15"/>
    </row>
    <row r="41" spans="1:43">
      <c r="A41" s="15" t="s">
        <v>43</v>
      </c>
      <c r="B41" s="15" t="s">
        <v>44</v>
      </c>
      <c r="C41" s="15" t="s">
        <v>45</v>
      </c>
      <c r="D41" s="15" t="s">
        <v>167</v>
      </c>
      <c r="E41" s="15" t="s">
        <v>168</v>
      </c>
      <c r="F41" s="16">
        <v>42950.6</v>
      </c>
      <c r="G41" s="15" t="s">
        <v>168</v>
      </c>
      <c r="H41" s="15" t="s">
        <v>169</v>
      </c>
      <c r="I41" s="18">
        <v>0</v>
      </c>
      <c r="J41" s="18">
        <v>0</v>
      </c>
      <c r="K41" s="19">
        <v>0</v>
      </c>
      <c r="L41" s="20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15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15"/>
      <c r="AP41" s="15"/>
      <c r="AQ41" s="15"/>
    </row>
    <row r="42" spans="1:43">
      <c r="A42" s="15" t="s">
        <v>49</v>
      </c>
      <c r="B42" s="15" t="s">
        <v>50</v>
      </c>
      <c r="C42" s="15" t="s">
        <v>61</v>
      </c>
      <c r="D42" s="15" t="s">
        <v>170</v>
      </c>
      <c r="E42" s="15" t="s">
        <v>171</v>
      </c>
      <c r="F42" s="16">
        <v>0</v>
      </c>
      <c r="G42" s="15" t="s">
        <v>171</v>
      </c>
      <c r="H42" s="15" t="s">
        <v>54</v>
      </c>
      <c r="I42" s="18">
        <v>0</v>
      </c>
      <c r="J42" s="18">
        <v>0</v>
      </c>
      <c r="K42" s="19">
        <v>0</v>
      </c>
      <c r="L42" s="20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15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15"/>
      <c r="AP42" s="15"/>
      <c r="AQ42" s="15"/>
    </row>
    <row r="43" spans="1:43">
      <c r="A43" s="15" t="s">
        <v>49</v>
      </c>
      <c r="B43" s="15" t="s">
        <v>50</v>
      </c>
      <c r="C43" s="15" t="s">
        <v>61</v>
      </c>
      <c r="D43" s="15" t="s">
        <v>172</v>
      </c>
      <c r="E43" s="15" t="s">
        <v>173</v>
      </c>
      <c r="F43" s="16">
        <v>0</v>
      </c>
      <c r="G43" s="15" t="s">
        <v>173</v>
      </c>
      <c r="H43" s="15" t="s">
        <v>174</v>
      </c>
      <c r="I43" s="18">
        <v>0</v>
      </c>
      <c r="J43" s="18">
        <v>0</v>
      </c>
      <c r="K43" s="19">
        <v>0</v>
      </c>
      <c r="L43" s="20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15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15"/>
      <c r="AP43" s="15"/>
      <c r="AQ43" s="15"/>
    </row>
    <row r="44" spans="1:43">
      <c r="A44" s="15" t="s">
        <v>43</v>
      </c>
      <c r="B44" s="15" t="s">
        <v>44</v>
      </c>
      <c r="C44" s="15" t="s">
        <v>45</v>
      </c>
      <c r="D44" s="15" t="s">
        <v>175</v>
      </c>
      <c r="E44" s="15" t="s">
        <v>176</v>
      </c>
      <c r="F44" s="16">
        <v>41960.6872106482</v>
      </c>
      <c r="G44" s="15" t="s">
        <v>176</v>
      </c>
      <c r="H44" s="15" t="s">
        <v>177</v>
      </c>
      <c r="I44" s="18">
        <v>0</v>
      </c>
      <c r="J44" s="18">
        <v>0</v>
      </c>
      <c r="K44" s="19">
        <v>0</v>
      </c>
      <c r="L44" s="20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15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15"/>
      <c r="AP44" s="15"/>
      <c r="AQ44" s="15"/>
    </row>
    <row r="45" spans="1:43">
      <c r="A45" s="15" t="s">
        <v>43</v>
      </c>
      <c r="B45" s="15" t="s">
        <v>44</v>
      </c>
      <c r="C45" s="15" t="s">
        <v>45</v>
      </c>
      <c r="D45" s="15" t="s">
        <v>178</v>
      </c>
      <c r="E45" s="15" t="s">
        <v>179</v>
      </c>
      <c r="F45" s="16">
        <v>41421.6934953704</v>
      </c>
      <c r="G45" s="15" t="s">
        <v>179</v>
      </c>
      <c r="H45" s="15" t="s">
        <v>180</v>
      </c>
      <c r="I45" s="18">
        <v>0</v>
      </c>
      <c r="J45" s="18">
        <v>0</v>
      </c>
      <c r="K45" s="19">
        <v>0</v>
      </c>
      <c r="L45" s="20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15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15"/>
      <c r="AP45" s="15"/>
      <c r="AQ45" s="15"/>
    </row>
    <row r="46" spans="1:43">
      <c r="A46" s="15" t="s">
        <v>43</v>
      </c>
      <c r="B46" s="15" t="s">
        <v>44</v>
      </c>
      <c r="C46" s="15" t="s">
        <v>45</v>
      </c>
      <c r="D46" s="15" t="s">
        <v>181</v>
      </c>
      <c r="E46" s="15" t="s">
        <v>182</v>
      </c>
      <c r="F46" s="16">
        <v>42117.4601736111</v>
      </c>
      <c r="G46" s="15" t="s">
        <v>182</v>
      </c>
      <c r="H46" s="15" t="s">
        <v>183</v>
      </c>
      <c r="I46" s="18">
        <v>0</v>
      </c>
      <c r="J46" s="18">
        <v>0</v>
      </c>
      <c r="K46" s="19">
        <v>0</v>
      </c>
      <c r="L46" s="20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15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15"/>
      <c r="AP46" s="15"/>
      <c r="AQ46" s="15"/>
    </row>
    <row r="47" spans="1:43">
      <c r="A47" s="15" t="s">
        <v>49</v>
      </c>
      <c r="B47" s="15" t="s">
        <v>50</v>
      </c>
      <c r="C47" s="15" t="s">
        <v>61</v>
      </c>
      <c r="D47" s="15" t="s">
        <v>184</v>
      </c>
      <c r="E47" s="15" t="s">
        <v>185</v>
      </c>
      <c r="F47" s="16">
        <v>0</v>
      </c>
      <c r="G47" s="15" t="s">
        <v>185</v>
      </c>
      <c r="H47" s="15" t="s">
        <v>186</v>
      </c>
      <c r="I47" s="18">
        <v>0</v>
      </c>
      <c r="J47" s="18">
        <v>0</v>
      </c>
      <c r="K47" s="19">
        <v>0</v>
      </c>
      <c r="L47" s="20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15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15"/>
      <c r="AP47" s="15"/>
      <c r="AQ47" s="15"/>
    </row>
    <row r="48" spans="1:43">
      <c r="A48" s="15" t="s">
        <v>64</v>
      </c>
      <c r="B48" s="15" t="s">
        <v>65</v>
      </c>
      <c r="C48" s="15" t="s">
        <v>93</v>
      </c>
      <c r="D48" s="15" t="s">
        <v>187</v>
      </c>
      <c r="E48" s="15" t="s">
        <v>188</v>
      </c>
      <c r="F48" s="16">
        <v>45103.6073842593</v>
      </c>
      <c r="G48" s="15" t="s">
        <v>188</v>
      </c>
      <c r="H48" s="15" t="s">
        <v>54</v>
      </c>
      <c r="I48" s="18">
        <v>1072.42</v>
      </c>
      <c r="J48" s="18">
        <v>14</v>
      </c>
      <c r="K48" s="19">
        <v>76.6014285714286</v>
      </c>
      <c r="L48" s="20">
        <v>1.09430612244898</v>
      </c>
      <c r="M48" s="21">
        <v>100.12</v>
      </c>
      <c r="N48" s="21">
        <v>17.38</v>
      </c>
      <c r="O48" s="21">
        <v>56.97</v>
      </c>
      <c r="P48" s="21">
        <v>101.8</v>
      </c>
      <c r="Q48" s="21">
        <v>90.07</v>
      </c>
      <c r="R48" s="21">
        <v>5.99</v>
      </c>
      <c r="S48" s="21">
        <v>108.07</v>
      </c>
      <c r="T48" s="21">
        <v>107.03</v>
      </c>
      <c r="U48" s="21">
        <v>100.61</v>
      </c>
      <c r="V48" s="21">
        <v>103.16</v>
      </c>
      <c r="W48" s="21">
        <v>100.48</v>
      </c>
      <c r="X48" s="21">
        <v>14.51</v>
      </c>
      <c r="Y48" s="21">
        <v>115.33</v>
      </c>
      <c r="Z48" s="21">
        <v>50.9</v>
      </c>
      <c r="AA48" s="15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15"/>
      <c r="AP48" s="15"/>
      <c r="AQ48" s="15"/>
    </row>
    <row r="49" spans="1:43">
      <c r="A49" s="15" t="s">
        <v>43</v>
      </c>
      <c r="B49" s="15" t="s">
        <v>44</v>
      </c>
      <c r="C49" s="15" t="s">
        <v>45</v>
      </c>
      <c r="D49" s="15" t="s">
        <v>189</v>
      </c>
      <c r="E49" s="15" t="s">
        <v>190</v>
      </c>
      <c r="F49" s="16">
        <v>42686.4004861111</v>
      </c>
      <c r="G49" s="15" t="s">
        <v>190</v>
      </c>
      <c r="H49" s="15" t="s">
        <v>191</v>
      </c>
      <c r="I49" s="18">
        <v>0</v>
      </c>
      <c r="J49" s="18">
        <v>0</v>
      </c>
      <c r="K49" s="19">
        <v>0</v>
      </c>
      <c r="L49" s="20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15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15"/>
      <c r="AP49" s="15"/>
      <c r="AQ49" s="15"/>
    </row>
    <row r="50" spans="1:43">
      <c r="A50" s="15" t="s">
        <v>49</v>
      </c>
      <c r="B50" s="15" t="s">
        <v>50</v>
      </c>
      <c r="C50" s="15" t="s">
        <v>61</v>
      </c>
      <c r="D50" s="15" t="s">
        <v>192</v>
      </c>
      <c r="E50" s="15" t="s">
        <v>193</v>
      </c>
      <c r="F50" s="16">
        <v>0</v>
      </c>
      <c r="G50" s="15" t="s">
        <v>193</v>
      </c>
      <c r="H50" s="15" t="s">
        <v>194</v>
      </c>
      <c r="I50" s="18">
        <v>0</v>
      </c>
      <c r="J50" s="18">
        <v>0</v>
      </c>
      <c r="K50" s="19">
        <v>0</v>
      </c>
      <c r="L50" s="20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15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15"/>
      <c r="AP50" s="15"/>
      <c r="AQ50" s="15"/>
    </row>
    <row r="51" spans="1:43">
      <c r="A51" s="15" t="s">
        <v>43</v>
      </c>
      <c r="B51" s="15" t="s">
        <v>44</v>
      </c>
      <c r="C51" s="15" t="s">
        <v>45</v>
      </c>
      <c r="D51" s="15" t="s">
        <v>195</v>
      </c>
      <c r="E51" s="15" t="s">
        <v>196</v>
      </c>
      <c r="F51" s="16">
        <v>42423.658287037</v>
      </c>
      <c r="G51" s="15" t="s">
        <v>196</v>
      </c>
      <c r="H51" s="15" t="s">
        <v>197</v>
      </c>
      <c r="I51" s="18">
        <v>0</v>
      </c>
      <c r="J51" s="18">
        <v>0</v>
      </c>
      <c r="K51" s="19">
        <v>0</v>
      </c>
      <c r="L51" s="20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15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15"/>
      <c r="AP51" s="15"/>
      <c r="AQ51" s="15"/>
    </row>
    <row r="52" spans="1:43">
      <c r="A52" s="15" t="s">
        <v>43</v>
      </c>
      <c r="B52" s="15" t="s">
        <v>44</v>
      </c>
      <c r="C52" s="15" t="s">
        <v>45</v>
      </c>
      <c r="D52" s="15" t="s">
        <v>198</v>
      </c>
      <c r="E52" s="15" t="s">
        <v>199</v>
      </c>
      <c r="F52" s="16">
        <v>42433.4005439815</v>
      </c>
      <c r="G52" s="15" t="s">
        <v>199</v>
      </c>
      <c r="H52" s="15" t="s">
        <v>200</v>
      </c>
      <c r="I52" s="18">
        <v>0</v>
      </c>
      <c r="J52" s="18">
        <v>0</v>
      </c>
      <c r="K52" s="19">
        <v>0</v>
      </c>
      <c r="L52" s="20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15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15"/>
      <c r="AP52" s="15"/>
      <c r="AQ52" s="15"/>
    </row>
    <row r="53" spans="1:43">
      <c r="A53" s="15" t="s">
        <v>43</v>
      </c>
      <c r="B53" s="15" t="s">
        <v>44</v>
      </c>
      <c r="C53" s="15" t="s">
        <v>45</v>
      </c>
      <c r="D53" s="15" t="s">
        <v>201</v>
      </c>
      <c r="E53" s="15" t="s">
        <v>202</v>
      </c>
      <c r="F53" s="16">
        <v>41851.7101736111</v>
      </c>
      <c r="G53" s="15" t="s">
        <v>202</v>
      </c>
      <c r="H53" s="15" t="s">
        <v>203</v>
      </c>
      <c r="I53" s="18">
        <v>0</v>
      </c>
      <c r="J53" s="18">
        <v>0</v>
      </c>
      <c r="K53" s="19">
        <v>0</v>
      </c>
      <c r="L53" s="20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15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15"/>
      <c r="AP53" s="15"/>
      <c r="AQ53" s="15"/>
    </row>
    <row r="54" spans="1:43">
      <c r="A54" s="15" t="s">
        <v>43</v>
      </c>
      <c r="B54" s="15" t="s">
        <v>44</v>
      </c>
      <c r="C54" s="15" t="s">
        <v>45</v>
      </c>
      <c r="D54" s="15" t="s">
        <v>204</v>
      </c>
      <c r="E54" s="15" t="s">
        <v>205</v>
      </c>
      <c r="F54" s="16">
        <v>43962.6097222222</v>
      </c>
      <c r="G54" s="15" t="s">
        <v>205</v>
      </c>
      <c r="H54" s="15" t="s">
        <v>206</v>
      </c>
      <c r="I54" s="18">
        <v>0</v>
      </c>
      <c r="J54" s="18">
        <v>0</v>
      </c>
      <c r="K54" s="19">
        <v>0</v>
      </c>
      <c r="L54" s="20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15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15"/>
      <c r="AP54" s="15"/>
      <c r="AQ54" s="15"/>
    </row>
    <row r="55" spans="1:43">
      <c r="A55" s="15" t="s">
        <v>49</v>
      </c>
      <c r="B55" s="15" t="s">
        <v>50</v>
      </c>
      <c r="C55" s="15" t="s">
        <v>61</v>
      </c>
      <c r="D55" s="15" t="s">
        <v>207</v>
      </c>
      <c r="E55" s="15" t="s">
        <v>208</v>
      </c>
      <c r="F55" s="16">
        <v>0</v>
      </c>
      <c r="G55" s="15" t="s">
        <v>208</v>
      </c>
      <c r="H55" s="15" t="s">
        <v>209</v>
      </c>
      <c r="I55" s="18">
        <v>0</v>
      </c>
      <c r="J55" s="18">
        <v>0</v>
      </c>
      <c r="K55" s="19">
        <v>0</v>
      </c>
      <c r="L55" s="20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15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15"/>
      <c r="AP55" s="15"/>
      <c r="AQ55" s="15"/>
    </row>
    <row r="56" spans="1:43">
      <c r="A56" s="15" t="s">
        <v>43</v>
      </c>
      <c r="B56" s="15" t="s">
        <v>44</v>
      </c>
      <c r="C56" s="15" t="s">
        <v>45</v>
      </c>
      <c r="D56" s="15" t="s">
        <v>210</v>
      </c>
      <c r="E56" s="15" t="s">
        <v>211</v>
      </c>
      <c r="F56" s="16">
        <v>40718.6695138889</v>
      </c>
      <c r="G56" s="15" t="s">
        <v>211</v>
      </c>
      <c r="H56" s="15" t="s">
        <v>212</v>
      </c>
      <c r="I56" s="18">
        <v>0</v>
      </c>
      <c r="J56" s="18">
        <v>0</v>
      </c>
      <c r="K56" s="19">
        <v>0</v>
      </c>
      <c r="L56" s="20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15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15"/>
      <c r="AP56" s="15"/>
      <c r="AQ56" s="15"/>
    </row>
    <row r="57" spans="1:43">
      <c r="A57" s="15" t="s">
        <v>43</v>
      </c>
      <c r="B57" s="15" t="s">
        <v>44</v>
      </c>
      <c r="C57" s="15" t="s">
        <v>45</v>
      </c>
      <c r="D57" s="15" t="s">
        <v>213</v>
      </c>
      <c r="E57" s="15" t="s">
        <v>214</v>
      </c>
      <c r="F57" s="16">
        <v>43671.6673842593</v>
      </c>
      <c r="G57" s="15" t="s">
        <v>214</v>
      </c>
      <c r="H57" s="15" t="s">
        <v>215</v>
      </c>
      <c r="I57" s="18">
        <v>0</v>
      </c>
      <c r="J57" s="18">
        <v>0</v>
      </c>
      <c r="K57" s="19">
        <v>0</v>
      </c>
      <c r="L57" s="20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15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15"/>
      <c r="AP57" s="15"/>
      <c r="AQ57" s="15"/>
    </row>
    <row r="58" spans="1:43">
      <c r="A58" s="15" t="s">
        <v>43</v>
      </c>
      <c r="B58" s="15" t="s">
        <v>44</v>
      </c>
      <c r="C58" s="15" t="s">
        <v>45</v>
      </c>
      <c r="D58" s="15" t="s">
        <v>216</v>
      </c>
      <c r="E58" s="15" t="s">
        <v>217</v>
      </c>
      <c r="F58" s="16">
        <v>41995.4699768518</v>
      </c>
      <c r="G58" s="15" t="s">
        <v>217</v>
      </c>
      <c r="H58" s="15" t="s">
        <v>218</v>
      </c>
      <c r="I58" s="18">
        <v>0</v>
      </c>
      <c r="J58" s="18">
        <v>0</v>
      </c>
      <c r="K58" s="19">
        <v>0</v>
      </c>
      <c r="L58" s="20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15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15"/>
      <c r="AP58" s="15"/>
      <c r="AQ58" s="15"/>
    </row>
    <row r="59" spans="1:43">
      <c r="A59" s="15" t="s">
        <v>43</v>
      </c>
      <c r="B59" s="15" t="s">
        <v>44</v>
      </c>
      <c r="C59" s="15" t="s">
        <v>45</v>
      </c>
      <c r="D59" s="15" t="s">
        <v>219</v>
      </c>
      <c r="E59" s="15" t="s">
        <v>220</v>
      </c>
      <c r="F59" s="16">
        <v>43087.7215509259</v>
      </c>
      <c r="G59" s="15" t="s">
        <v>220</v>
      </c>
      <c r="H59" s="15" t="s">
        <v>221</v>
      </c>
      <c r="I59" s="18">
        <v>0</v>
      </c>
      <c r="J59" s="18">
        <v>0</v>
      </c>
      <c r="K59" s="19">
        <v>0</v>
      </c>
      <c r="L59" s="20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15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15"/>
      <c r="AP59" s="15"/>
      <c r="AQ59" s="15"/>
    </row>
    <row r="60" spans="1:43">
      <c r="A60" s="15" t="s">
        <v>49</v>
      </c>
      <c r="B60" s="15" t="s">
        <v>50</v>
      </c>
      <c r="C60" s="15" t="s">
        <v>61</v>
      </c>
      <c r="D60" s="15" t="s">
        <v>222</v>
      </c>
      <c r="E60" s="15" t="s">
        <v>223</v>
      </c>
      <c r="F60" s="16">
        <v>0</v>
      </c>
      <c r="G60" s="15" t="s">
        <v>223</v>
      </c>
      <c r="H60" s="15" t="s">
        <v>224</v>
      </c>
      <c r="I60" s="18">
        <v>0</v>
      </c>
      <c r="J60" s="18">
        <v>0</v>
      </c>
      <c r="K60" s="19">
        <v>0</v>
      </c>
      <c r="L60" s="20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15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15"/>
      <c r="AP60" s="15"/>
      <c r="AQ60" s="15"/>
    </row>
    <row r="61" spans="1:43">
      <c r="A61" s="15" t="s">
        <v>43</v>
      </c>
      <c r="B61" s="15" t="s">
        <v>44</v>
      </c>
      <c r="C61" s="15" t="s">
        <v>45</v>
      </c>
      <c r="D61" s="15" t="s">
        <v>225</v>
      </c>
      <c r="E61" s="15" t="s">
        <v>226</v>
      </c>
      <c r="F61" s="16">
        <v>42727.3821875</v>
      </c>
      <c r="G61" s="15" t="s">
        <v>226</v>
      </c>
      <c r="H61" s="15" t="s">
        <v>227</v>
      </c>
      <c r="I61" s="18">
        <v>0</v>
      </c>
      <c r="J61" s="18">
        <v>0</v>
      </c>
      <c r="K61" s="19">
        <v>0</v>
      </c>
      <c r="L61" s="20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15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15"/>
      <c r="AP61" s="15"/>
      <c r="AQ61" s="15"/>
    </row>
    <row r="62" spans="1:43">
      <c r="A62" s="15" t="s">
        <v>43</v>
      </c>
      <c r="B62" s="15" t="s">
        <v>44</v>
      </c>
      <c r="C62" s="15" t="s">
        <v>228</v>
      </c>
      <c r="D62" s="15" t="s">
        <v>229</v>
      </c>
      <c r="E62" s="15" t="s">
        <v>230</v>
      </c>
      <c r="F62" s="16">
        <v>44277.4090625</v>
      </c>
      <c r="G62" s="15" t="s">
        <v>230</v>
      </c>
      <c r="H62" s="15" t="s">
        <v>54</v>
      </c>
      <c r="I62" s="18">
        <v>0</v>
      </c>
      <c r="J62" s="18">
        <v>0</v>
      </c>
      <c r="K62" s="19">
        <v>0</v>
      </c>
      <c r="L62" s="20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15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15"/>
      <c r="AP62" s="15"/>
      <c r="AQ62" s="15"/>
    </row>
    <row r="63" spans="1:43">
      <c r="A63" s="15" t="s">
        <v>43</v>
      </c>
      <c r="B63" s="15" t="s">
        <v>44</v>
      </c>
      <c r="C63" s="15" t="s">
        <v>45</v>
      </c>
      <c r="D63" s="15" t="s">
        <v>231</v>
      </c>
      <c r="E63" s="15" t="s">
        <v>232</v>
      </c>
      <c r="F63" s="16">
        <v>42719.6539699074</v>
      </c>
      <c r="G63" s="15" t="s">
        <v>232</v>
      </c>
      <c r="H63" s="15" t="s">
        <v>233</v>
      </c>
      <c r="I63" s="18">
        <v>0</v>
      </c>
      <c r="J63" s="18">
        <v>0</v>
      </c>
      <c r="K63" s="19">
        <v>0</v>
      </c>
      <c r="L63" s="20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15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15"/>
      <c r="AP63" s="15"/>
      <c r="AQ63" s="15"/>
    </row>
    <row r="64" spans="1:43">
      <c r="A64" s="15" t="s">
        <v>43</v>
      </c>
      <c r="B64" s="15" t="s">
        <v>44</v>
      </c>
      <c r="C64" s="15" t="s">
        <v>45</v>
      </c>
      <c r="D64" s="15" t="s">
        <v>234</v>
      </c>
      <c r="E64" s="15" t="s">
        <v>235</v>
      </c>
      <c r="F64" s="16">
        <v>44449.4810300926</v>
      </c>
      <c r="G64" s="15" t="s">
        <v>235</v>
      </c>
      <c r="H64" s="15" t="s">
        <v>54</v>
      </c>
      <c r="I64" s="18">
        <v>0</v>
      </c>
      <c r="J64" s="18">
        <v>0</v>
      </c>
      <c r="K64" s="19">
        <v>0</v>
      </c>
      <c r="L64" s="20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15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15"/>
      <c r="AP64" s="15"/>
      <c r="AQ64" s="15"/>
    </row>
    <row r="65" spans="1:43">
      <c r="A65" s="15" t="s">
        <v>43</v>
      </c>
      <c r="B65" s="15" t="s">
        <v>44</v>
      </c>
      <c r="C65" s="15" t="s">
        <v>45</v>
      </c>
      <c r="D65" s="15" t="s">
        <v>236</v>
      </c>
      <c r="E65" s="15" t="s">
        <v>237</v>
      </c>
      <c r="F65" s="16">
        <v>42605.447337963</v>
      </c>
      <c r="G65" s="15" t="s">
        <v>237</v>
      </c>
      <c r="H65" s="15" t="s">
        <v>238</v>
      </c>
      <c r="I65" s="18">
        <v>0</v>
      </c>
      <c r="J65" s="18">
        <v>0</v>
      </c>
      <c r="K65" s="19">
        <v>0</v>
      </c>
      <c r="L65" s="20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15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15"/>
      <c r="AP65" s="15"/>
      <c r="AQ65" s="15"/>
    </row>
    <row r="66" spans="1:43">
      <c r="A66" s="15" t="s">
        <v>43</v>
      </c>
      <c r="B66" s="15" t="s">
        <v>44</v>
      </c>
      <c r="C66" s="15" t="s">
        <v>45</v>
      </c>
      <c r="D66" s="15" t="s">
        <v>239</v>
      </c>
      <c r="E66" s="15" t="s">
        <v>240</v>
      </c>
      <c r="F66" s="16">
        <v>41618.4609027778</v>
      </c>
      <c r="G66" s="15" t="s">
        <v>240</v>
      </c>
      <c r="H66" s="15" t="s">
        <v>241</v>
      </c>
      <c r="I66" s="18">
        <v>0</v>
      </c>
      <c r="J66" s="18">
        <v>0</v>
      </c>
      <c r="K66" s="19">
        <v>0</v>
      </c>
      <c r="L66" s="20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15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15"/>
      <c r="AP66" s="15"/>
      <c r="AQ66" s="15"/>
    </row>
    <row r="67" spans="1:43">
      <c r="A67" s="15" t="s">
        <v>43</v>
      </c>
      <c r="B67" s="15" t="s">
        <v>44</v>
      </c>
      <c r="C67" s="15" t="s">
        <v>45</v>
      </c>
      <c r="D67" s="15" t="s">
        <v>242</v>
      </c>
      <c r="E67" s="15" t="s">
        <v>243</v>
      </c>
      <c r="F67" s="16">
        <v>42180.6490509259</v>
      </c>
      <c r="G67" s="15" t="s">
        <v>243</v>
      </c>
      <c r="H67" s="15" t="s">
        <v>244</v>
      </c>
      <c r="I67" s="18">
        <v>0</v>
      </c>
      <c r="J67" s="18">
        <v>0</v>
      </c>
      <c r="K67" s="19">
        <v>0</v>
      </c>
      <c r="L67" s="20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15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15"/>
      <c r="AP67" s="15"/>
      <c r="AQ67" s="15"/>
    </row>
    <row r="68" spans="1:43">
      <c r="A68" s="15" t="s">
        <v>43</v>
      </c>
      <c r="B68" s="15" t="s">
        <v>44</v>
      </c>
      <c r="C68" s="15" t="s">
        <v>45</v>
      </c>
      <c r="D68" s="15" t="s">
        <v>245</v>
      </c>
      <c r="E68" s="15" t="s">
        <v>246</v>
      </c>
      <c r="F68" s="16">
        <v>43383.6981365741</v>
      </c>
      <c r="G68" s="15" t="s">
        <v>246</v>
      </c>
      <c r="H68" s="15" t="s">
        <v>247</v>
      </c>
      <c r="I68" s="18">
        <v>0</v>
      </c>
      <c r="J68" s="18">
        <v>0</v>
      </c>
      <c r="K68" s="19">
        <v>0</v>
      </c>
      <c r="L68" s="20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15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15"/>
      <c r="AP68" s="15"/>
      <c r="AQ68" s="15"/>
    </row>
    <row r="69" spans="1:43">
      <c r="A69" s="15" t="s">
        <v>49</v>
      </c>
      <c r="B69" s="15" t="s">
        <v>50</v>
      </c>
      <c r="C69" s="15" t="s">
        <v>61</v>
      </c>
      <c r="D69" s="15" t="s">
        <v>248</v>
      </c>
      <c r="E69" s="15" t="s">
        <v>249</v>
      </c>
      <c r="F69" s="16">
        <v>0</v>
      </c>
      <c r="G69" s="15" t="s">
        <v>249</v>
      </c>
      <c r="H69" s="15" t="s">
        <v>54</v>
      </c>
      <c r="I69" s="18">
        <v>0</v>
      </c>
      <c r="J69" s="18">
        <v>0</v>
      </c>
      <c r="K69" s="19">
        <v>0</v>
      </c>
      <c r="L69" s="20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15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15"/>
      <c r="AP69" s="15"/>
      <c r="AQ69" s="15"/>
    </row>
    <row r="70" spans="1:43">
      <c r="A70" s="15" t="s">
        <v>49</v>
      </c>
      <c r="B70" s="15" t="s">
        <v>50</v>
      </c>
      <c r="C70" s="15" t="s">
        <v>61</v>
      </c>
      <c r="D70" s="15" t="s">
        <v>250</v>
      </c>
      <c r="E70" s="15" t="s">
        <v>251</v>
      </c>
      <c r="F70" s="16">
        <v>0</v>
      </c>
      <c r="G70" s="15" t="s">
        <v>251</v>
      </c>
      <c r="H70" s="15" t="s">
        <v>252</v>
      </c>
      <c r="I70" s="18">
        <v>0</v>
      </c>
      <c r="J70" s="18">
        <v>0</v>
      </c>
      <c r="K70" s="19">
        <v>0</v>
      </c>
      <c r="L70" s="20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15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15"/>
      <c r="AP70" s="15"/>
      <c r="AQ70" s="15"/>
    </row>
    <row r="71" spans="1:43">
      <c r="A71" s="15" t="s">
        <v>43</v>
      </c>
      <c r="B71" s="15" t="s">
        <v>44</v>
      </c>
      <c r="C71" s="15" t="s">
        <v>45</v>
      </c>
      <c r="D71" s="15" t="s">
        <v>253</v>
      </c>
      <c r="E71" s="15" t="s">
        <v>254</v>
      </c>
      <c r="F71" s="16">
        <v>41737.6691087963</v>
      </c>
      <c r="G71" s="15" t="s">
        <v>254</v>
      </c>
      <c r="H71" s="15" t="s">
        <v>255</v>
      </c>
      <c r="I71" s="18">
        <v>0</v>
      </c>
      <c r="J71" s="18">
        <v>0</v>
      </c>
      <c r="K71" s="19">
        <v>0</v>
      </c>
      <c r="L71" s="20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15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15"/>
      <c r="AP71" s="15"/>
      <c r="AQ71" s="15"/>
    </row>
    <row r="72" spans="1:43">
      <c r="A72" s="15" t="s">
        <v>49</v>
      </c>
      <c r="B72" s="15" t="s">
        <v>50</v>
      </c>
      <c r="C72" s="15" t="s">
        <v>61</v>
      </c>
      <c r="D72" s="15" t="s">
        <v>256</v>
      </c>
      <c r="E72" s="15" t="s">
        <v>257</v>
      </c>
      <c r="F72" s="16">
        <v>0</v>
      </c>
      <c r="G72" s="15" t="s">
        <v>257</v>
      </c>
      <c r="H72" s="15" t="s">
        <v>54</v>
      </c>
      <c r="I72" s="18">
        <v>0</v>
      </c>
      <c r="J72" s="18">
        <v>0</v>
      </c>
      <c r="K72" s="19">
        <v>0</v>
      </c>
      <c r="L72" s="20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15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15"/>
      <c r="AP72" s="15"/>
      <c r="AQ72" s="15"/>
    </row>
    <row r="73" spans="1:43">
      <c r="A73" s="15" t="s">
        <v>43</v>
      </c>
      <c r="B73" s="15" t="s">
        <v>44</v>
      </c>
      <c r="C73" s="15" t="s">
        <v>45</v>
      </c>
      <c r="D73" s="15" t="s">
        <v>258</v>
      </c>
      <c r="E73" s="15" t="s">
        <v>259</v>
      </c>
      <c r="F73" s="16">
        <v>43183.5278587963</v>
      </c>
      <c r="G73" s="15" t="s">
        <v>259</v>
      </c>
      <c r="H73" s="15" t="s">
        <v>260</v>
      </c>
      <c r="I73" s="18">
        <v>0</v>
      </c>
      <c r="J73" s="18">
        <v>0</v>
      </c>
      <c r="K73" s="19">
        <v>0</v>
      </c>
      <c r="L73" s="20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15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15"/>
      <c r="AP73" s="15"/>
      <c r="AQ73" s="15"/>
    </row>
    <row r="74" spans="1:43">
      <c r="A74" s="15" t="s">
        <v>43</v>
      </c>
      <c r="B74" s="15" t="s">
        <v>44</v>
      </c>
      <c r="C74" s="15" t="s">
        <v>45</v>
      </c>
      <c r="D74" s="15" t="s">
        <v>261</v>
      </c>
      <c r="E74" s="15" t="s">
        <v>262</v>
      </c>
      <c r="F74" s="16">
        <v>44726.6062037037</v>
      </c>
      <c r="G74" s="15" t="s">
        <v>262</v>
      </c>
      <c r="H74" s="15" t="s">
        <v>54</v>
      </c>
      <c r="I74" s="18">
        <v>0</v>
      </c>
      <c r="J74" s="18">
        <v>0</v>
      </c>
      <c r="K74" s="19">
        <v>0</v>
      </c>
      <c r="L74" s="20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15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15"/>
      <c r="AP74" s="15"/>
      <c r="AQ74" s="15"/>
    </row>
    <row r="75" spans="1:43">
      <c r="A75" s="15" t="s">
        <v>43</v>
      </c>
      <c r="B75" s="15" t="s">
        <v>44</v>
      </c>
      <c r="C75" s="15" t="s">
        <v>45</v>
      </c>
      <c r="D75" s="15" t="s">
        <v>263</v>
      </c>
      <c r="E75" s="15" t="s">
        <v>264</v>
      </c>
      <c r="F75" s="16">
        <v>43584.4051157407</v>
      </c>
      <c r="G75" s="15" t="s">
        <v>264</v>
      </c>
      <c r="H75" s="15" t="s">
        <v>265</v>
      </c>
      <c r="I75" s="18">
        <v>0</v>
      </c>
      <c r="J75" s="18">
        <v>0</v>
      </c>
      <c r="K75" s="19">
        <v>0</v>
      </c>
      <c r="L75" s="20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15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15"/>
      <c r="AP75" s="15"/>
      <c r="AQ75" s="15"/>
    </row>
    <row r="76" spans="1:43">
      <c r="A76" s="15" t="s">
        <v>49</v>
      </c>
      <c r="B76" s="15" t="s">
        <v>50</v>
      </c>
      <c r="C76" s="15" t="s">
        <v>61</v>
      </c>
      <c r="D76" s="15" t="s">
        <v>266</v>
      </c>
      <c r="E76" s="15" t="s">
        <v>267</v>
      </c>
      <c r="F76" s="16">
        <v>0</v>
      </c>
      <c r="G76" s="15" t="s">
        <v>267</v>
      </c>
      <c r="H76" s="15" t="s">
        <v>54</v>
      </c>
      <c r="I76" s="18">
        <v>0</v>
      </c>
      <c r="J76" s="18">
        <v>0</v>
      </c>
      <c r="K76" s="19">
        <v>0</v>
      </c>
      <c r="L76" s="20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15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15"/>
      <c r="AP76" s="15"/>
      <c r="AQ76" s="15"/>
    </row>
    <row r="77" spans="1:43">
      <c r="A77" s="15" t="s">
        <v>43</v>
      </c>
      <c r="B77" s="15" t="s">
        <v>44</v>
      </c>
      <c r="C77" s="15" t="s">
        <v>45</v>
      </c>
      <c r="D77" s="15" t="s">
        <v>268</v>
      </c>
      <c r="E77" s="15" t="s">
        <v>269</v>
      </c>
      <c r="F77" s="16">
        <v>42632.3760416667</v>
      </c>
      <c r="G77" s="15" t="s">
        <v>269</v>
      </c>
      <c r="H77" s="15" t="s">
        <v>270</v>
      </c>
      <c r="I77" s="18">
        <v>0</v>
      </c>
      <c r="J77" s="18">
        <v>0</v>
      </c>
      <c r="K77" s="19">
        <v>0</v>
      </c>
      <c r="L77" s="20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15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15"/>
      <c r="AP77" s="15"/>
      <c r="AQ77" s="15"/>
    </row>
    <row r="78" spans="1:43">
      <c r="A78" s="15" t="s">
        <v>43</v>
      </c>
      <c r="B78" s="15" t="s">
        <v>44</v>
      </c>
      <c r="C78" s="15" t="s">
        <v>45</v>
      </c>
      <c r="D78" s="15" t="s">
        <v>271</v>
      </c>
      <c r="E78" s="15" t="s">
        <v>272</v>
      </c>
      <c r="F78" s="16">
        <v>41905.6369212963</v>
      </c>
      <c r="G78" s="15" t="s">
        <v>272</v>
      </c>
      <c r="H78" s="15" t="s">
        <v>273</v>
      </c>
      <c r="I78" s="18">
        <v>0</v>
      </c>
      <c r="J78" s="18">
        <v>0</v>
      </c>
      <c r="K78" s="19">
        <v>0</v>
      </c>
      <c r="L78" s="20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15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15"/>
      <c r="AP78" s="15"/>
      <c r="AQ78" s="15"/>
    </row>
    <row r="79" spans="1:43">
      <c r="A79" s="15" t="s">
        <v>64</v>
      </c>
      <c r="B79" s="15" t="s">
        <v>65</v>
      </c>
      <c r="C79" s="15" t="s">
        <v>93</v>
      </c>
      <c r="D79" s="15" t="s">
        <v>274</v>
      </c>
      <c r="E79" s="15" t="s">
        <v>275</v>
      </c>
      <c r="F79" s="16">
        <v>45136.4362152778</v>
      </c>
      <c r="G79" s="15" t="s">
        <v>275</v>
      </c>
      <c r="H79" s="15" t="s">
        <v>54</v>
      </c>
      <c r="I79" s="18">
        <v>22.76</v>
      </c>
      <c r="J79" s="18">
        <v>3</v>
      </c>
      <c r="K79" s="19">
        <v>7.58666666666667</v>
      </c>
      <c r="L79" s="20">
        <v>0.108380952380952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4.29</v>
      </c>
      <c r="W79" s="21">
        <v>8.84</v>
      </c>
      <c r="X79" s="21">
        <v>0</v>
      </c>
      <c r="Y79" s="21">
        <v>0</v>
      </c>
      <c r="Z79" s="21">
        <v>9.63</v>
      </c>
      <c r="AA79" s="15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15"/>
      <c r="AP79" s="15"/>
      <c r="AQ79" s="15"/>
    </row>
    <row r="80" spans="1:43">
      <c r="A80" s="15" t="s">
        <v>49</v>
      </c>
      <c r="B80" s="15" t="s">
        <v>50</v>
      </c>
      <c r="C80" s="15" t="s">
        <v>61</v>
      </c>
      <c r="D80" s="15" t="s">
        <v>276</v>
      </c>
      <c r="E80" s="15" t="s">
        <v>277</v>
      </c>
      <c r="F80" s="16">
        <v>0</v>
      </c>
      <c r="G80" s="15" t="s">
        <v>277</v>
      </c>
      <c r="H80" s="15" t="s">
        <v>54</v>
      </c>
      <c r="I80" s="18">
        <v>0</v>
      </c>
      <c r="J80" s="18">
        <v>0</v>
      </c>
      <c r="K80" s="19">
        <v>0</v>
      </c>
      <c r="L80" s="20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0</v>
      </c>
      <c r="T80" s="21">
        <v>0</v>
      </c>
      <c r="U80" s="21">
        <v>0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15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15"/>
      <c r="AP80" s="15"/>
      <c r="AQ80" s="15"/>
    </row>
    <row r="81" spans="1:43">
      <c r="A81" s="15" t="s">
        <v>49</v>
      </c>
      <c r="B81" s="15" t="s">
        <v>50</v>
      </c>
      <c r="C81" s="15" t="s">
        <v>61</v>
      </c>
      <c r="D81" s="15" t="s">
        <v>278</v>
      </c>
      <c r="E81" s="15" t="s">
        <v>279</v>
      </c>
      <c r="F81" s="16">
        <v>0</v>
      </c>
      <c r="G81" s="15" t="s">
        <v>279</v>
      </c>
      <c r="H81" s="15" t="s">
        <v>280</v>
      </c>
      <c r="I81" s="18">
        <v>0</v>
      </c>
      <c r="J81" s="18">
        <v>0</v>
      </c>
      <c r="K81" s="19">
        <v>0</v>
      </c>
      <c r="L81" s="20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15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15"/>
      <c r="AP81" s="15"/>
      <c r="AQ81" s="15"/>
    </row>
    <row r="82" spans="1:43">
      <c r="A82" s="15" t="s">
        <v>43</v>
      </c>
      <c r="B82" s="15" t="s">
        <v>44</v>
      </c>
      <c r="C82" s="15" t="s">
        <v>45</v>
      </c>
      <c r="D82" s="15" t="s">
        <v>281</v>
      </c>
      <c r="E82" s="15" t="s">
        <v>282</v>
      </c>
      <c r="F82" s="16">
        <v>44466.6854861111</v>
      </c>
      <c r="G82" s="15" t="s">
        <v>282</v>
      </c>
      <c r="H82" s="15" t="s">
        <v>206</v>
      </c>
      <c r="I82" s="18">
        <v>0</v>
      </c>
      <c r="J82" s="18">
        <v>0</v>
      </c>
      <c r="K82" s="19">
        <v>0</v>
      </c>
      <c r="L82" s="20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15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15"/>
      <c r="AP82" s="15"/>
      <c r="AQ82" s="15"/>
    </row>
    <row r="83" spans="1:43">
      <c r="A83" s="15" t="s">
        <v>43</v>
      </c>
      <c r="B83" s="15" t="s">
        <v>44</v>
      </c>
      <c r="C83" s="15" t="s">
        <v>45</v>
      </c>
      <c r="D83" s="15" t="s">
        <v>283</v>
      </c>
      <c r="E83" s="15" t="s">
        <v>284</v>
      </c>
      <c r="F83" s="16">
        <v>42187.4711921296</v>
      </c>
      <c r="G83" s="15" t="s">
        <v>284</v>
      </c>
      <c r="H83" s="15" t="s">
        <v>285</v>
      </c>
      <c r="I83" s="18">
        <v>0</v>
      </c>
      <c r="J83" s="18">
        <v>0</v>
      </c>
      <c r="K83" s="19">
        <v>0</v>
      </c>
      <c r="L83" s="20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15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15"/>
      <c r="AP83" s="15"/>
      <c r="AQ83" s="15"/>
    </row>
    <row r="84" spans="1:43">
      <c r="A84" s="15" t="s">
        <v>49</v>
      </c>
      <c r="B84" s="15" t="s">
        <v>50</v>
      </c>
      <c r="C84" s="15" t="s">
        <v>61</v>
      </c>
      <c r="D84" s="15" t="s">
        <v>286</v>
      </c>
      <c r="E84" s="15" t="s">
        <v>287</v>
      </c>
      <c r="F84" s="16">
        <v>0</v>
      </c>
      <c r="G84" s="15" t="s">
        <v>287</v>
      </c>
      <c r="H84" s="15" t="s">
        <v>54</v>
      </c>
      <c r="I84" s="18">
        <v>0</v>
      </c>
      <c r="J84" s="18">
        <v>0</v>
      </c>
      <c r="K84" s="19">
        <v>0</v>
      </c>
      <c r="L84" s="20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15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15"/>
      <c r="AP84" s="15"/>
      <c r="AQ84" s="15"/>
    </row>
    <row r="85" spans="1:43">
      <c r="A85" s="15" t="s">
        <v>49</v>
      </c>
      <c r="B85" s="15" t="s">
        <v>50</v>
      </c>
      <c r="C85" s="15" t="s">
        <v>75</v>
      </c>
      <c r="D85" s="15" t="s">
        <v>288</v>
      </c>
      <c r="E85" s="15" t="s">
        <v>289</v>
      </c>
      <c r="F85" s="16">
        <v>45091.4406134259</v>
      </c>
      <c r="G85" s="15" t="s">
        <v>289</v>
      </c>
      <c r="H85" s="15" t="s">
        <v>290</v>
      </c>
      <c r="I85" s="18">
        <v>783</v>
      </c>
      <c r="J85" s="18">
        <v>8</v>
      </c>
      <c r="K85" s="19">
        <v>97.875</v>
      </c>
      <c r="L85" s="20">
        <v>1.9575</v>
      </c>
      <c r="M85" s="21">
        <v>20.81</v>
      </c>
      <c r="N85" s="21">
        <v>49.83</v>
      </c>
      <c r="O85" s="21">
        <v>140.8</v>
      </c>
      <c r="P85" s="21">
        <v>172.22</v>
      </c>
      <c r="Q85" s="21">
        <v>101.97</v>
      </c>
      <c r="R85" s="21">
        <v>116.93</v>
      </c>
      <c r="S85" s="21">
        <v>154.44</v>
      </c>
      <c r="T85" s="21">
        <v>26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15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15"/>
      <c r="AP85" s="15"/>
      <c r="AQ85" s="15"/>
    </row>
    <row r="86" spans="1:43">
      <c r="A86" s="15" t="s">
        <v>49</v>
      </c>
      <c r="B86" s="15" t="s">
        <v>50</v>
      </c>
      <c r="C86" s="15" t="s">
        <v>61</v>
      </c>
      <c r="D86" s="15" t="s">
        <v>291</v>
      </c>
      <c r="E86" s="15" t="s">
        <v>292</v>
      </c>
      <c r="F86" s="16">
        <v>0</v>
      </c>
      <c r="G86" s="15" t="s">
        <v>292</v>
      </c>
      <c r="H86" s="15" t="s">
        <v>293</v>
      </c>
      <c r="I86" s="18">
        <v>0</v>
      </c>
      <c r="J86" s="18">
        <v>0</v>
      </c>
      <c r="K86" s="19">
        <v>0</v>
      </c>
      <c r="L86" s="20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15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15"/>
      <c r="AP86" s="15"/>
      <c r="AQ86" s="15"/>
    </row>
    <row r="87" spans="1:43">
      <c r="A87" s="15" t="s">
        <v>49</v>
      </c>
      <c r="B87" s="15" t="s">
        <v>50</v>
      </c>
      <c r="C87" s="15" t="s">
        <v>61</v>
      </c>
      <c r="D87" s="15" t="s">
        <v>294</v>
      </c>
      <c r="E87" s="15" t="s">
        <v>295</v>
      </c>
      <c r="F87" s="16">
        <v>0</v>
      </c>
      <c r="G87" s="15" t="s">
        <v>295</v>
      </c>
      <c r="H87" s="15" t="s">
        <v>296</v>
      </c>
      <c r="I87" s="18">
        <v>0</v>
      </c>
      <c r="J87" s="18">
        <v>0</v>
      </c>
      <c r="K87" s="19">
        <v>0</v>
      </c>
      <c r="L87" s="20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15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15"/>
      <c r="AP87" s="15"/>
      <c r="AQ87" s="15"/>
    </row>
    <row r="88" spans="1:43">
      <c r="A88" s="15" t="s">
        <v>49</v>
      </c>
      <c r="B88" s="15" t="s">
        <v>50</v>
      </c>
      <c r="C88" s="15" t="s">
        <v>75</v>
      </c>
      <c r="D88" s="15" t="s">
        <v>297</v>
      </c>
      <c r="E88" s="15" t="s">
        <v>298</v>
      </c>
      <c r="F88" s="16">
        <v>45117.7045138889</v>
      </c>
      <c r="G88" s="15" t="s">
        <v>298</v>
      </c>
      <c r="H88" s="15" t="s">
        <v>54</v>
      </c>
      <c r="I88" s="18">
        <v>809.85</v>
      </c>
      <c r="J88" s="18">
        <v>14</v>
      </c>
      <c r="K88" s="19">
        <v>57.8464285714286</v>
      </c>
      <c r="L88" s="20">
        <v>1.15692857142857</v>
      </c>
      <c r="M88" s="21">
        <v>51.5</v>
      </c>
      <c r="N88" s="21">
        <v>66.24</v>
      </c>
      <c r="O88" s="21">
        <v>55.76</v>
      </c>
      <c r="P88" s="21">
        <v>53.43</v>
      </c>
      <c r="Q88" s="21">
        <v>62.24</v>
      </c>
      <c r="R88" s="21">
        <v>58.1</v>
      </c>
      <c r="S88" s="21">
        <v>52.54</v>
      </c>
      <c r="T88" s="21">
        <v>58.78</v>
      </c>
      <c r="U88" s="21">
        <v>55.88</v>
      </c>
      <c r="V88" s="21">
        <v>58.06</v>
      </c>
      <c r="W88" s="21">
        <v>57.75</v>
      </c>
      <c r="X88" s="21">
        <v>60.9</v>
      </c>
      <c r="Y88" s="21">
        <v>53.85</v>
      </c>
      <c r="Z88" s="21">
        <v>64.82</v>
      </c>
      <c r="AA88" s="15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15"/>
      <c r="AP88" s="15"/>
      <c r="AQ88" s="15"/>
    </row>
    <row r="89" spans="1:43">
      <c r="A89" s="15" t="s">
        <v>49</v>
      </c>
      <c r="B89" s="15" t="s">
        <v>50</v>
      </c>
      <c r="C89" s="15" t="s">
        <v>61</v>
      </c>
      <c r="D89" s="15" t="s">
        <v>299</v>
      </c>
      <c r="E89" s="15" t="s">
        <v>300</v>
      </c>
      <c r="F89" s="16">
        <v>0</v>
      </c>
      <c r="G89" s="15" t="s">
        <v>300</v>
      </c>
      <c r="H89" s="15" t="s">
        <v>54</v>
      </c>
      <c r="I89" s="18">
        <v>0</v>
      </c>
      <c r="J89" s="18">
        <v>0</v>
      </c>
      <c r="K89" s="19">
        <v>0</v>
      </c>
      <c r="L89" s="20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15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15"/>
      <c r="AP89" s="15"/>
      <c r="AQ89" s="15"/>
    </row>
    <row r="90" spans="1:43">
      <c r="A90" s="15" t="s">
        <v>49</v>
      </c>
      <c r="B90" s="15" t="s">
        <v>50</v>
      </c>
      <c r="C90" s="15" t="s">
        <v>301</v>
      </c>
      <c r="D90" s="15" t="s">
        <v>302</v>
      </c>
      <c r="E90" s="15" t="s">
        <v>303</v>
      </c>
      <c r="F90" s="16">
        <v>44954.7262152778</v>
      </c>
      <c r="G90" s="15" t="s">
        <v>303</v>
      </c>
      <c r="H90" s="15" t="s">
        <v>54</v>
      </c>
      <c r="I90" s="18">
        <v>0</v>
      </c>
      <c r="J90" s="18">
        <v>0</v>
      </c>
      <c r="K90" s="19">
        <v>0</v>
      </c>
      <c r="L90" s="20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15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15"/>
      <c r="AP90" s="15"/>
      <c r="AQ90" s="15"/>
    </row>
    <row r="91" spans="1:43">
      <c r="A91" s="15" t="s">
        <v>43</v>
      </c>
      <c r="B91" s="15" t="s">
        <v>44</v>
      </c>
      <c r="C91" s="15" t="s">
        <v>45</v>
      </c>
      <c r="D91" s="15" t="s">
        <v>304</v>
      </c>
      <c r="E91" s="15" t="s">
        <v>305</v>
      </c>
      <c r="F91" s="16">
        <v>42269.4488541667</v>
      </c>
      <c r="G91" s="15" t="s">
        <v>305</v>
      </c>
      <c r="H91" s="15" t="s">
        <v>306</v>
      </c>
      <c r="I91" s="18">
        <v>0</v>
      </c>
      <c r="J91" s="18">
        <v>0</v>
      </c>
      <c r="K91" s="19">
        <v>0</v>
      </c>
      <c r="L91" s="20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15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15"/>
      <c r="AP91" s="15"/>
      <c r="AQ91" s="15"/>
    </row>
    <row r="92" spans="1:43">
      <c r="A92" s="15" t="s">
        <v>43</v>
      </c>
      <c r="B92" s="15" t="s">
        <v>44</v>
      </c>
      <c r="C92" s="15" t="s">
        <v>45</v>
      </c>
      <c r="D92" s="15" t="s">
        <v>307</v>
      </c>
      <c r="E92" s="15" t="s">
        <v>308</v>
      </c>
      <c r="F92" s="16">
        <v>41421.6782291667</v>
      </c>
      <c r="G92" s="15" t="s">
        <v>308</v>
      </c>
      <c r="H92" s="15" t="s">
        <v>309</v>
      </c>
      <c r="I92" s="18">
        <v>0</v>
      </c>
      <c r="J92" s="18">
        <v>0</v>
      </c>
      <c r="K92" s="19">
        <v>0</v>
      </c>
      <c r="L92" s="20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15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15"/>
      <c r="AP92" s="15"/>
      <c r="AQ92" s="15"/>
    </row>
    <row r="93" spans="1:43">
      <c r="A93" s="15" t="s">
        <v>43</v>
      </c>
      <c r="B93" s="15" t="s">
        <v>44</v>
      </c>
      <c r="C93" s="15" t="s">
        <v>45</v>
      </c>
      <c r="D93" s="15" t="s">
        <v>310</v>
      </c>
      <c r="E93" s="15" t="s">
        <v>311</v>
      </c>
      <c r="F93" s="16">
        <v>42180.4025694444</v>
      </c>
      <c r="G93" s="15" t="s">
        <v>311</v>
      </c>
      <c r="H93" s="15" t="s">
        <v>312</v>
      </c>
      <c r="I93" s="18">
        <v>0</v>
      </c>
      <c r="J93" s="18">
        <v>0</v>
      </c>
      <c r="K93" s="19">
        <v>0</v>
      </c>
      <c r="L93" s="20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15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15"/>
      <c r="AP93" s="15"/>
      <c r="AQ93" s="15"/>
    </row>
    <row r="94" spans="1:43">
      <c r="A94" s="15" t="s">
        <v>49</v>
      </c>
      <c r="B94" s="15" t="s">
        <v>50</v>
      </c>
      <c r="C94" s="15" t="s">
        <v>61</v>
      </c>
      <c r="D94" s="15" t="s">
        <v>313</v>
      </c>
      <c r="E94" s="15" t="s">
        <v>314</v>
      </c>
      <c r="F94" s="16">
        <v>0</v>
      </c>
      <c r="G94" s="15" t="s">
        <v>314</v>
      </c>
      <c r="H94" s="15" t="s">
        <v>54</v>
      </c>
      <c r="I94" s="18">
        <v>0</v>
      </c>
      <c r="J94" s="18">
        <v>0</v>
      </c>
      <c r="K94" s="19">
        <v>0</v>
      </c>
      <c r="L94" s="20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15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15"/>
      <c r="AP94" s="15"/>
      <c r="AQ94" s="15"/>
    </row>
    <row r="95" spans="1:43">
      <c r="A95" s="15" t="s">
        <v>49</v>
      </c>
      <c r="B95" s="15" t="s">
        <v>50</v>
      </c>
      <c r="C95" s="15" t="s">
        <v>61</v>
      </c>
      <c r="D95" s="15" t="s">
        <v>315</v>
      </c>
      <c r="E95" s="15" t="s">
        <v>316</v>
      </c>
      <c r="F95" s="16">
        <v>0</v>
      </c>
      <c r="G95" s="15" t="s">
        <v>316</v>
      </c>
      <c r="H95" s="15" t="s">
        <v>317</v>
      </c>
      <c r="I95" s="18">
        <v>0</v>
      </c>
      <c r="J95" s="18">
        <v>0</v>
      </c>
      <c r="K95" s="19">
        <v>0</v>
      </c>
      <c r="L95" s="20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15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15"/>
      <c r="AP95" s="15"/>
      <c r="AQ95" s="15"/>
    </row>
    <row r="96" spans="1:43">
      <c r="A96" s="15" t="s">
        <v>43</v>
      </c>
      <c r="B96" s="15" t="s">
        <v>44</v>
      </c>
      <c r="C96" s="15" t="s">
        <v>45</v>
      </c>
      <c r="D96" s="15" t="s">
        <v>318</v>
      </c>
      <c r="E96" s="15" t="s">
        <v>319</v>
      </c>
      <c r="F96" s="16">
        <v>41891.7189467593</v>
      </c>
      <c r="G96" s="15" t="s">
        <v>319</v>
      </c>
      <c r="H96" s="15" t="s">
        <v>320</v>
      </c>
      <c r="I96" s="18">
        <v>0</v>
      </c>
      <c r="J96" s="18">
        <v>0</v>
      </c>
      <c r="K96" s="19">
        <v>0</v>
      </c>
      <c r="L96" s="20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15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15"/>
      <c r="AP96" s="15"/>
      <c r="AQ96" s="15"/>
    </row>
    <row r="97" spans="1:43">
      <c r="A97" s="15" t="s">
        <v>49</v>
      </c>
      <c r="B97" s="15" t="s">
        <v>50</v>
      </c>
      <c r="C97" s="15" t="s">
        <v>301</v>
      </c>
      <c r="D97" s="15" t="s">
        <v>321</v>
      </c>
      <c r="E97" s="15" t="s">
        <v>322</v>
      </c>
      <c r="F97" s="16">
        <v>44992.6024074074</v>
      </c>
      <c r="G97" s="15" t="s">
        <v>322</v>
      </c>
      <c r="H97" s="15" t="s">
        <v>54</v>
      </c>
      <c r="I97" s="18">
        <v>0</v>
      </c>
      <c r="J97" s="18">
        <v>0</v>
      </c>
      <c r="K97" s="19">
        <v>0</v>
      </c>
      <c r="L97" s="20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15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15"/>
      <c r="AP97" s="15"/>
      <c r="AQ97" s="15"/>
    </row>
    <row r="98" spans="1:43">
      <c r="A98" s="15" t="s">
        <v>49</v>
      </c>
      <c r="B98" s="15" t="s">
        <v>50</v>
      </c>
      <c r="C98" s="15" t="s">
        <v>61</v>
      </c>
      <c r="D98" s="15" t="s">
        <v>323</v>
      </c>
      <c r="E98" s="15" t="s">
        <v>324</v>
      </c>
      <c r="F98" s="16">
        <v>0</v>
      </c>
      <c r="G98" s="15" t="s">
        <v>324</v>
      </c>
      <c r="H98" s="15" t="s">
        <v>54</v>
      </c>
      <c r="I98" s="18">
        <v>0</v>
      </c>
      <c r="J98" s="18">
        <v>0</v>
      </c>
      <c r="K98" s="19">
        <v>0</v>
      </c>
      <c r="L98" s="20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15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15"/>
      <c r="AP98" s="15"/>
      <c r="AQ98" s="15"/>
    </row>
    <row r="99" spans="1:43">
      <c r="A99" s="15" t="s">
        <v>43</v>
      </c>
      <c r="B99" s="15" t="s">
        <v>44</v>
      </c>
      <c r="C99" s="15" t="s">
        <v>45</v>
      </c>
      <c r="D99" s="15" t="s">
        <v>325</v>
      </c>
      <c r="E99" s="15" t="s">
        <v>326</v>
      </c>
      <c r="F99" s="16">
        <v>41768.6316550926</v>
      </c>
      <c r="G99" s="15" t="s">
        <v>326</v>
      </c>
      <c r="H99" s="15" t="s">
        <v>327</v>
      </c>
      <c r="I99" s="18">
        <v>0</v>
      </c>
      <c r="J99" s="18">
        <v>0</v>
      </c>
      <c r="K99" s="19">
        <v>0</v>
      </c>
      <c r="L99" s="20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15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15"/>
      <c r="AP99" s="15"/>
      <c r="AQ99" s="15"/>
    </row>
    <row r="100" spans="1:43">
      <c r="A100" s="15" t="s">
        <v>49</v>
      </c>
      <c r="B100" s="15" t="s">
        <v>50</v>
      </c>
      <c r="C100" s="15" t="s">
        <v>61</v>
      </c>
      <c r="D100" s="15" t="s">
        <v>328</v>
      </c>
      <c r="E100" s="15" t="s">
        <v>329</v>
      </c>
      <c r="F100" s="16">
        <v>0</v>
      </c>
      <c r="G100" s="15" t="s">
        <v>329</v>
      </c>
      <c r="H100" s="15" t="s">
        <v>107</v>
      </c>
      <c r="I100" s="18">
        <v>0</v>
      </c>
      <c r="J100" s="18">
        <v>0</v>
      </c>
      <c r="K100" s="19">
        <v>0</v>
      </c>
      <c r="L100" s="20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15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15"/>
      <c r="AP100" s="15"/>
      <c r="AQ100" s="15"/>
    </row>
    <row r="101" spans="1:43">
      <c r="A101" s="15" t="s">
        <v>43</v>
      </c>
      <c r="B101" s="15" t="s">
        <v>44</v>
      </c>
      <c r="C101" s="15" t="s">
        <v>45</v>
      </c>
      <c r="D101" s="15" t="s">
        <v>330</v>
      </c>
      <c r="E101" s="15" t="s">
        <v>331</v>
      </c>
      <c r="F101" s="16">
        <v>43048.7263425926</v>
      </c>
      <c r="G101" s="15" t="s">
        <v>331</v>
      </c>
      <c r="H101" s="15" t="s">
        <v>332</v>
      </c>
      <c r="I101" s="18">
        <v>0</v>
      </c>
      <c r="J101" s="18">
        <v>0</v>
      </c>
      <c r="K101" s="19">
        <v>0</v>
      </c>
      <c r="L101" s="20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15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15"/>
      <c r="AP101" s="15"/>
      <c r="AQ101" s="15"/>
    </row>
    <row r="102" spans="1:43">
      <c r="A102" s="15" t="s">
        <v>49</v>
      </c>
      <c r="B102" s="15" t="s">
        <v>50</v>
      </c>
      <c r="C102" s="15" t="s">
        <v>61</v>
      </c>
      <c r="D102" s="15" t="s">
        <v>333</v>
      </c>
      <c r="E102" s="15" t="s">
        <v>334</v>
      </c>
      <c r="F102" s="16">
        <v>0</v>
      </c>
      <c r="G102" s="15" t="s">
        <v>334</v>
      </c>
      <c r="H102" s="15" t="s">
        <v>335</v>
      </c>
      <c r="I102" s="18">
        <v>0</v>
      </c>
      <c r="J102" s="18">
        <v>0</v>
      </c>
      <c r="K102" s="19">
        <v>0</v>
      </c>
      <c r="L102" s="20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15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15"/>
      <c r="AP102" s="15"/>
      <c r="AQ102" s="15"/>
    </row>
    <row r="103" spans="1:43">
      <c r="A103" s="15" t="s">
        <v>43</v>
      </c>
      <c r="B103" s="15" t="s">
        <v>44</v>
      </c>
      <c r="C103" s="15" t="s">
        <v>45</v>
      </c>
      <c r="D103" s="15" t="s">
        <v>336</v>
      </c>
      <c r="E103" s="15" t="s">
        <v>337</v>
      </c>
      <c r="F103" s="16">
        <v>41702.7198842593</v>
      </c>
      <c r="G103" s="15" t="s">
        <v>337</v>
      </c>
      <c r="H103" s="15" t="s">
        <v>338</v>
      </c>
      <c r="I103" s="18">
        <v>0</v>
      </c>
      <c r="J103" s="18">
        <v>0</v>
      </c>
      <c r="K103" s="19">
        <v>0</v>
      </c>
      <c r="L103" s="20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15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15"/>
      <c r="AP103" s="15"/>
      <c r="AQ103" s="15"/>
    </row>
    <row r="104" spans="1:43">
      <c r="A104" s="15" t="s">
        <v>43</v>
      </c>
      <c r="B104" s="15" t="s">
        <v>44</v>
      </c>
      <c r="C104" s="15" t="s">
        <v>45</v>
      </c>
      <c r="D104" s="15" t="s">
        <v>339</v>
      </c>
      <c r="E104" s="15" t="s">
        <v>340</v>
      </c>
      <c r="F104" s="16">
        <v>44653.7123958333</v>
      </c>
      <c r="G104" s="15" t="s">
        <v>340</v>
      </c>
      <c r="H104" s="15" t="s">
        <v>54</v>
      </c>
      <c r="I104" s="18">
        <v>0</v>
      </c>
      <c r="J104" s="18">
        <v>0</v>
      </c>
      <c r="K104" s="19">
        <v>0</v>
      </c>
      <c r="L104" s="20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15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15"/>
      <c r="AP104" s="15"/>
      <c r="AQ104" s="15"/>
    </row>
    <row r="105" spans="1:43">
      <c r="A105" s="15" t="s">
        <v>43</v>
      </c>
      <c r="B105" s="15" t="s">
        <v>44</v>
      </c>
      <c r="C105" s="15" t="s">
        <v>45</v>
      </c>
      <c r="D105" s="15" t="s">
        <v>341</v>
      </c>
      <c r="E105" s="15" t="s">
        <v>342</v>
      </c>
      <c r="F105" s="16">
        <v>43446.6081018519</v>
      </c>
      <c r="G105" s="15" t="s">
        <v>342</v>
      </c>
      <c r="H105" s="15" t="s">
        <v>343</v>
      </c>
      <c r="I105" s="18">
        <v>0</v>
      </c>
      <c r="J105" s="18">
        <v>0</v>
      </c>
      <c r="K105" s="19">
        <v>0</v>
      </c>
      <c r="L105" s="20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15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15"/>
      <c r="AP105" s="15"/>
      <c r="AQ105" s="15"/>
    </row>
    <row r="106" spans="1:43">
      <c r="A106" s="15" t="s">
        <v>43</v>
      </c>
      <c r="B106" s="15" t="s">
        <v>44</v>
      </c>
      <c r="C106" s="15" t="s">
        <v>45</v>
      </c>
      <c r="D106" s="15" t="s">
        <v>344</v>
      </c>
      <c r="E106" s="15" t="s">
        <v>345</v>
      </c>
      <c r="F106" s="16">
        <v>41773.5850115741</v>
      </c>
      <c r="G106" s="15" t="s">
        <v>345</v>
      </c>
      <c r="H106" s="15" t="s">
        <v>346</v>
      </c>
      <c r="I106" s="18">
        <v>0</v>
      </c>
      <c r="J106" s="18">
        <v>0</v>
      </c>
      <c r="K106" s="19">
        <v>0</v>
      </c>
      <c r="L106" s="20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15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15"/>
      <c r="AP106" s="15"/>
      <c r="AQ106" s="15"/>
    </row>
    <row r="107" spans="1:43">
      <c r="A107" s="15" t="s">
        <v>64</v>
      </c>
      <c r="B107" s="15" t="s">
        <v>65</v>
      </c>
      <c r="C107" s="15" t="s">
        <v>93</v>
      </c>
      <c r="D107" s="15" t="s">
        <v>347</v>
      </c>
      <c r="E107" s="15" t="s">
        <v>348</v>
      </c>
      <c r="F107" s="16">
        <v>44853.5827199074</v>
      </c>
      <c r="G107" s="15" t="s">
        <v>348</v>
      </c>
      <c r="H107" s="15" t="s">
        <v>349</v>
      </c>
      <c r="I107" s="18">
        <v>2313.09</v>
      </c>
      <c r="J107" s="18">
        <v>14</v>
      </c>
      <c r="K107" s="19">
        <v>165.220714285714</v>
      </c>
      <c r="L107" s="20">
        <v>2.36029591836735</v>
      </c>
      <c r="M107" s="21">
        <v>166.52</v>
      </c>
      <c r="N107" s="21">
        <v>203.66</v>
      </c>
      <c r="O107" s="21">
        <v>218.8</v>
      </c>
      <c r="P107" s="21">
        <v>225.24</v>
      </c>
      <c r="Q107" s="21">
        <v>79.56</v>
      </c>
      <c r="R107" s="21">
        <v>85.02</v>
      </c>
      <c r="S107" s="21">
        <v>181.19</v>
      </c>
      <c r="T107" s="21">
        <v>158.72</v>
      </c>
      <c r="U107" s="21">
        <v>160.5</v>
      </c>
      <c r="V107" s="21">
        <v>197.45</v>
      </c>
      <c r="W107" s="21">
        <v>202.09</v>
      </c>
      <c r="X107" s="21">
        <v>113.2</v>
      </c>
      <c r="Y107" s="21">
        <v>90.8</v>
      </c>
      <c r="Z107" s="21">
        <v>230.34</v>
      </c>
      <c r="AA107" s="15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15"/>
      <c r="AP107" s="15"/>
      <c r="AQ107" s="15"/>
    </row>
    <row r="108" spans="1:43">
      <c r="A108" s="15" t="s">
        <v>43</v>
      </c>
      <c r="B108" s="15" t="s">
        <v>44</v>
      </c>
      <c r="C108" s="15" t="s">
        <v>45</v>
      </c>
      <c r="D108" s="15" t="s">
        <v>350</v>
      </c>
      <c r="E108" s="15" t="s">
        <v>351</v>
      </c>
      <c r="F108" s="16">
        <v>41996.666400463</v>
      </c>
      <c r="G108" s="15" t="s">
        <v>351</v>
      </c>
      <c r="H108" s="15" t="s">
        <v>352</v>
      </c>
      <c r="I108" s="18">
        <v>0</v>
      </c>
      <c r="J108" s="18">
        <v>0</v>
      </c>
      <c r="K108" s="19">
        <v>0</v>
      </c>
      <c r="L108" s="20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15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15"/>
      <c r="AP108" s="15"/>
      <c r="AQ108" s="15"/>
    </row>
    <row r="109" spans="1:43">
      <c r="A109" s="15" t="s">
        <v>43</v>
      </c>
      <c r="B109" s="15" t="s">
        <v>44</v>
      </c>
      <c r="C109" s="15" t="s">
        <v>45</v>
      </c>
      <c r="D109" s="15" t="s">
        <v>353</v>
      </c>
      <c r="E109" s="15" t="s">
        <v>354</v>
      </c>
      <c r="F109" s="16">
        <v>43668.7009143519</v>
      </c>
      <c r="G109" s="15" t="s">
        <v>354</v>
      </c>
      <c r="H109" s="15" t="s">
        <v>355</v>
      </c>
      <c r="I109" s="18">
        <v>0</v>
      </c>
      <c r="J109" s="18">
        <v>0</v>
      </c>
      <c r="K109" s="19">
        <v>0</v>
      </c>
      <c r="L109" s="20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15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15"/>
      <c r="AP109" s="15"/>
      <c r="AQ109" s="15"/>
    </row>
    <row r="110" spans="1:43">
      <c r="A110" s="15" t="s">
        <v>43</v>
      </c>
      <c r="B110" s="15" t="s">
        <v>44</v>
      </c>
      <c r="C110" s="15" t="s">
        <v>45</v>
      </c>
      <c r="D110" s="15" t="s">
        <v>356</v>
      </c>
      <c r="E110" s="15" t="s">
        <v>357</v>
      </c>
      <c r="F110" s="16">
        <v>41044.6466666667</v>
      </c>
      <c r="G110" s="15" t="s">
        <v>357</v>
      </c>
      <c r="H110" s="15" t="s">
        <v>358</v>
      </c>
      <c r="I110" s="18">
        <v>0</v>
      </c>
      <c r="J110" s="18">
        <v>0</v>
      </c>
      <c r="K110" s="19">
        <v>0</v>
      </c>
      <c r="L110" s="20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15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15"/>
      <c r="AP110" s="15"/>
      <c r="AQ110" s="15"/>
    </row>
    <row r="111" spans="1:43">
      <c r="A111" s="15" t="s">
        <v>43</v>
      </c>
      <c r="B111" s="15" t="s">
        <v>44</v>
      </c>
      <c r="C111" s="15" t="s">
        <v>45</v>
      </c>
      <c r="D111" s="15" t="s">
        <v>359</v>
      </c>
      <c r="E111" s="15" t="s">
        <v>360</v>
      </c>
      <c r="F111" s="16">
        <v>41928.6757523148</v>
      </c>
      <c r="G111" s="15" t="s">
        <v>360</v>
      </c>
      <c r="H111" s="15" t="s">
        <v>361</v>
      </c>
      <c r="I111" s="18">
        <v>0</v>
      </c>
      <c r="J111" s="18">
        <v>0</v>
      </c>
      <c r="K111" s="19">
        <v>0</v>
      </c>
      <c r="L111" s="20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15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15"/>
      <c r="AP111" s="15"/>
      <c r="AQ111" s="15"/>
    </row>
    <row r="112" spans="1:43">
      <c r="A112" s="15" t="s">
        <v>43</v>
      </c>
      <c r="B112" s="15" t="s">
        <v>44</v>
      </c>
      <c r="C112" s="15" t="s">
        <v>45</v>
      </c>
      <c r="D112" s="15" t="s">
        <v>362</v>
      </c>
      <c r="E112" s="15" t="s">
        <v>363</v>
      </c>
      <c r="F112" s="16">
        <v>42779.657974537</v>
      </c>
      <c r="G112" s="15" t="s">
        <v>363</v>
      </c>
      <c r="H112" s="15" t="s">
        <v>364</v>
      </c>
      <c r="I112" s="18">
        <v>0</v>
      </c>
      <c r="J112" s="18">
        <v>0</v>
      </c>
      <c r="K112" s="19">
        <v>0</v>
      </c>
      <c r="L112" s="20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15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15"/>
      <c r="AP112" s="15"/>
      <c r="AQ112" s="15"/>
    </row>
    <row r="113" spans="1:43">
      <c r="A113" s="15" t="s">
        <v>43</v>
      </c>
      <c r="B113" s="15" t="s">
        <v>44</v>
      </c>
      <c r="C113" s="15" t="s">
        <v>45</v>
      </c>
      <c r="D113" s="15" t="s">
        <v>365</v>
      </c>
      <c r="E113" s="15" t="s">
        <v>366</v>
      </c>
      <c r="F113" s="16">
        <v>42793.6944907407</v>
      </c>
      <c r="G113" s="15" t="s">
        <v>366</v>
      </c>
      <c r="H113" s="15" t="s">
        <v>367</v>
      </c>
      <c r="I113" s="18">
        <v>0</v>
      </c>
      <c r="J113" s="18">
        <v>0</v>
      </c>
      <c r="K113" s="19">
        <v>0</v>
      </c>
      <c r="L113" s="20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15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15"/>
      <c r="AP113" s="15"/>
      <c r="AQ113" s="15"/>
    </row>
    <row r="114" spans="1:43">
      <c r="A114" s="15" t="s">
        <v>43</v>
      </c>
      <c r="B114" s="15" t="s">
        <v>44</v>
      </c>
      <c r="C114" s="15" t="s">
        <v>228</v>
      </c>
      <c r="D114" s="15" t="s">
        <v>368</v>
      </c>
      <c r="E114" s="15" t="s">
        <v>369</v>
      </c>
      <c r="F114" s="16">
        <v>43608.709537037</v>
      </c>
      <c r="G114" s="15" t="s">
        <v>369</v>
      </c>
      <c r="H114" s="15" t="s">
        <v>370</v>
      </c>
      <c r="I114" s="18">
        <v>0</v>
      </c>
      <c r="J114" s="18">
        <v>0</v>
      </c>
      <c r="K114" s="19">
        <v>0</v>
      </c>
      <c r="L114" s="20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15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15"/>
      <c r="AP114" s="15"/>
      <c r="AQ114" s="15"/>
    </row>
    <row r="115" spans="1:43">
      <c r="A115" s="15" t="s">
        <v>49</v>
      </c>
      <c r="B115" s="15" t="s">
        <v>50</v>
      </c>
      <c r="C115" s="15" t="s">
        <v>61</v>
      </c>
      <c r="D115" s="15" t="s">
        <v>371</v>
      </c>
      <c r="E115" s="15" t="s">
        <v>372</v>
      </c>
      <c r="F115" s="16">
        <v>0</v>
      </c>
      <c r="G115" s="15" t="s">
        <v>372</v>
      </c>
      <c r="H115" s="15" t="s">
        <v>54</v>
      </c>
      <c r="I115" s="18">
        <v>0</v>
      </c>
      <c r="J115" s="18">
        <v>0</v>
      </c>
      <c r="K115" s="19">
        <v>0</v>
      </c>
      <c r="L115" s="20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15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15"/>
      <c r="AP115" s="15"/>
      <c r="AQ115" s="15"/>
    </row>
    <row r="116" spans="1:43">
      <c r="A116" s="15" t="s">
        <v>49</v>
      </c>
      <c r="B116" s="15" t="s">
        <v>50</v>
      </c>
      <c r="C116" s="15" t="s">
        <v>61</v>
      </c>
      <c r="D116" s="15" t="s">
        <v>373</v>
      </c>
      <c r="E116" s="15" t="s">
        <v>374</v>
      </c>
      <c r="F116" s="16">
        <v>0</v>
      </c>
      <c r="G116" s="15" t="s">
        <v>374</v>
      </c>
      <c r="H116" s="15" t="s">
        <v>54</v>
      </c>
      <c r="I116" s="18">
        <v>0</v>
      </c>
      <c r="J116" s="18">
        <v>0</v>
      </c>
      <c r="K116" s="19">
        <v>0</v>
      </c>
      <c r="L116" s="20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15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15"/>
      <c r="AP116" s="15"/>
      <c r="AQ116" s="15"/>
    </row>
    <row r="117" spans="1:43">
      <c r="A117" s="15" t="s">
        <v>43</v>
      </c>
      <c r="B117" s="15" t="s">
        <v>44</v>
      </c>
      <c r="C117" s="15" t="s">
        <v>45</v>
      </c>
      <c r="D117" s="15" t="s">
        <v>375</v>
      </c>
      <c r="E117" s="15" t="s">
        <v>376</v>
      </c>
      <c r="F117" s="16">
        <v>41971.5948263889</v>
      </c>
      <c r="G117" s="15" t="s">
        <v>376</v>
      </c>
      <c r="H117" s="15" t="s">
        <v>377</v>
      </c>
      <c r="I117" s="18">
        <v>0</v>
      </c>
      <c r="J117" s="18">
        <v>0</v>
      </c>
      <c r="K117" s="19">
        <v>0</v>
      </c>
      <c r="L117" s="20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15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15"/>
      <c r="AP117" s="15"/>
      <c r="AQ117" s="15"/>
    </row>
    <row r="118" spans="1:43">
      <c r="A118" s="15" t="s">
        <v>43</v>
      </c>
      <c r="B118" s="15" t="s">
        <v>44</v>
      </c>
      <c r="C118" s="15" t="s">
        <v>45</v>
      </c>
      <c r="D118" s="15" t="s">
        <v>378</v>
      </c>
      <c r="E118" s="15" t="s">
        <v>379</v>
      </c>
      <c r="F118" s="16">
        <v>42598.6064814815</v>
      </c>
      <c r="G118" s="15" t="s">
        <v>379</v>
      </c>
      <c r="H118" s="15" t="s">
        <v>380</v>
      </c>
      <c r="I118" s="18">
        <v>0</v>
      </c>
      <c r="J118" s="18">
        <v>0</v>
      </c>
      <c r="K118" s="19">
        <v>0</v>
      </c>
      <c r="L118" s="20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15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15"/>
      <c r="AP118" s="15"/>
      <c r="AQ118" s="15"/>
    </row>
    <row r="119" spans="1:43">
      <c r="A119" s="15" t="s">
        <v>49</v>
      </c>
      <c r="B119" s="15" t="s">
        <v>50</v>
      </c>
      <c r="C119" s="15" t="s">
        <v>301</v>
      </c>
      <c r="D119" s="15" t="s">
        <v>381</v>
      </c>
      <c r="E119" s="15" t="s">
        <v>382</v>
      </c>
      <c r="F119" s="16">
        <v>44924.6868981482</v>
      </c>
      <c r="G119" s="15" t="s">
        <v>382</v>
      </c>
      <c r="H119" s="15" t="s">
        <v>54</v>
      </c>
      <c r="I119" s="18">
        <v>0</v>
      </c>
      <c r="J119" s="18">
        <v>0</v>
      </c>
      <c r="K119" s="19">
        <v>0</v>
      </c>
      <c r="L119" s="20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15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15"/>
      <c r="AP119" s="15"/>
      <c r="AQ119" s="15"/>
    </row>
    <row r="120" spans="1:43">
      <c r="A120" s="15" t="s">
        <v>43</v>
      </c>
      <c r="B120" s="15" t="s">
        <v>44</v>
      </c>
      <c r="C120" s="15" t="s">
        <v>45</v>
      </c>
      <c r="D120" s="15" t="s">
        <v>383</v>
      </c>
      <c r="E120" s="15" t="s">
        <v>384</v>
      </c>
      <c r="F120" s="16">
        <v>43091.4668402778</v>
      </c>
      <c r="G120" s="15" t="s">
        <v>384</v>
      </c>
      <c r="H120" s="15" t="s">
        <v>385</v>
      </c>
      <c r="I120" s="18">
        <v>0</v>
      </c>
      <c r="J120" s="18">
        <v>0</v>
      </c>
      <c r="K120" s="19">
        <v>0</v>
      </c>
      <c r="L120" s="20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15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15"/>
      <c r="AP120" s="15"/>
      <c r="AQ120" s="15"/>
    </row>
    <row r="121" spans="1:43">
      <c r="A121" s="15" t="s">
        <v>49</v>
      </c>
      <c r="B121" s="15" t="s">
        <v>50</v>
      </c>
      <c r="C121" s="15" t="s">
        <v>61</v>
      </c>
      <c r="D121" s="15" t="s">
        <v>386</v>
      </c>
      <c r="E121" s="15" t="s">
        <v>387</v>
      </c>
      <c r="F121" s="16">
        <v>0</v>
      </c>
      <c r="G121" s="15" t="s">
        <v>387</v>
      </c>
      <c r="H121" s="15" t="s">
        <v>388</v>
      </c>
      <c r="I121" s="18">
        <v>0</v>
      </c>
      <c r="J121" s="18">
        <v>0</v>
      </c>
      <c r="K121" s="19">
        <v>0</v>
      </c>
      <c r="L121" s="20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15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15"/>
      <c r="AP121" s="15"/>
      <c r="AQ121" s="15"/>
    </row>
    <row r="122" spans="1:43">
      <c r="A122" s="15" t="s">
        <v>43</v>
      </c>
      <c r="B122" s="15" t="s">
        <v>44</v>
      </c>
      <c r="C122" s="15" t="s">
        <v>45</v>
      </c>
      <c r="D122" s="15" t="s">
        <v>389</v>
      </c>
      <c r="E122" s="15" t="s">
        <v>390</v>
      </c>
      <c r="F122" s="16">
        <v>43278.7521412037</v>
      </c>
      <c r="G122" s="15" t="s">
        <v>390</v>
      </c>
      <c r="H122" s="15" t="s">
        <v>391</v>
      </c>
      <c r="I122" s="18">
        <v>0</v>
      </c>
      <c r="J122" s="18">
        <v>0</v>
      </c>
      <c r="K122" s="19">
        <v>0</v>
      </c>
      <c r="L122" s="20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15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15"/>
      <c r="AP122" s="15"/>
      <c r="AQ122" s="15"/>
    </row>
    <row r="123" spans="1:43">
      <c r="A123" s="15" t="s">
        <v>43</v>
      </c>
      <c r="B123" s="15" t="s">
        <v>44</v>
      </c>
      <c r="C123" s="15" t="s">
        <v>45</v>
      </c>
      <c r="D123" s="15" t="s">
        <v>392</v>
      </c>
      <c r="E123" s="15" t="s">
        <v>393</v>
      </c>
      <c r="F123" s="16">
        <v>42438.4032175926</v>
      </c>
      <c r="G123" s="15" t="s">
        <v>393</v>
      </c>
      <c r="H123" s="15" t="s">
        <v>394</v>
      </c>
      <c r="I123" s="18">
        <v>0</v>
      </c>
      <c r="J123" s="18">
        <v>0</v>
      </c>
      <c r="K123" s="19">
        <v>0</v>
      </c>
      <c r="L123" s="20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15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15"/>
      <c r="AP123" s="15"/>
      <c r="AQ123" s="15"/>
    </row>
    <row r="124" spans="1:43">
      <c r="A124" s="15" t="s">
        <v>43</v>
      </c>
      <c r="B124" s="15" t="s">
        <v>44</v>
      </c>
      <c r="C124" s="15" t="s">
        <v>45</v>
      </c>
      <c r="D124" s="15" t="s">
        <v>395</v>
      </c>
      <c r="E124" s="15" t="s">
        <v>396</v>
      </c>
      <c r="F124" s="16">
        <v>41486.7108101852</v>
      </c>
      <c r="G124" s="15" t="s">
        <v>396</v>
      </c>
      <c r="H124" s="15" t="s">
        <v>397</v>
      </c>
      <c r="I124" s="18">
        <v>0</v>
      </c>
      <c r="J124" s="18">
        <v>0</v>
      </c>
      <c r="K124" s="19">
        <v>0</v>
      </c>
      <c r="L124" s="20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15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15"/>
      <c r="AP124" s="15"/>
      <c r="AQ124" s="15"/>
    </row>
    <row r="125" spans="1:43">
      <c r="A125" s="15" t="s">
        <v>43</v>
      </c>
      <c r="B125" s="15" t="s">
        <v>44</v>
      </c>
      <c r="C125" s="15" t="s">
        <v>45</v>
      </c>
      <c r="D125" s="15" t="s">
        <v>398</v>
      </c>
      <c r="E125" s="15" t="s">
        <v>399</v>
      </c>
      <c r="F125" s="16">
        <v>43957.449375</v>
      </c>
      <c r="G125" s="15" t="s">
        <v>399</v>
      </c>
      <c r="H125" s="15" t="s">
        <v>400</v>
      </c>
      <c r="I125" s="18">
        <v>0</v>
      </c>
      <c r="J125" s="18">
        <v>0</v>
      </c>
      <c r="K125" s="19">
        <v>0</v>
      </c>
      <c r="L125" s="20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15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15"/>
      <c r="AP125" s="15"/>
      <c r="AQ125" s="15"/>
    </row>
    <row r="126" spans="1:43">
      <c r="A126" s="15" t="s">
        <v>64</v>
      </c>
      <c r="B126" s="15" t="s">
        <v>65</v>
      </c>
      <c r="C126" s="15" t="s">
        <v>401</v>
      </c>
      <c r="D126" s="15" t="s">
        <v>402</v>
      </c>
      <c r="E126" s="15" t="s">
        <v>403</v>
      </c>
      <c r="F126" s="16">
        <v>45142.6664351852</v>
      </c>
      <c r="G126" s="15" t="s">
        <v>403</v>
      </c>
      <c r="H126" s="15" t="s">
        <v>54</v>
      </c>
      <c r="I126" s="18">
        <v>0</v>
      </c>
      <c r="J126" s="18">
        <v>0</v>
      </c>
      <c r="K126" s="19">
        <v>0</v>
      </c>
      <c r="L126" s="20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15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15"/>
      <c r="AP126" s="15"/>
      <c r="AQ126" s="15"/>
    </row>
    <row r="127" spans="1:43">
      <c r="A127" s="15" t="s">
        <v>49</v>
      </c>
      <c r="B127" s="15" t="s">
        <v>50</v>
      </c>
      <c r="C127" s="15" t="s">
        <v>75</v>
      </c>
      <c r="D127" s="15" t="s">
        <v>404</v>
      </c>
      <c r="E127" s="15" t="s">
        <v>405</v>
      </c>
      <c r="F127" s="16">
        <v>42870.6019791667</v>
      </c>
      <c r="G127" s="15" t="s">
        <v>405</v>
      </c>
      <c r="H127" s="15" t="s">
        <v>406</v>
      </c>
      <c r="I127" s="18">
        <v>0</v>
      </c>
      <c r="J127" s="18">
        <v>0</v>
      </c>
      <c r="K127" s="19">
        <v>0</v>
      </c>
      <c r="L127" s="20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15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15"/>
      <c r="AP127" s="15"/>
      <c r="AQ127" s="15"/>
    </row>
    <row r="128" spans="1:43">
      <c r="A128" s="15" t="s">
        <v>49</v>
      </c>
      <c r="B128" s="15" t="s">
        <v>50</v>
      </c>
      <c r="C128" s="15" t="s">
        <v>61</v>
      </c>
      <c r="D128" s="15" t="s">
        <v>407</v>
      </c>
      <c r="E128" s="15" t="s">
        <v>408</v>
      </c>
      <c r="F128" s="16">
        <v>0</v>
      </c>
      <c r="G128" s="15" t="s">
        <v>408</v>
      </c>
      <c r="H128" s="15" t="s">
        <v>409</v>
      </c>
      <c r="I128" s="18">
        <v>0</v>
      </c>
      <c r="J128" s="18">
        <v>0</v>
      </c>
      <c r="K128" s="19">
        <v>0</v>
      </c>
      <c r="L128" s="20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15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15"/>
      <c r="AP128" s="15"/>
      <c r="AQ128" s="15"/>
    </row>
    <row r="129" spans="1:43">
      <c r="A129" s="15" t="s">
        <v>43</v>
      </c>
      <c r="B129" s="15" t="s">
        <v>44</v>
      </c>
      <c r="C129" s="15" t="s">
        <v>45</v>
      </c>
      <c r="D129" s="15" t="s">
        <v>410</v>
      </c>
      <c r="E129" s="15" t="s">
        <v>411</v>
      </c>
      <c r="F129" s="16">
        <v>43277.7182986111</v>
      </c>
      <c r="G129" s="15" t="s">
        <v>411</v>
      </c>
      <c r="H129" s="15" t="s">
        <v>412</v>
      </c>
      <c r="I129" s="18">
        <v>0</v>
      </c>
      <c r="J129" s="18">
        <v>0</v>
      </c>
      <c r="K129" s="19">
        <v>0</v>
      </c>
      <c r="L129" s="20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15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15"/>
      <c r="AP129" s="15"/>
      <c r="AQ129" s="15"/>
    </row>
    <row r="130" spans="1:43">
      <c r="A130" s="15" t="s">
        <v>43</v>
      </c>
      <c r="B130" s="15" t="s">
        <v>44</v>
      </c>
      <c r="C130" s="15" t="s">
        <v>45</v>
      </c>
      <c r="D130" s="15" t="s">
        <v>413</v>
      </c>
      <c r="E130" s="15" t="s">
        <v>414</v>
      </c>
      <c r="F130" s="16">
        <v>42793.7190277778</v>
      </c>
      <c r="G130" s="15" t="s">
        <v>414</v>
      </c>
      <c r="H130" s="15" t="s">
        <v>415</v>
      </c>
      <c r="I130" s="18">
        <v>0</v>
      </c>
      <c r="J130" s="18">
        <v>0</v>
      </c>
      <c r="K130" s="19">
        <v>0</v>
      </c>
      <c r="L130" s="20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15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15"/>
      <c r="AP130" s="15"/>
      <c r="AQ130" s="15"/>
    </row>
    <row r="131" spans="1:43">
      <c r="A131" s="15" t="s">
        <v>49</v>
      </c>
      <c r="B131" s="15" t="s">
        <v>50</v>
      </c>
      <c r="C131" s="15" t="s">
        <v>61</v>
      </c>
      <c r="D131" s="15" t="s">
        <v>416</v>
      </c>
      <c r="E131" s="15" t="s">
        <v>417</v>
      </c>
      <c r="F131" s="16">
        <v>0</v>
      </c>
      <c r="G131" s="15" t="s">
        <v>417</v>
      </c>
      <c r="H131" s="15" t="s">
        <v>54</v>
      </c>
      <c r="I131" s="18">
        <v>0</v>
      </c>
      <c r="J131" s="18">
        <v>0</v>
      </c>
      <c r="K131" s="19">
        <v>0</v>
      </c>
      <c r="L131" s="20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15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15"/>
      <c r="AP131" s="15"/>
      <c r="AQ131" s="15"/>
    </row>
    <row r="132" spans="1:43">
      <c r="A132" s="15" t="s">
        <v>49</v>
      </c>
      <c r="B132" s="15" t="s">
        <v>50</v>
      </c>
      <c r="C132" s="15" t="s">
        <v>61</v>
      </c>
      <c r="D132" s="15" t="s">
        <v>418</v>
      </c>
      <c r="E132" s="15" t="s">
        <v>419</v>
      </c>
      <c r="F132" s="16">
        <v>0</v>
      </c>
      <c r="G132" s="15" t="s">
        <v>419</v>
      </c>
      <c r="H132" s="15" t="s">
        <v>54</v>
      </c>
      <c r="I132" s="18">
        <v>0</v>
      </c>
      <c r="J132" s="18">
        <v>0</v>
      </c>
      <c r="K132" s="19">
        <v>0</v>
      </c>
      <c r="L132" s="20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15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15"/>
      <c r="AP132" s="15"/>
      <c r="AQ132" s="15"/>
    </row>
    <row r="133" spans="1:43">
      <c r="A133" s="15" t="s">
        <v>43</v>
      </c>
      <c r="B133" s="15" t="s">
        <v>44</v>
      </c>
      <c r="C133" s="15" t="s">
        <v>45</v>
      </c>
      <c r="D133" s="15" t="s">
        <v>420</v>
      </c>
      <c r="E133" s="15" t="s">
        <v>421</v>
      </c>
      <c r="F133" s="16">
        <v>41997.4053125</v>
      </c>
      <c r="G133" s="15" t="s">
        <v>421</v>
      </c>
      <c r="H133" s="15" t="s">
        <v>422</v>
      </c>
      <c r="I133" s="18">
        <v>0</v>
      </c>
      <c r="J133" s="18">
        <v>0</v>
      </c>
      <c r="K133" s="19">
        <v>0</v>
      </c>
      <c r="L133" s="20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15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15"/>
      <c r="AP133" s="15"/>
      <c r="AQ133" s="15"/>
    </row>
    <row r="134" spans="1:43">
      <c r="A134" s="15" t="s">
        <v>43</v>
      </c>
      <c r="B134" s="15" t="s">
        <v>44</v>
      </c>
      <c r="C134" s="15" t="s">
        <v>45</v>
      </c>
      <c r="D134" s="15" t="s">
        <v>423</v>
      </c>
      <c r="E134" s="15" t="s">
        <v>424</v>
      </c>
      <c r="F134" s="16">
        <v>41730.4189699074</v>
      </c>
      <c r="G134" s="15" t="s">
        <v>424</v>
      </c>
      <c r="H134" s="15" t="s">
        <v>425</v>
      </c>
      <c r="I134" s="18">
        <v>0</v>
      </c>
      <c r="J134" s="18">
        <v>0</v>
      </c>
      <c r="K134" s="19">
        <v>0</v>
      </c>
      <c r="L134" s="20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15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15"/>
      <c r="AP134" s="15"/>
      <c r="AQ134" s="15"/>
    </row>
    <row r="135" spans="1:43">
      <c r="A135" s="15" t="s">
        <v>64</v>
      </c>
      <c r="B135" s="15" t="s">
        <v>118</v>
      </c>
      <c r="C135" s="15" t="s">
        <v>131</v>
      </c>
      <c r="D135" s="15" t="s">
        <v>426</v>
      </c>
      <c r="E135" s="15" t="s">
        <v>427</v>
      </c>
      <c r="F135" s="16">
        <v>45092.691724537</v>
      </c>
      <c r="G135" s="15" t="s">
        <v>427</v>
      </c>
      <c r="H135" s="15" t="s">
        <v>428</v>
      </c>
      <c r="I135" s="18">
        <v>2.71</v>
      </c>
      <c r="J135" s="18">
        <v>1</v>
      </c>
      <c r="K135" s="19">
        <v>2.71</v>
      </c>
      <c r="L135" s="20">
        <v>0.0387142857142857</v>
      </c>
      <c r="M135" s="21">
        <v>0</v>
      </c>
      <c r="N135" s="21">
        <v>2.71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15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15"/>
      <c r="AP135" s="15"/>
      <c r="AQ135" s="15"/>
    </row>
    <row r="136" spans="1:43">
      <c r="A136" s="15" t="s">
        <v>49</v>
      </c>
      <c r="B136" s="15" t="s">
        <v>50</v>
      </c>
      <c r="C136" s="15" t="s">
        <v>61</v>
      </c>
      <c r="D136" s="15" t="s">
        <v>429</v>
      </c>
      <c r="E136" s="15" t="s">
        <v>430</v>
      </c>
      <c r="F136" s="16">
        <v>0</v>
      </c>
      <c r="G136" s="15" t="s">
        <v>430</v>
      </c>
      <c r="H136" s="15" t="s">
        <v>54</v>
      </c>
      <c r="I136" s="18">
        <v>0</v>
      </c>
      <c r="J136" s="18">
        <v>0</v>
      </c>
      <c r="K136" s="19">
        <v>0</v>
      </c>
      <c r="L136" s="20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15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15"/>
      <c r="AP136" s="15"/>
      <c r="AQ136" s="15"/>
    </row>
    <row r="137" spans="1:43">
      <c r="A137" s="15" t="s">
        <v>43</v>
      </c>
      <c r="B137" s="15" t="s">
        <v>44</v>
      </c>
      <c r="C137" s="15" t="s">
        <v>45</v>
      </c>
      <c r="D137" s="15" t="s">
        <v>431</v>
      </c>
      <c r="E137" s="15" t="s">
        <v>432</v>
      </c>
      <c r="F137" s="16">
        <v>43590.7110069445</v>
      </c>
      <c r="G137" s="15" t="s">
        <v>432</v>
      </c>
      <c r="H137" s="15" t="s">
        <v>433</v>
      </c>
      <c r="I137" s="18">
        <v>0</v>
      </c>
      <c r="J137" s="18">
        <v>0</v>
      </c>
      <c r="K137" s="19">
        <v>0</v>
      </c>
      <c r="L137" s="20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15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15"/>
      <c r="AP137" s="15"/>
      <c r="AQ137" s="15"/>
    </row>
    <row r="138" spans="1:43">
      <c r="A138" s="15" t="s">
        <v>49</v>
      </c>
      <c r="B138" s="15" t="s">
        <v>50</v>
      </c>
      <c r="C138" s="15" t="s">
        <v>61</v>
      </c>
      <c r="D138" s="15" t="s">
        <v>434</v>
      </c>
      <c r="E138" s="15" t="s">
        <v>435</v>
      </c>
      <c r="F138" s="16">
        <v>0</v>
      </c>
      <c r="G138" s="15" t="s">
        <v>435</v>
      </c>
      <c r="H138" s="15" t="s">
        <v>436</v>
      </c>
      <c r="I138" s="18">
        <v>0</v>
      </c>
      <c r="J138" s="18">
        <v>0</v>
      </c>
      <c r="K138" s="19">
        <v>0</v>
      </c>
      <c r="L138" s="20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15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15"/>
      <c r="AP138" s="15"/>
      <c r="AQ138" s="15"/>
    </row>
    <row r="139" spans="1:43">
      <c r="A139" s="15" t="s">
        <v>43</v>
      </c>
      <c r="B139" s="15" t="s">
        <v>44</v>
      </c>
      <c r="C139" s="15" t="s">
        <v>45</v>
      </c>
      <c r="D139" s="15" t="s">
        <v>437</v>
      </c>
      <c r="E139" s="15" t="s">
        <v>438</v>
      </c>
      <c r="F139" s="16">
        <v>42600.4769791667</v>
      </c>
      <c r="G139" s="15" t="s">
        <v>438</v>
      </c>
      <c r="H139" s="15" t="s">
        <v>439</v>
      </c>
      <c r="I139" s="18">
        <v>0</v>
      </c>
      <c r="J139" s="18">
        <v>0</v>
      </c>
      <c r="K139" s="19">
        <v>0</v>
      </c>
      <c r="L139" s="20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15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15"/>
      <c r="AP139" s="15"/>
      <c r="AQ139" s="15"/>
    </row>
    <row r="140" spans="1:43">
      <c r="A140" s="15" t="s">
        <v>43</v>
      </c>
      <c r="B140" s="15" t="s">
        <v>44</v>
      </c>
      <c r="C140" s="15" t="s">
        <v>440</v>
      </c>
      <c r="D140" s="15" t="s">
        <v>441</v>
      </c>
      <c r="E140" s="15" t="s">
        <v>442</v>
      </c>
      <c r="F140" s="16">
        <v>43629.6213425926</v>
      </c>
      <c r="G140" s="15" t="s">
        <v>442</v>
      </c>
      <c r="H140" s="15" t="s">
        <v>54</v>
      </c>
      <c r="I140" s="18">
        <v>905.25</v>
      </c>
      <c r="J140" s="18">
        <v>14</v>
      </c>
      <c r="K140" s="19">
        <v>64.6607142857143</v>
      </c>
      <c r="L140" s="20">
        <v>1.29321428571429</v>
      </c>
      <c r="M140" s="21">
        <v>56.76</v>
      </c>
      <c r="N140" s="21">
        <v>90.33</v>
      </c>
      <c r="O140" s="21">
        <v>25.7</v>
      </c>
      <c r="P140" s="21">
        <v>19.58</v>
      </c>
      <c r="Q140" s="21">
        <v>28.1</v>
      </c>
      <c r="R140" s="21">
        <v>32.12</v>
      </c>
      <c r="S140" s="21">
        <v>50.54</v>
      </c>
      <c r="T140" s="21">
        <v>58.19</v>
      </c>
      <c r="U140" s="21">
        <v>101.18</v>
      </c>
      <c r="V140" s="21">
        <v>88.23</v>
      </c>
      <c r="W140" s="21">
        <v>73.64</v>
      </c>
      <c r="X140" s="21">
        <v>79.97</v>
      </c>
      <c r="Y140" s="21">
        <v>100.06</v>
      </c>
      <c r="Z140" s="21">
        <v>100.85</v>
      </c>
      <c r="AA140" s="15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15"/>
      <c r="AP140" s="15"/>
      <c r="AQ140" s="15"/>
    </row>
    <row r="141" spans="1:43">
      <c r="A141" s="15" t="s">
        <v>43</v>
      </c>
      <c r="B141" s="15" t="s">
        <v>44</v>
      </c>
      <c r="C141" s="15" t="s">
        <v>45</v>
      </c>
      <c r="D141" s="15" t="s">
        <v>443</v>
      </c>
      <c r="E141" s="15" t="s">
        <v>444</v>
      </c>
      <c r="F141" s="16">
        <v>42968.7001851852</v>
      </c>
      <c r="G141" s="15" t="s">
        <v>444</v>
      </c>
      <c r="H141" s="15" t="s">
        <v>445</v>
      </c>
      <c r="I141" s="18">
        <v>0</v>
      </c>
      <c r="J141" s="18">
        <v>0</v>
      </c>
      <c r="K141" s="19">
        <v>0</v>
      </c>
      <c r="L141" s="20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15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15"/>
      <c r="AP141" s="15"/>
      <c r="AQ141" s="15"/>
    </row>
    <row r="142" spans="1:43">
      <c r="A142" s="15" t="s">
        <v>49</v>
      </c>
      <c r="B142" s="15" t="s">
        <v>50</v>
      </c>
      <c r="C142" s="15" t="s">
        <v>61</v>
      </c>
      <c r="D142" s="15" t="s">
        <v>446</v>
      </c>
      <c r="E142" s="15" t="s">
        <v>447</v>
      </c>
      <c r="F142" s="16">
        <v>0</v>
      </c>
      <c r="G142" s="15" t="s">
        <v>447</v>
      </c>
      <c r="H142" s="15" t="s">
        <v>54</v>
      </c>
      <c r="I142" s="18">
        <v>0</v>
      </c>
      <c r="J142" s="18">
        <v>0</v>
      </c>
      <c r="K142" s="19">
        <v>0</v>
      </c>
      <c r="L142" s="20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15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15"/>
      <c r="AP142" s="15"/>
      <c r="AQ142" s="15"/>
    </row>
    <row r="143" spans="1:43">
      <c r="A143" s="15" t="s">
        <v>43</v>
      </c>
      <c r="B143" s="15" t="s">
        <v>44</v>
      </c>
      <c r="C143" s="15" t="s">
        <v>45</v>
      </c>
      <c r="D143" s="15" t="s">
        <v>448</v>
      </c>
      <c r="E143" s="15" t="s">
        <v>449</v>
      </c>
      <c r="F143" s="16">
        <v>42713.4040972222</v>
      </c>
      <c r="G143" s="15" t="s">
        <v>449</v>
      </c>
      <c r="H143" s="15" t="s">
        <v>450</v>
      </c>
      <c r="I143" s="18">
        <v>0</v>
      </c>
      <c r="J143" s="18">
        <v>0</v>
      </c>
      <c r="K143" s="19">
        <v>0</v>
      </c>
      <c r="L143" s="20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15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15"/>
      <c r="AP143" s="15"/>
      <c r="AQ143" s="15"/>
    </row>
    <row r="144" spans="1:43">
      <c r="A144" s="15" t="s">
        <v>43</v>
      </c>
      <c r="B144" s="15" t="s">
        <v>44</v>
      </c>
      <c r="C144" s="15" t="s">
        <v>45</v>
      </c>
      <c r="D144" s="15" t="s">
        <v>451</v>
      </c>
      <c r="E144" s="15" t="s">
        <v>452</v>
      </c>
      <c r="F144" s="16">
        <v>42632.4583796296</v>
      </c>
      <c r="G144" s="15" t="s">
        <v>452</v>
      </c>
      <c r="H144" s="15" t="s">
        <v>453</v>
      </c>
      <c r="I144" s="18">
        <v>0</v>
      </c>
      <c r="J144" s="18">
        <v>0</v>
      </c>
      <c r="K144" s="19">
        <v>0</v>
      </c>
      <c r="L144" s="20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15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15"/>
      <c r="AP144" s="15"/>
      <c r="AQ144" s="15"/>
    </row>
    <row r="145" spans="1:43">
      <c r="A145" s="15" t="s">
        <v>64</v>
      </c>
      <c r="B145" s="15" t="s">
        <v>65</v>
      </c>
      <c r="C145" s="15" t="s">
        <v>93</v>
      </c>
      <c r="D145" s="15" t="s">
        <v>454</v>
      </c>
      <c r="E145" s="15" t="s">
        <v>455</v>
      </c>
      <c r="F145" s="16">
        <v>44972.4234953704</v>
      </c>
      <c r="G145" s="15" t="s">
        <v>455</v>
      </c>
      <c r="H145" s="15" t="s">
        <v>54</v>
      </c>
      <c r="I145" s="18">
        <v>1153.88</v>
      </c>
      <c r="J145" s="18">
        <v>12</v>
      </c>
      <c r="K145" s="19">
        <v>96.1566666666667</v>
      </c>
      <c r="L145" s="20">
        <v>1.37366666666667</v>
      </c>
      <c r="M145" s="21">
        <v>56.81</v>
      </c>
      <c r="N145" s="21">
        <v>153.29</v>
      </c>
      <c r="O145" s="21">
        <v>116.1</v>
      </c>
      <c r="P145" s="21">
        <v>81.29</v>
      </c>
      <c r="Q145" s="21">
        <v>45.85</v>
      </c>
      <c r="R145" s="21">
        <v>0</v>
      </c>
      <c r="S145" s="21">
        <v>71.85</v>
      </c>
      <c r="T145" s="21">
        <v>26.97</v>
      </c>
      <c r="U145" s="21">
        <v>125.25</v>
      </c>
      <c r="V145" s="21">
        <v>154.52</v>
      </c>
      <c r="W145" s="21">
        <v>47.5</v>
      </c>
      <c r="X145" s="21">
        <v>124.08</v>
      </c>
      <c r="Y145" s="21">
        <v>0</v>
      </c>
      <c r="Z145" s="21">
        <v>150.37</v>
      </c>
      <c r="AA145" s="15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15"/>
      <c r="AP145" s="15"/>
      <c r="AQ145" s="15"/>
    </row>
    <row r="146" spans="1:43">
      <c r="A146" s="15" t="s">
        <v>49</v>
      </c>
      <c r="B146" s="15" t="s">
        <v>50</v>
      </c>
      <c r="C146" s="15" t="s">
        <v>61</v>
      </c>
      <c r="D146" s="15" t="s">
        <v>456</v>
      </c>
      <c r="E146" s="15" t="s">
        <v>457</v>
      </c>
      <c r="F146" s="16">
        <v>0</v>
      </c>
      <c r="G146" s="15" t="s">
        <v>457</v>
      </c>
      <c r="H146" s="15" t="s">
        <v>54</v>
      </c>
      <c r="I146" s="18">
        <v>0</v>
      </c>
      <c r="J146" s="18">
        <v>0</v>
      </c>
      <c r="K146" s="19">
        <v>0</v>
      </c>
      <c r="L146" s="20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15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15"/>
      <c r="AP146" s="15"/>
      <c r="AQ146" s="15"/>
    </row>
    <row r="147" spans="1:43">
      <c r="A147" s="15" t="s">
        <v>43</v>
      </c>
      <c r="B147" s="15" t="s">
        <v>44</v>
      </c>
      <c r="C147" s="15" t="s">
        <v>45</v>
      </c>
      <c r="D147" s="15" t="s">
        <v>458</v>
      </c>
      <c r="E147" s="15" t="s">
        <v>459</v>
      </c>
      <c r="F147" s="16">
        <v>43563.4184027778</v>
      </c>
      <c r="G147" s="15" t="s">
        <v>459</v>
      </c>
      <c r="H147" s="15" t="s">
        <v>460</v>
      </c>
      <c r="I147" s="18">
        <v>0</v>
      </c>
      <c r="J147" s="18">
        <v>0</v>
      </c>
      <c r="K147" s="19">
        <v>0</v>
      </c>
      <c r="L147" s="20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15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15"/>
      <c r="AP147" s="15"/>
      <c r="AQ147" s="15"/>
    </row>
    <row r="148" spans="1:43">
      <c r="A148" s="15" t="s">
        <v>49</v>
      </c>
      <c r="B148" s="15" t="s">
        <v>50</v>
      </c>
      <c r="C148" s="15" t="s">
        <v>301</v>
      </c>
      <c r="D148" s="15" t="s">
        <v>461</v>
      </c>
      <c r="E148" s="15" t="s">
        <v>462</v>
      </c>
      <c r="F148" s="16">
        <v>45042.6775925926</v>
      </c>
      <c r="G148" s="15" t="s">
        <v>462</v>
      </c>
      <c r="H148" s="15" t="s">
        <v>54</v>
      </c>
      <c r="I148" s="18">
        <v>0</v>
      </c>
      <c r="J148" s="18">
        <v>0</v>
      </c>
      <c r="K148" s="19">
        <v>0</v>
      </c>
      <c r="L148" s="20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15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15"/>
      <c r="AP148" s="15"/>
      <c r="AQ148" s="15"/>
    </row>
    <row r="149" spans="1:43">
      <c r="A149" s="15" t="s">
        <v>43</v>
      </c>
      <c r="B149" s="15" t="s">
        <v>44</v>
      </c>
      <c r="C149" s="15" t="s">
        <v>45</v>
      </c>
      <c r="D149" s="15" t="s">
        <v>463</v>
      </c>
      <c r="E149" s="15" t="s">
        <v>464</v>
      </c>
      <c r="F149" s="16">
        <v>41352.6203472222</v>
      </c>
      <c r="G149" s="15" t="s">
        <v>464</v>
      </c>
      <c r="H149" s="15" t="s">
        <v>465</v>
      </c>
      <c r="I149" s="18">
        <v>0</v>
      </c>
      <c r="J149" s="18">
        <v>0</v>
      </c>
      <c r="K149" s="19">
        <v>0</v>
      </c>
      <c r="L149" s="20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15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15"/>
      <c r="AP149" s="15"/>
      <c r="AQ149" s="15"/>
    </row>
    <row r="150" spans="1:43">
      <c r="A150" s="15" t="s">
        <v>43</v>
      </c>
      <c r="B150" s="15" t="s">
        <v>44</v>
      </c>
      <c r="C150" s="15" t="s">
        <v>45</v>
      </c>
      <c r="D150" s="15" t="s">
        <v>466</v>
      </c>
      <c r="E150" s="15" t="s">
        <v>467</v>
      </c>
      <c r="F150" s="16">
        <v>42990.4080671296</v>
      </c>
      <c r="G150" s="15" t="s">
        <v>467</v>
      </c>
      <c r="H150" s="15" t="s">
        <v>468</v>
      </c>
      <c r="I150" s="18">
        <v>0</v>
      </c>
      <c r="J150" s="18">
        <v>0</v>
      </c>
      <c r="K150" s="19">
        <v>0</v>
      </c>
      <c r="L150" s="20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0</v>
      </c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15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15"/>
      <c r="AP150" s="15"/>
      <c r="AQ150" s="15"/>
    </row>
    <row r="151" spans="1:43">
      <c r="A151" s="15" t="s">
        <v>43</v>
      </c>
      <c r="B151" s="15" t="s">
        <v>44</v>
      </c>
      <c r="C151" s="15" t="s">
        <v>45</v>
      </c>
      <c r="D151" s="15" t="s">
        <v>469</v>
      </c>
      <c r="E151" s="15" t="s">
        <v>470</v>
      </c>
      <c r="F151" s="16">
        <v>42497.3817361111</v>
      </c>
      <c r="G151" s="15" t="s">
        <v>470</v>
      </c>
      <c r="H151" s="15" t="s">
        <v>471</v>
      </c>
      <c r="I151" s="18">
        <v>0</v>
      </c>
      <c r="J151" s="18">
        <v>0</v>
      </c>
      <c r="K151" s="19">
        <v>0</v>
      </c>
      <c r="L151" s="20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15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15"/>
      <c r="AP151" s="15"/>
      <c r="AQ151" s="15"/>
    </row>
    <row r="152" spans="1:43">
      <c r="A152" s="15" t="s">
        <v>43</v>
      </c>
      <c r="B152" s="15" t="s">
        <v>44</v>
      </c>
      <c r="C152" s="15" t="s">
        <v>45</v>
      </c>
      <c r="D152" s="15" t="s">
        <v>472</v>
      </c>
      <c r="E152" s="15" t="s">
        <v>473</v>
      </c>
      <c r="F152" s="16">
        <v>42727.3826157407</v>
      </c>
      <c r="G152" s="15" t="s">
        <v>473</v>
      </c>
      <c r="H152" s="15" t="s">
        <v>474</v>
      </c>
      <c r="I152" s="18">
        <v>0</v>
      </c>
      <c r="J152" s="18">
        <v>0</v>
      </c>
      <c r="K152" s="19">
        <v>0</v>
      </c>
      <c r="L152" s="20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0</v>
      </c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15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15"/>
      <c r="AP152" s="15"/>
      <c r="AQ152" s="15"/>
    </row>
    <row r="153" spans="1:43">
      <c r="A153" s="15" t="s">
        <v>64</v>
      </c>
      <c r="B153" s="15" t="s">
        <v>118</v>
      </c>
      <c r="C153" s="15" t="s">
        <v>131</v>
      </c>
      <c r="D153" s="15" t="s">
        <v>475</v>
      </c>
      <c r="E153" s="15" t="s">
        <v>476</v>
      </c>
      <c r="F153" s="16">
        <v>45020.7056597222</v>
      </c>
      <c r="G153" s="15" t="s">
        <v>476</v>
      </c>
      <c r="H153" s="15" t="s">
        <v>477</v>
      </c>
      <c r="I153" s="18">
        <v>0</v>
      </c>
      <c r="J153" s="18">
        <v>0</v>
      </c>
      <c r="K153" s="19">
        <v>0</v>
      </c>
      <c r="L153" s="20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15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15"/>
      <c r="AP153" s="15"/>
      <c r="AQ153" s="15"/>
    </row>
    <row r="154" spans="1:43">
      <c r="A154" s="15" t="s">
        <v>49</v>
      </c>
      <c r="B154" s="15" t="s">
        <v>50</v>
      </c>
      <c r="C154" s="15" t="s">
        <v>61</v>
      </c>
      <c r="D154" s="15" t="s">
        <v>478</v>
      </c>
      <c r="E154" s="15" t="s">
        <v>479</v>
      </c>
      <c r="F154" s="16">
        <v>0</v>
      </c>
      <c r="G154" s="15" t="s">
        <v>479</v>
      </c>
      <c r="H154" s="15" t="s">
        <v>54</v>
      </c>
      <c r="I154" s="18">
        <v>0</v>
      </c>
      <c r="J154" s="18">
        <v>0</v>
      </c>
      <c r="K154" s="19">
        <v>0</v>
      </c>
      <c r="L154" s="20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15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15"/>
      <c r="AP154" s="15"/>
      <c r="AQ154" s="15"/>
    </row>
    <row r="155" spans="1:43">
      <c r="A155" s="15" t="s">
        <v>43</v>
      </c>
      <c r="B155" s="15" t="s">
        <v>44</v>
      </c>
      <c r="C155" s="15" t="s">
        <v>45</v>
      </c>
      <c r="D155" s="15" t="s">
        <v>480</v>
      </c>
      <c r="E155" s="15" t="s">
        <v>481</v>
      </c>
      <c r="F155" s="16">
        <v>43992.6548032407</v>
      </c>
      <c r="G155" s="15" t="s">
        <v>481</v>
      </c>
      <c r="H155" s="15" t="s">
        <v>482</v>
      </c>
      <c r="I155" s="18">
        <v>0</v>
      </c>
      <c r="J155" s="18">
        <v>0</v>
      </c>
      <c r="K155" s="19">
        <v>0</v>
      </c>
      <c r="L155" s="20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15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15"/>
      <c r="AP155" s="15"/>
      <c r="AQ155" s="15"/>
    </row>
    <row r="156" spans="1:43">
      <c r="A156" s="15" t="s">
        <v>49</v>
      </c>
      <c r="B156" s="15" t="s">
        <v>50</v>
      </c>
      <c r="C156" s="15" t="s">
        <v>61</v>
      </c>
      <c r="D156" s="15" t="s">
        <v>483</v>
      </c>
      <c r="E156" s="15" t="s">
        <v>484</v>
      </c>
      <c r="F156" s="16">
        <v>0</v>
      </c>
      <c r="G156" s="15" t="s">
        <v>484</v>
      </c>
      <c r="H156" s="15" t="s">
        <v>54</v>
      </c>
      <c r="I156" s="18">
        <v>0</v>
      </c>
      <c r="J156" s="18">
        <v>0</v>
      </c>
      <c r="K156" s="19">
        <v>0</v>
      </c>
      <c r="L156" s="20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0</v>
      </c>
      <c r="T156" s="21">
        <v>0</v>
      </c>
      <c r="U156" s="21">
        <v>0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15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15"/>
      <c r="AP156" s="15"/>
      <c r="AQ156" s="15"/>
    </row>
    <row r="157" spans="1:43">
      <c r="A157" s="15" t="s">
        <v>43</v>
      </c>
      <c r="B157" s="15" t="s">
        <v>44</v>
      </c>
      <c r="C157" s="15" t="s">
        <v>45</v>
      </c>
      <c r="D157" s="15" t="s">
        <v>485</v>
      </c>
      <c r="E157" s="15" t="s">
        <v>486</v>
      </c>
      <c r="F157" s="16">
        <v>42810.3802199074</v>
      </c>
      <c r="G157" s="15" t="s">
        <v>486</v>
      </c>
      <c r="H157" s="15" t="s">
        <v>487</v>
      </c>
      <c r="I157" s="18">
        <v>0</v>
      </c>
      <c r="J157" s="18">
        <v>0</v>
      </c>
      <c r="K157" s="19">
        <v>0</v>
      </c>
      <c r="L157" s="20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15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15"/>
      <c r="AP157" s="15"/>
      <c r="AQ157" s="15"/>
    </row>
    <row r="158" spans="1:43">
      <c r="A158" s="15" t="s">
        <v>43</v>
      </c>
      <c r="B158" s="15" t="s">
        <v>44</v>
      </c>
      <c r="C158" s="15" t="s">
        <v>228</v>
      </c>
      <c r="D158" s="15" t="s">
        <v>488</v>
      </c>
      <c r="E158" s="15" t="s">
        <v>489</v>
      </c>
      <c r="F158" s="16">
        <v>43544.4857638889</v>
      </c>
      <c r="G158" s="15" t="s">
        <v>489</v>
      </c>
      <c r="H158" s="15" t="s">
        <v>490</v>
      </c>
      <c r="I158" s="18">
        <v>0</v>
      </c>
      <c r="J158" s="18">
        <v>0</v>
      </c>
      <c r="K158" s="19">
        <v>0</v>
      </c>
      <c r="L158" s="20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15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15"/>
      <c r="AP158" s="15"/>
      <c r="AQ158" s="15"/>
    </row>
    <row r="159" spans="1:43">
      <c r="A159" s="15" t="s">
        <v>43</v>
      </c>
      <c r="B159" s="15" t="s">
        <v>44</v>
      </c>
      <c r="C159" s="15" t="s">
        <v>45</v>
      </c>
      <c r="D159" s="15" t="s">
        <v>491</v>
      </c>
      <c r="E159" s="15" t="s">
        <v>492</v>
      </c>
      <c r="F159" s="16">
        <v>42174.5131944444</v>
      </c>
      <c r="G159" s="15" t="s">
        <v>492</v>
      </c>
      <c r="H159" s="15" t="s">
        <v>493</v>
      </c>
      <c r="I159" s="18">
        <v>0</v>
      </c>
      <c r="J159" s="18">
        <v>0</v>
      </c>
      <c r="K159" s="19">
        <v>0</v>
      </c>
      <c r="L159" s="20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15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15"/>
      <c r="AP159" s="15"/>
      <c r="AQ159" s="15"/>
    </row>
    <row r="160" spans="1:43">
      <c r="A160" s="15" t="s">
        <v>43</v>
      </c>
      <c r="B160" s="15" t="s">
        <v>44</v>
      </c>
      <c r="C160" s="15" t="s">
        <v>45</v>
      </c>
      <c r="D160" s="15" t="s">
        <v>494</v>
      </c>
      <c r="E160" s="15" t="s">
        <v>495</v>
      </c>
      <c r="F160" s="16">
        <v>44284.6428240741</v>
      </c>
      <c r="G160" s="15" t="s">
        <v>495</v>
      </c>
      <c r="H160" s="15" t="s">
        <v>496</v>
      </c>
      <c r="I160" s="18">
        <v>0</v>
      </c>
      <c r="J160" s="18">
        <v>0</v>
      </c>
      <c r="K160" s="19">
        <v>0</v>
      </c>
      <c r="L160" s="20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0</v>
      </c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15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15"/>
      <c r="AP160" s="15"/>
      <c r="AQ160" s="15"/>
    </row>
    <row r="161" spans="1:43">
      <c r="A161" s="15" t="s">
        <v>49</v>
      </c>
      <c r="B161" s="15" t="s">
        <v>50</v>
      </c>
      <c r="C161" s="15" t="s">
        <v>61</v>
      </c>
      <c r="D161" s="15" t="s">
        <v>497</v>
      </c>
      <c r="E161" s="15" t="s">
        <v>498</v>
      </c>
      <c r="F161" s="16">
        <v>0</v>
      </c>
      <c r="G161" s="15" t="s">
        <v>498</v>
      </c>
      <c r="H161" s="15" t="s">
        <v>499</v>
      </c>
      <c r="I161" s="18">
        <v>0</v>
      </c>
      <c r="J161" s="18">
        <v>0</v>
      </c>
      <c r="K161" s="19">
        <v>0</v>
      </c>
      <c r="L161" s="20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15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15"/>
      <c r="AP161" s="15"/>
      <c r="AQ161" s="15"/>
    </row>
    <row r="162" spans="1:43">
      <c r="A162" s="15" t="s">
        <v>49</v>
      </c>
      <c r="B162" s="15" t="s">
        <v>50</v>
      </c>
      <c r="C162" s="15" t="s">
        <v>61</v>
      </c>
      <c r="D162" s="15" t="s">
        <v>500</v>
      </c>
      <c r="E162" s="15" t="s">
        <v>501</v>
      </c>
      <c r="F162" s="16">
        <v>0</v>
      </c>
      <c r="G162" s="15" t="s">
        <v>501</v>
      </c>
      <c r="H162" s="15" t="s">
        <v>502</v>
      </c>
      <c r="I162" s="18">
        <v>0</v>
      </c>
      <c r="J162" s="18">
        <v>0</v>
      </c>
      <c r="K162" s="19">
        <v>0</v>
      </c>
      <c r="L162" s="20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0</v>
      </c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15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15"/>
      <c r="AP162" s="15"/>
      <c r="AQ162" s="15"/>
    </row>
    <row r="163" spans="1:43">
      <c r="A163" s="15" t="s">
        <v>49</v>
      </c>
      <c r="B163" s="15" t="s">
        <v>50</v>
      </c>
      <c r="C163" s="15" t="s">
        <v>75</v>
      </c>
      <c r="D163" s="15" t="s">
        <v>503</v>
      </c>
      <c r="E163" s="15" t="s">
        <v>504</v>
      </c>
      <c r="F163" s="16">
        <v>45098.6539930556</v>
      </c>
      <c r="G163" s="15" t="s">
        <v>504</v>
      </c>
      <c r="H163" s="15" t="s">
        <v>54</v>
      </c>
      <c r="I163" s="18">
        <v>832.78</v>
      </c>
      <c r="J163" s="18">
        <v>14</v>
      </c>
      <c r="K163" s="19">
        <v>59.4842857142857</v>
      </c>
      <c r="L163" s="20">
        <v>1.18968571428571</v>
      </c>
      <c r="M163" s="21">
        <v>12.86</v>
      </c>
      <c r="N163" s="21">
        <v>101.01</v>
      </c>
      <c r="O163" s="21">
        <v>101.53</v>
      </c>
      <c r="P163" s="21">
        <v>100.75</v>
      </c>
      <c r="Q163" s="21">
        <v>138.18</v>
      </c>
      <c r="R163" s="21">
        <v>151.17</v>
      </c>
      <c r="S163" s="21">
        <v>14.5</v>
      </c>
      <c r="T163" s="21">
        <v>0.25</v>
      </c>
      <c r="U163" s="21">
        <v>101.74</v>
      </c>
      <c r="V163" s="21">
        <v>39.38</v>
      </c>
      <c r="W163" s="21">
        <v>2.85</v>
      </c>
      <c r="X163" s="21">
        <v>3.53</v>
      </c>
      <c r="Y163" s="21">
        <v>55.95</v>
      </c>
      <c r="Z163" s="21">
        <v>9.08</v>
      </c>
      <c r="AA163" s="15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15"/>
      <c r="AP163" s="15"/>
      <c r="AQ163" s="15"/>
    </row>
    <row r="164" spans="1:43">
      <c r="A164" s="15" t="s">
        <v>49</v>
      </c>
      <c r="B164" s="15" t="s">
        <v>50</v>
      </c>
      <c r="C164" s="15" t="s">
        <v>61</v>
      </c>
      <c r="D164" s="15" t="s">
        <v>505</v>
      </c>
      <c r="E164" s="15" t="s">
        <v>506</v>
      </c>
      <c r="F164" s="16">
        <v>0</v>
      </c>
      <c r="G164" s="15" t="s">
        <v>506</v>
      </c>
      <c r="H164" s="15" t="s">
        <v>54</v>
      </c>
      <c r="I164" s="18">
        <v>0</v>
      </c>
      <c r="J164" s="18">
        <v>0</v>
      </c>
      <c r="K164" s="19">
        <v>0</v>
      </c>
      <c r="L164" s="20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15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15"/>
      <c r="AP164" s="15"/>
      <c r="AQ164" s="15"/>
    </row>
    <row r="165" spans="1:43">
      <c r="A165" s="15" t="s">
        <v>49</v>
      </c>
      <c r="B165" s="15" t="s">
        <v>50</v>
      </c>
      <c r="C165" s="15" t="s">
        <v>61</v>
      </c>
      <c r="D165" s="15" t="s">
        <v>507</v>
      </c>
      <c r="E165" s="15" t="s">
        <v>508</v>
      </c>
      <c r="F165" s="16">
        <v>0</v>
      </c>
      <c r="G165" s="15" t="s">
        <v>508</v>
      </c>
      <c r="H165" s="15" t="s">
        <v>509</v>
      </c>
      <c r="I165" s="18">
        <v>0</v>
      </c>
      <c r="J165" s="18">
        <v>0</v>
      </c>
      <c r="K165" s="19">
        <v>0</v>
      </c>
      <c r="L165" s="20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15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15"/>
      <c r="AP165" s="15"/>
      <c r="AQ165" s="15"/>
    </row>
    <row r="166" spans="1:43">
      <c r="A166" s="15" t="s">
        <v>49</v>
      </c>
      <c r="B166" s="15" t="s">
        <v>50</v>
      </c>
      <c r="C166" s="15" t="s">
        <v>51</v>
      </c>
      <c r="D166" s="15" t="s">
        <v>510</v>
      </c>
      <c r="E166" s="15" t="s">
        <v>511</v>
      </c>
      <c r="F166" s="16">
        <v>45132.6142824074</v>
      </c>
      <c r="G166" s="15" t="s">
        <v>511</v>
      </c>
      <c r="H166" s="15" t="s">
        <v>54</v>
      </c>
      <c r="I166" s="18">
        <v>4028.16</v>
      </c>
      <c r="J166" s="18">
        <v>14</v>
      </c>
      <c r="K166" s="19">
        <v>287.725714285714</v>
      </c>
      <c r="L166" s="20">
        <v>5.75451428571429</v>
      </c>
      <c r="M166" s="21">
        <v>301.77</v>
      </c>
      <c r="N166" s="21">
        <v>302.39</v>
      </c>
      <c r="O166" s="21">
        <v>332.53</v>
      </c>
      <c r="P166" s="21">
        <v>305.07</v>
      </c>
      <c r="Q166" s="21">
        <v>283.89</v>
      </c>
      <c r="R166" s="21">
        <v>290.22</v>
      </c>
      <c r="S166" s="21">
        <v>300.91</v>
      </c>
      <c r="T166" s="21">
        <v>300.22</v>
      </c>
      <c r="U166" s="21">
        <v>261.41</v>
      </c>
      <c r="V166" s="21">
        <v>396.51</v>
      </c>
      <c r="W166" s="21">
        <v>256.57</v>
      </c>
      <c r="X166" s="21">
        <v>298.04</v>
      </c>
      <c r="Y166" s="21">
        <v>167.9</v>
      </c>
      <c r="Z166" s="21">
        <v>230.73</v>
      </c>
      <c r="AA166" s="15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15"/>
      <c r="AP166" s="15"/>
      <c r="AQ166" s="15"/>
    </row>
    <row r="167" spans="1:43">
      <c r="A167" s="15" t="s">
        <v>43</v>
      </c>
      <c r="B167" s="15" t="s">
        <v>44</v>
      </c>
      <c r="C167" s="15" t="s">
        <v>45</v>
      </c>
      <c r="D167" s="15" t="s">
        <v>512</v>
      </c>
      <c r="E167" s="15" t="s">
        <v>513</v>
      </c>
      <c r="F167" s="16">
        <v>43172.7078472222</v>
      </c>
      <c r="G167" s="15" t="s">
        <v>513</v>
      </c>
      <c r="H167" s="15" t="s">
        <v>514</v>
      </c>
      <c r="I167" s="18">
        <v>0</v>
      </c>
      <c r="J167" s="18">
        <v>0</v>
      </c>
      <c r="K167" s="19">
        <v>0</v>
      </c>
      <c r="L167" s="20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15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15"/>
      <c r="AP167" s="15"/>
      <c r="AQ167" s="15"/>
    </row>
    <row r="168" spans="1:43">
      <c r="A168" s="15" t="s">
        <v>64</v>
      </c>
      <c r="B168" s="15" t="s">
        <v>65</v>
      </c>
      <c r="C168" s="15" t="s">
        <v>93</v>
      </c>
      <c r="D168" s="15" t="s">
        <v>515</v>
      </c>
      <c r="E168" s="15" t="s">
        <v>516</v>
      </c>
      <c r="F168" s="16">
        <v>44746.4224652778</v>
      </c>
      <c r="G168" s="15" t="s">
        <v>516</v>
      </c>
      <c r="H168" s="15" t="s">
        <v>54</v>
      </c>
      <c r="I168" s="18">
        <v>0</v>
      </c>
      <c r="J168" s="18">
        <v>0</v>
      </c>
      <c r="K168" s="19">
        <v>0</v>
      </c>
      <c r="L168" s="20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0</v>
      </c>
      <c r="Z168" s="21">
        <v>0</v>
      </c>
      <c r="AA168" s="15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15"/>
      <c r="AP168" s="15"/>
      <c r="AQ168" s="15"/>
    </row>
    <row r="169" spans="1:43">
      <c r="A169" s="15" t="s">
        <v>43</v>
      </c>
      <c r="B169" s="15" t="s">
        <v>44</v>
      </c>
      <c r="C169" s="15" t="s">
        <v>45</v>
      </c>
      <c r="D169" s="15" t="s">
        <v>517</v>
      </c>
      <c r="E169" s="15" t="s">
        <v>518</v>
      </c>
      <c r="F169" s="16">
        <v>41428.628900463</v>
      </c>
      <c r="G169" s="15" t="s">
        <v>518</v>
      </c>
      <c r="H169" s="15" t="s">
        <v>519</v>
      </c>
      <c r="I169" s="18">
        <v>0</v>
      </c>
      <c r="J169" s="18">
        <v>0</v>
      </c>
      <c r="K169" s="19">
        <v>0</v>
      </c>
      <c r="L169" s="20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15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15"/>
      <c r="AP169" s="15"/>
      <c r="AQ169" s="15"/>
    </row>
    <row r="170" spans="1:43">
      <c r="A170" s="15" t="s">
        <v>49</v>
      </c>
      <c r="B170" s="15" t="s">
        <v>50</v>
      </c>
      <c r="C170" s="15" t="s">
        <v>61</v>
      </c>
      <c r="D170" s="15" t="s">
        <v>520</v>
      </c>
      <c r="E170" s="15" t="s">
        <v>521</v>
      </c>
      <c r="F170" s="16">
        <v>0</v>
      </c>
      <c r="G170" s="15" t="s">
        <v>521</v>
      </c>
      <c r="H170" s="15" t="s">
        <v>54</v>
      </c>
      <c r="I170" s="18">
        <v>0</v>
      </c>
      <c r="J170" s="18">
        <v>0</v>
      </c>
      <c r="K170" s="19">
        <v>0</v>
      </c>
      <c r="L170" s="20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15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15"/>
      <c r="AP170" s="15"/>
      <c r="AQ170" s="15"/>
    </row>
    <row r="171" spans="1:43">
      <c r="A171" s="15" t="s">
        <v>64</v>
      </c>
      <c r="B171" s="15" t="s">
        <v>65</v>
      </c>
      <c r="C171" s="15" t="s">
        <v>522</v>
      </c>
      <c r="D171" s="15" t="s">
        <v>523</v>
      </c>
      <c r="E171" s="15" t="s">
        <v>524</v>
      </c>
      <c r="F171" s="16">
        <v>44729.4328356481</v>
      </c>
      <c r="G171" s="15" t="s">
        <v>524</v>
      </c>
      <c r="H171" s="15" t="s">
        <v>54</v>
      </c>
      <c r="I171" s="18">
        <v>0</v>
      </c>
      <c r="J171" s="18">
        <v>0</v>
      </c>
      <c r="K171" s="19">
        <v>0</v>
      </c>
      <c r="L171" s="20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15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15"/>
      <c r="AP171" s="15"/>
      <c r="AQ171" s="15"/>
    </row>
    <row r="172" spans="1:43">
      <c r="A172" s="15" t="s">
        <v>49</v>
      </c>
      <c r="B172" s="15" t="s">
        <v>50</v>
      </c>
      <c r="C172" s="15" t="s">
        <v>75</v>
      </c>
      <c r="D172" s="15" t="s">
        <v>525</v>
      </c>
      <c r="E172" s="15" t="s">
        <v>526</v>
      </c>
      <c r="F172" s="16">
        <v>45111.6854398148</v>
      </c>
      <c r="G172" s="15" t="s">
        <v>526</v>
      </c>
      <c r="H172" s="15" t="s">
        <v>54</v>
      </c>
      <c r="I172" s="18">
        <v>143.12</v>
      </c>
      <c r="J172" s="18">
        <v>14</v>
      </c>
      <c r="K172" s="19">
        <v>10.2228571428571</v>
      </c>
      <c r="L172" s="20">
        <v>0.204457142857143</v>
      </c>
      <c r="M172" s="21">
        <v>29.41</v>
      </c>
      <c r="N172" s="21">
        <v>27.13</v>
      </c>
      <c r="O172" s="21">
        <v>1.74</v>
      </c>
      <c r="P172" s="21">
        <v>1.51</v>
      </c>
      <c r="Q172" s="21">
        <v>2.86</v>
      </c>
      <c r="R172" s="21">
        <v>8.94</v>
      </c>
      <c r="S172" s="21">
        <v>0.34</v>
      </c>
      <c r="T172" s="21">
        <v>18.22</v>
      </c>
      <c r="U172" s="21">
        <v>3.08</v>
      </c>
      <c r="V172" s="21">
        <v>11.4</v>
      </c>
      <c r="W172" s="21">
        <v>3.81</v>
      </c>
      <c r="X172" s="21">
        <v>4.35</v>
      </c>
      <c r="Y172" s="21">
        <v>8.84</v>
      </c>
      <c r="Z172" s="21">
        <v>21.49</v>
      </c>
      <c r="AA172" s="15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15"/>
      <c r="AP172" s="15"/>
      <c r="AQ172" s="15"/>
    </row>
    <row r="173" spans="1:43">
      <c r="A173" s="15" t="s">
        <v>43</v>
      </c>
      <c r="B173" s="15" t="s">
        <v>44</v>
      </c>
      <c r="C173" s="15" t="s">
        <v>45</v>
      </c>
      <c r="D173" s="15" t="s">
        <v>527</v>
      </c>
      <c r="E173" s="15" t="s">
        <v>528</v>
      </c>
      <c r="F173" s="16">
        <v>44155.4872222222</v>
      </c>
      <c r="G173" s="15" t="s">
        <v>528</v>
      </c>
      <c r="H173" s="15" t="s">
        <v>54</v>
      </c>
      <c r="I173" s="18">
        <v>0</v>
      </c>
      <c r="J173" s="18">
        <v>0</v>
      </c>
      <c r="K173" s="19">
        <v>0</v>
      </c>
      <c r="L173" s="20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15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15"/>
      <c r="AP173" s="15"/>
      <c r="AQ173" s="15"/>
    </row>
    <row r="174" spans="1:43">
      <c r="A174" s="15" t="s">
        <v>49</v>
      </c>
      <c r="B174" s="15" t="s">
        <v>50</v>
      </c>
      <c r="C174" s="15" t="s">
        <v>61</v>
      </c>
      <c r="D174" s="15" t="s">
        <v>529</v>
      </c>
      <c r="E174" s="15" t="s">
        <v>530</v>
      </c>
      <c r="F174" s="16">
        <v>0</v>
      </c>
      <c r="G174" s="15" t="s">
        <v>530</v>
      </c>
      <c r="H174" s="15" t="s">
        <v>54</v>
      </c>
      <c r="I174" s="18">
        <v>0</v>
      </c>
      <c r="J174" s="18">
        <v>0</v>
      </c>
      <c r="K174" s="19">
        <v>0</v>
      </c>
      <c r="L174" s="20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>
        <v>0</v>
      </c>
      <c r="X174" s="21">
        <v>0</v>
      </c>
      <c r="Y174" s="21">
        <v>0</v>
      </c>
      <c r="Z174" s="21">
        <v>0</v>
      </c>
      <c r="AA174" s="15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15"/>
      <c r="AP174" s="15"/>
      <c r="AQ174" s="15"/>
    </row>
    <row r="175" spans="1:43">
      <c r="A175" s="15" t="s">
        <v>43</v>
      </c>
      <c r="B175" s="15" t="s">
        <v>44</v>
      </c>
      <c r="C175" s="15" t="s">
        <v>45</v>
      </c>
      <c r="D175" s="15" t="s">
        <v>531</v>
      </c>
      <c r="E175" s="15" t="s">
        <v>532</v>
      </c>
      <c r="F175" s="16">
        <v>42352.3971064815</v>
      </c>
      <c r="G175" s="15" t="s">
        <v>532</v>
      </c>
      <c r="H175" s="15" t="s">
        <v>533</v>
      </c>
      <c r="I175" s="18">
        <v>0</v>
      </c>
      <c r="J175" s="18">
        <v>0</v>
      </c>
      <c r="K175" s="19">
        <v>0</v>
      </c>
      <c r="L175" s="20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15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15"/>
      <c r="AP175" s="15"/>
      <c r="AQ175" s="15"/>
    </row>
    <row r="176" spans="1:43">
      <c r="A176" s="15" t="s">
        <v>43</v>
      </c>
      <c r="B176" s="15" t="s">
        <v>44</v>
      </c>
      <c r="C176" s="15" t="s">
        <v>45</v>
      </c>
      <c r="D176" s="15" t="s">
        <v>534</v>
      </c>
      <c r="E176" s="15" t="s">
        <v>535</v>
      </c>
      <c r="F176" s="16">
        <v>44068.579525463</v>
      </c>
      <c r="G176" s="15" t="s">
        <v>535</v>
      </c>
      <c r="H176" s="15" t="s">
        <v>54</v>
      </c>
      <c r="I176" s="18">
        <v>0</v>
      </c>
      <c r="J176" s="18">
        <v>0</v>
      </c>
      <c r="K176" s="19">
        <v>0</v>
      </c>
      <c r="L176" s="20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0</v>
      </c>
      <c r="T176" s="21">
        <v>0</v>
      </c>
      <c r="U176" s="21">
        <v>0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15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15"/>
      <c r="AP176" s="15"/>
      <c r="AQ176" s="15"/>
    </row>
    <row r="177" spans="1:43">
      <c r="A177" s="15" t="s">
        <v>43</v>
      </c>
      <c r="B177" s="15" t="s">
        <v>44</v>
      </c>
      <c r="C177" s="15" t="s">
        <v>45</v>
      </c>
      <c r="D177" s="15" t="s">
        <v>536</v>
      </c>
      <c r="E177" s="15" t="s">
        <v>537</v>
      </c>
      <c r="F177" s="16">
        <v>42808.4308217593</v>
      </c>
      <c r="G177" s="15" t="s">
        <v>537</v>
      </c>
      <c r="H177" s="15" t="s">
        <v>538</v>
      </c>
      <c r="I177" s="18">
        <v>0</v>
      </c>
      <c r="J177" s="18">
        <v>0</v>
      </c>
      <c r="K177" s="19">
        <v>0</v>
      </c>
      <c r="L177" s="20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0</v>
      </c>
      <c r="Y177" s="21">
        <v>0</v>
      </c>
      <c r="Z177" s="21">
        <v>0</v>
      </c>
      <c r="AA177" s="15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15"/>
      <c r="AP177" s="15"/>
      <c r="AQ177" s="15"/>
    </row>
    <row r="178" spans="1:43">
      <c r="A178" s="15" t="s">
        <v>43</v>
      </c>
      <c r="B178" s="15" t="s">
        <v>44</v>
      </c>
      <c r="C178" s="15" t="s">
        <v>45</v>
      </c>
      <c r="D178" s="15" t="s">
        <v>539</v>
      </c>
      <c r="E178" s="15" t="s">
        <v>540</v>
      </c>
      <c r="F178" s="16">
        <v>40620.3902662037</v>
      </c>
      <c r="G178" s="15" t="s">
        <v>540</v>
      </c>
      <c r="H178" s="15" t="s">
        <v>541</v>
      </c>
      <c r="I178" s="18">
        <v>0</v>
      </c>
      <c r="J178" s="18">
        <v>0</v>
      </c>
      <c r="K178" s="19">
        <v>0</v>
      </c>
      <c r="L178" s="20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0</v>
      </c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0</v>
      </c>
      <c r="Z178" s="21">
        <v>0</v>
      </c>
      <c r="AA178" s="15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15"/>
      <c r="AP178" s="15"/>
      <c r="AQ178" s="15"/>
    </row>
    <row r="179" spans="1:43">
      <c r="A179" s="15" t="s">
        <v>43</v>
      </c>
      <c r="B179" s="15" t="s">
        <v>44</v>
      </c>
      <c r="C179" s="15" t="s">
        <v>45</v>
      </c>
      <c r="D179" s="15" t="s">
        <v>542</v>
      </c>
      <c r="E179" s="15" t="s">
        <v>543</v>
      </c>
      <c r="F179" s="16">
        <v>43419.4477430556</v>
      </c>
      <c r="G179" s="15" t="s">
        <v>543</v>
      </c>
      <c r="H179" s="15" t="s">
        <v>544</v>
      </c>
      <c r="I179" s="18">
        <v>0</v>
      </c>
      <c r="J179" s="18">
        <v>0</v>
      </c>
      <c r="K179" s="19">
        <v>0</v>
      </c>
      <c r="L179" s="20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0</v>
      </c>
      <c r="Z179" s="21">
        <v>0</v>
      </c>
      <c r="AA179" s="15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15"/>
      <c r="AP179" s="15"/>
      <c r="AQ179" s="15"/>
    </row>
    <row r="180" spans="1:43">
      <c r="A180" s="15" t="s">
        <v>49</v>
      </c>
      <c r="B180" s="15" t="s">
        <v>50</v>
      </c>
      <c r="C180" s="15" t="s">
        <v>61</v>
      </c>
      <c r="D180" s="15" t="s">
        <v>545</v>
      </c>
      <c r="E180" s="15" t="s">
        <v>546</v>
      </c>
      <c r="F180" s="16">
        <v>0</v>
      </c>
      <c r="G180" s="15" t="s">
        <v>546</v>
      </c>
      <c r="H180" s="15" t="s">
        <v>547</v>
      </c>
      <c r="I180" s="18">
        <v>0</v>
      </c>
      <c r="J180" s="18">
        <v>0</v>
      </c>
      <c r="K180" s="19">
        <v>0</v>
      </c>
      <c r="L180" s="20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0</v>
      </c>
      <c r="T180" s="21">
        <v>0</v>
      </c>
      <c r="U180" s="21">
        <v>0</v>
      </c>
      <c r="V180" s="21">
        <v>0</v>
      </c>
      <c r="W180" s="21">
        <v>0</v>
      </c>
      <c r="X180" s="21">
        <v>0</v>
      </c>
      <c r="Y180" s="21">
        <v>0</v>
      </c>
      <c r="Z180" s="21">
        <v>0</v>
      </c>
      <c r="AA180" s="15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15"/>
      <c r="AP180" s="15"/>
      <c r="AQ180" s="15"/>
    </row>
    <row r="181" spans="1:43">
      <c r="A181" s="15" t="s">
        <v>49</v>
      </c>
      <c r="B181" s="15" t="s">
        <v>50</v>
      </c>
      <c r="C181" s="15" t="s">
        <v>61</v>
      </c>
      <c r="D181" s="15" t="s">
        <v>548</v>
      </c>
      <c r="E181" s="15" t="s">
        <v>549</v>
      </c>
      <c r="F181" s="16">
        <v>0</v>
      </c>
      <c r="G181" s="15" t="s">
        <v>549</v>
      </c>
      <c r="H181" s="15" t="s">
        <v>550</v>
      </c>
      <c r="I181" s="18">
        <v>0</v>
      </c>
      <c r="J181" s="18">
        <v>0</v>
      </c>
      <c r="K181" s="19">
        <v>0</v>
      </c>
      <c r="L181" s="20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0</v>
      </c>
      <c r="Y181" s="21">
        <v>0</v>
      </c>
      <c r="Z181" s="21">
        <v>0</v>
      </c>
      <c r="AA181" s="15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15"/>
      <c r="AP181" s="15"/>
      <c r="AQ181" s="15"/>
    </row>
    <row r="182" spans="1:43">
      <c r="A182" s="15" t="s">
        <v>49</v>
      </c>
      <c r="B182" s="15" t="s">
        <v>50</v>
      </c>
      <c r="C182" s="15" t="s">
        <v>61</v>
      </c>
      <c r="D182" s="15" t="s">
        <v>551</v>
      </c>
      <c r="E182" s="15" t="s">
        <v>552</v>
      </c>
      <c r="F182" s="16">
        <v>0</v>
      </c>
      <c r="G182" s="15" t="s">
        <v>552</v>
      </c>
      <c r="H182" s="15" t="s">
        <v>553</v>
      </c>
      <c r="I182" s="18">
        <v>0</v>
      </c>
      <c r="J182" s="18">
        <v>0</v>
      </c>
      <c r="K182" s="19">
        <v>0</v>
      </c>
      <c r="L182" s="20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0</v>
      </c>
      <c r="X182" s="21">
        <v>0</v>
      </c>
      <c r="Y182" s="21">
        <v>0</v>
      </c>
      <c r="Z182" s="21">
        <v>0</v>
      </c>
      <c r="AA182" s="15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15"/>
      <c r="AP182" s="15"/>
      <c r="AQ182" s="15"/>
    </row>
    <row r="183" spans="1:43">
      <c r="A183" s="15" t="s">
        <v>43</v>
      </c>
      <c r="B183" s="15" t="s">
        <v>44</v>
      </c>
      <c r="C183" s="15" t="s">
        <v>45</v>
      </c>
      <c r="D183" s="15" t="s">
        <v>554</v>
      </c>
      <c r="E183" s="15" t="s">
        <v>555</v>
      </c>
      <c r="F183" s="16">
        <v>42079.6239467593</v>
      </c>
      <c r="G183" s="15" t="s">
        <v>555</v>
      </c>
      <c r="H183" s="15" t="s">
        <v>556</v>
      </c>
      <c r="I183" s="18">
        <v>0</v>
      </c>
      <c r="J183" s="18">
        <v>0</v>
      </c>
      <c r="K183" s="19">
        <v>0</v>
      </c>
      <c r="L183" s="20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0</v>
      </c>
      <c r="Y183" s="21">
        <v>0</v>
      </c>
      <c r="Z183" s="21">
        <v>0</v>
      </c>
      <c r="AA183" s="15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15"/>
      <c r="AP183" s="15"/>
      <c r="AQ183" s="15"/>
    </row>
    <row r="184" spans="1:43">
      <c r="A184" s="15" t="s">
        <v>49</v>
      </c>
      <c r="B184" s="15" t="s">
        <v>50</v>
      </c>
      <c r="C184" s="15" t="s">
        <v>51</v>
      </c>
      <c r="D184" s="15" t="s">
        <v>557</v>
      </c>
      <c r="E184" s="15" t="s">
        <v>558</v>
      </c>
      <c r="F184" s="16">
        <v>45058.4301157407</v>
      </c>
      <c r="G184" s="15" t="s">
        <v>558</v>
      </c>
      <c r="H184" s="15" t="s">
        <v>54</v>
      </c>
      <c r="I184" s="18">
        <v>0</v>
      </c>
      <c r="J184" s="18">
        <v>0</v>
      </c>
      <c r="K184" s="19">
        <v>0</v>
      </c>
      <c r="L184" s="20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15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15"/>
      <c r="AP184" s="15"/>
      <c r="AQ184" s="15"/>
    </row>
    <row r="185" spans="1:43">
      <c r="A185" s="15" t="s">
        <v>43</v>
      </c>
      <c r="B185" s="15" t="s">
        <v>44</v>
      </c>
      <c r="C185" s="15" t="s">
        <v>45</v>
      </c>
      <c r="D185" s="15" t="s">
        <v>559</v>
      </c>
      <c r="E185" s="15" t="s">
        <v>560</v>
      </c>
      <c r="F185" s="16">
        <v>42726.7027546296</v>
      </c>
      <c r="G185" s="15" t="s">
        <v>560</v>
      </c>
      <c r="H185" s="15" t="s">
        <v>561</v>
      </c>
      <c r="I185" s="18">
        <v>0</v>
      </c>
      <c r="J185" s="18">
        <v>0</v>
      </c>
      <c r="K185" s="19">
        <v>0</v>
      </c>
      <c r="L185" s="20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0</v>
      </c>
      <c r="Y185" s="21">
        <v>0</v>
      </c>
      <c r="Z185" s="21">
        <v>0</v>
      </c>
      <c r="AA185" s="15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15"/>
      <c r="AP185" s="15"/>
      <c r="AQ185" s="15"/>
    </row>
    <row r="186" spans="1:43">
      <c r="A186" s="15" t="s">
        <v>64</v>
      </c>
      <c r="B186" s="15" t="s">
        <v>65</v>
      </c>
      <c r="C186" s="15" t="s">
        <v>93</v>
      </c>
      <c r="D186" s="15" t="s">
        <v>562</v>
      </c>
      <c r="E186" s="15" t="s">
        <v>563</v>
      </c>
      <c r="F186" s="16">
        <v>45089.6856944444</v>
      </c>
      <c r="G186" s="15" t="s">
        <v>563</v>
      </c>
      <c r="H186" s="15" t="s">
        <v>564</v>
      </c>
      <c r="I186" s="18">
        <v>28.14</v>
      </c>
      <c r="J186" s="18">
        <v>13</v>
      </c>
      <c r="K186" s="19">
        <v>2.16461538461538</v>
      </c>
      <c r="L186" s="20">
        <v>0.0309230769230769</v>
      </c>
      <c r="M186" s="21">
        <v>0</v>
      </c>
      <c r="N186" s="21">
        <v>1.51</v>
      </c>
      <c r="O186" s="21">
        <v>1.91</v>
      </c>
      <c r="P186" s="21">
        <v>3.83</v>
      </c>
      <c r="Q186" s="21">
        <v>0.1</v>
      </c>
      <c r="R186" s="21">
        <v>1.73</v>
      </c>
      <c r="S186" s="21">
        <v>2.33</v>
      </c>
      <c r="T186" s="21">
        <v>6.54</v>
      </c>
      <c r="U186" s="21">
        <v>0.93</v>
      </c>
      <c r="V186" s="21">
        <v>4.78</v>
      </c>
      <c r="W186" s="21">
        <v>2.33</v>
      </c>
      <c r="X186" s="21">
        <v>0.2</v>
      </c>
      <c r="Y186" s="21">
        <v>0.1</v>
      </c>
      <c r="Z186" s="21">
        <v>1.85</v>
      </c>
      <c r="AA186" s="15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15"/>
      <c r="AP186" s="15"/>
      <c r="AQ186" s="15"/>
    </row>
    <row r="187" spans="1:43">
      <c r="A187" s="15" t="s">
        <v>43</v>
      </c>
      <c r="B187" s="15" t="s">
        <v>44</v>
      </c>
      <c r="C187" s="15" t="s">
        <v>45</v>
      </c>
      <c r="D187" s="15" t="s">
        <v>565</v>
      </c>
      <c r="E187" s="15" t="s">
        <v>566</v>
      </c>
      <c r="F187" s="16">
        <v>41837.7226388889</v>
      </c>
      <c r="G187" s="15" t="s">
        <v>566</v>
      </c>
      <c r="H187" s="15" t="s">
        <v>567</v>
      </c>
      <c r="I187" s="18">
        <v>0</v>
      </c>
      <c r="J187" s="18">
        <v>0</v>
      </c>
      <c r="K187" s="19">
        <v>0</v>
      </c>
      <c r="L187" s="20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0</v>
      </c>
      <c r="Y187" s="21">
        <v>0</v>
      </c>
      <c r="Z187" s="21">
        <v>0</v>
      </c>
      <c r="AA187" s="15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15"/>
      <c r="AP187" s="15"/>
      <c r="AQ187" s="15"/>
    </row>
    <row r="188" spans="1:43">
      <c r="A188" s="15" t="s">
        <v>49</v>
      </c>
      <c r="B188" s="15" t="s">
        <v>50</v>
      </c>
      <c r="C188" s="15" t="s">
        <v>75</v>
      </c>
      <c r="D188" s="15" t="s">
        <v>568</v>
      </c>
      <c r="E188" s="15" t="s">
        <v>569</v>
      </c>
      <c r="F188" s="16">
        <v>45071.6054282407</v>
      </c>
      <c r="G188" s="15" t="s">
        <v>569</v>
      </c>
      <c r="H188" s="15" t="s">
        <v>570</v>
      </c>
      <c r="I188" s="18">
        <v>833.78</v>
      </c>
      <c r="J188" s="18">
        <v>14</v>
      </c>
      <c r="K188" s="19">
        <v>59.5557142857143</v>
      </c>
      <c r="L188" s="20">
        <v>1.19111428571429</v>
      </c>
      <c r="M188" s="21">
        <v>63.79</v>
      </c>
      <c r="N188" s="21">
        <v>61.65</v>
      </c>
      <c r="O188" s="21">
        <v>59.05</v>
      </c>
      <c r="P188" s="21">
        <v>50.83</v>
      </c>
      <c r="Q188" s="21">
        <v>64.33</v>
      </c>
      <c r="R188" s="21">
        <v>70.14</v>
      </c>
      <c r="S188" s="21">
        <v>38.01</v>
      </c>
      <c r="T188" s="21">
        <v>59.98</v>
      </c>
      <c r="U188" s="21">
        <v>66.7</v>
      </c>
      <c r="V188" s="21">
        <v>60.03</v>
      </c>
      <c r="W188" s="21">
        <v>28.56</v>
      </c>
      <c r="X188" s="21">
        <v>41.79</v>
      </c>
      <c r="Y188" s="21">
        <v>98.77</v>
      </c>
      <c r="Z188" s="21">
        <v>70.15</v>
      </c>
      <c r="AA188" s="15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15"/>
      <c r="AP188" s="15"/>
      <c r="AQ188" s="15"/>
    </row>
    <row r="189" spans="1:43">
      <c r="A189" s="15" t="s">
        <v>43</v>
      </c>
      <c r="B189" s="15" t="s">
        <v>44</v>
      </c>
      <c r="C189" s="15" t="s">
        <v>45</v>
      </c>
      <c r="D189" s="15" t="s">
        <v>571</v>
      </c>
      <c r="E189" s="15" t="s">
        <v>572</v>
      </c>
      <c r="F189" s="16">
        <v>40071.7313773148</v>
      </c>
      <c r="G189" s="15" t="s">
        <v>572</v>
      </c>
      <c r="H189" s="15" t="s">
        <v>573</v>
      </c>
      <c r="I189" s="18">
        <v>0</v>
      </c>
      <c r="J189" s="18">
        <v>0</v>
      </c>
      <c r="K189" s="19">
        <v>0</v>
      </c>
      <c r="L189" s="20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21">
        <v>0</v>
      </c>
      <c r="AA189" s="15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15"/>
      <c r="AP189" s="15"/>
      <c r="AQ189" s="15"/>
    </row>
    <row r="190" spans="1:43">
      <c r="A190" s="15" t="s">
        <v>43</v>
      </c>
      <c r="B190" s="15" t="s">
        <v>44</v>
      </c>
      <c r="C190" s="15" t="s">
        <v>45</v>
      </c>
      <c r="D190" s="15" t="s">
        <v>574</v>
      </c>
      <c r="E190" s="15" t="s">
        <v>575</v>
      </c>
      <c r="F190" s="16">
        <v>43846.6227199074</v>
      </c>
      <c r="G190" s="15" t="s">
        <v>575</v>
      </c>
      <c r="H190" s="15" t="s">
        <v>576</v>
      </c>
      <c r="I190" s="18">
        <v>0</v>
      </c>
      <c r="J190" s="18">
        <v>0</v>
      </c>
      <c r="K190" s="19">
        <v>0</v>
      </c>
      <c r="L190" s="20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0</v>
      </c>
      <c r="Z190" s="21">
        <v>0</v>
      </c>
      <c r="AA190" s="15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15"/>
      <c r="AP190" s="15"/>
      <c r="AQ190" s="15"/>
    </row>
    <row r="191" spans="1:43">
      <c r="A191" s="15" t="s">
        <v>43</v>
      </c>
      <c r="B191" s="15" t="s">
        <v>44</v>
      </c>
      <c r="C191" s="15" t="s">
        <v>45</v>
      </c>
      <c r="D191" s="15" t="s">
        <v>577</v>
      </c>
      <c r="E191" s="15" t="s">
        <v>578</v>
      </c>
      <c r="F191" s="16">
        <v>41513.6501851852</v>
      </c>
      <c r="G191" s="15" t="s">
        <v>578</v>
      </c>
      <c r="H191" s="15" t="s">
        <v>579</v>
      </c>
      <c r="I191" s="18">
        <v>0</v>
      </c>
      <c r="J191" s="18">
        <v>0</v>
      </c>
      <c r="K191" s="19">
        <v>0</v>
      </c>
      <c r="L191" s="20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0</v>
      </c>
      <c r="Z191" s="21">
        <v>0</v>
      </c>
      <c r="AA191" s="15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15"/>
      <c r="AP191" s="15"/>
      <c r="AQ191" s="15"/>
    </row>
    <row r="192" spans="1:43">
      <c r="A192" s="15" t="s">
        <v>43</v>
      </c>
      <c r="B192" s="15" t="s">
        <v>44</v>
      </c>
      <c r="C192" s="15" t="s">
        <v>45</v>
      </c>
      <c r="D192" s="15" t="s">
        <v>580</v>
      </c>
      <c r="E192" s="15" t="s">
        <v>581</v>
      </c>
      <c r="F192" s="16">
        <v>42871.4607986111</v>
      </c>
      <c r="G192" s="15" t="s">
        <v>581</v>
      </c>
      <c r="H192" s="15" t="s">
        <v>582</v>
      </c>
      <c r="I192" s="18">
        <v>0</v>
      </c>
      <c r="J192" s="18">
        <v>0</v>
      </c>
      <c r="K192" s="19">
        <v>0</v>
      </c>
      <c r="L192" s="20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>
        <v>0</v>
      </c>
      <c r="X192" s="21">
        <v>0</v>
      </c>
      <c r="Y192" s="21">
        <v>0</v>
      </c>
      <c r="Z192" s="21">
        <v>0</v>
      </c>
      <c r="AA192" s="15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15"/>
      <c r="AP192" s="15"/>
      <c r="AQ192" s="15"/>
    </row>
    <row r="193" spans="1:43">
      <c r="A193" s="15" t="s">
        <v>43</v>
      </c>
      <c r="B193" s="15" t="s">
        <v>44</v>
      </c>
      <c r="C193" s="15" t="s">
        <v>45</v>
      </c>
      <c r="D193" s="15" t="s">
        <v>583</v>
      </c>
      <c r="E193" s="15" t="s">
        <v>584</v>
      </c>
      <c r="F193" s="16">
        <v>43700.4640046296</v>
      </c>
      <c r="G193" s="15" t="s">
        <v>584</v>
      </c>
      <c r="H193" s="15" t="s">
        <v>585</v>
      </c>
      <c r="I193" s="18">
        <v>0</v>
      </c>
      <c r="J193" s="18">
        <v>0</v>
      </c>
      <c r="K193" s="19">
        <v>0</v>
      </c>
      <c r="L193" s="20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15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15"/>
      <c r="AP193" s="15"/>
      <c r="AQ193" s="15"/>
    </row>
    <row r="194" spans="1:43">
      <c r="A194" s="15" t="s">
        <v>43</v>
      </c>
      <c r="B194" s="15" t="s">
        <v>44</v>
      </c>
      <c r="C194" s="15" t="s">
        <v>45</v>
      </c>
      <c r="D194" s="15" t="s">
        <v>586</v>
      </c>
      <c r="E194" s="15" t="s">
        <v>587</v>
      </c>
      <c r="F194" s="16">
        <v>43916.7130208333</v>
      </c>
      <c r="G194" s="15" t="s">
        <v>587</v>
      </c>
      <c r="H194" s="15" t="s">
        <v>588</v>
      </c>
      <c r="I194" s="18">
        <v>0</v>
      </c>
      <c r="J194" s="18">
        <v>0</v>
      </c>
      <c r="K194" s="19">
        <v>0</v>
      </c>
      <c r="L194" s="20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>
        <v>0</v>
      </c>
      <c r="AA194" s="15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15"/>
      <c r="AP194" s="15"/>
      <c r="AQ194" s="15"/>
    </row>
    <row r="195" spans="1:43">
      <c r="A195" s="15" t="s">
        <v>43</v>
      </c>
      <c r="B195" s="15" t="s">
        <v>44</v>
      </c>
      <c r="C195" s="15" t="s">
        <v>45</v>
      </c>
      <c r="D195" s="15" t="s">
        <v>589</v>
      </c>
      <c r="E195" s="15" t="s">
        <v>590</v>
      </c>
      <c r="F195" s="16">
        <v>41488.4836458333</v>
      </c>
      <c r="G195" s="15" t="s">
        <v>590</v>
      </c>
      <c r="H195" s="15" t="s">
        <v>591</v>
      </c>
      <c r="I195" s="18">
        <v>0</v>
      </c>
      <c r="J195" s="18">
        <v>0</v>
      </c>
      <c r="K195" s="19">
        <v>0</v>
      </c>
      <c r="L195" s="20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15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15"/>
      <c r="AP195" s="15"/>
      <c r="AQ195" s="15"/>
    </row>
    <row r="196" spans="1:43">
      <c r="A196" s="15" t="s">
        <v>49</v>
      </c>
      <c r="B196" s="15" t="s">
        <v>50</v>
      </c>
      <c r="C196" s="15" t="s">
        <v>61</v>
      </c>
      <c r="D196" s="15" t="s">
        <v>592</v>
      </c>
      <c r="E196" s="15" t="s">
        <v>593</v>
      </c>
      <c r="F196" s="16">
        <v>0</v>
      </c>
      <c r="G196" s="15" t="s">
        <v>593</v>
      </c>
      <c r="H196" s="15" t="s">
        <v>594</v>
      </c>
      <c r="I196" s="18">
        <v>0</v>
      </c>
      <c r="J196" s="18">
        <v>0</v>
      </c>
      <c r="K196" s="19">
        <v>0</v>
      </c>
      <c r="L196" s="20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0</v>
      </c>
      <c r="Y196" s="21">
        <v>0</v>
      </c>
      <c r="Z196" s="21">
        <v>0</v>
      </c>
      <c r="AA196" s="15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15"/>
      <c r="AP196" s="15"/>
      <c r="AQ196" s="15"/>
    </row>
    <row r="197" spans="1:43">
      <c r="A197" s="15" t="s">
        <v>43</v>
      </c>
      <c r="B197" s="15" t="s">
        <v>44</v>
      </c>
      <c r="C197" s="15" t="s">
        <v>45</v>
      </c>
      <c r="D197" s="15" t="s">
        <v>595</v>
      </c>
      <c r="E197" s="15" t="s">
        <v>596</v>
      </c>
      <c r="F197" s="16">
        <v>41110.6143171296</v>
      </c>
      <c r="G197" s="15" t="s">
        <v>596</v>
      </c>
      <c r="H197" s="15" t="s">
        <v>597</v>
      </c>
      <c r="I197" s="18">
        <v>0</v>
      </c>
      <c r="J197" s="18">
        <v>0</v>
      </c>
      <c r="K197" s="19">
        <v>0</v>
      </c>
      <c r="L197" s="20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0</v>
      </c>
      <c r="Y197" s="21">
        <v>0</v>
      </c>
      <c r="Z197" s="21">
        <v>0</v>
      </c>
      <c r="AA197" s="15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15"/>
      <c r="AP197" s="15"/>
      <c r="AQ197" s="15"/>
    </row>
    <row r="198" spans="1:43">
      <c r="A198" s="15" t="s">
        <v>43</v>
      </c>
      <c r="B198" s="15" t="s">
        <v>44</v>
      </c>
      <c r="C198" s="15" t="s">
        <v>45</v>
      </c>
      <c r="D198" s="15" t="s">
        <v>598</v>
      </c>
      <c r="E198" s="15" t="s">
        <v>599</v>
      </c>
      <c r="F198" s="16">
        <v>41907.6848148148</v>
      </c>
      <c r="G198" s="15" t="s">
        <v>599</v>
      </c>
      <c r="H198" s="15" t="s">
        <v>600</v>
      </c>
      <c r="I198" s="18">
        <v>0</v>
      </c>
      <c r="J198" s="18">
        <v>0</v>
      </c>
      <c r="K198" s="19">
        <v>0</v>
      </c>
      <c r="L198" s="20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15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15"/>
      <c r="AP198" s="15"/>
      <c r="AQ198" s="15"/>
    </row>
    <row r="199" spans="1:43">
      <c r="A199" s="15" t="s">
        <v>43</v>
      </c>
      <c r="B199" s="15" t="s">
        <v>44</v>
      </c>
      <c r="C199" s="15" t="s">
        <v>45</v>
      </c>
      <c r="D199" s="15" t="s">
        <v>601</v>
      </c>
      <c r="E199" s="15" t="s">
        <v>602</v>
      </c>
      <c r="F199" s="16">
        <v>42318.6786458333</v>
      </c>
      <c r="G199" s="15" t="s">
        <v>602</v>
      </c>
      <c r="H199" s="15" t="s">
        <v>603</v>
      </c>
      <c r="I199" s="18">
        <v>0</v>
      </c>
      <c r="J199" s="18">
        <v>0</v>
      </c>
      <c r="K199" s="19">
        <v>0</v>
      </c>
      <c r="L199" s="20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15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15"/>
      <c r="AP199" s="15"/>
      <c r="AQ199" s="15"/>
    </row>
    <row r="200" spans="1:43">
      <c r="A200" s="15" t="s">
        <v>43</v>
      </c>
      <c r="B200" s="15" t="s">
        <v>44</v>
      </c>
      <c r="C200" s="15" t="s">
        <v>45</v>
      </c>
      <c r="D200" s="15" t="s">
        <v>604</v>
      </c>
      <c r="E200" s="15" t="s">
        <v>605</v>
      </c>
      <c r="F200" s="16">
        <v>41859.445462963</v>
      </c>
      <c r="G200" s="15" t="s">
        <v>605</v>
      </c>
      <c r="H200" s="15" t="s">
        <v>606</v>
      </c>
      <c r="I200" s="18">
        <v>0</v>
      </c>
      <c r="J200" s="18">
        <v>0</v>
      </c>
      <c r="K200" s="19">
        <v>0</v>
      </c>
      <c r="L200" s="20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>
        <v>0</v>
      </c>
      <c r="Z200" s="21">
        <v>0</v>
      </c>
      <c r="AA200" s="15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15"/>
      <c r="AP200" s="15"/>
      <c r="AQ200" s="15"/>
    </row>
    <row r="201" spans="1:43">
      <c r="A201" s="15" t="s">
        <v>49</v>
      </c>
      <c r="B201" s="15" t="s">
        <v>50</v>
      </c>
      <c r="C201" s="15" t="s">
        <v>61</v>
      </c>
      <c r="D201" s="15" t="s">
        <v>607</v>
      </c>
      <c r="E201" s="15" t="s">
        <v>608</v>
      </c>
      <c r="F201" s="16">
        <v>43004.6220833333</v>
      </c>
      <c r="G201" s="15" t="s">
        <v>608</v>
      </c>
      <c r="H201" s="15" t="s">
        <v>609</v>
      </c>
      <c r="I201" s="18">
        <v>0</v>
      </c>
      <c r="J201" s="18">
        <v>0</v>
      </c>
      <c r="K201" s="19">
        <v>0</v>
      </c>
      <c r="L201" s="20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0</v>
      </c>
      <c r="Y201" s="21">
        <v>0</v>
      </c>
      <c r="Z201" s="21">
        <v>0</v>
      </c>
      <c r="AA201" s="15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15"/>
      <c r="AP201" s="15"/>
      <c r="AQ201" s="15"/>
    </row>
    <row r="202" spans="1:43">
      <c r="A202" s="15" t="s">
        <v>43</v>
      </c>
      <c r="B202" s="15" t="s">
        <v>44</v>
      </c>
      <c r="C202" s="15" t="s">
        <v>45</v>
      </c>
      <c r="D202" s="15" t="s">
        <v>610</v>
      </c>
      <c r="E202" s="15" t="s">
        <v>611</v>
      </c>
      <c r="F202" s="16">
        <v>41872.3706944444</v>
      </c>
      <c r="G202" s="15" t="s">
        <v>611</v>
      </c>
      <c r="H202" s="15" t="s">
        <v>612</v>
      </c>
      <c r="I202" s="18">
        <v>0</v>
      </c>
      <c r="J202" s="18">
        <v>0</v>
      </c>
      <c r="K202" s="19">
        <v>0</v>
      </c>
      <c r="L202" s="20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0</v>
      </c>
      <c r="Z202" s="21">
        <v>0</v>
      </c>
      <c r="AA202" s="15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15"/>
      <c r="AP202" s="15"/>
      <c r="AQ202" s="15"/>
    </row>
    <row r="203" spans="1:43">
      <c r="A203" s="15" t="s">
        <v>43</v>
      </c>
      <c r="B203" s="15" t="s">
        <v>44</v>
      </c>
      <c r="C203" s="15" t="s">
        <v>45</v>
      </c>
      <c r="D203" s="15" t="s">
        <v>613</v>
      </c>
      <c r="E203" s="15" t="s">
        <v>614</v>
      </c>
      <c r="F203" s="16">
        <v>40997.6462731482</v>
      </c>
      <c r="G203" s="15" t="s">
        <v>614</v>
      </c>
      <c r="H203" s="15" t="s">
        <v>615</v>
      </c>
      <c r="I203" s="18">
        <v>0</v>
      </c>
      <c r="J203" s="18">
        <v>0</v>
      </c>
      <c r="K203" s="19">
        <v>0</v>
      </c>
      <c r="L203" s="20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0</v>
      </c>
      <c r="Z203" s="21">
        <v>0</v>
      </c>
      <c r="AA203" s="15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15"/>
      <c r="AP203" s="15"/>
      <c r="AQ203" s="15"/>
    </row>
    <row r="204" spans="1:43">
      <c r="A204" s="15" t="s">
        <v>43</v>
      </c>
      <c r="B204" s="15" t="s">
        <v>44</v>
      </c>
      <c r="C204" s="15" t="s">
        <v>45</v>
      </c>
      <c r="D204" s="15" t="s">
        <v>616</v>
      </c>
      <c r="E204" s="15" t="s">
        <v>617</v>
      </c>
      <c r="F204" s="16">
        <v>41725.6815509259</v>
      </c>
      <c r="G204" s="15" t="s">
        <v>617</v>
      </c>
      <c r="H204" s="15" t="s">
        <v>618</v>
      </c>
      <c r="I204" s="18">
        <v>0</v>
      </c>
      <c r="J204" s="18">
        <v>0</v>
      </c>
      <c r="K204" s="19">
        <v>0</v>
      </c>
      <c r="L204" s="20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15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15"/>
      <c r="AP204" s="15"/>
      <c r="AQ204" s="15"/>
    </row>
    <row r="205" spans="1:43">
      <c r="A205" s="15" t="s">
        <v>43</v>
      </c>
      <c r="B205" s="15" t="s">
        <v>44</v>
      </c>
      <c r="C205" s="15" t="s">
        <v>228</v>
      </c>
      <c r="D205" s="15" t="s">
        <v>619</v>
      </c>
      <c r="E205" s="15" t="s">
        <v>620</v>
      </c>
      <c r="F205" s="16">
        <v>45070.4626851852</v>
      </c>
      <c r="G205" s="15" t="s">
        <v>620</v>
      </c>
      <c r="H205" s="15" t="s">
        <v>54</v>
      </c>
      <c r="I205" s="18">
        <v>203.6</v>
      </c>
      <c r="J205" s="18">
        <v>14</v>
      </c>
      <c r="K205" s="19">
        <v>14.5428571428571</v>
      </c>
      <c r="L205" s="20">
        <v>0.290857142857143</v>
      </c>
      <c r="M205" s="21">
        <v>6.49</v>
      </c>
      <c r="N205" s="21">
        <v>17</v>
      </c>
      <c r="O205" s="21">
        <v>34.3</v>
      </c>
      <c r="P205" s="21">
        <v>0.39</v>
      </c>
      <c r="Q205" s="21">
        <v>13.28</v>
      </c>
      <c r="R205" s="21">
        <v>18.91</v>
      </c>
      <c r="S205" s="21">
        <v>25.86</v>
      </c>
      <c r="T205" s="21">
        <v>5</v>
      </c>
      <c r="U205" s="21">
        <v>12.48</v>
      </c>
      <c r="V205" s="21">
        <v>15.62</v>
      </c>
      <c r="W205" s="21">
        <v>18.64</v>
      </c>
      <c r="X205" s="21">
        <v>4.14</v>
      </c>
      <c r="Y205" s="21">
        <v>14.69</v>
      </c>
      <c r="Z205" s="21">
        <v>16.8</v>
      </c>
      <c r="AA205" s="15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15"/>
      <c r="AP205" s="15"/>
      <c r="AQ205" s="15"/>
    </row>
    <row r="206" spans="1:43">
      <c r="A206" s="15" t="s">
        <v>49</v>
      </c>
      <c r="B206" s="15" t="s">
        <v>50</v>
      </c>
      <c r="C206" s="15" t="s">
        <v>61</v>
      </c>
      <c r="D206" s="15" t="s">
        <v>621</v>
      </c>
      <c r="E206" s="15" t="s">
        <v>622</v>
      </c>
      <c r="F206" s="16">
        <v>0</v>
      </c>
      <c r="G206" s="15" t="s">
        <v>622</v>
      </c>
      <c r="H206" s="15" t="s">
        <v>54</v>
      </c>
      <c r="I206" s="18">
        <v>0</v>
      </c>
      <c r="J206" s="18">
        <v>0</v>
      </c>
      <c r="K206" s="19">
        <v>0</v>
      </c>
      <c r="L206" s="20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0</v>
      </c>
      <c r="Z206" s="21">
        <v>0</v>
      </c>
      <c r="AA206" s="15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15"/>
      <c r="AP206" s="15"/>
      <c r="AQ206" s="15"/>
    </row>
    <row r="207" spans="1:43">
      <c r="A207" s="15" t="s">
        <v>43</v>
      </c>
      <c r="B207" s="15" t="s">
        <v>44</v>
      </c>
      <c r="C207" s="15" t="s">
        <v>45</v>
      </c>
      <c r="D207" s="15" t="s">
        <v>623</v>
      </c>
      <c r="E207" s="15" t="s">
        <v>624</v>
      </c>
      <c r="F207" s="16">
        <v>41694.5876736111</v>
      </c>
      <c r="G207" s="15" t="s">
        <v>624</v>
      </c>
      <c r="H207" s="15" t="s">
        <v>625</v>
      </c>
      <c r="I207" s="18">
        <v>0</v>
      </c>
      <c r="J207" s="18">
        <v>0</v>
      </c>
      <c r="K207" s="19">
        <v>0</v>
      </c>
      <c r="L207" s="20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0</v>
      </c>
      <c r="Z207" s="21">
        <v>0</v>
      </c>
      <c r="AA207" s="15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15"/>
      <c r="AP207" s="15"/>
      <c r="AQ207" s="15"/>
    </row>
    <row r="208" spans="1:43">
      <c r="A208" s="15" t="s">
        <v>64</v>
      </c>
      <c r="B208" s="15" t="s">
        <v>118</v>
      </c>
      <c r="C208" s="15" t="s">
        <v>138</v>
      </c>
      <c r="D208" s="15" t="s">
        <v>626</v>
      </c>
      <c r="E208" s="15" t="s">
        <v>627</v>
      </c>
      <c r="F208" s="16">
        <v>45015.5765972222</v>
      </c>
      <c r="G208" s="15" t="s">
        <v>627</v>
      </c>
      <c r="H208" s="15" t="s">
        <v>54</v>
      </c>
      <c r="I208" s="18">
        <v>0</v>
      </c>
      <c r="J208" s="18">
        <v>0</v>
      </c>
      <c r="K208" s="19">
        <v>0</v>
      </c>
      <c r="L208" s="20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15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15"/>
      <c r="AP208" s="15"/>
      <c r="AQ208" s="15"/>
    </row>
    <row r="209" spans="1:43">
      <c r="A209" s="15" t="s">
        <v>49</v>
      </c>
      <c r="B209" s="15" t="s">
        <v>50</v>
      </c>
      <c r="C209" s="15" t="s">
        <v>61</v>
      </c>
      <c r="D209" s="15" t="s">
        <v>628</v>
      </c>
      <c r="E209" s="15" t="s">
        <v>629</v>
      </c>
      <c r="F209" s="16">
        <v>0</v>
      </c>
      <c r="G209" s="15" t="s">
        <v>629</v>
      </c>
      <c r="H209" s="15" t="s">
        <v>54</v>
      </c>
      <c r="I209" s="18">
        <v>0</v>
      </c>
      <c r="J209" s="18">
        <v>0</v>
      </c>
      <c r="K209" s="19">
        <v>0</v>
      </c>
      <c r="L209" s="20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15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15"/>
      <c r="AP209" s="15"/>
      <c r="AQ209" s="15"/>
    </row>
    <row r="210" spans="1:43">
      <c r="A210" s="15" t="s">
        <v>64</v>
      </c>
      <c r="B210" s="15" t="s">
        <v>65</v>
      </c>
      <c r="C210" s="15" t="s">
        <v>93</v>
      </c>
      <c r="D210" s="15" t="s">
        <v>630</v>
      </c>
      <c r="E210" s="15" t="s">
        <v>631</v>
      </c>
      <c r="F210" s="16">
        <v>45127.5774884259</v>
      </c>
      <c r="G210" s="15" t="s">
        <v>631</v>
      </c>
      <c r="H210" s="15" t="s">
        <v>252</v>
      </c>
      <c r="I210" s="18">
        <v>0</v>
      </c>
      <c r="J210" s="18">
        <v>0</v>
      </c>
      <c r="K210" s="19">
        <v>0</v>
      </c>
      <c r="L210" s="20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15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15"/>
      <c r="AP210" s="15"/>
      <c r="AQ210" s="15"/>
    </row>
    <row r="211" spans="1:43">
      <c r="A211" s="15" t="s">
        <v>43</v>
      </c>
      <c r="B211" s="15" t="s">
        <v>44</v>
      </c>
      <c r="C211" s="15" t="s">
        <v>45</v>
      </c>
      <c r="D211" s="15" t="s">
        <v>632</v>
      </c>
      <c r="E211" s="15" t="s">
        <v>633</v>
      </c>
      <c r="F211" s="16">
        <v>41633.4391319444</v>
      </c>
      <c r="G211" s="15" t="s">
        <v>633</v>
      </c>
      <c r="H211" s="15" t="s">
        <v>634</v>
      </c>
      <c r="I211" s="18">
        <v>0</v>
      </c>
      <c r="J211" s="18">
        <v>0</v>
      </c>
      <c r="K211" s="19">
        <v>0</v>
      </c>
      <c r="L211" s="20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15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15"/>
      <c r="AP211" s="15"/>
      <c r="AQ211" s="15"/>
    </row>
    <row r="212" spans="1:43">
      <c r="A212" s="15" t="s">
        <v>49</v>
      </c>
      <c r="B212" s="15" t="s">
        <v>50</v>
      </c>
      <c r="C212" s="15" t="s">
        <v>301</v>
      </c>
      <c r="D212" s="15" t="s">
        <v>635</v>
      </c>
      <c r="E212" s="15" t="s">
        <v>636</v>
      </c>
      <c r="F212" s="16">
        <v>44805.6735069444</v>
      </c>
      <c r="G212" s="15" t="s">
        <v>636</v>
      </c>
      <c r="H212" s="15" t="s">
        <v>54</v>
      </c>
      <c r="I212" s="18">
        <v>0</v>
      </c>
      <c r="J212" s="18">
        <v>0</v>
      </c>
      <c r="K212" s="19">
        <v>0</v>
      </c>
      <c r="L212" s="20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15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15"/>
      <c r="AP212" s="15"/>
      <c r="AQ212" s="15"/>
    </row>
    <row r="213" spans="1:43">
      <c r="A213" s="15" t="s">
        <v>43</v>
      </c>
      <c r="B213" s="15" t="s">
        <v>44</v>
      </c>
      <c r="C213" s="15" t="s">
        <v>45</v>
      </c>
      <c r="D213" s="15" t="s">
        <v>637</v>
      </c>
      <c r="E213" s="15" t="s">
        <v>638</v>
      </c>
      <c r="F213" s="16">
        <v>41141.731099537</v>
      </c>
      <c r="G213" s="15" t="s">
        <v>638</v>
      </c>
      <c r="H213" s="15" t="s">
        <v>639</v>
      </c>
      <c r="I213" s="18">
        <v>0</v>
      </c>
      <c r="J213" s="18">
        <v>0</v>
      </c>
      <c r="K213" s="19">
        <v>0</v>
      </c>
      <c r="L213" s="20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15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15"/>
      <c r="AP213" s="15"/>
      <c r="AQ213" s="15"/>
    </row>
    <row r="214" spans="1:43">
      <c r="A214" s="15" t="s">
        <v>49</v>
      </c>
      <c r="B214" s="15" t="s">
        <v>50</v>
      </c>
      <c r="C214" s="15" t="s">
        <v>61</v>
      </c>
      <c r="D214" s="15" t="s">
        <v>640</v>
      </c>
      <c r="E214" s="15" t="s">
        <v>641</v>
      </c>
      <c r="F214" s="16">
        <v>0</v>
      </c>
      <c r="G214" s="15" t="s">
        <v>641</v>
      </c>
      <c r="H214" s="15" t="s">
        <v>54</v>
      </c>
      <c r="I214" s="18">
        <v>0</v>
      </c>
      <c r="J214" s="18">
        <v>0</v>
      </c>
      <c r="K214" s="19">
        <v>0</v>
      </c>
      <c r="L214" s="20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15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15"/>
      <c r="AP214" s="15"/>
      <c r="AQ214" s="15"/>
    </row>
    <row r="215" spans="1:43">
      <c r="A215" s="15" t="s">
        <v>49</v>
      </c>
      <c r="B215" s="15" t="s">
        <v>50</v>
      </c>
      <c r="C215" s="15" t="s">
        <v>61</v>
      </c>
      <c r="D215" s="15" t="s">
        <v>642</v>
      </c>
      <c r="E215" s="15" t="s">
        <v>643</v>
      </c>
      <c r="F215" s="16">
        <v>0</v>
      </c>
      <c r="G215" s="15" t="s">
        <v>643</v>
      </c>
      <c r="H215" s="15" t="s">
        <v>644</v>
      </c>
      <c r="I215" s="18">
        <v>0</v>
      </c>
      <c r="J215" s="18">
        <v>0</v>
      </c>
      <c r="K215" s="19">
        <v>0</v>
      </c>
      <c r="L215" s="20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15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15"/>
      <c r="AP215" s="15"/>
      <c r="AQ215" s="15"/>
    </row>
    <row r="216" spans="1:43">
      <c r="A216" s="15" t="s">
        <v>43</v>
      </c>
      <c r="B216" s="15" t="s">
        <v>44</v>
      </c>
      <c r="C216" s="15" t="s">
        <v>45</v>
      </c>
      <c r="D216" s="15" t="s">
        <v>645</v>
      </c>
      <c r="E216" s="15" t="s">
        <v>646</v>
      </c>
      <c r="F216" s="16">
        <v>43969.6623032407</v>
      </c>
      <c r="G216" s="15" t="s">
        <v>646</v>
      </c>
      <c r="H216" s="15" t="s">
        <v>647</v>
      </c>
      <c r="I216" s="18">
        <v>0</v>
      </c>
      <c r="J216" s="18">
        <v>0</v>
      </c>
      <c r="K216" s="19">
        <v>0</v>
      </c>
      <c r="L216" s="20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0</v>
      </c>
      <c r="Z216" s="21">
        <v>0</v>
      </c>
      <c r="AA216" s="15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15"/>
      <c r="AP216" s="15"/>
      <c r="AQ216" s="15"/>
    </row>
    <row r="217" spans="1:43">
      <c r="A217" s="15" t="s">
        <v>49</v>
      </c>
      <c r="B217" s="15" t="s">
        <v>50</v>
      </c>
      <c r="C217" s="15" t="s">
        <v>61</v>
      </c>
      <c r="D217" s="15" t="s">
        <v>648</v>
      </c>
      <c r="E217" s="15" t="s">
        <v>649</v>
      </c>
      <c r="F217" s="16">
        <v>0</v>
      </c>
      <c r="G217" s="15" t="s">
        <v>649</v>
      </c>
      <c r="H217" s="15" t="s">
        <v>54</v>
      </c>
      <c r="I217" s="18">
        <v>0</v>
      </c>
      <c r="J217" s="18">
        <v>0</v>
      </c>
      <c r="K217" s="19">
        <v>0</v>
      </c>
      <c r="L217" s="20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15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15"/>
      <c r="AP217" s="15"/>
      <c r="AQ217" s="15"/>
    </row>
    <row r="218" spans="1:43">
      <c r="A218" s="15" t="s">
        <v>43</v>
      </c>
      <c r="B218" s="15" t="s">
        <v>44</v>
      </c>
      <c r="C218" s="15" t="s">
        <v>45</v>
      </c>
      <c r="D218" s="15" t="s">
        <v>650</v>
      </c>
      <c r="E218" s="15" t="s">
        <v>651</v>
      </c>
      <c r="F218" s="16">
        <v>43658.5822222222</v>
      </c>
      <c r="G218" s="15" t="s">
        <v>651</v>
      </c>
      <c r="H218" s="15" t="s">
        <v>652</v>
      </c>
      <c r="I218" s="18">
        <v>0</v>
      </c>
      <c r="J218" s="18">
        <v>0</v>
      </c>
      <c r="K218" s="19">
        <v>0</v>
      </c>
      <c r="L218" s="20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0</v>
      </c>
      <c r="Z218" s="21">
        <v>0</v>
      </c>
      <c r="AA218" s="15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15"/>
      <c r="AP218" s="15"/>
      <c r="AQ218" s="15"/>
    </row>
    <row r="219" spans="1:43">
      <c r="A219" s="15" t="s">
        <v>43</v>
      </c>
      <c r="B219" s="15" t="s">
        <v>44</v>
      </c>
      <c r="C219" s="15" t="s">
        <v>653</v>
      </c>
      <c r="D219" s="15" t="s">
        <v>654</v>
      </c>
      <c r="E219" s="15" t="s">
        <v>655</v>
      </c>
      <c r="F219" s="16">
        <v>0</v>
      </c>
      <c r="G219" s="15" t="s">
        <v>655</v>
      </c>
      <c r="H219" s="15" t="s">
        <v>54</v>
      </c>
      <c r="I219" s="18">
        <v>0</v>
      </c>
      <c r="J219" s="18">
        <v>0</v>
      </c>
      <c r="K219" s="19">
        <v>0</v>
      </c>
      <c r="L219" s="20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0</v>
      </c>
      <c r="Z219" s="21">
        <v>0</v>
      </c>
      <c r="AA219" s="15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15"/>
      <c r="AP219" s="15"/>
      <c r="AQ219" s="15"/>
    </row>
    <row r="220" spans="1:43">
      <c r="A220" s="15" t="s">
        <v>43</v>
      </c>
      <c r="B220" s="15" t="s">
        <v>44</v>
      </c>
      <c r="C220" s="15" t="s">
        <v>45</v>
      </c>
      <c r="D220" s="15" t="s">
        <v>656</v>
      </c>
      <c r="E220" s="15" t="s">
        <v>657</v>
      </c>
      <c r="F220" s="16">
        <v>42493.3938773148</v>
      </c>
      <c r="G220" s="15" t="s">
        <v>657</v>
      </c>
      <c r="H220" s="15" t="s">
        <v>658</v>
      </c>
      <c r="I220" s="18">
        <v>0</v>
      </c>
      <c r="J220" s="18">
        <v>0</v>
      </c>
      <c r="K220" s="19">
        <v>0</v>
      </c>
      <c r="L220" s="20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15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15"/>
      <c r="AP220" s="15"/>
      <c r="AQ220" s="15"/>
    </row>
    <row r="221" spans="1:43">
      <c r="A221" s="15" t="s">
        <v>49</v>
      </c>
      <c r="B221" s="15" t="s">
        <v>50</v>
      </c>
      <c r="C221" s="15" t="s">
        <v>61</v>
      </c>
      <c r="D221" s="15" t="s">
        <v>659</v>
      </c>
      <c r="E221" s="15" t="s">
        <v>660</v>
      </c>
      <c r="F221" s="16">
        <v>0</v>
      </c>
      <c r="G221" s="15" t="s">
        <v>660</v>
      </c>
      <c r="H221" s="15" t="s">
        <v>54</v>
      </c>
      <c r="I221" s="18">
        <v>0</v>
      </c>
      <c r="J221" s="18">
        <v>0</v>
      </c>
      <c r="K221" s="19">
        <v>0</v>
      </c>
      <c r="L221" s="20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15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15"/>
      <c r="AP221" s="15"/>
      <c r="AQ221" s="15"/>
    </row>
    <row r="222" spans="1:43">
      <c r="A222" s="15" t="s">
        <v>43</v>
      </c>
      <c r="B222" s="15" t="s">
        <v>44</v>
      </c>
      <c r="C222" s="15" t="s">
        <v>45</v>
      </c>
      <c r="D222" s="15" t="s">
        <v>661</v>
      </c>
      <c r="E222" s="15" t="s">
        <v>662</v>
      </c>
      <c r="F222" s="16">
        <v>42191.6442013889</v>
      </c>
      <c r="G222" s="15" t="s">
        <v>662</v>
      </c>
      <c r="H222" s="15" t="s">
        <v>663</v>
      </c>
      <c r="I222" s="18">
        <v>0</v>
      </c>
      <c r="J222" s="18">
        <v>0</v>
      </c>
      <c r="K222" s="19">
        <v>0</v>
      </c>
      <c r="L222" s="20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0</v>
      </c>
      <c r="Z222" s="21">
        <v>0</v>
      </c>
      <c r="AA222" s="15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15"/>
      <c r="AP222" s="15"/>
      <c r="AQ222" s="15"/>
    </row>
    <row r="223" spans="1:43">
      <c r="A223" s="15" t="s">
        <v>43</v>
      </c>
      <c r="B223" s="15" t="s">
        <v>44</v>
      </c>
      <c r="C223" s="15" t="s">
        <v>45</v>
      </c>
      <c r="D223" s="15" t="s">
        <v>664</v>
      </c>
      <c r="E223" s="15" t="s">
        <v>665</v>
      </c>
      <c r="F223" s="16">
        <v>41956.664525463</v>
      </c>
      <c r="G223" s="15" t="s">
        <v>665</v>
      </c>
      <c r="H223" s="15" t="s">
        <v>666</v>
      </c>
      <c r="I223" s="18">
        <v>0</v>
      </c>
      <c r="J223" s="18">
        <v>0</v>
      </c>
      <c r="K223" s="19">
        <v>0</v>
      </c>
      <c r="L223" s="20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15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15"/>
      <c r="AP223" s="15"/>
      <c r="AQ223" s="15"/>
    </row>
    <row r="224" spans="1:43">
      <c r="A224" s="15" t="s">
        <v>43</v>
      </c>
      <c r="B224" s="15" t="s">
        <v>44</v>
      </c>
      <c r="C224" s="15" t="s">
        <v>45</v>
      </c>
      <c r="D224" s="15" t="s">
        <v>667</v>
      </c>
      <c r="E224" s="15" t="s">
        <v>668</v>
      </c>
      <c r="F224" s="16">
        <v>42367.4788657407</v>
      </c>
      <c r="G224" s="15" t="s">
        <v>668</v>
      </c>
      <c r="H224" s="15" t="s">
        <v>669</v>
      </c>
      <c r="I224" s="18">
        <v>0</v>
      </c>
      <c r="J224" s="18">
        <v>0</v>
      </c>
      <c r="K224" s="19">
        <v>0</v>
      </c>
      <c r="L224" s="20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>
        <v>0</v>
      </c>
      <c r="Z224" s="21">
        <v>0</v>
      </c>
      <c r="AA224" s="15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15"/>
      <c r="AP224" s="15"/>
      <c r="AQ224" s="15"/>
    </row>
    <row r="225" spans="1:43">
      <c r="A225" s="15" t="s">
        <v>43</v>
      </c>
      <c r="B225" s="15" t="s">
        <v>44</v>
      </c>
      <c r="C225" s="15" t="s">
        <v>45</v>
      </c>
      <c r="D225" s="15" t="s">
        <v>670</v>
      </c>
      <c r="E225" s="15" t="s">
        <v>671</v>
      </c>
      <c r="F225" s="16">
        <v>43360.4799189815</v>
      </c>
      <c r="G225" s="15" t="s">
        <v>671</v>
      </c>
      <c r="H225" s="15" t="s">
        <v>672</v>
      </c>
      <c r="I225" s="18">
        <v>0</v>
      </c>
      <c r="J225" s="18">
        <v>0</v>
      </c>
      <c r="K225" s="19">
        <v>0</v>
      </c>
      <c r="L225" s="20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15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15"/>
      <c r="AP225" s="15"/>
      <c r="AQ225" s="15"/>
    </row>
    <row r="226" spans="1:43">
      <c r="A226" s="15" t="s">
        <v>49</v>
      </c>
      <c r="B226" s="15" t="s">
        <v>50</v>
      </c>
      <c r="C226" s="15" t="s">
        <v>61</v>
      </c>
      <c r="D226" s="15" t="s">
        <v>673</v>
      </c>
      <c r="E226" s="15" t="s">
        <v>674</v>
      </c>
      <c r="F226" s="16">
        <v>0</v>
      </c>
      <c r="G226" s="15" t="s">
        <v>674</v>
      </c>
      <c r="H226" s="15" t="s">
        <v>675</v>
      </c>
      <c r="I226" s="18">
        <v>0</v>
      </c>
      <c r="J226" s="18">
        <v>0</v>
      </c>
      <c r="K226" s="19">
        <v>0</v>
      </c>
      <c r="L226" s="20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15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15"/>
      <c r="AP226" s="15"/>
      <c r="AQ226" s="15"/>
    </row>
    <row r="227" spans="1:43">
      <c r="A227" s="15" t="s">
        <v>49</v>
      </c>
      <c r="B227" s="15" t="s">
        <v>50</v>
      </c>
      <c r="C227" s="15" t="s">
        <v>61</v>
      </c>
      <c r="D227" s="15" t="s">
        <v>676</v>
      </c>
      <c r="E227" s="15" t="s">
        <v>677</v>
      </c>
      <c r="F227" s="16">
        <v>0</v>
      </c>
      <c r="G227" s="15" t="s">
        <v>677</v>
      </c>
      <c r="H227" s="15" t="s">
        <v>678</v>
      </c>
      <c r="I227" s="18">
        <v>0</v>
      </c>
      <c r="J227" s="18">
        <v>0</v>
      </c>
      <c r="K227" s="19">
        <v>0</v>
      </c>
      <c r="L227" s="20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15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15"/>
      <c r="AP227" s="15"/>
      <c r="AQ227" s="15"/>
    </row>
    <row r="228" spans="1:43">
      <c r="A228" s="15" t="s">
        <v>43</v>
      </c>
      <c r="B228" s="15" t="s">
        <v>44</v>
      </c>
      <c r="C228" s="15" t="s">
        <v>45</v>
      </c>
      <c r="D228" s="15" t="s">
        <v>679</v>
      </c>
      <c r="E228" s="15" t="s">
        <v>680</v>
      </c>
      <c r="F228" s="16">
        <v>41730.4182986111</v>
      </c>
      <c r="G228" s="15" t="s">
        <v>680</v>
      </c>
      <c r="H228" s="15" t="s">
        <v>681</v>
      </c>
      <c r="I228" s="18">
        <v>0</v>
      </c>
      <c r="J228" s="18">
        <v>0</v>
      </c>
      <c r="K228" s="19">
        <v>0</v>
      </c>
      <c r="L228" s="20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>
        <v>0</v>
      </c>
      <c r="X228" s="21">
        <v>0</v>
      </c>
      <c r="Y228" s="21">
        <v>0</v>
      </c>
      <c r="Z228" s="21">
        <v>0</v>
      </c>
      <c r="AA228" s="15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15"/>
      <c r="AP228" s="15"/>
      <c r="AQ228" s="15"/>
    </row>
    <row r="229" spans="1:43">
      <c r="A229" s="15" t="s">
        <v>43</v>
      </c>
      <c r="B229" s="15" t="s">
        <v>44</v>
      </c>
      <c r="C229" s="15" t="s">
        <v>45</v>
      </c>
      <c r="D229" s="15" t="s">
        <v>682</v>
      </c>
      <c r="E229" s="15" t="s">
        <v>683</v>
      </c>
      <c r="F229" s="16">
        <v>43123.4552430556</v>
      </c>
      <c r="G229" s="15" t="s">
        <v>683</v>
      </c>
      <c r="H229" s="15" t="s">
        <v>684</v>
      </c>
      <c r="I229" s="18">
        <v>0</v>
      </c>
      <c r="J229" s="18">
        <v>0</v>
      </c>
      <c r="K229" s="19">
        <v>0</v>
      </c>
      <c r="L229" s="20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15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15"/>
      <c r="AP229" s="15"/>
      <c r="AQ229" s="15"/>
    </row>
    <row r="230" spans="1:43">
      <c r="A230" s="15" t="s">
        <v>43</v>
      </c>
      <c r="B230" s="15" t="s">
        <v>44</v>
      </c>
      <c r="C230" s="15" t="s">
        <v>45</v>
      </c>
      <c r="D230" s="15" t="s">
        <v>685</v>
      </c>
      <c r="E230" s="15" t="s">
        <v>686</v>
      </c>
      <c r="F230" s="16">
        <v>42235.7118402778</v>
      </c>
      <c r="G230" s="15" t="s">
        <v>686</v>
      </c>
      <c r="H230" s="15" t="s">
        <v>687</v>
      </c>
      <c r="I230" s="18">
        <v>0</v>
      </c>
      <c r="J230" s="18">
        <v>0</v>
      </c>
      <c r="K230" s="19">
        <v>0</v>
      </c>
      <c r="L230" s="20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>
        <v>0</v>
      </c>
      <c r="X230" s="21">
        <v>0</v>
      </c>
      <c r="Y230" s="21">
        <v>0</v>
      </c>
      <c r="Z230" s="21">
        <v>0</v>
      </c>
      <c r="AA230" s="15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15"/>
      <c r="AP230" s="15"/>
      <c r="AQ230" s="15"/>
    </row>
    <row r="231" spans="1:43">
      <c r="A231" s="15" t="s">
        <v>43</v>
      </c>
      <c r="B231" s="15" t="s">
        <v>44</v>
      </c>
      <c r="C231" s="15" t="s">
        <v>45</v>
      </c>
      <c r="D231" s="15" t="s">
        <v>688</v>
      </c>
      <c r="E231" s="15" t="s">
        <v>689</v>
      </c>
      <c r="F231" s="16">
        <v>40848.477337963</v>
      </c>
      <c r="G231" s="15" t="s">
        <v>689</v>
      </c>
      <c r="H231" s="15" t="s">
        <v>690</v>
      </c>
      <c r="I231" s="18">
        <v>0</v>
      </c>
      <c r="J231" s="18">
        <v>0</v>
      </c>
      <c r="K231" s="19">
        <v>0</v>
      </c>
      <c r="L231" s="20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15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15"/>
      <c r="AP231" s="15"/>
      <c r="AQ231" s="15"/>
    </row>
    <row r="232" spans="1:43">
      <c r="A232" s="15" t="s">
        <v>43</v>
      </c>
      <c r="B232" s="15" t="s">
        <v>44</v>
      </c>
      <c r="C232" s="15" t="s">
        <v>45</v>
      </c>
      <c r="D232" s="15" t="s">
        <v>691</v>
      </c>
      <c r="E232" s="15" t="s">
        <v>692</v>
      </c>
      <c r="F232" s="16">
        <v>42651.7100925926</v>
      </c>
      <c r="G232" s="15" t="s">
        <v>692</v>
      </c>
      <c r="H232" s="15" t="s">
        <v>693</v>
      </c>
      <c r="I232" s="18">
        <v>0</v>
      </c>
      <c r="J232" s="18">
        <v>0</v>
      </c>
      <c r="K232" s="19">
        <v>0</v>
      </c>
      <c r="L232" s="20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>
        <v>0</v>
      </c>
      <c r="X232" s="21">
        <v>0</v>
      </c>
      <c r="Y232" s="21">
        <v>0</v>
      </c>
      <c r="Z232" s="21">
        <v>0</v>
      </c>
      <c r="AA232" s="15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15"/>
      <c r="AP232" s="15"/>
      <c r="AQ232" s="15"/>
    </row>
    <row r="233" spans="1:43">
      <c r="A233" s="15" t="s">
        <v>43</v>
      </c>
      <c r="B233" s="15" t="s">
        <v>44</v>
      </c>
      <c r="C233" s="15" t="s">
        <v>228</v>
      </c>
      <c r="D233" s="15" t="s">
        <v>694</v>
      </c>
      <c r="E233" s="15" t="s">
        <v>695</v>
      </c>
      <c r="F233" s="16">
        <v>45024.4013888889</v>
      </c>
      <c r="G233" s="15" t="s">
        <v>695</v>
      </c>
      <c r="H233" s="15" t="s">
        <v>54</v>
      </c>
      <c r="I233" s="18">
        <v>0</v>
      </c>
      <c r="J233" s="18">
        <v>0</v>
      </c>
      <c r="K233" s="19">
        <v>0</v>
      </c>
      <c r="L233" s="20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15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15"/>
      <c r="AP233" s="15"/>
      <c r="AQ233" s="15"/>
    </row>
    <row r="234" spans="1:43">
      <c r="A234" s="15" t="s">
        <v>49</v>
      </c>
      <c r="B234" s="15" t="s">
        <v>50</v>
      </c>
      <c r="C234" s="15" t="s">
        <v>51</v>
      </c>
      <c r="D234" s="15" t="s">
        <v>696</v>
      </c>
      <c r="E234" s="15" t="s">
        <v>697</v>
      </c>
      <c r="F234" s="16">
        <v>44980.5963425926</v>
      </c>
      <c r="G234" s="15" t="s">
        <v>697</v>
      </c>
      <c r="H234" s="15" t="s">
        <v>54</v>
      </c>
      <c r="I234" s="18">
        <v>0</v>
      </c>
      <c r="J234" s="18">
        <v>0</v>
      </c>
      <c r="K234" s="19">
        <v>0</v>
      </c>
      <c r="L234" s="20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0</v>
      </c>
      <c r="Z234" s="21">
        <v>0</v>
      </c>
      <c r="AA234" s="15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15"/>
      <c r="AP234" s="15"/>
      <c r="AQ234" s="15"/>
    </row>
    <row r="235" spans="1:43">
      <c r="A235" s="15" t="s">
        <v>49</v>
      </c>
      <c r="B235" s="15" t="s">
        <v>50</v>
      </c>
      <c r="C235" s="15" t="s">
        <v>61</v>
      </c>
      <c r="D235" s="15" t="s">
        <v>698</v>
      </c>
      <c r="E235" s="15" t="s">
        <v>699</v>
      </c>
      <c r="F235" s="16">
        <v>0</v>
      </c>
      <c r="G235" s="15" t="s">
        <v>699</v>
      </c>
      <c r="H235" s="15" t="s">
        <v>700</v>
      </c>
      <c r="I235" s="18">
        <v>0</v>
      </c>
      <c r="J235" s="18">
        <v>0</v>
      </c>
      <c r="K235" s="19">
        <v>0</v>
      </c>
      <c r="L235" s="20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>
        <v>0</v>
      </c>
      <c r="X235" s="21">
        <v>0</v>
      </c>
      <c r="Y235" s="21">
        <v>0</v>
      </c>
      <c r="Z235" s="21">
        <v>0</v>
      </c>
      <c r="AA235" s="15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15"/>
      <c r="AP235" s="15"/>
      <c r="AQ235" s="15"/>
    </row>
    <row r="236" spans="1:43">
      <c r="A236" s="15" t="s">
        <v>49</v>
      </c>
      <c r="B236" s="15" t="s">
        <v>50</v>
      </c>
      <c r="C236" s="15" t="s">
        <v>61</v>
      </c>
      <c r="D236" s="15" t="s">
        <v>701</v>
      </c>
      <c r="E236" s="15" t="s">
        <v>702</v>
      </c>
      <c r="F236" s="16">
        <v>0</v>
      </c>
      <c r="G236" s="15" t="s">
        <v>702</v>
      </c>
      <c r="H236" s="15" t="s">
        <v>703</v>
      </c>
      <c r="I236" s="18">
        <v>0</v>
      </c>
      <c r="J236" s="18">
        <v>0</v>
      </c>
      <c r="K236" s="19">
        <v>0</v>
      </c>
      <c r="L236" s="20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>
        <v>0</v>
      </c>
      <c r="X236" s="21">
        <v>0</v>
      </c>
      <c r="Y236" s="21">
        <v>0</v>
      </c>
      <c r="Z236" s="21">
        <v>0</v>
      </c>
      <c r="AA236" s="15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15"/>
      <c r="AP236" s="15"/>
      <c r="AQ236" s="15"/>
    </row>
    <row r="237" spans="1:43">
      <c r="A237" s="15" t="s">
        <v>43</v>
      </c>
      <c r="B237" s="15" t="s">
        <v>44</v>
      </c>
      <c r="C237" s="15" t="s">
        <v>45</v>
      </c>
      <c r="D237" s="15" t="s">
        <v>704</v>
      </c>
      <c r="E237" s="15" t="s">
        <v>705</v>
      </c>
      <c r="F237" s="16">
        <v>41590.666400463</v>
      </c>
      <c r="G237" s="15" t="s">
        <v>705</v>
      </c>
      <c r="H237" s="15" t="s">
        <v>706</v>
      </c>
      <c r="I237" s="18">
        <v>0</v>
      </c>
      <c r="J237" s="18">
        <v>0</v>
      </c>
      <c r="K237" s="19">
        <v>0</v>
      </c>
      <c r="L237" s="20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>
        <v>0</v>
      </c>
      <c r="X237" s="21">
        <v>0</v>
      </c>
      <c r="Y237" s="21">
        <v>0</v>
      </c>
      <c r="Z237" s="21">
        <v>0</v>
      </c>
      <c r="AA237" s="15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15"/>
      <c r="AP237" s="15"/>
      <c r="AQ237" s="15"/>
    </row>
    <row r="238" spans="1:43">
      <c r="A238" s="15" t="s">
        <v>43</v>
      </c>
      <c r="B238" s="15" t="s">
        <v>44</v>
      </c>
      <c r="C238" s="15" t="s">
        <v>45</v>
      </c>
      <c r="D238" s="15" t="s">
        <v>707</v>
      </c>
      <c r="E238" s="15" t="s">
        <v>708</v>
      </c>
      <c r="F238" s="16">
        <v>43766.6821759259</v>
      </c>
      <c r="G238" s="15" t="s">
        <v>708</v>
      </c>
      <c r="H238" s="15" t="s">
        <v>709</v>
      </c>
      <c r="I238" s="18">
        <v>0</v>
      </c>
      <c r="J238" s="18">
        <v>0</v>
      </c>
      <c r="K238" s="19">
        <v>0</v>
      </c>
      <c r="L238" s="20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15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15"/>
      <c r="AP238" s="15"/>
      <c r="AQ238" s="15"/>
    </row>
    <row r="239" spans="1:43">
      <c r="A239" s="15" t="s">
        <v>49</v>
      </c>
      <c r="B239" s="15" t="s">
        <v>50</v>
      </c>
      <c r="C239" s="15" t="s">
        <v>61</v>
      </c>
      <c r="D239" s="15" t="s">
        <v>710</v>
      </c>
      <c r="E239" s="15" t="s">
        <v>711</v>
      </c>
      <c r="F239" s="16">
        <v>0</v>
      </c>
      <c r="G239" s="15" t="s">
        <v>711</v>
      </c>
      <c r="H239" s="15" t="s">
        <v>54</v>
      </c>
      <c r="I239" s="18">
        <v>0</v>
      </c>
      <c r="J239" s="18">
        <v>0</v>
      </c>
      <c r="K239" s="19">
        <v>0</v>
      </c>
      <c r="L239" s="20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>
        <v>0</v>
      </c>
      <c r="X239" s="21">
        <v>0</v>
      </c>
      <c r="Y239" s="21">
        <v>0</v>
      </c>
      <c r="Z239" s="21">
        <v>0</v>
      </c>
      <c r="AA239" s="15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15"/>
      <c r="AP239" s="15"/>
      <c r="AQ239" s="15"/>
    </row>
    <row r="240" spans="1:43">
      <c r="A240" s="15" t="s">
        <v>43</v>
      </c>
      <c r="B240" s="15" t="s">
        <v>44</v>
      </c>
      <c r="C240" s="15" t="s">
        <v>45</v>
      </c>
      <c r="D240" s="15" t="s">
        <v>712</v>
      </c>
      <c r="E240" s="15" t="s">
        <v>713</v>
      </c>
      <c r="F240" s="16">
        <v>41075.6708449074</v>
      </c>
      <c r="G240" s="15" t="s">
        <v>713</v>
      </c>
      <c r="H240" s="15" t="s">
        <v>714</v>
      </c>
      <c r="I240" s="18">
        <v>0</v>
      </c>
      <c r="J240" s="18">
        <v>0</v>
      </c>
      <c r="K240" s="19">
        <v>0</v>
      </c>
      <c r="L240" s="20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>
        <v>0</v>
      </c>
      <c r="X240" s="21">
        <v>0</v>
      </c>
      <c r="Y240" s="21">
        <v>0</v>
      </c>
      <c r="Z240" s="21">
        <v>0</v>
      </c>
      <c r="AA240" s="15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15"/>
      <c r="AP240" s="15"/>
      <c r="AQ240" s="15"/>
    </row>
    <row r="241" spans="1:43">
      <c r="A241" s="15" t="s">
        <v>43</v>
      </c>
      <c r="B241" s="15" t="s">
        <v>44</v>
      </c>
      <c r="C241" s="15" t="s">
        <v>45</v>
      </c>
      <c r="D241" s="15" t="s">
        <v>715</v>
      </c>
      <c r="E241" s="15" t="s">
        <v>716</v>
      </c>
      <c r="F241" s="16">
        <v>43092.4929861111</v>
      </c>
      <c r="G241" s="15" t="s">
        <v>716</v>
      </c>
      <c r="H241" s="15" t="s">
        <v>717</v>
      </c>
      <c r="I241" s="18">
        <v>0</v>
      </c>
      <c r="J241" s="18">
        <v>0</v>
      </c>
      <c r="K241" s="19">
        <v>0</v>
      </c>
      <c r="L241" s="20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15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15"/>
      <c r="AP241" s="15"/>
      <c r="AQ241" s="15"/>
    </row>
    <row r="242" spans="1:43">
      <c r="A242" s="15" t="s">
        <v>49</v>
      </c>
      <c r="B242" s="15" t="s">
        <v>50</v>
      </c>
      <c r="C242" s="15" t="s">
        <v>61</v>
      </c>
      <c r="D242" s="15" t="s">
        <v>718</v>
      </c>
      <c r="E242" s="15" t="s">
        <v>719</v>
      </c>
      <c r="F242" s="16">
        <v>0</v>
      </c>
      <c r="G242" s="15" t="s">
        <v>719</v>
      </c>
      <c r="H242" s="15" t="s">
        <v>54</v>
      </c>
      <c r="I242" s="18">
        <v>0</v>
      </c>
      <c r="J242" s="18">
        <v>0</v>
      </c>
      <c r="K242" s="19">
        <v>0</v>
      </c>
      <c r="L242" s="20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>
        <v>0</v>
      </c>
      <c r="X242" s="21">
        <v>0</v>
      </c>
      <c r="Y242" s="21">
        <v>0</v>
      </c>
      <c r="Z242" s="21">
        <v>0</v>
      </c>
      <c r="AA242" s="15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15"/>
      <c r="AP242" s="15"/>
      <c r="AQ242" s="15"/>
    </row>
    <row r="243" spans="1:43">
      <c r="A243" s="15" t="s">
        <v>43</v>
      </c>
      <c r="B243" s="15" t="s">
        <v>44</v>
      </c>
      <c r="C243" s="15" t="s">
        <v>45</v>
      </c>
      <c r="D243" s="15" t="s">
        <v>720</v>
      </c>
      <c r="E243" s="15" t="s">
        <v>721</v>
      </c>
      <c r="F243" s="16">
        <v>42362.4672916667</v>
      </c>
      <c r="G243" s="15" t="s">
        <v>721</v>
      </c>
      <c r="H243" s="15" t="s">
        <v>722</v>
      </c>
      <c r="I243" s="18">
        <v>0</v>
      </c>
      <c r="J243" s="18">
        <v>0</v>
      </c>
      <c r="K243" s="19">
        <v>0</v>
      </c>
      <c r="L243" s="20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>
        <v>0</v>
      </c>
      <c r="X243" s="21">
        <v>0</v>
      </c>
      <c r="Y243" s="21">
        <v>0</v>
      </c>
      <c r="Z243" s="21">
        <v>0</v>
      </c>
      <c r="AA243" s="15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15"/>
      <c r="AP243" s="15"/>
      <c r="AQ243" s="15"/>
    </row>
    <row r="244" spans="1:43">
      <c r="A244" s="15" t="s">
        <v>43</v>
      </c>
      <c r="B244" s="15" t="s">
        <v>44</v>
      </c>
      <c r="C244" s="15" t="s">
        <v>45</v>
      </c>
      <c r="D244" s="15" t="s">
        <v>723</v>
      </c>
      <c r="E244" s="15" t="s">
        <v>724</v>
      </c>
      <c r="F244" s="16">
        <v>43355.4572800926</v>
      </c>
      <c r="G244" s="15" t="s">
        <v>724</v>
      </c>
      <c r="H244" s="15" t="s">
        <v>725</v>
      </c>
      <c r="I244" s="18">
        <v>0</v>
      </c>
      <c r="J244" s="18">
        <v>0</v>
      </c>
      <c r="K244" s="19">
        <v>0</v>
      </c>
      <c r="L244" s="20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0</v>
      </c>
      <c r="X244" s="21">
        <v>0</v>
      </c>
      <c r="Y244" s="21">
        <v>0</v>
      </c>
      <c r="Z244" s="21">
        <v>0</v>
      </c>
      <c r="AA244" s="15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15"/>
      <c r="AP244" s="15"/>
      <c r="AQ244" s="15"/>
    </row>
    <row r="245" spans="1:43">
      <c r="A245" s="15" t="s">
        <v>43</v>
      </c>
      <c r="B245" s="15" t="s">
        <v>44</v>
      </c>
      <c r="C245" s="15" t="s">
        <v>45</v>
      </c>
      <c r="D245" s="15" t="s">
        <v>726</v>
      </c>
      <c r="E245" s="15" t="s">
        <v>727</v>
      </c>
      <c r="F245" s="16">
        <v>42315.4111111111</v>
      </c>
      <c r="G245" s="15" t="s">
        <v>727</v>
      </c>
      <c r="H245" s="15" t="s">
        <v>728</v>
      </c>
      <c r="I245" s="18">
        <v>0</v>
      </c>
      <c r="J245" s="18">
        <v>0</v>
      </c>
      <c r="K245" s="19">
        <v>0</v>
      </c>
      <c r="L245" s="20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15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15"/>
      <c r="AP245" s="15"/>
      <c r="AQ245" s="15"/>
    </row>
    <row r="246" spans="1:43">
      <c r="A246" s="15" t="s">
        <v>49</v>
      </c>
      <c r="B246" s="15" t="s">
        <v>50</v>
      </c>
      <c r="C246" s="15" t="s">
        <v>61</v>
      </c>
      <c r="D246" s="15" t="s">
        <v>729</v>
      </c>
      <c r="E246" s="15" t="s">
        <v>730</v>
      </c>
      <c r="F246" s="16">
        <v>0</v>
      </c>
      <c r="G246" s="15" t="s">
        <v>730</v>
      </c>
      <c r="H246" s="15" t="s">
        <v>54</v>
      </c>
      <c r="I246" s="18">
        <v>0</v>
      </c>
      <c r="J246" s="18">
        <v>0</v>
      </c>
      <c r="K246" s="19">
        <v>0</v>
      </c>
      <c r="L246" s="20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0</v>
      </c>
      <c r="T246" s="21">
        <v>0</v>
      </c>
      <c r="U246" s="21">
        <v>0</v>
      </c>
      <c r="V246" s="21">
        <v>0</v>
      </c>
      <c r="W246" s="21">
        <v>0</v>
      </c>
      <c r="X246" s="21">
        <v>0</v>
      </c>
      <c r="Y246" s="21">
        <v>0</v>
      </c>
      <c r="Z246" s="21">
        <v>0</v>
      </c>
      <c r="AA246" s="15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15"/>
      <c r="AP246" s="15"/>
      <c r="AQ246" s="15"/>
    </row>
    <row r="247" spans="1:43">
      <c r="A247" s="15" t="s">
        <v>49</v>
      </c>
      <c r="B247" s="15" t="s">
        <v>50</v>
      </c>
      <c r="C247" s="15" t="s">
        <v>61</v>
      </c>
      <c r="D247" s="15" t="s">
        <v>731</v>
      </c>
      <c r="E247" s="15" t="s">
        <v>732</v>
      </c>
      <c r="F247" s="16">
        <v>0</v>
      </c>
      <c r="G247" s="15" t="s">
        <v>732</v>
      </c>
      <c r="H247" s="15" t="s">
        <v>733</v>
      </c>
      <c r="I247" s="18">
        <v>0</v>
      </c>
      <c r="J247" s="18">
        <v>0</v>
      </c>
      <c r="K247" s="19">
        <v>0</v>
      </c>
      <c r="L247" s="20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15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15"/>
      <c r="AP247" s="15"/>
      <c r="AQ247" s="15"/>
    </row>
    <row r="248" spans="1:43">
      <c r="A248" s="15" t="s">
        <v>49</v>
      </c>
      <c r="B248" s="15" t="s">
        <v>50</v>
      </c>
      <c r="C248" s="15" t="s">
        <v>61</v>
      </c>
      <c r="D248" s="15" t="s">
        <v>734</v>
      </c>
      <c r="E248" s="15" t="s">
        <v>735</v>
      </c>
      <c r="F248" s="16">
        <v>0</v>
      </c>
      <c r="G248" s="15" t="s">
        <v>735</v>
      </c>
      <c r="H248" s="15" t="s">
        <v>54</v>
      </c>
      <c r="I248" s="18">
        <v>0</v>
      </c>
      <c r="J248" s="18">
        <v>0</v>
      </c>
      <c r="K248" s="19">
        <v>0</v>
      </c>
      <c r="L248" s="20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>
        <v>0</v>
      </c>
      <c r="X248" s="21">
        <v>0</v>
      </c>
      <c r="Y248" s="21">
        <v>0</v>
      </c>
      <c r="Z248" s="21">
        <v>0</v>
      </c>
      <c r="AA248" s="15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15"/>
      <c r="AP248" s="15"/>
      <c r="AQ248" s="15"/>
    </row>
    <row r="249" spans="1:43">
      <c r="A249" s="15" t="s">
        <v>43</v>
      </c>
      <c r="B249" s="15" t="s">
        <v>44</v>
      </c>
      <c r="C249" s="15" t="s">
        <v>45</v>
      </c>
      <c r="D249" s="15" t="s">
        <v>736</v>
      </c>
      <c r="E249" s="15" t="s">
        <v>737</v>
      </c>
      <c r="F249" s="16">
        <v>42452.4269097222</v>
      </c>
      <c r="G249" s="15" t="s">
        <v>737</v>
      </c>
      <c r="H249" s="15" t="s">
        <v>738</v>
      </c>
      <c r="I249" s="18">
        <v>0</v>
      </c>
      <c r="J249" s="18">
        <v>0</v>
      </c>
      <c r="K249" s="19">
        <v>0</v>
      </c>
      <c r="L249" s="20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15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15"/>
      <c r="AP249" s="15"/>
      <c r="AQ249" s="15"/>
    </row>
    <row r="250" spans="1:43">
      <c r="A250" s="15" t="s">
        <v>43</v>
      </c>
      <c r="B250" s="15" t="s">
        <v>44</v>
      </c>
      <c r="C250" s="15" t="s">
        <v>45</v>
      </c>
      <c r="D250" s="15" t="s">
        <v>739</v>
      </c>
      <c r="E250" s="15" t="s">
        <v>740</v>
      </c>
      <c r="F250" s="16">
        <v>42457.7130208333</v>
      </c>
      <c r="G250" s="15" t="s">
        <v>740</v>
      </c>
      <c r="H250" s="15" t="s">
        <v>741</v>
      </c>
      <c r="I250" s="18">
        <v>0</v>
      </c>
      <c r="J250" s="18">
        <v>0</v>
      </c>
      <c r="K250" s="19">
        <v>0</v>
      </c>
      <c r="L250" s="20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15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15"/>
      <c r="AP250" s="15"/>
      <c r="AQ250" s="15"/>
    </row>
    <row r="251" spans="1:43">
      <c r="A251" s="15" t="s">
        <v>43</v>
      </c>
      <c r="B251" s="15" t="s">
        <v>44</v>
      </c>
      <c r="C251" s="15" t="s">
        <v>45</v>
      </c>
      <c r="D251" s="15" t="s">
        <v>742</v>
      </c>
      <c r="E251" s="15" t="s">
        <v>743</v>
      </c>
      <c r="F251" s="16">
        <v>41153.4553703704</v>
      </c>
      <c r="G251" s="15" t="s">
        <v>743</v>
      </c>
      <c r="H251" s="15" t="s">
        <v>744</v>
      </c>
      <c r="I251" s="18">
        <v>0</v>
      </c>
      <c r="J251" s="18">
        <v>0</v>
      </c>
      <c r="K251" s="19">
        <v>0</v>
      </c>
      <c r="L251" s="20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0</v>
      </c>
      <c r="V251" s="21">
        <v>0</v>
      </c>
      <c r="W251" s="21">
        <v>0</v>
      </c>
      <c r="X251" s="21">
        <v>0</v>
      </c>
      <c r="Y251" s="21">
        <v>0</v>
      </c>
      <c r="Z251" s="21">
        <v>0</v>
      </c>
      <c r="AA251" s="15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15"/>
      <c r="AP251" s="15"/>
      <c r="AQ251" s="15"/>
    </row>
    <row r="252" spans="1:43">
      <c r="A252" s="15" t="s">
        <v>43</v>
      </c>
      <c r="B252" s="15" t="s">
        <v>44</v>
      </c>
      <c r="C252" s="15" t="s">
        <v>45</v>
      </c>
      <c r="D252" s="15" t="s">
        <v>745</v>
      </c>
      <c r="E252" s="15" t="s">
        <v>746</v>
      </c>
      <c r="F252" s="16">
        <v>43441.3679976852</v>
      </c>
      <c r="G252" s="15" t="s">
        <v>746</v>
      </c>
      <c r="H252" s="15" t="s">
        <v>747</v>
      </c>
      <c r="I252" s="18">
        <v>0</v>
      </c>
      <c r="J252" s="18">
        <v>0</v>
      </c>
      <c r="K252" s="19">
        <v>0</v>
      </c>
      <c r="L252" s="20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15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15"/>
      <c r="AP252" s="15"/>
      <c r="AQ252" s="15"/>
    </row>
    <row r="253" spans="1:43">
      <c r="A253" s="15" t="s">
        <v>49</v>
      </c>
      <c r="B253" s="15" t="s">
        <v>50</v>
      </c>
      <c r="C253" s="15" t="s">
        <v>61</v>
      </c>
      <c r="D253" s="15" t="s">
        <v>748</v>
      </c>
      <c r="E253" s="15" t="s">
        <v>749</v>
      </c>
      <c r="F253" s="16">
        <v>0</v>
      </c>
      <c r="G253" s="15" t="s">
        <v>749</v>
      </c>
      <c r="H253" s="15" t="s">
        <v>750</v>
      </c>
      <c r="I253" s="18">
        <v>0</v>
      </c>
      <c r="J253" s="18">
        <v>0</v>
      </c>
      <c r="K253" s="19">
        <v>0</v>
      </c>
      <c r="L253" s="20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15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15"/>
      <c r="AP253" s="15"/>
      <c r="AQ253" s="15"/>
    </row>
    <row r="254" spans="1:43">
      <c r="A254" s="15" t="s">
        <v>49</v>
      </c>
      <c r="B254" s="15" t="s">
        <v>50</v>
      </c>
      <c r="C254" s="15" t="s">
        <v>61</v>
      </c>
      <c r="D254" s="15" t="s">
        <v>751</v>
      </c>
      <c r="E254" s="15" t="s">
        <v>752</v>
      </c>
      <c r="F254" s="16">
        <v>0</v>
      </c>
      <c r="G254" s="15" t="s">
        <v>752</v>
      </c>
      <c r="H254" s="15" t="s">
        <v>753</v>
      </c>
      <c r="I254" s="18">
        <v>0</v>
      </c>
      <c r="J254" s="18">
        <v>0</v>
      </c>
      <c r="K254" s="19">
        <v>0</v>
      </c>
      <c r="L254" s="20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>
        <v>0</v>
      </c>
      <c r="X254" s="21">
        <v>0</v>
      </c>
      <c r="Y254" s="21">
        <v>0</v>
      </c>
      <c r="Z254" s="21">
        <v>0</v>
      </c>
      <c r="AA254" s="15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15"/>
      <c r="AP254" s="15"/>
      <c r="AQ254" s="15"/>
    </row>
    <row r="255" spans="1:43">
      <c r="A255" s="15" t="s">
        <v>43</v>
      </c>
      <c r="B255" s="15" t="s">
        <v>44</v>
      </c>
      <c r="C255" s="15" t="s">
        <v>45</v>
      </c>
      <c r="D255" s="15" t="s">
        <v>754</v>
      </c>
      <c r="E255" s="15" t="s">
        <v>755</v>
      </c>
      <c r="F255" s="16">
        <v>41164.7226736111</v>
      </c>
      <c r="G255" s="15" t="s">
        <v>755</v>
      </c>
      <c r="H255" s="15" t="s">
        <v>756</v>
      </c>
      <c r="I255" s="18">
        <v>0</v>
      </c>
      <c r="J255" s="18">
        <v>0</v>
      </c>
      <c r="K255" s="19">
        <v>0</v>
      </c>
      <c r="L255" s="20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15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15"/>
      <c r="AP255" s="15"/>
      <c r="AQ255" s="15"/>
    </row>
    <row r="256" spans="1:43">
      <c r="A256" s="15" t="s">
        <v>49</v>
      </c>
      <c r="B256" s="15" t="s">
        <v>50</v>
      </c>
      <c r="C256" s="15" t="s">
        <v>61</v>
      </c>
      <c r="D256" s="15" t="s">
        <v>757</v>
      </c>
      <c r="E256" s="15" t="s">
        <v>758</v>
      </c>
      <c r="F256" s="16">
        <v>0</v>
      </c>
      <c r="G256" s="15" t="s">
        <v>758</v>
      </c>
      <c r="H256" s="15" t="s">
        <v>54</v>
      </c>
      <c r="I256" s="18">
        <v>0</v>
      </c>
      <c r="J256" s="18">
        <v>0</v>
      </c>
      <c r="K256" s="19">
        <v>0</v>
      </c>
      <c r="L256" s="20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1">
        <v>0</v>
      </c>
      <c r="AA256" s="15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15"/>
      <c r="AP256" s="15"/>
      <c r="AQ256" s="15"/>
    </row>
    <row r="257" spans="1:43">
      <c r="A257" s="15" t="s">
        <v>49</v>
      </c>
      <c r="B257" s="15" t="s">
        <v>50</v>
      </c>
      <c r="C257" s="15" t="s">
        <v>61</v>
      </c>
      <c r="D257" s="15" t="s">
        <v>759</v>
      </c>
      <c r="E257" s="15" t="s">
        <v>760</v>
      </c>
      <c r="F257" s="16">
        <v>0</v>
      </c>
      <c r="G257" s="15" t="s">
        <v>760</v>
      </c>
      <c r="H257" s="15" t="s">
        <v>761</v>
      </c>
      <c r="I257" s="18">
        <v>0</v>
      </c>
      <c r="J257" s="18">
        <v>0</v>
      </c>
      <c r="K257" s="19">
        <v>0</v>
      </c>
      <c r="L257" s="20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15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15"/>
      <c r="AP257" s="15"/>
      <c r="AQ257" s="15"/>
    </row>
    <row r="258" spans="1:43">
      <c r="A258" s="15" t="s">
        <v>49</v>
      </c>
      <c r="B258" s="15" t="s">
        <v>50</v>
      </c>
      <c r="C258" s="15" t="s">
        <v>61</v>
      </c>
      <c r="D258" s="15" t="s">
        <v>762</v>
      </c>
      <c r="E258" s="15" t="s">
        <v>763</v>
      </c>
      <c r="F258" s="16">
        <v>0</v>
      </c>
      <c r="G258" s="15" t="s">
        <v>763</v>
      </c>
      <c r="H258" s="15" t="s">
        <v>764</v>
      </c>
      <c r="I258" s="18">
        <v>0</v>
      </c>
      <c r="J258" s="18">
        <v>0</v>
      </c>
      <c r="K258" s="19">
        <v>0</v>
      </c>
      <c r="L258" s="20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15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15"/>
      <c r="AP258" s="15"/>
      <c r="AQ258" s="15"/>
    </row>
    <row r="259" spans="1:43">
      <c r="A259" s="15" t="s">
        <v>49</v>
      </c>
      <c r="B259" s="15" t="s">
        <v>50</v>
      </c>
      <c r="C259" s="15" t="s">
        <v>75</v>
      </c>
      <c r="D259" s="15" t="s">
        <v>765</v>
      </c>
      <c r="E259" s="15" t="s">
        <v>766</v>
      </c>
      <c r="F259" s="16">
        <v>44881.4332407407</v>
      </c>
      <c r="G259" s="15" t="s">
        <v>766</v>
      </c>
      <c r="H259" s="15" t="s">
        <v>54</v>
      </c>
      <c r="I259" s="18">
        <v>0</v>
      </c>
      <c r="J259" s="18">
        <v>0</v>
      </c>
      <c r="K259" s="19">
        <v>0</v>
      </c>
      <c r="L259" s="20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15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15"/>
      <c r="AP259" s="15"/>
      <c r="AQ259" s="15"/>
    </row>
    <row r="260" spans="1:43">
      <c r="A260" s="15" t="s">
        <v>49</v>
      </c>
      <c r="B260" s="15" t="s">
        <v>50</v>
      </c>
      <c r="C260" s="15" t="s">
        <v>61</v>
      </c>
      <c r="D260" s="15" t="s">
        <v>767</v>
      </c>
      <c r="E260" s="15" t="s">
        <v>660</v>
      </c>
      <c r="F260" s="16">
        <v>0</v>
      </c>
      <c r="G260" s="15" t="s">
        <v>660</v>
      </c>
      <c r="H260" s="15" t="s">
        <v>768</v>
      </c>
      <c r="I260" s="18">
        <v>0</v>
      </c>
      <c r="J260" s="18">
        <v>0</v>
      </c>
      <c r="K260" s="19">
        <v>0</v>
      </c>
      <c r="L260" s="20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15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15"/>
      <c r="AP260" s="15"/>
      <c r="AQ260" s="15"/>
    </row>
    <row r="261" spans="1:43">
      <c r="A261" s="15" t="s">
        <v>64</v>
      </c>
      <c r="B261" s="15" t="s">
        <v>65</v>
      </c>
      <c r="C261" s="15" t="s">
        <v>78</v>
      </c>
      <c r="D261" s="15" t="s">
        <v>769</v>
      </c>
      <c r="E261" s="15" t="s">
        <v>770</v>
      </c>
      <c r="F261" s="16">
        <v>45091.4410185185</v>
      </c>
      <c r="G261" s="15" t="s">
        <v>770</v>
      </c>
      <c r="H261" s="15" t="s">
        <v>54</v>
      </c>
      <c r="I261" s="18">
        <v>0</v>
      </c>
      <c r="J261" s="18">
        <v>0</v>
      </c>
      <c r="K261" s="19">
        <v>0</v>
      </c>
      <c r="L261" s="20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15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15"/>
      <c r="AP261" s="15"/>
      <c r="AQ261" s="15"/>
    </row>
    <row r="262" spans="1:43">
      <c r="A262" s="15" t="s">
        <v>64</v>
      </c>
      <c r="B262" s="15" t="s">
        <v>118</v>
      </c>
      <c r="C262" s="15" t="s">
        <v>131</v>
      </c>
      <c r="D262" s="15" t="s">
        <v>771</v>
      </c>
      <c r="E262" s="15" t="s">
        <v>772</v>
      </c>
      <c r="F262" s="16">
        <v>45149.6277546296</v>
      </c>
      <c r="G262" s="15" t="s">
        <v>772</v>
      </c>
      <c r="H262" s="15" t="s">
        <v>773</v>
      </c>
      <c r="I262" s="18">
        <v>0</v>
      </c>
      <c r="J262" s="18">
        <v>0</v>
      </c>
      <c r="K262" s="19">
        <v>0</v>
      </c>
      <c r="L262" s="20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0</v>
      </c>
      <c r="X262" s="21">
        <v>0</v>
      </c>
      <c r="Y262" s="21">
        <v>0</v>
      </c>
      <c r="Z262" s="21">
        <v>0</v>
      </c>
      <c r="AA262" s="15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15"/>
      <c r="AP262" s="15"/>
      <c r="AQ262" s="15"/>
    </row>
    <row r="263" spans="1:43">
      <c r="A263" s="15" t="s">
        <v>43</v>
      </c>
      <c r="B263" s="15" t="s">
        <v>44</v>
      </c>
      <c r="C263" s="15" t="s">
        <v>45</v>
      </c>
      <c r="D263" s="15" t="s">
        <v>774</v>
      </c>
      <c r="E263" s="15" t="s">
        <v>775</v>
      </c>
      <c r="F263" s="16">
        <v>41387.5858912037</v>
      </c>
      <c r="G263" s="15" t="s">
        <v>775</v>
      </c>
      <c r="H263" s="15" t="s">
        <v>776</v>
      </c>
      <c r="I263" s="18">
        <v>0</v>
      </c>
      <c r="J263" s="18">
        <v>0</v>
      </c>
      <c r="K263" s="19">
        <v>0</v>
      </c>
      <c r="L263" s="20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>
        <v>0</v>
      </c>
      <c r="X263" s="21">
        <v>0</v>
      </c>
      <c r="Y263" s="21">
        <v>0</v>
      </c>
      <c r="Z263" s="21">
        <v>0</v>
      </c>
      <c r="AA263" s="15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15"/>
      <c r="AP263" s="15"/>
      <c r="AQ263" s="15"/>
    </row>
    <row r="264" spans="1:43">
      <c r="A264" s="15" t="s">
        <v>49</v>
      </c>
      <c r="B264" s="15" t="s">
        <v>50</v>
      </c>
      <c r="C264" s="15" t="s">
        <v>61</v>
      </c>
      <c r="D264" s="15" t="s">
        <v>777</v>
      </c>
      <c r="E264" s="15" t="s">
        <v>778</v>
      </c>
      <c r="F264" s="16">
        <v>0</v>
      </c>
      <c r="G264" s="15" t="s">
        <v>778</v>
      </c>
      <c r="H264" s="15" t="s">
        <v>54</v>
      </c>
      <c r="I264" s="18">
        <v>0</v>
      </c>
      <c r="J264" s="18">
        <v>0</v>
      </c>
      <c r="K264" s="19">
        <v>0</v>
      </c>
      <c r="L264" s="20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1">
        <v>0</v>
      </c>
      <c r="AA264" s="15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15"/>
      <c r="AP264" s="15"/>
      <c r="AQ264" s="15"/>
    </row>
    <row r="265" spans="1:43">
      <c r="A265" s="15" t="s">
        <v>43</v>
      </c>
      <c r="B265" s="15" t="s">
        <v>44</v>
      </c>
      <c r="C265" s="15" t="s">
        <v>45</v>
      </c>
      <c r="D265" s="15" t="s">
        <v>779</v>
      </c>
      <c r="E265" s="15" t="s">
        <v>780</v>
      </c>
      <c r="F265" s="16">
        <v>42727.3871643519</v>
      </c>
      <c r="G265" s="15" t="s">
        <v>780</v>
      </c>
      <c r="H265" s="15" t="s">
        <v>781</v>
      </c>
      <c r="I265" s="18">
        <v>0</v>
      </c>
      <c r="J265" s="18">
        <v>0</v>
      </c>
      <c r="K265" s="19">
        <v>0</v>
      </c>
      <c r="L265" s="20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15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15"/>
      <c r="AP265" s="15"/>
      <c r="AQ265" s="15"/>
    </row>
    <row r="266" spans="1:43">
      <c r="A266" s="15" t="s">
        <v>43</v>
      </c>
      <c r="B266" s="15" t="s">
        <v>44</v>
      </c>
      <c r="C266" s="15" t="s">
        <v>45</v>
      </c>
      <c r="D266" s="15" t="s">
        <v>782</v>
      </c>
      <c r="E266" s="15" t="s">
        <v>783</v>
      </c>
      <c r="F266" s="16">
        <v>42287.6358564815</v>
      </c>
      <c r="G266" s="15" t="s">
        <v>783</v>
      </c>
      <c r="H266" s="15" t="s">
        <v>784</v>
      </c>
      <c r="I266" s="18">
        <v>0</v>
      </c>
      <c r="J266" s="18">
        <v>0</v>
      </c>
      <c r="K266" s="19">
        <v>0</v>
      </c>
      <c r="L266" s="20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0</v>
      </c>
      <c r="X266" s="21">
        <v>0</v>
      </c>
      <c r="Y266" s="21">
        <v>0</v>
      </c>
      <c r="Z266" s="21">
        <v>0</v>
      </c>
      <c r="AA266" s="15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15"/>
      <c r="AP266" s="15"/>
      <c r="AQ266" s="15"/>
    </row>
    <row r="267" spans="1:43">
      <c r="A267" s="15" t="s">
        <v>43</v>
      </c>
      <c r="B267" s="15" t="s">
        <v>44</v>
      </c>
      <c r="C267" s="15" t="s">
        <v>45</v>
      </c>
      <c r="D267" s="15" t="s">
        <v>785</v>
      </c>
      <c r="E267" s="15" t="s">
        <v>786</v>
      </c>
      <c r="F267" s="16">
        <v>39718.4983912037</v>
      </c>
      <c r="G267" s="15" t="s">
        <v>786</v>
      </c>
      <c r="H267" s="15" t="s">
        <v>787</v>
      </c>
      <c r="I267" s="18">
        <v>0</v>
      </c>
      <c r="J267" s="18">
        <v>0</v>
      </c>
      <c r="K267" s="19">
        <v>0</v>
      </c>
      <c r="L267" s="20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15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15"/>
      <c r="AP267" s="15"/>
      <c r="AQ267" s="15"/>
    </row>
    <row r="268" spans="1:43">
      <c r="A268" s="15" t="s">
        <v>49</v>
      </c>
      <c r="B268" s="15" t="s">
        <v>50</v>
      </c>
      <c r="C268" s="15" t="s">
        <v>61</v>
      </c>
      <c r="D268" s="15" t="s">
        <v>788</v>
      </c>
      <c r="E268" s="15" t="s">
        <v>789</v>
      </c>
      <c r="F268" s="16">
        <v>0</v>
      </c>
      <c r="G268" s="15" t="s">
        <v>789</v>
      </c>
      <c r="H268" s="15" t="s">
        <v>790</v>
      </c>
      <c r="I268" s="18">
        <v>0</v>
      </c>
      <c r="J268" s="18">
        <v>0</v>
      </c>
      <c r="K268" s="19">
        <v>0</v>
      </c>
      <c r="L268" s="20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15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15"/>
      <c r="AP268" s="15"/>
      <c r="AQ268" s="15"/>
    </row>
    <row r="269" spans="1:43">
      <c r="A269" s="15" t="s">
        <v>43</v>
      </c>
      <c r="B269" s="15" t="s">
        <v>44</v>
      </c>
      <c r="C269" s="15" t="s">
        <v>45</v>
      </c>
      <c r="D269" s="15" t="s">
        <v>791</v>
      </c>
      <c r="E269" s="15" t="s">
        <v>792</v>
      </c>
      <c r="F269" s="16">
        <v>43948.6351041667</v>
      </c>
      <c r="G269" s="15" t="s">
        <v>792</v>
      </c>
      <c r="H269" s="15" t="s">
        <v>793</v>
      </c>
      <c r="I269" s="18">
        <v>0</v>
      </c>
      <c r="J269" s="18">
        <v>0</v>
      </c>
      <c r="K269" s="19">
        <v>0</v>
      </c>
      <c r="L269" s="20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15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15"/>
      <c r="AP269" s="15"/>
      <c r="AQ269" s="15"/>
    </row>
    <row r="270" spans="1:43">
      <c r="A270" s="15" t="s">
        <v>64</v>
      </c>
      <c r="B270" s="15" t="s">
        <v>65</v>
      </c>
      <c r="C270" s="15" t="s">
        <v>522</v>
      </c>
      <c r="D270" s="15" t="s">
        <v>794</v>
      </c>
      <c r="E270" s="15" t="s">
        <v>795</v>
      </c>
      <c r="F270" s="16">
        <v>45041.4519328704</v>
      </c>
      <c r="G270" s="15" t="s">
        <v>795</v>
      </c>
      <c r="H270" s="15" t="s">
        <v>54</v>
      </c>
      <c r="I270" s="18">
        <v>0</v>
      </c>
      <c r="J270" s="18">
        <v>0</v>
      </c>
      <c r="K270" s="19">
        <v>0</v>
      </c>
      <c r="L270" s="20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15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15"/>
      <c r="AP270" s="15"/>
      <c r="AQ270" s="15"/>
    </row>
    <row r="271" spans="1:43">
      <c r="A271" s="15" t="s">
        <v>49</v>
      </c>
      <c r="B271" s="15" t="s">
        <v>50</v>
      </c>
      <c r="C271" s="15" t="s">
        <v>61</v>
      </c>
      <c r="D271" s="15" t="s">
        <v>796</v>
      </c>
      <c r="E271" s="15" t="s">
        <v>797</v>
      </c>
      <c r="F271" s="16">
        <v>0</v>
      </c>
      <c r="G271" s="15" t="s">
        <v>797</v>
      </c>
      <c r="H271" s="15" t="s">
        <v>54</v>
      </c>
      <c r="I271" s="18">
        <v>0</v>
      </c>
      <c r="J271" s="18">
        <v>0</v>
      </c>
      <c r="K271" s="19">
        <v>0</v>
      </c>
      <c r="L271" s="20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15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15"/>
      <c r="AP271" s="15"/>
      <c r="AQ271" s="15"/>
    </row>
    <row r="272" spans="1:43">
      <c r="A272" s="15" t="s">
        <v>43</v>
      </c>
      <c r="B272" s="15" t="s">
        <v>44</v>
      </c>
      <c r="C272" s="15" t="s">
        <v>45</v>
      </c>
      <c r="D272" s="15" t="s">
        <v>798</v>
      </c>
      <c r="E272" s="15" t="s">
        <v>799</v>
      </c>
      <c r="F272" s="16">
        <v>42894.423912037</v>
      </c>
      <c r="G272" s="15" t="s">
        <v>799</v>
      </c>
      <c r="H272" s="15" t="s">
        <v>800</v>
      </c>
      <c r="I272" s="18">
        <v>0</v>
      </c>
      <c r="J272" s="18">
        <v>0</v>
      </c>
      <c r="K272" s="19">
        <v>0</v>
      </c>
      <c r="L272" s="20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15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15"/>
      <c r="AP272" s="15"/>
      <c r="AQ272" s="15"/>
    </row>
    <row r="273" spans="1:43">
      <c r="A273" s="15" t="s">
        <v>49</v>
      </c>
      <c r="B273" s="15" t="s">
        <v>50</v>
      </c>
      <c r="C273" s="15" t="s">
        <v>61</v>
      </c>
      <c r="D273" s="15" t="s">
        <v>801</v>
      </c>
      <c r="E273" s="15" t="s">
        <v>802</v>
      </c>
      <c r="F273" s="16">
        <v>0</v>
      </c>
      <c r="G273" s="15" t="s">
        <v>802</v>
      </c>
      <c r="H273" s="15" t="s">
        <v>803</v>
      </c>
      <c r="I273" s="18">
        <v>0</v>
      </c>
      <c r="J273" s="18">
        <v>0</v>
      </c>
      <c r="K273" s="19">
        <v>0</v>
      </c>
      <c r="L273" s="20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15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15"/>
      <c r="AP273" s="15"/>
      <c r="AQ273" s="15"/>
    </row>
    <row r="274" spans="1:43">
      <c r="A274" s="15" t="s">
        <v>43</v>
      </c>
      <c r="B274" s="15" t="s">
        <v>44</v>
      </c>
      <c r="C274" s="15" t="s">
        <v>45</v>
      </c>
      <c r="D274" s="15" t="s">
        <v>804</v>
      </c>
      <c r="E274" s="15" t="s">
        <v>805</v>
      </c>
      <c r="F274" s="16">
        <v>41544.4548032407</v>
      </c>
      <c r="G274" s="15" t="s">
        <v>805</v>
      </c>
      <c r="H274" s="15" t="s">
        <v>806</v>
      </c>
      <c r="I274" s="18">
        <v>0</v>
      </c>
      <c r="J274" s="18">
        <v>0</v>
      </c>
      <c r="K274" s="19">
        <v>0</v>
      </c>
      <c r="L274" s="20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15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15"/>
      <c r="AP274" s="15"/>
      <c r="AQ274" s="15"/>
    </row>
    <row r="275" spans="1:43">
      <c r="A275" s="15" t="s">
        <v>49</v>
      </c>
      <c r="B275" s="15" t="s">
        <v>50</v>
      </c>
      <c r="C275" s="15" t="s">
        <v>61</v>
      </c>
      <c r="D275" s="15" t="s">
        <v>807</v>
      </c>
      <c r="E275" s="15" t="s">
        <v>808</v>
      </c>
      <c r="F275" s="16">
        <v>0</v>
      </c>
      <c r="G275" s="15" t="s">
        <v>808</v>
      </c>
      <c r="H275" s="15" t="s">
        <v>809</v>
      </c>
      <c r="I275" s="18">
        <v>0</v>
      </c>
      <c r="J275" s="18">
        <v>0</v>
      </c>
      <c r="K275" s="19">
        <v>0</v>
      </c>
      <c r="L275" s="20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15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15"/>
      <c r="AP275" s="15"/>
      <c r="AQ275" s="15"/>
    </row>
    <row r="276" spans="1:43">
      <c r="A276" s="15" t="s">
        <v>64</v>
      </c>
      <c r="B276" s="15" t="s">
        <v>65</v>
      </c>
      <c r="C276" s="15" t="s">
        <v>78</v>
      </c>
      <c r="D276" s="15" t="s">
        <v>810</v>
      </c>
      <c r="E276" s="15" t="s">
        <v>811</v>
      </c>
      <c r="F276" s="16">
        <v>45002.4626851852</v>
      </c>
      <c r="G276" s="15" t="s">
        <v>811</v>
      </c>
      <c r="H276" s="15" t="s">
        <v>54</v>
      </c>
      <c r="I276" s="18">
        <v>484.02</v>
      </c>
      <c r="J276" s="18">
        <v>14</v>
      </c>
      <c r="K276" s="19">
        <v>34.5728571428572</v>
      </c>
      <c r="L276" s="20">
        <v>0.493897959183674</v>
      </c>
      <c r="M276" s="21">
        <v>83.98</v>
      </c>
      <c r="N276" s="21">
        <v>116.83</v>
      </c>
      <c r="O276" s="21">
        <v>33</v>
      </c>
      <c r="P276" s="21">
        <v>19.91</v>
      </c>
      <c r="Q276" s="21">
        <v>117.6</v>
      </c>
      <c r="R276" s="21">
        <v>31.69</v>
      </c>
      <c r="S276" s="21">
        <v>71.04</v>
      </c>
      <c r="T276" s="21">
        <v>7.26</v>
      </c>
      <c r="U276" s="21">
        <v>0.5</v>
      </c>
      <c r="V276" s="21">
        <v>0.5</v>
      </c>
      <c r="W276" s="21">
        <v>0.49</v>
      </c>
      <c r="X276" s="21">
        <v>0.36</v>
      </c>
      <c r="Y276" s="21">
        <v>0.45</v>
      </c>
      <c r="Z276" s="21">
        <v>0.41</v>
      </c>
      <c r="AA276" s="15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15"/>
      <c r="AP276" s="15"/>
      <c r="AQ276" s="15"/>
    </row>
    <row r="277" spans="1:43">
      <c r="A277" s="15" t="s">
        <v>43</v>
      </c>
      <c r="B277" s="15" t="s">
        <v>44</v>
      </c>
      <c r="C277" s="15" t="s">
        <v>228</v>
      </c>
      <c r="D277" s="15" t="s">
        <v>812</v>
      </c>
      <c r="E277" s="15" t="s">
        <v>813</v>
      </c>
      <c r="F277" s="16">
        <v>45118.4551041667</v>
      </c>
      <c r="G277" s="15" t="s">
        <v>813</v>
      </c>
      <c r="H277" s="15" t="s">
        <v>54</v>
      </c>
      <c r="I277" s="18">
        <v>1514.28</v>
      </c>
      <c r="J277" s="18">
        <v>10</v>
      </c>
      <c r="K277" s="19">
        <v>151.428</v>
      </c>
      <c r="L277" s="20">
        <v>3.02856</v>
      </c>
      <c r="M277" s="21">
        <v>73.4</v>
      </c>
      <c r="N277" s="21">
        <v>160.04</v>
      </c>
      <c r="O277" s="21">
        <v>201.48</v>
      </c>
      <c r="P277" s="21">
        <v>200.53</v>
      </c>
      <c r="Q277" s="21">
        <v>203.7</v>
      </c>
      <c r="R277" s="21">
        <v>88.65</v>
      </c>
      <c r="S277" s="21">
        <v>67.73</v>
      </c>
      <c r="T277" s="21">
        <v>202.2</v>
      </c>
      <c r="U277" s="21">
        <v>200.6</v>
      </c>
      <c r="V277" s="21">
        <v>115.95</v>
      </c>
      <c r="W277" s="21">
        <v>0</v>
      </c>
      <c r="X277" s="21">
        <v>0</v>
      </c>
      <c r="Y277" s="21">
        <v>0</v>
      </c>
      <c r="Z277" s="21">
        <v>0</v>
      </c>
      <c r="AA277" s="15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15"/>
      <c r="AP277" s="15"/>
      <c r="AQ277" s="15"/>
    </row>
    <row r="278" spans="1:43">
      <c r="A278" s="15" t="s">
        <v>49</v>
      </c>
      <c r="B278" s="15" t="s">
        <v>50</v>
      </c>
      <c r="C278" s="15" t="s">
        <v>51</v>
      </c>
      <c r="D278" s="15" t="s">
        <v>814</v>
      </c>
      <c r="E278" s="15" t="s">
        <v>815</v>
      </c>
      <c r="F278" s="16">
        <v>0</v>
      </c>
      <c r="G278" s="15" t="s">
        <v>815</v>
      </c>
      <c r="H278" s="15" t="s">
        <v>54</v>
      </c>
      <c r="I278" s="18">
        <v>0</v>
      </c>
      <c r="J278" s="18">
        <v>0</v>
      </c>
      <c r="K278" s="19">
        <v>0</v>
      </c>
      <c r="L278" s="20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15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15"/>
      <c r="AP278" s="15"/>
      <c r="AQ278" s="15"/>
    </row>
    <row r="279" spans="1:43">
      <c r="A279" s="15" t="s">
        <v>49</v>
      </c>
      <c r="B279" s="15" t="s">
        <v>50</v>
      </c>
      <c r="C279" s="15" t="s">
        <v>61</v>
      </c>
      <c r="D279" s="15" t="s">
        <v>816</v>
      </c>
      <c r="E279" s="15" t="s">
        <v>817</v>
      </c>
      <c r="F279" s="16">
        <v>0</v>
      </c>
      <c r="G279" s="15" t="s">
        <v>817</v>
      </c>
      <c r="H279" s="15" t="s">
        <v>54</v>
      </c>
      <c r="I279" s="18">
        <v>0</v>
      </c>
      <c r="J279" s="18">
        <v>0</v>
      </c>
      <c r="K279" s="19">
        <v>0</v>
      </c>
      <c r="L279" s="20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15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15"/>
      <c r="AP279" s="15"/>
      <c r="AQ279" s="15"/>
    </row>
    <row r="280" spans="1:43">
      <c r="A280" s="15" t="s">
        <v>49</v>
      </c>
      <c r="B280" s="15" t="s">
        <v>50</v>
      </c>
      <c r="C280" s="15" t="s">
        <v>61</v>
      </c>
      <c r="D280" s="15" t="s">
        <v>818</v>
      </c>
      <c r="E280" s="15" t="s">
        <v>819</v>
      </c>
      <c r="F280" s="16">
        <v>0</v>
      </c>
      <c r="G280" s="15" t="s">
        <v>819</v>
      </c>
      <c r="H280" s="15" t="s">
        <v>54</v>
      </c>
      <c r="I280" s="18">
        <v>0</v>
      </c>
      <c r="J280" s="18">
        <v>0</v>
      </c>
      <c r="K280" s="19">
        <v>0</v>
      </c>
      <c r="L280" s="20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15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15"/>
      <c r="AP280" s="15"/>
      <c r="AQ280" s="15"/>
    </row>
    <row r="281" spans="1:43">
      <c r="A281" s="15" t="s">
        <v>49</v>
      </c>
      <c r="B281" s="15" t="s">
        <v>50</v>
      </c>
      <c r="C281" s="15" t="s">
        <v>61</v>
      </c>
      <c r="D281" s="15" t="s">
        <v>820</v>
      </c>
      <c r="E281" s="15" t="s">
        <v>821</v>
      </c>
      <c r="F281" s="16">
        <v>0</v>
      </c>
      <c r="G281" s="15" t="s">
        <v>821</v>
      </c>
      <c r="H281" s="15" t="s">
        <v>54</v>
      </c>
      <c r="I281" s="18">
        <v>0</v>
      </c>
      <c r="J281" s="18">
        <v>0</v>
      </c>
      <c r="K281" s="19">
        <v>0</v>
      </c>
      <c r="L281" s="20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15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15"/>
      <c r="AP281" s="15"/>
      <c r="AQ281" s="15"/>
    </row>
    <row r="282" spans="1:43">
      <c r="A282" s="15" t="s">
        <v>43</v>
      </c>
      <c r="B282" s="15" t="s">
        <v>44</v>
      </c>
      <c r="C282" s="15" t="s">
        <v>45</v>
      </c>
      <c r="D282" s="15" t="s">
        <v>822</v>
      </c>
      <c r="E282" s="15" t="s">
        <v>823</v>
      </c>
      <c r="F282" s="16">
        <v>42266.4154861111</v>
      </c>
      <c r="G282" s="15" t="s">
        <v>823</v>
      </c>
      <c r="H282" s="15" t="s">
        <v>824</v>
      </c>
      <c r="I282" s="18">
        <v>0</v>
      </c>
      <c r="J282" s="18">
        <v>0</v>
      </c>
      <c r="K282" s="19">
        <v>0</v>
      </c>
      <c r="L282" s="20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15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15"/>
      <c r="AP282" s="15"/>
      <c r="AQ282" s="15"/>
    </row>
    <row r="283" spans="1:43">
      <c r="A283" s="15" t="s">
        <v>49</v>
      </c>
      <c r="B283" s="15" t="s">
        <v>50</v>
      </c>
      <c r="C283" s="15" t="s">
        <v>61</v>
      </c>
      <c r="D283" s="15" t="s">
        <v>825</v>
      </c>
      <c r="E283" s="15" t="s">
        <v>826</v>
      </c>
      <c r="F283" s="16">
        <v>0</v>
      </c>
      <c r="G283" s="15" t="s">
        <v>826</v>
      </c>
      <c r="H283" s="15" t="s">
        <v>827</v>
      </c>
      <c r="I283" s="18">
        <v>0</v>
      </c>
      <c r="J283" s="18">
        <v>0</v>
      </c>
      <c r="K283" s="19">
        <v>0</v>
      </c>
      <c r="L283" s="20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15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15"/>
      <c r="AP283" s="15"/>
      <c r="AQ283" s="15"/>
    </row>
    <row r="284" spans="1:43">
      <c r="A284" s="15" t="s">
        <v>43</v>
      </c>
      <c r="B284" s="15" t="s">
        <v>44</v>
      </c>
      <c r="C284" s="15" t="s">
        <v>228</v>
      </c>
      <c r="D284" s="15" t="s">
        <v>828</v>
      </c>
      <c r="E284" s="15" t="s">
        <v>829</v>
      </c>
      <c r="F284" s="16">
        <v>44910.4789351852</v>
      </c>
      <c r="G284" s="15" t="s">
        <v>829</v>
      </c>
      <c r="H284" s="15" t="s">
        <v>54</v>
      </c>
      <c r="I284" s="18">
        <v>0</v>
      </c>
      <c r="J284" s="18">
        <v>0</v>
      </c>
      <c r="K284" s="19">
        <v>0</v>
      </c>
      <c r="L284" s="20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15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15"/>
      <c r="AP284" s="15"/>
      <c r="AQ284" s="15"/>
    </row>
    <row r="285" spans="1:43">
      <c r="A285" s="15" t="s">
        <v>43</v>
      </c>
      <c r="B285" s="15" t="s">
        <v>44</v>
      </c>
      <c r="C285" s="15" t="s">
        <v>45</v>
      </c>
      <c r="D285" s="15" t="s">
        <v>830</v>
      </c>
      <c r="E285" s="15" t="s">
        <v>831</v>
      </c>
      <c r="F285" s="16">
        <v>41688.7054398148</v>
      </c>
      <c r="G285" s="15" t="s">
        <v>831</v>
      </c>
      <c r="H285" s="15" t="s">
        <v>832</v>
      </c>
      <c r="I285" s="18">
        <v>0</v>
      </c>
      <c r="J285" s="18">
        <v>0</v>
      </c>
      <c r="K285" s="19">
        <v>0</v>
      </c>
      <c r="L285" s="20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15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15"/>
      <c r="AP285" s="15"/>
      <c r="AQ285" s="15"/>
    </row>
    <row r="286" spans="1:43">
      <c r="A286" s="15" t="s">
        <v>43</v>
      </c>
      <c r="B286" s="15" t="s">
        <v>44</v>
      </c>
      <c r="C286" s="15" t="s">
        <v>45</v>
      </c>
      <c r="D286" s="15" t="s">
        <v>833</v>
      </c>
      <c r="E286" s="15" t="s">
        <v>834</v>
      </c>
      <c r="F286" s="16">
        <v>41753.718287037</v>
      </c>
      <c r="G286" s="15" t="s">
        <v>834</v>
      </c>
      <c r="H286" s="15" t="s">
        <v>835</v>
      </c>
      <c r="I286" s="18">
        <v>0</v>
      </c>
      <c r="J286" s="18">
        <v>0</v>
      </c>
      <c r="K286" s="19">
        <v>0</v>
      </c>
      <c r="L286" s="20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15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15"/>
      <c r="AP286" s="15"/>
      <c r="AQ286" s="15"/>
    </row>
    <row r="287" spans="1:43">
      <c r="A287" s="15" t="s">
        <v>49</v>
      </c>
      <c r="B287" s="15" t="s">
        <v>50</v>
      </c>
      <c r="C287" s="15" t="s">
        <v>61</v>
      </c>
      <c r="D287" s="15" t="s">
        <v>836</v>
      </c>
      <c r="E287" s="15" t="s">
        <v>837</v>
      </c>
      <c r="F287" s="16">
        <v>0</v>
      </c>
      <c r="G287" s="15" t="s">
        <v>837</v>
      </c>
      <c r="H287" s="15" t="s">
        <v>54</v>
      </c>
      <c r="I287" s="18">
        <v>0</v>
      </c>
      <c r="J287" s="18">
        <v>0</v>
      </c>
      <c r="K287" s="19">
        <v>0</v>
      </c>
      <c r="L287" s="20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15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15"/>
      <c r="AP287" s="15"/>
      <c r="AQ287" s="15"/>
    </row>
    <row r="288" spans="1:43">
      <c r="A288" s="15" t="s">
        <v>43</v>
      </c>
      <c r="B288" s="15" t="s">
        <v>44</v>
      </c>
      <c r="C288" s="15" t="s">
        <v>45</v>
      </c>
      <c r="D288" s="15" t="s">
        <v>838</v>
      </c>
      <c r="E288" s="15" t="s">
        <v>839</v>
      </c>
      <c r="F288" s="16">
        <v>42179.6939351852</v>
      </c>
      <c r="G288" s="15" t="s">
        <v>839</v>
      </c>
      <c r="H288" s="15" t="s">
        <v>840</v>
      </c>
      <c r="I288" s="18">
        <v>0</v>
      </c>
      <c r="J288" s="18">
        <v>0</v>
      </c>
      <c r="K288" s="19">
        <v>0</v>
      </c>
      <c r="L288" s="20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15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15"/>
      <c r="AP288" s="15"/>
      <c r="AQ288" s="15"/>
    </row>
    <row r="289" spans="1:43">
      <c r="A289" s="15" t="s">
        <v>43</v>
      </c>
      <c r="B289" s="15" t="s">
        <v>44</v>
      </c>
      <c r="C289" s="15" t="s">
        <v>45</v>
      </c>
      <c r="D289" s="15" t="s">
        <v>841</v>
      </c>
      <c r="E289" s="15" t="s">
        <v>842</v>
      </c>
      <c r="F289" s="16">
        <v>41000.4767708333</v>
      </c>
      <c r="G289" s="15" t="s">
        <v>842</v>
      </c>
      <c r="H289" s="15" t="s">
        <v>843</v>
      </c>
      <c r="I289" s="18">
        <v>0</v>
      </c>
      <c r="J289" s="18">
        <v>0</v>
      </c>
      <c r="K289" s="19">
        <v>0</v>
      </c>
      <c r="L289" s="20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15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15"/>
      <c r="AP289" s="15"/>
      <c r="AQ289" s="15"/>
    </row>
    <row r="290" spans="1:43">
      <c r="A290" s="15" t="s">
        <v>49</v>
      </c>
      <c r="B290" s="15" t="s">
        <v>50</v>
      </c>
      <c r="C290" s="15" t="s">
        <v>301</v>
      </c>
      <c r="D290" s="15" t="s">
        <v>844</v>
      </c>
      <c r="E290" s="15" t="s">
        <v>845</v>
      </c>
      <c r="F290" s="16">
        <v>45147.454224537</v>
      </c>
      <c r="G290" s="15" t="s">
        <v>845</v>
      </c>
      <c r="H290" s="15" t="s">
        <v>54</v>
      </c>
      <c r="I290" s="18">
        <v>146.15</v>
      </c>
      <c r="J290" s="18">
        <v>5</v>
      </c>
      <c r="K290" s="19">
        <v>29.23</v>
      </c>
      <c r="L290" s="20">
        <v>0.5846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13.92</v>
      </c>
      <c r="W290" s="21">
        <v>44.9</v>
      </c>
      <c r="X290" s="21">
        <v>26.37</v>
      </c>
      <c r="Y290" s="21">
        <v>10.28</v>
      </c>
      <c r="Z290" s="21">
        <v>50.68</v>
      </c>
      <c r="AA290" s="15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15"/>
      <c r="AP290" s="15"/>
      <c r="AQ290" s="15"/>
    </row>
    <row r="291" spans="1:43">
      <c r="A291" s="15" t="s">
        <v>49</v>
      </c>
      <c r="B291" s="15" t="s">
        <v>50</v>
      </c>
      <c r="C291" s="15" t="s">
        <v>61</v>
      </c>
      <c r="D291" s="15" t="s">
        <v>846</v>
      </c>
      <c r="E291" s="15" t="s">
        <v>847</v>
      </c>
      <c r="F291" s="16">
        <v>0</v>
      </c>
      <c r="G291" s="15" t="s">
        <v>847</v>
      </c>
      <c r="H291" s="15" t="s">
        <v>54</v>
      </c>
      <c r="I291" s="18">
        <v>0</v>
      </c>
      <c r="J291" s="18">
        <v>0</v>
      </c>
      <c r="K291" s="19">
        <v>0</v>
      </c>
      <c r="L291" s="20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15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15"/>
      <c r="AP291" s="15"/>
      <c r="AQ291" s="15"/>
    </row>
    <row r="292" spans="1:43">
      <c r="A292" s="15" t="s">
        <v>49</v>
      </c>
      <c r="B292" s="15" t="s">
        <v>50</v>
      </c>
      <c r="C292" s="15" t="s">
        <v>61</v>
      </c>
      <c r="D292" s="15" t="s">
        <v>848</v>
      </c>
      <c r="E292" s="15" t="s">
        <v>849</v>
      </c>
      <c r="F292" s="16">
        <v>0</v>
      </c>
      <c r="G292" s="15" t="s">
        <v>849</v>
      </c>
      <c r="H292" s="15" t="s">
        <v>54</v>
      </c>
      <c r="I292" s="18">
        <v>0</v>
      </c>
      <c r="J292" s="18">
        <v>0</v>
      </c>
      <c r="K292" s="19">
        <v>0</v>
      </c>
      <c r="L292" s="20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15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15"/>
      <c r="AP292" s="15"/>
      <c r="AQ292" s="15"/>
    </row>
    <row r="293" spans="1:43">
      <c r="A293" s="15" t="s">
        <v>49</v>
      </c>
      <c r="B293" s="15" t="s">
        <v>50</v>
      </c>
      <c r="C293" s="15" t="s">
        <v>61</v>
      </c>
      <c r="D293" s="15" t="s">
        <v>850</v>
      </c>
      <c r="E293" s="15" t="s">
        <v>851</v>
      </c>
      <c r="F293" s="16">
        <v>0</v>
      </c>
      <c r="G293" s="15" t="s">
        <v>851</v>
      </c>
      <c r="H293" s="15" t="s">
        <v>852</v>
      </c>
      <c r="I293" s="18">
        <v>0</v>
      </c>
      <c r="J293" s="18">
        <v>0</v>
      </c>
      <c r="K293" s="19">
        <v>0</v>
      </c>
      <c r="L293" s="20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15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15"/>
      <c r="AP293" s="15"/>
      <c r="AQ293" s="15"/>
    </row>
    <row r="294" spans="1:43">
      <c r="A294" s="15" t="s">
        <v>64</v>
      </c>
      <c r="B294" s="15" t="s">
        <v>118</v>
      </c>
      <c r="C294" s="15" t="s">
        <v>119</v>
      </c>
      <c r="D294" s="15" t="s">
        <v>853</v>
      </c>
      <c r="E294" s="15" t="s">
        <v>854</v>
      </c>
      <c r="F294" s="16">
        <v>44998.387650463</v>
      </c>
      <c r="G294" s="15" t="s">
        <v>854</v>
      </c>
      <c r="H294" s="15" t="s">
        <v>54</v>
      </c>
      <c r="I294" s="18">
        <v>1215.22</v>
      </c>
      <c r="J294" s="18">
        <v>14</v>
      </c>
      <c r="K294" s="19">
        <v>86.8014285714286</v>
      </c>
      <c r="L294" s="20">
        <v>1.24002040816327</v>
      </c>
      <c r="M294" s="21">
        <v>153.48</v>
      </c>
      <c r="N294" s="21">
        <v>101.09</v>
      </c>
      <c r="O294" s="21">
        <v>37.79</v>
      </c>
      <c r="P294" s="21">
        <v>120.99</v>
      </c>
      <c r="Q294" s="21">
        <v>47.52</v>
      </c>
      <c r="R294" s="21">
        <v>42.44</v>
      </c>
      <c r="S294" s="21">
        <v>120.42</v>
      </c>
      <c r="T294" s="21">
        <v>124.37</v>
      </c>
      <c r="U294" s="21">
        <v>93.13</v>
      </c>
      <c r="V294" s="21">
        <v>124.53</v>
      </c>
      <c r="W294" s="21">
        <v>82.45</v>
      </c>
      <c r="X294" s="21">
        <v>42.39</v>
      </c>
      <c r="Y294" s="21">
        <v>53.32</v>
      </c>
      <c r="Z294" s="21">
        <v>71.3</v>
      </c>
      <c r="AA294" s="15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15"/>
      <c r="AP294" s="15"/>
      <c r="AQ294" s="15"/>
    </row>
    <row r="295" spans="1:43">
      <c r="A295" s="15" t="s">
        <v>43</v>
      </c>
      <c r="B295" s="15" t="s">
        <v>44</v>
      </c>
      <c r="C295" s="15" t="s">
        <v>45</v>
      </c>
      <c r="D295" s="15" t="s">
        <v>855</v>
      </c>
      <c r="E295" s="15" t="s">
        <v>856</v>
      </c>
      <c r="F295" s="16">
        <v>42180.6506018518</v>
      </c>
      <c r="G295" s="15" t="s">
        <v>856</v>
      </c>
      <c r="H295" s="15" t="s">
        <v>857</v>
      </c>
      <c r="I295" s="18">
        <v>0</v>
      </c>
      <c r="J295" s="18">
        <v>0</v>
      </c>
      <c r="K295" s="19">
        <v>0</v>
      </c>
      <c r="L295" s="20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15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15"/>
      <c r="AP295" s="15"/>
      <c r="AQ295" s="15"/>
    </row>
    <row r="296" spans="1:43">
      <c r="A296" s="15" t="s">
        <v>43</v>
      </c>
      <c r="B296" s="15" t="s">
        <v>44</v>
      </c>
      <c r="C296" s="15" t="s">
        <v>45</v>
      </c>
      <c r="D296" s="15" t="s">
        <v>858</v>
      </c>
      <c r="E296" s="15" t="s">
        <v>859</v>
      </c>
      <c r="F296" s="16">
        <v>41449.7252662037</v>
      </c>
      <c r="G296" s="15" t="s">
        <v>859</v>
      </c>
      <c r="H296" s="15" t="s">
        <v>860</v>
      </c>
      <c r="I296" s="18">
        <v>0</v>
      </c>
      <c r="J296" s="18">
        <v>0</v>
      </c>
      <c r="K296" s="19">
        <v>0</v>
      </c>
      <c r="L296" s="20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15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15"/>
      <c r="AP296" s="15"/>
      <c r="AQ296" s="15"/>
    </row>
    <row r="297" spans="1:43">
      <c r="A297" s="15" t="s">
        <v>64</v>
      </c>
      <c r="B297" s="15" t="s">
        <v>65</v>
      </c>
      <c r="C297" s="15" t="s">
        <v>522</v>
      </c>
      <c r="D297" s="15" t="s">
        <v>861</v>
      </c>
      <c r="E297" s="15" t="s">
        <v>795</v>
      </c>
      <c r="F297" s="16">
        <v>45054.4242592593</v>
      </c>
      <c r="G297" s="15" t="s">
        <v>795</v>
      </c>
      <c r="H297" s="15" t="s">
        <v>862</v>
      </c>
      <c r="I297" s="18">
        <v>467.53</v>
      </c>
      <c r="J297" s="18">
        <v>14</v>
      </c>
      <c r="K297" s="19">
        <v>33.395</v>
      </c>
      <c r="L297" s="20">
        <v>0.477071428571429</v>
      </c>
      <c r="M297" s="21">
        <v>32.7</v>
      </c>
      <c r="N297" s="21">
        <v>22.37</v>
      </c>
      <c r="O297" s="21">
        <v>35.51</v>
      </c>
      <c r="P297" s="21">
        <v>37.93</v>
      </c>
      <c r="Q297" s="21">
        <v>22.03</v>
      </c>
      <c r="R297" s="21">
        <v>8.67</v>
      </c>
      <c r="S297" s="21">
        <v>66.03</v>
      </c>
      <c r="T297" s="21">
        <v>44.41</v>
      </c>
      <c r="U297" s="21">
        <v>45.09</v>
      </c>
      <c r="V297" s="21">
        <v>27.69</v>
      </c>
      <c r="W297" s="21">
        <v>41.35</v>
      </c>
      <c r="X297" s="21">
        <v>32.84</v>
      </c>
      <c r="Y297" s="21">
        <v>17.74</v>
      </c>
      <c r="Z297" s="21">
        <v>33.17</v>
      </c>
      <c r="AA297" s="15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15"/>
      <c r="AP297" s="15"/>
      <c r="AQ297" s="15"/>
    </row>
    <row r="298" spans="1:43">
      <c r="A298" s="15" t="s">
        <v>49</v>
      </c>
      <c r="B298" s="15" t="s">
        <v>50</v>
      </c>
      <c r="C298" s="15" t="s">
        <v>61</v>
      </c>
      <c r="D298" s="15" t="s">
        <v>863</v>
      </c>
      <c r="E298" s="15" t="s">
        <v>864</v>
      </c>
      <c r="F298" s="16">
        <v>0</v>
      </c>
      <c r="G298" s="15" t="s">
        <v>864</v>
      </c>
      <c r="H298" s="15" t="s">
        <v>865</v>
      </c>
      <c r="I298" s="18">
        <v>0</v>
      </c>
      <c r="J298" s="18">
        <v>0</v>
      </c>
      <c r="K298" s="19">
        <v>0</v>
      </c>
      <c r="L298" s="20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15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15"/>
      <c r="AP298" s="15"/>
      <c r="AQ298" s="15"/>
    </row>
    <row r="299" spans="1:43">
      <c r="A299" s="15" t="s">
        <v>43</v>
      </c>
      <c r="B299" s="15" t="s">
        <v>44</v>
      </c>
      <c r="C299" s="15" t="s">
        <v>45</v>
      </c>
      <c r="D299" s="15" t="s">
        <v>866</v>
      </c>
      <c r="E299" s="15" t="s">
        <v>867</v>
      </c>
      <c r="F299" s="16">
        <v>42727.6781597222</v>
      </c>
      <c r="G299" s="15" t="s">
        <v>867</v>
      </c>
      <c r="H299" s="15" t="s">
        <v>868</v>
      </c>
      <c r="I299" s="18">
        <v>0</v>
      </c>
      <c r="J299" s="18">
        <v>0</v>
      </c>
      <c r="K299" s="19">
        <v>0</v>
      </c>
      <c r="L299" s="20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15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15"/>
      <c r="AP299" s="15"/>
      <c r="AQ299" s="15"/>
    </row>
    <row r="300" spans="1:43">
      <c r="A300" s="15" t="s">
        <v>43</v>
      </c>
      <c r="B300" s="15" t="s">
        <v>44</v>
      </c>
      <c r="C300" s="15" t="s">
        <v>45</v>
      </c>
      <c r="D300" s="15" t="s">
        <v>869</v>
      </c>
      <c r="E300" s="15" t="s">
        <v>870</v>
      </c>
      <c r="F300" s="16">
        <v>42186.6747800926</v>
      </c>
      <c r="G300" s="15" t="s">
        <v>870</v>
      </c>
      <c r="H300" s="15" t="s">
        <v>871</v>
      </c>
      <c r="I300" s="18">
        <v>0</v>
      </c>
      <c r="J300" s="18">
        <v>0</v>
      </c>
      <c r="K300" s="19">
        <v>0</v>
      </c>
      <c r="L300" s="20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15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15"/>
      <c r="AP300" s="15"/>
      <c r="AQ300" s="15"/>
    </row>
    <row r="301" spans="1:43">
      <c r="A301" s="15" t="s">
        <v>43</v>
      </c>
      <c r="B301" s="15" t="s">
        <v>44</v>
      </c>
      <c r="C301" s="15" t="s">
        <v>45</v>
      </c>
      <c r="D301" s="15" t="s">
        <v>872</v>
      </c>
      <c r="E301" s="15" t="s">
        <v>873</v>
      </c>
      <c r="F301" s="16">
        <v>42815.7262731482</v>
      </c>
      <c r="G301" s="15" t="s">
        <v>873</v>
      </c>
      <c r="H301" s="15" t="s">
        <v>874</v>
      </c>
      <c r="I301" s="18">
        <v>0</v>
      </c>
      <c r="J301" s="18">
        <v>0</v>
      </c>
      <c r="K301" s="19">
        <v>0</v>
      </c>
      <c r="L301" s="20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15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15"/>
      <c r="AP301" s="15"/>
      <c r="AQ301" s="15"/>
    </row>
    <row r="302" spans="1:43">
      <c r="A302" s="15" t="s">
        <v>49</v>
      </c>
      <c r="B302" s="15" t="s">
        <v>50</v>
      </c>
      <c r="C302" s="15" t="s">
        <v>61</v>
      </c>
      <c r="D302" s="15" t="s">
        <v>875</v>
      </c>
      <c r="E302" s="15" t="s">
        <v>876</v>
      </c>
      <c r="F302" s="16">
        <v>0</v>
      </c>
      <c r="G302" s="15" t="s">
        <v>876</v>
      </c>
      <c r="H302" s="15" t="s">
        <v>877</v>
      </c>
      <c r="I302" s="18">
        <v>0</v>
      </c>
      <c r="J302" s="18">
        <v>0</v>
      </c>
      <c r="K302" s="19">
        <v>0</v>
      </c>
      <c r="L302" s="20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15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15"/>
      <c r="AP302" s="15"/>
      <c r="AQ302" s="15"/>
    </row>
    <row r="303" spans="1:43">
      <c r="A303" s="15" t="s">
        <v>49</v>
      </c>
      <c r="B303" s="15" t="s">
        <v>50</v>
      </c>
      <c r="C303" s="15" t="s">
        <v>75</v>
      </c>
      <c r="D303" s="15" t="s">
        <v>878</v>
      </c>
      <c r="E303" s="15" t="s">
        <v>879</v>
      </c>
      <c r="F303" s="16">
        <v>44963.6124421296</v>
      </c>
      <c r="G303" s="15" t="s">
        <v>879</v>
      </c>
      <c r="H303" s="15" t="s">
        <v>54</v>
      </c>
      <c r="I303" s="18">
        <v>0</v>
      </c>
      <c r="J303" s="18">
        <v>0</v>
      </c>
      <c r="K303" s="19">
        <v>0</v>
      </c>
      <c r="L303" s="20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15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15"/>
      <c r="AP303" s="15"/>
      <c r="AQ303" s="15"/>
    </row>
    <row r="304" spans="1:43">
      <c r="A304" s="15" t="s">
        <v>43</v>
      </c>
      <c r="B304" s="15" t="s">
        <v>44</v>
      </c>
      <c r="C304" s="15" t="s">
        <v>45</v>
      </c>
      <c r="D304" s="15" t="s">
        <v>880</v>
      </c>
      <c r="E304" s="15" t="s">
        <v>881</v>
      </c>
      <c r="F304" s="16">
        <v>42065.5430671296</v>
      </c>
      <c r="G304" s="15" t="s">
        <v>881</v>
      </c>
      <c r="H304" s="15" t="s">
        <v>882</v>
      </c>
      <c r="I304" s="18">
        <v>0</v>
      </c>
      <c r="J304" s="18">
        <v>0</v>
      </c>
      <c r="K304" s="19">
        <v>0</v>
      </c>
      <c r="L304" s="20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</row>
    <row r="305" spans="1:43">
      <c r="A305" s="15" t="s">
        <v>43</v>
      </c>
      <c r="B305" s="15" t="s">
        <v>44</v>
      </c>
      <c r="C305" s="15" t="s">
        <v>45</v>
      </c>
      <c r="D305" s="15" t="s">
        <v>883</v>
      </c>
      <c r="E305" s="15" t="s">
        <v>884</v>
      </c>
      <c r="F305" s="16">
        <v>42637.4904398148</v>
      </c>
      <c r="G305" s="15" t="s">
        <v>884</v>
      </c>
      <c r="H305" s="15" t="s">
        <v>885</v>
      </c>
      <c r="I305" s="18">
        <v>0</v>
      </c>
      <c r="J305" s="18">
        <v>0</v>
      </c>
      <c r="K305" s="19">
        <v>0</v>
      </c>
      <c r="L305" s="20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</row>
    <row r="306" spans="1:43">
      <c r="A306" s="15" t="s">
        <v>49</v>
      </c>
      <c r="B306" s="15" t="s">
        <v>50</v>
      </c>
      <c r="C306" s="15" t="s">
        <v>51</v>
      </c>
      <c r="D306" s="15" t="s">
        <v>886</v>
      </c>
      <c r="E306" s="15" t="s">
        <v>887</v>
      </c>
      <c r="F306" s="16">
        <v>44389.6557291667</v>
      </c>
      <c r="G306" s="15" t="s">
        <v>887</v>
      </c>
      <c r="H306" s="15" t="s">
        <v>54</v>
      </c>
      <c r="I306" s="18">
        <v>0</v>
      </c>
      <c r="J306" s="18">
        <v>0</v>
      </c>
      <c r="K306" s="19">
        <v>0</v>
      </c>
      <c r="L306" s="20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</row>
    <row r="307" spans="1:43">
      <c r="A307" s="15" t="s">
        <v>43</v>
      </c>
      <c r="B307" s="15" t="s">
        <v>44</v>
      </c>
      <c r="C307" s="15" t="s">
        <v>45</v>
      </c>
      <c r="D307" s="15" t="s">
        <v>888</v>
      </c>
      <c r="E307" s="15" t="s">
        <v>889</v>
      </c>
      <c r="F307" s="16">
        <v>41439.402025463</v>
      </c>
      <c r="G307" s="15" t="s">
        <v>889</v>
      </c>
      <c r="H307" s="15" t="s">
        <v>890</v>
      </c>
      <c r="I307" s="18">
        <v>0</v>
      </c>
      <c r="J307" s="18">
        <v>0</v>
      </c>
      <c r="K307" s="19">
        <v>0</v>
      </c>
      <c r="L307" s="20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</row>
    <row r="308" spans="1:43">
      <c r="A308" s="15" t="s">
        <v>43</v>
      </c>
      <c r="B308" s="15" t="s">
        <v>44</v>
      </c>
      <c r="C308" s="15" t="s">
        <v>45</v>
      </c>
      <c r="D308" s="15" t="s">
        <v>891</v>
      </c>
      <c r="E308" s="15" t="s">
        <v>892</v>
      </c>
      <c r="F308" s="16">
        <v>41906.4335416667</v>
      </c>
      <c r="G308" s="15" t="s">
        <v>892</v>
      </c>
      <c r="H308" s="15" t="s">
        <v>893</v>
      </c>
      <c r="I308" s="18">
        <v>0</v>
      </c>
      <c r="J308" s="18">
        <v>0</v>
      </c>
      <c r="K308" s="19">
        <v>0</v>
      </c>
      <c r="L308" s="20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</row>
    <row r="309" spans="1:43">
      <c r="A309" s="15" t="s">
        <v>43</v>
      </c>
      <c r="B309" s="15" t="s">
        <v>44</v>
      </c>
      <c r="C309" s="15" t="s">
        <v>45</v>
      </c>
      <c r="D309" s="15" t="s">
        <v>894</v>
      </c>
      <c r="E309" s="15" t="s">
        <v>895</v>
      </c>
      <c r="F309" s="16">
        <v>42473.4380208333</v>
      </c>
      <c r="G309" s="15" t="s">
        <v>895</v>
      </c>
      <c r="H309" s="15" t="s">
        <v>896</v>
      </c>
      <c r="I309" s="18">
        <v>0</v>
      </c>
      <c r="J309" s="18">
        <v>0</v>
      </c>
      <c r="K309" s="19">
        <v>0</v>
      </c>
      <c r="L309" s="20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</row>
    <row r="310" spans="1:43">
      <c r="A310" s="15" t="s">
        <v>49</v>
      </c>
      <c r="B310" s="15" t="s">
        <v>50</v>
      </c>
      <c r="C310" s="15" t="s">
        <v>61</v>
      </c>
      <c r="D310" s="15" t="s">
        <v>897</v>
      </c>
      <c r="E310" s="15" t="s">
        <v>898</v>
      </c>
      <c r="F310" s="16">
        <v>0</v>
      </c>
      <c r="G310" s="15" t="s">
        <v>898</v>
      </c>
      <c r="H310" s="15" t="s">
        <v>54</v>
      </c>
      <c r="I310" s="18">
        <v>0</v>
      </c>
      <c r="J310" s="18">
        <v>0</v>
      </c>
      <c r="K310" s="19">
        <v>0</v>
      </c>
      <c r="L310" s="20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</row>
    <row r="311" spans="1:43">
      <c r="A311" s="15" t="s">
        <v>43</v>
      </c>
      <c r="B311" s="15" t="s">
        <v>44</v>
      </c>
      <c r="C311" s="15" t="s">
        <v>45</v>
      </c>
      <c r="D311" s="15" t="s">
        <v>899</v>
      </c>
      <c r="E311" s="15" t="s">
        <v>900</v>
      </c>
      <c r="F311" s="16">
        <v>43650.7083217593</v>
      </c>
      <c r="G311" s="15" t="s">
        <v>900</v>
      </c>
      <c r="H311" s="15" t="s">
        <v>901</v>
      </c>
      <c r="I311" s="18">
        <v>0</v>
      </c>
      <c r="J311" s="18">
        <v>0</v>
      </c>
      <c r="K311" s="19">
        <v>0</v>
      </c>
      <c r="L311" s="20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</row>
    <row r="312" spans="1:43">
      <c r="A312" s="15" t="s">
        <v>49</v>
      </c>
      <c r="B312" s="15" t="s">
        <v>50</v>
      </c>
      <c r="C312" s="15" t="s">
        <v>61</v>
      </c>
      <c r="D312" s="15" t="s">
        <v>902</v>
      </c>
      <c r="E312" s="15" t="s">
        <v>903</v>
      </c>
      <c r="F312" s="16">
        <v>0</v>
      </c>
      <c r="G312" s="15" t="s">
        <v>903</v>
      </c>
      <c r="H312" s="15" t="s">
        <v>904</v>
      </c>
      <c r="I312" s="18">
        <v>0</v>
      </c>
      <c r="J312" s="18">
        <v>0</v>
      </c>
      <c r="K312" s="19">
        <v>0</v>
      </c>
      <c r="L312" s="20">
        <v>0</v>
      </c>
      <c r="M312" s="15">
        <v>0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</row>
    <row r="313" spans="1:43">
      <c r="A313" s="15" t="s">
        <v>43</v>
      </c>
      <c r="B313" s="15" t="s">
        <v>44</v>
      </c>
      <c r="C313" s="15" t="s">
        <v>45</v>
      </c>
      <c r="D313" s="15" t="s">
        <v>905</v>
      </c>
      <c r="E313" s="15" t="s">
        <v>906</v>
      </c>
      <c r="F313" s="16">
        <v>42751.4578240741</v>
      </c>
      <c r="G313" s="15" t="s">
        <v>906</v>
      </c>
      <c r="H313" s="15" t="s">
        <v>907</v>
      </c>
      <c r="I313" s="18">
        <v>0</v>
      </c>
      <c r="J313" s="18">
        <v>0</v>
      </c>
      <c r="K313" s="19">
        <v>0</v>
      </c>
      <c r="L313" s="20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</row>
    <row r="314" spans="1:43">
      <c r="A314" s="15" t="s">
        <v>49</v>
      </c>
      <c r="B314" s="15" t="s">
        <v>50</v>
      </c>
      <c r="C314" s="15" t="s">
        <v>61</v>
      </c>
      <c r="D314" s="15" t="s">
        <v>908</v>
      </c>
      <c r="E314" s="15" t="s">
        <v>909</v>
      </c>
      <c r="F314" s="16">
        <v>0</v>
      </c>
      <c r="G314" s="15" t="s">
        <v>909</v>
      </c>
      <c r="H314" s="15" t="s">
        <v>910</v>
      </c>
      <c r="I314" s="18">
        <v>0</v>
      </c>
      <c r="J314" s="18">
        <v>0</v>
      </c>
      <c r="K314" s="19">
        <v>0</v>
      </c>
      <c r="L314" s="20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</row>
    <row r="315" spans="1:43">
      <c r="A315" s="15" t="s">
        <v>43</v>
      </c>
      <c r="B315" s="15" t="s">
        <v>44</v>
      </c>
      <c r="C315" s="15" t="s">
        <v>45</v>
      </c>
      <c r="D315" s="15" t="s">
        <v>911</v>
      </c>
      <c r="E315" s="15" t="s">
        <v>912</v>
      </c>
      <c r="F315" s="16">
        <v>43766.6763773148</v>
      </c>
      <c r="G315" s="15" t="s">
        <v>912</v>
      </c>
      <c r="H315" s="15" t="s">
        <v>913</v>
      </c>
      <c r="I315" s="18">
        <v>0</v>
      </c>
      <c r="J315" s="18">
        <v>0</v>
      </c>
      <c r="K315" s="19">
        <v>0</v>
      </c>
      <c r="L315" s="20">
        <v>0</v>
      </c>
      <c r="M315" s="15">
        <v>0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</row>
    <row r="316" spans="1:43">
      <c r="A316" s="15" t="s">
        <v>49</v>
      </c>
      <c r="B316" s="15" t="s">
        <v>50</v>
      </c>
      <c r="C316" s="15" t="s">
        <v>61</v>
      </c>
      <c r="D316" s="15" t="s">
        <v>914</v>
      </c>
      <c r="E316" s="15" t="s">
        <v>915</v>
      </c>
      <c r="F316" s="16">
        <v>0</v>
      </c>
      <c r="G316" s="15" t="s">
        <v>915</v>
      </c>
      <c r="H316" s="15" t="s">
        <v>54</v>
      </c>
      <c r="I316" s="18">
        <v>0</v>
      </c>
      <c r="J316" s="18">
        <v>0</v>
      </c>
      <c r="K316" s="19">
        <v>0</v>
      </c>
      <c r="L316" s="20">
        <v>0</v>
      </c>
      <c r="M316" s="15">
        <v>0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</row>
    <row r="317" spans="1:43">
      <c r="A317" s="15" t="s">
        <v>43</v>
      </c>
      <c r="B317" s="15" t="s">
        <v>44</v>
      </c>
      <c r="C317" s="15" t="s">
        <v>45</v>
      </c>
      <c r="D317" s="15" t="s">
        <v>916</v>
      </c>
      <c r="E317" s="15" t="s">
        <v>917</v>
      </c>
      <c r="F317" s="16">
        <v>41996.431712963</v>
      </c>
      <c r="G317" s="15" t="s">
        <v>917</v>
      </c>
      <c r="H317" s="15" t="s">
        <v>918</v>
      </c>
      <c r="I317" s="18">
        <v>0</v>
      </c>
      <c r="J317" s="18">
        <v>0</v>
      </c>
      <c r="K317" s="19">
        <v>0</v>
      </c>
      <c r="L317" s="20">
        <v>0</v>
      </c>
      <c r="M317" s="15">
        <v>0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</row>
    <row r="318" spans="1:43">
      <c r="A318" s="15" t="s">
        <v>43</v>
      </c>
      <c r="B318" s="15" t="s">
        <v>44</v>
      </c>
      <c r="C318" s="15" t="s">
        <v>45</v>
      </c>
      <c r="D318" s="15" t="s">
        <v>919</v>
      </c>
      <c r="E318" s="15" t="s">
        <v>920</v>
      </c>
      <c r="F318" s="16">
        <v>44204.6275810185</v>
      </c>
      <c r="G318" s="15" t="s">
        <v>920</v>
      </c>
      <c r="H318" s="15" t="s">
        <v>54</v>
      </c>
      <c r="I318" s="18">
        <v>0</v>
      </c>
      <c r="J318" s="18">
        <v>0</v>
      </c>
      <c r="K318" s="19">
        <v>0</v>
      </c>
      <c r="L318" s="20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</row>
    <row r="319" spans="1:43">
      <c r="A319" s="15" t="s">
        <v>49</v>
      </c>
      <c r="B319" s="15" t="s">
        <v>50</v>
      </c>
      <c r="C319" s="15" t="s">
        <v>61</v>
      </c>
      <c r="D319" s="15" t="s">
        <v>921</v>
      </c>
      <c r="E319" s="15" t="s">
        <v>922</v>
      </c>
      <c r="F319" s="16">
        <v>0</v>
      </c>
      <c r="G319" s="15" t="s">
        <v>922</v>
      </c>
      <c r="H319" s="15" t="s">
        <v>923</v>
      </c>
      <c r="I319" s="18">
        <v>0</v>
      </c>
      <c r="J319" s="18">
        <v>0</v>
      </c>
      <c r="K319" s="19">
        <v>0</v>
      </c>
      <c r="L319" s="20">
        <v>0</v>
      </c>
      <c r="M319" s="15">
        <v>0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</row>
    <row r="320" spans="1:43">
      <c r="A320" s="15" t="s">
        <v>49</v>
      </c>
      <c r="B320" s="15" t="s">
        <v>50</v>
      </c>
      <c r="C320" s="15" t="s">
        <v>61</v>
      </c>
      <c r="D320" s="15" t="s">
        <v>924</v>
      </c>
      <c r="E320" s="15" t="s">
        <v>925</v>
      </c>
      <c r="F320" s="16">
        <v>0</v>
      </c>
      <c r="G320" s="15" t="s">
        <v>925</v>
      </c>
      <c r="H320" s="15" t="s">
        <v>54</v>
      </c>
      <c r="I320" s="18">
        <v>0</v>
      </c>
      <c r="J320" s="18">
        <v>0</v>
      </c>
      <c r="K320" s="19">
        <v>0</v>
      </c>
      <c r="L320" s="20">
        <v>0</v>
      </c>
      <c r="M320" s="15">
        <v>0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</row>
    <row r="321" spans="1:43">
      <c r="A321" s="15" t="s">
        <v>43</v>
      </c>
      <c r="B321" s="15" t="s">
        <v>44</v>
      </c>
      <c r="C321" s="15" t="s">
        <v>45</v>
      </c>
      <c r="D321" s="15" t="s">
        <v>926</v>
      </c>
      <c r="E321" s="15" t="s">
        <v>927</v>
      </c>
      <c r="F321" s="16">
        <v>43003.4556828704</v>
      </c>
      <c r="G321" s="15" t="s">
        <v>927</v>
      </c>
      <c r="H321" s="15" t="s">
        <v>928</v>
      </c>
      <c r="I321" s="18">
        <v>0</v>
      </c>
      <c r="J321" s="18">
        <v>0</v>
      </c>
      <c r="K321" s="19">
        <v>0</v>
      </c>
      <c r="L321" s="20">
        <v>0</v>
      </c>
      <c r="M321" s="15">
        <v>0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</row>
    <row r="322" spans="1:43">
      <c r="A322" s="15" t="s">
        <v>49</v>
      </c>
      <c r="B322" s="15" t="s">
        <v>50</v>
      </c>
      <c r="C322" s="15" t="s">
        <v>61</v>
      </c>
      <c r="D322" s="15" t="s">
        <v>929</v>
      </c>
      <c r="E322" s="15" t="s">
        <v>930</v>
      </c>
      <c r="F322" s="16">
        <v>0</v>
      </c>
      <c r="G322" s="15" t="s">
        <v>930</v>
      </c>
      <c r="H322" s="15" t="s">
        <v>54</v>
      </c>
      <c r="I322" s="18">
        <v>0</v>
      </c>
      <c r="J322" s="18">
        <v>0</v>
      </c>
      <c r="K322" s="19">
        <v>0</v>
      </c>
      <c r="L322" s="20">
        <v>0</v>
      </c>
      <c r="M322" s="15">
        <v>0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</row>
    <row r="323" spans="1:43">
      <c r="A323" s="15" t="s">
        <v>43</v>
      </c>
      <c r="B323" s="15" t="s">
        <v>44</v>
      </c>
      <c r="C323" s="15" t="s">
        <v>45</v>
      </c>
      <c r="D323" s="15" t="s">
        <v>931</v>
      </c>
      <c r="E323" s="15" t="s">
        <v>932</v>
      </c>
      <c r="F323" s="16">
        <v>41804.383275463</v>
      </c>
      <c r="G323" s="15" t="s">
        <v>932</v>
      </c>
      <c r="H323" s="15" t="s">
        <v>933</v>
      </c>
      <c r="I323" s="18">
        <v>0</v>
      </c>
      <c r="J323" s="18">
        <v>0</v>
      </c>
      <c r="K323" s="19">
        <v>0</v>
      </c>
      <c r="L323" s="20">
        <v>0</v>
      </c>
      <c r="M323" s="15">
        <v>0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</row>
    <row r="324" spans="1:43">
      <c r="A324" s="15" t="s">
        <v>43</v>
      </c>
      <c r="B324" s="15" t="s">
        <v>44</v>
      </c>
      <c r="C324" s="15" t="s">
        <v>45</v>
      </c>
      <c r="D324" s="15" t="s">
        <v>934</v>
      </c>
      <c r="E324" s="15" t="s">
        <v>935</v>
      </c>
      <c r="F324" s="16">
        <v>42355.6706018519</v>
      </c>
      <c r="G324" s="15" t="s">
        <v>935</v>
      </c>
      <c r="H324" s="15" t="s">
        <v>936</v>
      </c>
      <c r="I324" s="18">
        <v>0</v>
      </c>
      <c r="J324" s="18">
        <v>0</v>
      </c>
      <c r="K324" s="19">
        <v>0</v>
      </c>
      <c r="L324" s="20">
        <v>0</v>
      </c>
      <c r="M324" s="15">
        <v>0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</row>
    <row r="325" spans="1:43">
      <c r="A325" s="15" t="s">
        <v>43</v>
      </c>
      <c r="B325" s="15" t="s">
        <v>44</v>
      </c>
      <c r="C325" s="15" t="s">
        <v>45</v>
      </c>
      <c r="D325" s="15" t="s">
        <v>937</v>
      </c>
      <c r="E325" s="15" t="s">
        <v>938</v>
      </c>
      <c r="F325" s="16">
        <v>42454.4276736111</v>
      </c>
      <c r="G325" s="15" t="s">
        <v>938</v>
      </c>
      <c r="H325" s="15" t="s">
        <v>939</v>
      </c>
      <c r="I325" s="18">
        <v>0</v>
      </c>
      <c r="J325" s="18">
        <v>0</v>
      </c>
      <c r="K325" s="19">
        <v>0</v>
      </c>
      <c r="L325" s="20">
        <v>0</v>
      </c>
      <c r="M325" s="15">
        <v>0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</row>
    <row r="326" spans="1:43">
      <c r="A326" s="15" t="s">
        <v>43</v>
      </c>
      <c r="B326" s="15" t="s">
        <v>44</v>
      </c>
      <c r="C326" s="15" t="s">
        <v>45</v>
      </c>
      <c r="D326" s="15" t="s">
        <v>940</v>
      </c>
      <c r="E326" s="15" t="s">
        <v>941</v>
      </c>
      <c r="F326" s="16">
        <v>41614.6360532407</v>
      </c>
      <c r="G326" s="15" t="s">
        <v>941</v>
      </c>
      <c r="H326" s="15" t="s">
        <v>942</v>
      </c>
      <c r="I326" s="18">
        <v>0</v>
      </c>
      <c r="J326" s="18">
        <v>0</v>
      </c>
      <c r="K326" s="19">
        <v>0</v>
      </c>
      <c r="L326" s="20">
        <v>0</v>
      </c>
      <c r="M326" s="15">
        <v>0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</row>
    <row r="327" spans="1:43">
      <c r="A327" s="15" t="s">
        <v>64</v>
      </c>
      <c r="B327" s="15" t="s">
        <v>65</v>
      </c>
      <c r="C327" s="15" t="s">
        <v>401</v>
      </c>
      <c r="D327" s="15" t="s">
        <v>943</v>
      </c>
      <c r="E327" s="15" t="s">
        <v>944</v>
      </c>
      <c r="F327" s="16">
        <v>45042.6442592593</v>
      </c>
      <c r="G327" s="15" t="s">
        <v>944</v>
      </c>
      <c r="H327" s="15" t="s">
        <v>945</v>
      </c>
      <c r="I327" s="18">
        <v>1007.88</v>
      </c>
      <c r="J327" s="18">
        <v>14</v>
      </c>
      <c r="K327" s="19">
        <v>71.9914285714286</v>
      </c>
      <c r="L327" s="20">
        <v>1.02844897959184</v>
      </c>
      <c r="M327" s="15">
        <v>65.56</v>
      </c>
      <c r="N327" s="15">
        <v>100.42</v>
      </c>
      <c r="O327" s="15">
        <v>111.22</v>
      </c>
      <c r="P327" s="15">
        <v>95.64</v>
      </c>
      <c r="Q327" s="15">
        <v>69.76</v>
      </c>
      <c r="R327" s="15">
        <v>13.42</v>
      </c>
      <c r="S327" s="15">
        <v>135.67</v>
      </c>
      <c r="T327" s="15">
        <v>62</v>
      </c>
      <c r="U327" s="15">
        <v>91.66</v>
      </c>
      <c r="V327" s="15">
        <v>70.43</v>
      </c>
      <c r="W327" s="15">
        <v>59.13</v>
      </c>
      <c r="X327" s="15">
        <v>20.45</v>
      </c>
      <c r="Y327" s="15">
        <v>41.52</v>
      </c>
      <c r="Z327" s="15">
        <v>71</v>
      </c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</row>
    <row r="328" spans="1:43">
      <c r="A328" s="15" t="s">
        <v>43</v>
      </c>
      <c r="B328" s="15" t="s">
        <v>44</v>
      </c>
      <c r="C328" s="15" t="s">
        <v>45</v>
      </c>
      <c r="D328" s="15" t="s">
        <v>946</v>
      </c>
      <c r="E328" s="15" t="s">
        <v>947</v>
      </c>
      <c r="F328" s="16">
        <v>40757.4133680556</v>
      </c>
      <c r="G328" s="15" t="s">
        <v>947</v>
      </c>
      <c r="H328" s="15" t="s">
        <v>948</v>
      </c>
      <c r="I328" s="18">
        <v>0</v>
      </c>
      <c r="J328" s="18">
        <v>0</v>
      </c>
      <c r="K328" s="19">
        <v>0</v>
      </c>
      <c r="L328" s="20">
        <v>0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</row>
    <row r="329" spans="1:43">
      <c r="A329" s="15" t="s">
        <v>43</v>
      </c>
      <c r="B329" s="15" t="s">
        <v>44</v>
      </c>
      <c r="C329" s="15" t="s">
        <v>45</v>
      </c>
      <c r="D329" s="15" t="s">
        <v>949</v>
      </c>
      <c r="E329" s="15" t="s">
        <v>950</v>
      </c>
      <c r="F329" s="16">
        <v>41971.6828587963</v>
      </c>
      <c r="G329" s="15" t="s">
        <v>950</v>
      </c>
      <c r="H329" s="15" t="s">
        <v>951</v>
      </c>
      <c r="I329" s="18">
        <v>0</v>
      </c>
      <c r="J329" s="18">
        <v>0</v>
      </c>
      <c r="K329" s="19">
        <v>0</v>
      </c>
      <c r="L329" s="20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</row>
    <row r="330" spans="1:43">
      <c r="A330" s="15" t="s">
        <v>49</v>
      </c>
      <c r="B330" s="15" t="s">
        <v>50</v>
      </c>
      <c r="C330" s="15" t="s">
        <v>61</v>
      </c>
      <c r="D330" s="15" t="s">
        <v>952</v>
      </c>
      <c r="E330" s="15" t="s">
        <v>953</v>
      </c>
      <c r="F330" s="16">
        <v>0</v>
      </c>
      <c r="G330" s="15" t="s">
        <v>953</v>
      </c>
      <c r="H330" s="15" t="s">
        <v>54</v>
      </c>
      <c r="I330" s="18">
        <v>0</v>
      </c>
      <c r="J330" s="18">
        <v>0</v>
      </c>
      <c r="K330" s="19">
        <v>0</v>
      </c>
      <c r="L330" s="20">
        <v>0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0</v>
      </c>
      <c r="Z330" s="21">
        <v>0</v>
      </c>
      <c r="AA330" s="15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15"/>
      <c r="AP330" s="15"/>
      <c r="AQ330" s="15"/>
    </row>
    <row r="331" spans="1:43">
      <c r="A331" s="15" t="s">
        <v>43</v>
      </c>
      <c r="B331" s="15" t="s">
        <v>44</v>
      </c>
      <c r="C331" s="15" t="s">
        <v>45</v>
      </c>
      <c r="D331" s="15" t="s">
        <v>954</v>
      </c>
      <c r="E331" s="15" t="s">
        <v>955</v>
      </c>
      <c r="F331" s="16">
        <v>41010.7109143518</v>
      </c>
      <c r="G331" s="15" t="s">
        <v>955</v>
      </c>
      <c r="H331" s="15" t="s">
        <v>956</v>
      </c>
      <c r="I331" s="18">
        <v>0</v>
      </c>
      <c r="J331" s="18">
        <v>0</v>
      </c>
      <c r="K331" s="19">
        <v>0</v>
      </c>
      <c r="L331" s="20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>
        <v>0</v>
      </c>
      <c r="W331" s="21">
        <v>0</v>
      </c>
      <c r="X331" s="21">
        <v>0</v>
      </c>
      <c r="Y331" s="21">
        <v>0</v>
      </c>
      <c r="Z331" s="21">
        <v>0</v>
      </c>
      <c r="AA331" s="15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15"/>
      <c r="AP331" s="15"/>
      <c r="AQ331" s="15"/>
    </row>
    <row r="332" spans="1:43">
      <c r="A332" s="15" t="s">
        <v>43</v>
      </c>
      <c r="B332" s="15" t="s">
        <v>44</v>
      </c>
      <c r="C332" s="15" t="s">
        <v>45</v>
      </c>
      <c r="D332" s="15" t="s">
        <v>957</v>
      </c>
      <c r="E332" s="15" t="s">
        <v>958</v>
      </c>
      <c r="F332" s="16">
        <v>42809.590162037</v>
      </c>
      <c r="G332" s="15" t="s">
        <v>958</v>
      </c>
      <c r="H332" s="15" t="s">
        <v>959</v>
      </c>
      <c r="I332" s="18">
        <v>0</v>
      </c>
      <c r="J332" s="18">
        <v>0</v>
      </c>
      <c r="K332" s="19">
        <v>0</v>
      </c>
      <c r="L332" s="20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15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15"/>
      <c r="AP332" s="15"/>
      <c r="AQ332" s="15"/>
    </row>
    <row r="333" spans="1:43">
      <c r="A333" s="15" t="s">
        <v>64</v>
      </c>
      <c r="B333" s="15" t="s">
        <v>65</v>
      </c>
      <c r="C333" s="15" t="s">
        <v>522</v>
      </c>
      <c r="D333" s="15" t="s">
        <v>960</v>
      </c>
      <c r="E333" s="15" t="s">
        <v>961</v>
      </c>
      <c r="F333" s="16">
        <v>44173.7137615741</v>
      </c>
      <c r="G333" s="15" t="s">
        <v>961</v>
      </c>
      <c r="H333" s="15" t="s">
        <v>962</v>
      </c>
      <c r="I333" s="18">
        <v>1933.32</v>
      </c>
      <c r="J333" s="18">
        <v>14</v>
      </c>
      <c r="K333" s="19">
        <v>138.094285714286</v>
      </c>
      <c r="L333" s="20">
        <v>1.97277551020408</v>
      </c>
      <c r="M333" s="21">
        <v>258.96</v>
      </c>
      <c r="N333" s="21">
        <v>35.66</v>
      </c>
      <c r="O333" s="21">
        <v>151.75</v>
      </c>
      <c r="P333" s="21">
        <v>145.51</v>
      </c>
      <c r="Q333" s="21">
        <v>164.92</v>
      </c>
      <c r="R333" s="21">
        <v>191.19</v>
      </c>
      <c r="S333" s="21">
        <v>167.6</v>
      </c>
      <c r="T333" s="21">
        <v>127.55</v>
      </c>
      <c r="U333" s="21">
        <v>72.94</v>
      </c>
      <c r="V333" s="21">
        <v>140.57</v>
      </c>
      <c r="W333" s="21">
        <v>127.18</v>
      </c>
      <c r="X333" s="21">
        <v>143.13</v>
      </c>
      <c r="Y333" s="21">
        <v>99.18</v>
      </c>
      <c r="Z333" s="21">
        <v>107.18</v>
      </c>
      <c r="AA333" s="15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15"/>
      <c r="AP333" s="15"/>
      <c r="AQ333" s="15"/>
    </row>
    <row r="334" spans="1:43">
      <c r="A334" s="15" t="s">
        <v>43</v>
      </c>
      <c r="B334" s="15" t="s">
        <v>44</v>
      </c>
      <c r="C334" s="15" t="s">
        <v>45</v>
      </c>
      <c r="D334" s="15" t="s">
        <v>963</v>
      </c>
      <c r="E334" s="15" t="s">
        <v>964</v>
      </c>
      <c r="F334" s="16">
        <v>41717.6747337963</v>
      </c>
      <c r="G334" s="15" t="s">
        <v>964</v>
      </c>
      <c r="H334" s="15" t="s">
        <v>965</v>
      </c>
      <c r="I334" s="18">
        <v>0</v>
      </c>
      <c r="J334" s="18">
        <v>0</v>
      </c>
      <c r="K334" s="19">
        <v>0</v>
      </c>
      <c r="L334" s="20">
        <v>0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15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15"/>
      <c r="AP334" s="15"/>
      <c r="AQ334" s="15"/>
    </row>
    <row r="335" spans="1:43">
      <c r="A335" s="15" t="s">
        <v>43</v>
      </c>
      <c r="B335" s="15" t="s">
        <v>44</v>
      </c>
      <c r="C335" s="15" t="s">
        <v>45</v>
      </c>
      <c r="D335" s="15" t="s">
        <v>966</v>
      </c>
      <c r="E335" s="15" t="s">
        <v>967</v>
      </c>
      <c r="F335" s="16">
        <v>43655.7281365741</v>
      </c>
      <c r="G335" s="15" t="s">
        <v>967</v>
      </c>
      <c r="H335" s="15" t="s">
        <v>968</v>
      </c>
      <c r="I335" s="18">
        <v>0</v>
      </c>
      <c r="J335" s="18">
        <v>0</v>
      </c>
      <c r="K335" s="19">
        <v>0</v>
      </c>
      <c r="L335" s="20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15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15"/>
      <c r="AP335" s="15"/>
      <c r="AQ335" s="15"/>
    </row>
    <row r="336" spans="1:43">
      <c r="A336" s="15" t="s">
        <v>43</v>
      </c>
      <c r="B336" s="15" t="s">
        <v>44</v>
      </c>
      <c r="C336" s="15" t="s">
        <v>45</v>
      </c>
      <c r="D336" s="15" t="s">
        <v>969</v>
      </c>
      <c r="E336" s="15" t="s">
        <v>970</v>
      </c>
      <c r="F336" s="16">
        <v>41766.7035532407</v>
      </c>
      <c r="G336" s="15" t="s">
        <v>970</v>
      </c>
      <c r="H336" s="15" t="s">
        <v>971</v>
      </c>
      <c r="I336" s="18">
        <v>0</v>
      </c>
      <c r="J336" s="18">
        <v>0</v>
      </c>
      <c r="K336" s="19">
        <v>0</v>
      </c>
      <c r="L336" s="20">
        <v>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>
        <v>0</v>
      </c>
      <c r="Z336" s="21">
        <v>0</v>
      </c>
      <c r="AA336" s="15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15"/>
      <c r="AP336" s="15"/>
      <c r="AQ336" s="15"/>
    </row>
    <row r="337" spans="1:43">
      <c r="A337" s="15" t="s">
        <v>49</v>
      </c>
      <c r="B337" s="15" t="s">
        <v>50</v>
      </c>
      <c r="C337" s="15" t="s">
        <v>51</v>
      </c>
      <c r="D337" s="15" t="s">
        <v>972</v>
      </c>
      <c r="E337" s="15" t="s">
        <v>973</v>
      </c>
      <c r="F337" s="16">
        <v>45146.6932407407</v>
      </c>
      <c r="G337" s="15" t="s">
        <v>973</v>
      </c>
      <c r="H337" s="15" t="s">
        <v>54</v>
      </c>
      <c r="I337" s="18">
        <v>0</v>
      </c>
      <c r="J337" s="18">
        <v>0</v>
      </c>
      <c r="K337" s="19">
        <v>0</v>
      </c>
      <c r="L337" s="20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0</v>
      </c>
      <c r="AA337" s="15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15"/>
      <c r="AP337" s="15"/>
      <c r="AQ337" s="15"/>
    </row>
    <row r="338" spans="1:43">
      <c r="A338" s="15" t="s">
        <v>49</v>
      </c>
      <c r="B338" s="15" t="s">
        <v>50</v>
      </c>
      <c r="C338" s="15" t="s">
        <v>301</v>
      </c>
      <c r="D338" s="15" t="s">
        <v>974</v>
      </c>
      <c r="E338" s="15" t="s">
        <v>975</v>
      </c>
      <c r="F338" s="16">
        <v>44634.7047337963</v>
      </c>
      <c r="G338" s="15" t="s">
        <v>975</v>
      </c>
      <c r="H338" s="15" t="s">
        <v>54</v>
      </c>
      <c r="I338" s="18">
        <v>0</v>
      </c>
      <c r="J338" s="18">
        <v>0</v>
      </c>
      <c r="K338" s="19">
        <v>0</v>
      </c>
      <c r="L338" s="20">
        <v>0</v>
      </c>
      <c r="M338" s="21">
        <v>0</v>
      </c>
      <c r="N338" s="21">
        <v>0</v>
      </c>
      <c r="O338" s="21">
        <v>0</v>
      </c>
      <c r="P338" s="21"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15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15"/>
      <c r="AP338" s="15"/>
      <c r="AQ338" s="15"/>
    </row>
    <row r="339" spans="1:43">
      <c r="A339" s="15" t="s">
        <v>43</v>
      </c>
      <c r="B339" s="15" t="s">
        <v>44</v>
      </c>
      <c r="C339" s="15" t="s">
        <v>45</v>
      </c>
      <c r="D339" s="15" t="s">
        <v>976</v>
      </c>
      <c r="E339" s="15" t="s">
        <v>977</v>
      </c>
      <c r="F339" s="16">
        <v>43453.6390277778</v>
      </c>
      <c r="G339" s="15" t="s">
        <v>977</v>
      </c>
      <c r="H339" s="15" t="s">
        <v>978</v>
      </c>
      <c r="I339" s="18">
        <v>0</v>
      </c>
      <c r="J339" s="18">
        <v>0</v>
      </c>
      <c r="K339" s="19">
        <v>0</v>
      </c>
      <c r="L339" s="20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15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15"/>
      <c r="AP339" s="15"/>
      <c r="AQ339" s="15"/>
    </row>
    <row r="340" spans="1:43">
      <c r="A340" s="15" t="s">
        <v>49</v>
      </c>
      <c r="B340" s="15" t="s">
        <v>50</v>
      </c>
      <c r="C340" s="15" t="s">
        <v>61</v>
      </c>
      <c r="D340" s="15" t="s">
        <v>979</v>
      </c>
      <c r="E340" s="15" t="s">
        <v>980</v>
      </c>
      <c r="F340" s="16">
        <v>0</v>
      </c>
      <c r="G340" s="15" t="s">
        <v>980</v>
      </c>
      <c r="H340" s="15" t="s">
        <v>981</v>
      </c>
      <c r="I340" s="18">
        <v>0</v>
      </c>
      <c r="J340" s="18">
        <v>0</v>
      </c>
      <c r="K340" s="19">
        <v>0</v>
      </c>
      <c r="L340" s="20">
        <v>0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15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15"/>
      <c r="AP340" s="15"/>
      <c r="AQ340" s="15"/>
    </row>
    <row r="341" spans="1:43">
      <c r="A341" s="15" t="s">
        <v>43</v>
      </c>
      <c r="B341" s="15" t="s">
        <v>44</v>
      </c>
      <c r="C341" s="15" t="s">
        <v>45</v>
      </c>
      <c r="D341" s="15" t="s">
        <v>982</v>
      </c>
      <c r="E341" s="15" t="s">
        <v>983</v>
      </c>
      <c r="F341" s="16">
        <v>42717.6898148148</v>
      </c>
      <c r="G341" s="15" t="s">
        <v>983</v>
      </c>
      <c r="H341" s="15" t="s">
        <v>984</v>
      </c>
      <c r="I341" s="18">
        <v>0</v>
      </c>
      <c r="J341" s="18">
        <v>0</v>
      </c>
      <c r="K341" s="19">
        <v>0</v>
      </c>
      <c r="L341" s="20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15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15"/>
      <c r="AP341" s="15"/>
      <c r="AQ341" s="15"/>
    </row>
    <row r="342" spans="1:43">
      <c r="A342" s="15" t="s">
        <v>64</v>
      </c>
      <c r="B342" s="15" t="s">
        <v>65</v>
      </c>
      <c r="C342" s="15" t="s">
        <v>78</v>
      </c>
      <c r="D342" s="15" t="s">
        <v>985</v>
      </c>
      <c r="E342" s="15" t="s">
        <v>986</v>
      </c>
      <c r="F342" s="16">
        <v>44559.5906365741</v>
      </c>
      <c r="G342" s="15" t="s">
        <v>986</v>
      </c>
      <c r="H342" s="15" t="s">
        <v>54</v>
      </c>
      <c r="I342" s="18">
        <v>0</v>
      </c>
      <c r="J342" s="18">
        <v>0</v>
      </c>
      <c r="K342" s="19">
        <v>0</v>
      </c>
      <c r="L342" s="20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15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15"/>
      <c r="AP342" s="15"/>
      <c r="AQ342" s="15"/>
    </row>
    <row r="343" spans="1:43">
      <c r="A343" s="15" t="s">
        <v>49</v>
      </c>
      <c r="B343" s="15" t="s">
        <v>50</v>
      </c>
      <c r="C343" s="15" t="s">
        <v>61</v>
      </c>
      <c r="D343" s="15" t="s">
        <v>987</v>
      </c>
      <c r="E343" s="15" t="s">
        <v>988</v>
      </c>
      <c r="F343" s="16">
        <v>0</v>
      </c>
      <c r="G343" s="15" t="s">
        <v>988</v>
      </c>
      <c r="H343" s="15" t="s">
        <v>989</v>
      </c>
      <c r="I343" s="18">
        <v>0</v>
      </c>
      <c r="J343" s="18">
        <v>0</v>
      </c>
      <c r="K343" s="19">
        <v>0</v>
      </c>
      <c r="L343" s="20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  <c r="W343" s="21">
        <v>0</v>
      </c>
      <c r="X343" s="21">
        <v>0</v>
      </c>
      <c r="Y343" s="21">
        <v>0</v>
      </c>
      <c r="Z343" s="21">
        <v>0</v>
      </c>
      <c r="AA343" s="15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15"/>
      <c r="AP343" s="15"/>
      <c r="AQ343" s="15"/>
    </row>
    <row r="344" spans="1:43">
      <c r="A344" s="15" t="s">
        <v>43</v>
      </c>
      <c r="B344" s="15" t="s">
        <v>44</v>
      </c>
      <c r="C344" s="15" t="s">
        <v>45</v>
      </c>
      <c r="D344" s="15" t="s">
        <v>990</v>
      </c>
      <c r="E344" s="15" t="s">
        <v>991</v>
      </c>
      <c r="F344" s="16">
        <v>41374.4718634259</v>
      </c>
      <c r="G344" s="15" t="s">
        <v>991</v>
      </c>
      <c r="H344" s="15" t="s">
        <v>992</v>
      </c>
      <c r="I344" s="18">
        <v>0</v>
      </c>
      <c r="J344" s="18">
        <v>0</v>
      </c>
      <c r="K344" s="19">
        <v>0</v>
      </c>
      <c r="L344" s="20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15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15"/>
      <c r="AP344" s="15"/>
      <c r="AQ344" s="15"/>
    </row>
    <row r="345" spans="1:43">
      <c r="A345" s="15" t="s">
        <v>49</v>
      </c>
      <c r="B345" s="15" t="s">
        <v>50</v>
      </c>
      <c r="C345" s="15" t="s">
        <v>61</v>
      </c>
      <c r="D345" s="15" t="s">
        <v>993</v>
      </c>
      <c r="E345" s="15" t="s">
        <v>994</v>
      </c>
      <c r="F345" s="16">
        <v>0</v>
      </c>
      <c r="G345" s="15" t="s">
        <v>994</v>
      </c>
      <c r="H345" s="15" t="s">
        <v>54</v>
      </c>
      <c r="I345" s="18">
        <v>0</v>
      </c>
      <c r="J345" s="18">
        <v>0</v>
      </c>
      <c r="K345" s="19">
        <v>0</v>
      </c>
      <c r="L345" s="20">
        <v>0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0</v>
      </c>
      <c r="Z345" s="21">
        <v>0</v>
      </c>
      <c r="AA345" s="15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15"/>
      <c r="AP345" s="15"/>
      <c r="AQ345" s="15"/>
    </row>
    <row r="346" spans="1:43">
      <c r="A346" s="15" t="s">
        <v>49</v>
      </c>
      <c r="B346" s="15" t="s">
        <v>50</v>
      </c>
      <c r="C346" s="15" t="s">
        <v>61</v>
      </c>
      <c r="D346" s="15" t="s">
        <v>995</v>
      </c>
      <c r="E346" s="15" t="s">
        <v>996</v>
      </c>
      <c r="F346" s="16">
        <v>0</v>
      </c>
      <c r="G346" s="15" t="s">
        <v>996</v>
      </c>
      <c r="H346" s="15" t="s">
        <v>997</v>
      </c>
      <c r="I346" s="18">
        <v>0</v>
      </c>
      <c r="J346" s="18">
        <v>0</v>
      </c>
      <c r="K346" s="19">
        <v>0</v>
      </c>
      <c r="L346" s="20">
        <v>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15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15"/>
      <c r="AP346" s="15"/>
      <c r="AQ346" s="15"/>
    </row>
    <row r="347" spans="1:43">
      <c r="A347" s="15" t="s">
        <v>43</v>
      </c>
      <c r="B347" s="15" t="s">
        <v>44</v>
      </c>
      <c r="C347" s="15" t="s">
        <v>45</v>
      </c>
      <c r="D347" s="15" t="s">
        <v>998</v>
      </c>
      <c r="E347" s="15" t="s">
        <v>999</v>
      </c>
      <c r="F347" s="16">
        <v>43797.7068055556</v>
      </c>
      <c r="G347" s="15" t="s">
        <v>999</v>
      </c>
      <c r="H347" s="15" t="s">
        <v>1000</v>
      </c>
      <c r="I347" s="18">
        <v>0</v>
      </c>
      <c r="J347" s="18">
        <v>0</v>
      </c>
      <c r="K347" s="19">
        <v>0</v>
      </c>
      <c r="L347" s="20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15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15"/>
      <c r="AP347" s="15"/>
      <c r="AQ347" s="15"/>
    </row>
    <row r="348" spans="1:43">
      <c r="A348" s="15" t="s">
        <v>43</v>
      </c>
      <c r="B348" s="15" t="s">
        <v>44</v>
      </c>
      <c r="C348" s="15" t="s">
        <v>45</v>
      </c>
      <c r="D348" s="15" t="s">
        <v>1001</v>
      </c>
      <c r="E348" s="15" t="s">
        <v>1002</v>
      </c>
      <c r="F348" s="16">
        <v>43070.691875</v>
      </c>
      <c r="G348" s="15" t="s">
        <v>1002</v>
      </c>
      <c r="H348" s="15" t="s">
        <v>1003</v>
      </c>
      <c r="I348" s="18">
        <v>0</v>
      </c>
      <c r="J348" s="18">
        <v>0</v>
      </c>
      <c r="K348" s="19">
        <v>0</v>
      </c>
      <c r="L348" s="20">
        <v>0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15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15"/>
      <c r="AP348" s="15"/>
      <c r="AQ348" s="15"/>
    </row>
    <row r="349" spans="1:43">
      <c r="A349" s="15" t="s">
        <v>43</v>
      </c>
      <c r="B349" s="15" t="s">
        <v>44</v>
      </c>
      <c r="C349" s="15" t="s">
        <v>45</v>
      </c>
      <c r="D349" s="15" t="s">
        <v>1004</v>
      </c>
      <c r="E349" s="15" t="s">
        <v>1005</v>
      </c>
      <c r="F349" s="16">
        <v>43655.7082523148</v>
      </c>
      <c r="G349" s="15" t="s">
        <v>1005</v>
      </c>
      <c r="H349" s="15" t="s">
        <v>1006</v>
      </c>
      <c r="I349" s="18">
        <v>0</v>
      </c>
      <c r="J349" s="18">
        <v>0</v>
      </c>
      <c r="K349" s="19">
        <v>0</v>
      </c>
      <c r="L349" s="20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15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15"/>
      <c r="AP349" s="15"/>
      <c r="AQ349" s="15"/>
    </row>
    <row r="350" spans="1:43">
      <c r="A350" s="15" t="s">
        <v>64</v>
      </c>
      <c r="B350" s="15" t="s">
        <v>65</v>
      </c>
      <c r="C350" s="15" t="s">
        <v>93</v>
      </c>
      <c r="D350" s="15" t="s">
        <v>1007</v>
      </c>
      <c r="E350" s="15" t="s">
        <v>1008</v>
      </c>
      <c r="F350" s="16">
        <v>44675.6179861111</v>
      </c>
      <c r="G350" s="15" t="s">
        <v>1008</v>
      </c>
      <c r="H350" s="15" t="s">
        <v>54</v>
      </c>
      <c r="I350" s="18">
        <v>0</v>
      </c>
      <c r="J350" s="18">
        <v>0</v>
      </c>
      <c r="K350" s="19">
        <v>0</v>
      </c>
      <c r="L350" s="20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15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15"/>
      <c r="AP350" s="15"/>
      <c r="AQ350" s="15"/>
    </row>
    <row r="351" spans="1:43">
      <c r="A351" s="15" t="s">
        <v>49</v>
      </c>
      <c r="B351" s="15" t="s">
        <v>50</v>
      </c>
      <c r="C351" s="15" t="s">
        <v>61</v>
      </c>
      <c r="D351" s="15" t="s">
        <v>1009</v>
      </c>
      <c r="E351" s="15" t="s">
        <v>1010</v>
      </c>
      <c r="F351" s="16">
        <v>0</v>
      </c>
      <c r="G351" s="15" t="s">
        <v>1010</v>
      </c>
      <c r="H351" s="15" t="s">
        <v>1011</v>
      </c>
      <c r="I351" s="18">
        <v>0</v>
      </c>
      <c r="J351" s="18">
        <v>0</v>
      </c>
      <c r="K351" s="19">
        <v>0</v>
      </c>
      <c r="L351" s="20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0</v>
      </c>
      <c r="Z351" s="21">
        <v>0</v>
      </c>
      <c r="AA351" s="15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15"/>
      <c r="AP351" s="15"/>
      <c r="AQ351" s="15"/>
    </row>
    <row r="352" spans="1:43">
      <c r="A352" s="15" t="s">
        <v>49</v>
      </c>
      <c r="B352" s="15" t="s">
        <v>50</v>
      </c>
      <c r="C352" s="15" t="s">
        <v>61</v>
      </c>
      <c r="D352" s="15" t="s">
        <v>1012</v>
      </c>
      <c r="E352" s="15" t="s">
        <v>1013</v>
      </c>
      <c r="F352" s="16">
        <v>0</v>
      </c>
      <c r="G352" s="15" t="s">
        <v>1013</v>
      </c>
      <c r="H352" s="15" t="s">
        <v>1014</v>
      </c>
      <c r="I352" s="18">
        <v>0</v>
      </c>
      <c r="J352" s="18">
        <v>0</v>
      </c>
      <c r="K352" s="19">
        <v>0</v>
      </c>
      <c r="L352" s="20">
        <v>0</v>
      </c>
      <c r="M352" s="21">
        <v>0</v>
      </c>
      <c r="N352" s="21">
        <v>0</v>
      </c>
      <c r="O352" s="21">
        <v>0</v>
      </c>
      <c r="P352" s="21">
        <v>0</v>
      </c>
      <c r="Q352" s="21">
        <v>0</v>
      </c>
      <c r="R352" s="21">
        <v>0</v>
      </c>
      <c r="S352" s="21">
        <v>0</v>
      </c>
      <c r="T352" s="21">
        <v>0</v>
      </c>
      <c r="U352" s="21">
        <v>0</v>
      </c>
      <c r="V352" s="21">
        <v>0</v>
      </c>
      <c r="W352" s="21">
        <v>0</v>
      </c>
      <c r="X352" s="21">
        <v>0</v>
      </c>
      <c r="Y352" s="21">
        <v>0</v>
      </c>
      <c r="Z352" s="21">
        <v>0</v>
      </c>
      <c r="AA352" s="15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15"/>
      <c r="AP352" s="15"/>
      <c r="AQ352" s="15"/>
    </row>
    <row r="353" spans="1:43">
      <c r="A353" s="15" t="s">
        <v>43</v>
      </c>
      <c r="B353" s="15" t="s">
        <v>44</v>
      </c>
      <c r="C353" s="15" t="s">
        <v>45</v>
      </c>
      <c r="D353" s="15" t="s">
        <v>1015</v>
      </c>
      <c r="E353" s="15" t="s">
        <v>1016</v>
      </c>
      <c r="F353" s="16">
        <v>43578.4350347222</v>
      </c>
      <c r="G353" s="15" t="s">
        <v>1016</v>
      </c>
      <c r="H353" s="15" t="s">
        <v>1017</v>
      </c>
      <c r="I353" s="18">
        <v>0</v>
      </c>
      <c r="J353" s="18">
        <v>0</v>
      </c>
      <c r="K353" s="19">
        <v>0</v>
      </c>
      <c r="L353" s="20">
        <v>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  <c r="W353" s="21">
        <v>0</v>
      </c>
      <c r="X353" s="21">
        <v>0</v>
      </c>
      <c r="Y353" s="21">
        <v>0</v>
      </c>
      <c r="Z353" s="21">
        <v>0</v>
      </c>
      <c r="AA353" s="15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15"/>
      <c r="AP353" s="15"/>
      <c r="AQ353" s="15"/>
    </row>
    <row r="354" spans="1:43">
      <c r="A354" s="15" t="s">
        <v>43</v>
      </c>
      <c r="B354" s="15" t="s">
        <v>44</v>
      </c>
      <c r="C354" s="15" t="s">
        <v>228</v>
      </c>
      <c r="D354" s="15" t="s">
        <v>1018</v>
      </c>
      <c r="E354" s="15" t="s">
        <v>1019</v>
      </c>
      <c r="F354" s="16">
        <v>44742.6919560185</v>
      </c>
      <c r="G354" s="15" t="s">
        <v>1019</v>
      </c>
      <c r="H354" s="15" t="s">
        <v>54</v>
      </c>
      <c r="I354" s="18">
        <v>0</v>
      </c>
      <c r="J354" s="18">
        <v>0</v>
      </c>
      <c r="K354" s="19">
        <v>0</v>
      </c>
      <c r="L354" s="20">
        <v>0</v>
      </c>
      <c r="M354" s="21">
        <v>0</v>
      </c>
      <c r="N354" s="21">
        <v>0</v>
      </c>
      <c r="O354" s="21">
        <v>0</v>
      </c>
      <c r="P354" s="21">
        <v>0</v>
      </c>
      <c r="Q354" s="21">
        <v>0</v>
      </c>
      <c r="R354" s="21">
        <v>0</v>
      </c>
      <c r="S354" s="21">
        <v>0</v>
      </c>
      <c r="T354" s="21">
        <v>0</v>
      </c>
      <c r="U354" s="21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15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15"/>
      <c r="AP354" s="15"/>
      <c r="AQ354" s="15"/>
    </row>
    <row r="355" spans="1:43">
      <c r="A355" s="15" t="s">
        <v>49</v>
      </c>
      <c r="B355" s="15" t="s">
        <v>50</v>
      </c>
      <c r="C355" s="15" t="s">
        <v>61</v>
      </c>
      <c r="D355" s="15" t="s">
        <v>1020</v>
      </c>
      <c r="E355" s="15" t="s">
        <v>1021</v>
      </c>
      <c r="F355" s="16">
        <v>0</v>
      </c>
      <c r="G355" s="15" t="s">
        <v>1021</v>
      </c>
      <c r="H355" s="15" t="s">
        <v>54</v>
      </c>
      <c r="I355" s="18">
        <v>0</v>
      </c>
      <c r="J355" s="18">
        <v>0</v>
      </c>
      <c r="K355" s="19">
        <v>0</v>
      </c>
      <c r="L355" s="20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  <c r="W355" s="21">
        <v>0</v>
      </c>
      <c r="X355" s="21">
        <v>0</v>
      </c>
      <c r="Y355" s="21">
        <v>0</v>
      </c>
      <c r="Z355" s="21">
        <v>0</v>
      </c>
      <c r="AA355" s="15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15"/>
      <c r="AP355" s="15"/>
      <c r="AQ355" s="15"/>
    </row>
    <row r="356" spans="1:43">
      <c r="A356" s="15" t="s">
        <v>43</v>
      </c>
      <c r="B356" s="15" t="s">
        <v>44</v>
      </c>
      <c r="C356" s="15" t="s">
        <v>45</v>
      </c>
      <c r="D356" s="15" t="s">
        <v>1022</v>
      </c>
      <c r="E356" s="15" t="s">
        <v>1023</v>
      </c>
      <c r="F356" s="16">
        <v>41996.6531944444</v>
      </c>
      <c r="G356" s="15" t="s">
        <v>1023</v>
      </c>
      <c r="H356" s="15" t="s">
        <v>1024</v>
      </c>
      <c r="I356" s="18">
        <v>0</v>
      </c>
      <c r="J356" s="18">
        <v>0</v>
      </c>
      <c r="K356" s="19">
        <v>0</v>
      </c>
      <c r="L356" s="20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0</v>
      </c>
      <c r="X356" s="21">
        <v>0</v>
      </c>
      <c r="Y356" s="21">
        <v>0</v>
      </c>
      <c r="Z356" s="21">
        <v>0</v>
      </c>
      <c r="AA356" s="15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15"/>
      <c r="AP356" s="15"/>
      <c r="AQ356" s="15"/>
    </row>
    <row r="357" spans="1:43">
      <c r="A357" s="15" t="s">
        <v>49</v>
      </c>
      <c r="B357" s="15" t="s">
        <v>50</v>
      </c>
      <c r="C357" s="15" t="s">
        <v>61</v>
      </c>
      <c r="D357" s="15" t="s">
        <v>1025</v>
      </c>
      <c r="E357" s="15" t="s">
        <v>1026</v>
      </c>
      <c r="F357" s="16">
        <v>0</v>
      </c>
      <c r="G357" s="15" t="s">
        <v>1026</v>
      </c>
      <c r="H357" s="15" t="s">
        <v>1027</v>
      </c>
      <c r="I357" s="18">
        <v>0</v>
      </c>
      <c r="J357" s="18">
        <v>0</v>
      </c>
      <c r="K357" s="19">
        <v>0</v>
      </c>
      <c r="L357" s="20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  <c r="W357" s="21">
        <v>0</v>
      </c>
      <c r="X357" s="21">
        <v>0</v>
      </c>
      <c r="Y357" s="21">
        <v>0</v>
      </c>
      <c r="Z357" s="21">
        <v>0</v>
      </c>
      <c r="AA357" s="15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15"/>
      <c r="AP357" s="15"/>
      <c r="AQ357" s="15"/>
    </row>
    <row r="358" spans="1:43">
      <c r="A358" s="15" t="s">
        <v>43</v>
      </c>
      <c r="B358" s="15" t="s">
        <v>44</v>
      </c>
      <c r="C358" s="15" t="s">
        <v>228</v>
      </c>
      <c r="D358" s="15" t="s">
        <v>1028</v>
      </c>
      <c r="E358" s="15" t="s">
        <v>1029</v>
      </c>
      <c r="F358" s="16">
        <v>44915.5813888889</v>
      </c>
      <c r="G358" s="15" t="s">
        <v>1029</v>
      </c>
      <c r="H358" s="15" t="s">
        <v>54</v>
      </c>
      <c r="I358" s="18">
        <v>0</v>
      </c>
      <c r="J358" s="18">
        <v>0</v>
      </c>
      <c r="K358" s="19">
        <v>0</v>
      </c>
      <c r="L358" s="20">
        <v>0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15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15"/>
      <c r="AP358" s="15"/>
      <c r="AQ358" s="15"/>
    </row>
    <row r="359" spans="1:43">
      <c r="A359" s="15" t="s">
        <v>49</v>
      </c>
      <c r="B359" s="15" t="s">
        <v>50</v>
      </c>
      <c r="C359" s="15" t="s">
        <v>61</v>
      </c>
      <c r="D359" s="15" t="s">
        <v>1030</v>
      </c>
      <c r="E359" s="15" t="s">
        <v>549</v>
      </c>
      <c r="F359" s="16">
        <v>0</v>
      </c>
      <c r="G359" s="15" t="s">
        <v>549</v>
      </c>
      <c r="H359" s="15" t="s">
        <v>550</v>
      </c>
      <c r="I359" s="18">
        <v>0</v>
      </c>
      <c r="J359" s="18">
        <v>0</v>
      </c>
      <c r="K359" s="19">
        <v>0</v>
      </c>
      <c r="L359" s="20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15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15"/>
      <c r="AP359" s="15"/>
      <c r="AQ359" s="15"/>
    </row>
    <row r="360" spans="1:43">
      <c r="A360" s="15" t="s">
        <v>49</v>
      </c>
      <c r="B360" s="15" t="s">
        <v>50</v>
      </c>
      <c r="C360" s="15" t="s">
        <v>61</v>
      </c>
      <c r="D360" s="15" t="s">
        <v>1031</v>
      </c>
      <c r="E360" s="15" t="s">
        <v>1032</v>
      </c>
      <c r="F360" s="16">
        <v>0</v>
      </c>
      <c r="G360" s="15" t="s">
        <v>1032</v>
      </c>
      <c r="H360" s="15" t="s">
        <v>54</v>
      </c>
      <c r="I360" s="18">
        <v>0</v>
      </c>
      <c r="J360" s="18">
        <v>0</v>
      </c>
      <c r="K360" s="19">
        <v>0</v>
      </c>
      <c r="L360" s="20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15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15"/>
      <c r="AP360" s="15"/>
      <c r="AQ360" s="15"/>
    </row>
    <row r="361" spans="1:43">
      <c r="A361" s="15" t="s">
        <v>49</v>
      </c>
      <c r="B361" s="15" t="s">
        <v>50</v>
      </c>
      <c r="C361" s="15" t="s">
        <v>61</v>
      </c>
      <c r="D361" s="15" t="s">
        <v>1033</v>
      </c>
      <c r="E361" s="15" t="s">
        <v>1034</v>
      </c>
      <c r="F361" s="16">
        <v>0</v>
      </c>
      <c r="G361" s="15" t="s">
        <v>1034</v>
      </c>
      <c r="H361" s="15" t="s">
        <v>54</v>
      </c>
      <c r="I361" s="18">
        <v>0</v>
      </c>
      <c r="J361" s="18">
        <v>0</v>
      </c>
      <c r="K361" s="19">
        <v>0</v>
      </c>
      <c r="L361" s="20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15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15"/>
      <c r="AP361" s="15"/>
      <c r="AQ361" s="15"/>
    </row>
    <row r="362" spans="1:43">
      <c r="A362" s="15" t="s">
        <v>64</v>
      </c>
      <c r="B362" s="15" t="s">
        <v>65</v>
      </c>
      <c r="C362" s="15" t="s">
        <v>93</v>
      </c>
      <c r="D362" s="15" t="s">
        <v>1035</v>
      </c>
      <c r="E362" s="15" t="s">
        <v>1036</v>
      </c>
      <c r="F362" s="16">
        <v>45098.7051388889</v>
      </c>
      <c r="G362" s="15" t="s">
        <v>1036</v>
      </c>
      <c r="H362" s="15" t="s">
        <v>54</v>
      </c>
      <c r="I362" s="18">
        <v>0</v>
      </c>
      <c r="J362" s="18">
        <v>0</v>
      </c>
      <c r="K362" s="19">
        <v>0</v>
      </c>
      <c r="L362" s="20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15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15"/>
      <c r="AP362" s="15"/>
      <c r="AQ362" s="15"/>
    </row>
    <row r="363" spans="1:43">
      <c r="A363" s="15" t="s">
        <v>64</v>
      </c>
      <c r="B363" s="15" t="s">
        <v>118</v>
      </c>
      <c r="C363" s="15" t="s">
        <v>138</v>
      </c>
      <c r="D363" s="15" t="s">
        <v>1037</v>
      </c>
      <c r="E363" s="15" t="s">
        <v>1038</v>
      </c>
      <c r="F363" s="16">
        <v>45072.6226273148</v>
      </c>
      <c r="G363" s="15" t="s">
        <v>1038</v>
      </c>
      <c r="H363" s="15" t="s">
        <v>1039</v>
      </c>
      <c r="I363" s="18">
        <v>1155.05</v>
      </c>
      <c r="J363" s="18">
        <v>14</v>
      </c>
      <c r="K363" s="19">
        <v>82.5035714285714</v>
      </c>
      <c r="L363" s="20">
        <v>1.17862244897959</v>
      </c>
      <c r="M363" s="21">
        <v>79.22</v>
      </c>
      <c r="N363" s="21">
        <v>103.38</v>
      </c>
      <c r="O363" s="21">
        <v>101.24</v>
      </c>
      <c r="P363" s="21">
        <v>24.37</v>
      </c>
      <c r="Q363" s="21">
        <v>103.74</v>
      </c>
      <c r="R363" s="21">
        <v>30.98</v>
      </c>
      <c r="S363" s="21">
        <v>82.25</v>
      </c>
      <c r="T363" s="21">
        <v>61.2</v>
      </c>
      <c r="U363" s="21">
        <v>120.86</v>
      </c>
      <c r="V363" s="21">
        <v>101.78</v>
      </c>
      <c r="W363" s="21">
        <v>101.16</v>
      </c>
      <c r="X363" s="21">
        <v>42.91</v>
      </c>
      <c r="Y363" s="21">
        <v>96.01</v>
      </c>
      <c r="Z363" s="21">
        <v>105.95</v>
      </c>
      <c r="AA363" s="15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15"/>
      <c r="AP363" s="15"/>
      <c r="AQ363" s="15"/>
    </row>
    <row r="364" spans="1:43">
      <c r="A364" s="15" t="s">
        <v>64</v>
      </c>
      <c r="B364" s="15" t="s">
        <v>65</v>
      </c>
      <c r="C364" s="15" t="s">
        <v>522</v>
      </c>
      <c r="D364" s="15" t="s">
        <v>1040</v>
      </c>
      <c r="E364" s="15" t="s">
        <v>1041</v>
      </c>
      <c r="F364" s="16">
        <v>44965.6188425926</v>
      </c>
      <c r="G364" s="15" t="s">
        <v>1041</v>
      </c>
      <c r="H364" s="15" t="s">
        <v>1042</v>
      </c>
      <c r="I364" s="18">
        <v>1367.23</v>
      </c>
      <c r="J364" s="18">
        <v>5</v>
      </c>
      <c r="K364" s="19">
        <v>273.446</v>
      </c>
      <c r="L364" s="20">
        <v>3.90637142857143</v>
      </c>
      <c r="M364" s="21">
        <v>302.52</v>
      </c>
      <c r="N364" s="21">
        <v>193.85</v>
      </c>
      <c r="O364" s="21">
        <v>282.28</v>
      </c>
      <c r="P364" s="21">
        <v>304.45</v>
      </c>
      <c r="Q364" s="21">
        <v>284.13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15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15"/>
      <c r="AP364" s="15"/>
      <c r="AQ364" s="15"/>
    </row>
    <row r="365" spans="1:43">
      <c r="A365" s="15" t="s">
        <v>43</v>
      </c>
      <c r="B365" s="15" t="s">
        <v>44</v>
      </c>
      <c r="C365" s="15" t="s">
        <v>45</v>
      </c>
      <c r="D365" s="15" t="s">
        <v>1043</v>
      </c>
      <c r="E365" s="15" t="s">
        <v>1044</v>
      </c>
      <c r="F365" s="16">
        <v>43595.4435532407</v>
      </c>
      <c r="G365" s="15" t="s">
        <v>1044</v>
      </c>
      <c r="H365" s="15" t="s">
        <v>1045</v>
      </c>
      <c r="I365" s="18">
        <v>0</v>
      </c>
      <c r="J365" s="18">
        <v>0</v>
      </c>
      <c r="K365" s="19">
        <v>0</v>
      </c>
      <c r="L365" s="20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15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15"/>
      <c r="AP365" s="15"/>
      <c r="AQ365" s="15"/>
    </row>
    <row r="366" spans="1:43">
      <c r="A366" s="15" t="s">
        <v>49</v>
      </c>
      <c r="B366" s="15" t="s">
        <v>50</v>
      </c>
      <c r="C366" s="15" t="s">
        <v>61</v>
      </c>
      <c r="D366" s="15" t="s">
        <v>1046</v>
      </c>
      <c r="E366" s="15" t="s">
        <v>1047</v>
      </c>
      <c r="F366" s="16">
        <v>0</v>
      </c>
      <c r="G366" s="15" t="s">
        <v>1047</v>
      </c>
      <c r="H366" s="15" t="s">
        <v>1048</v>
      </c>
      <c r="I366" s="18">
        <v>0</v>
      </c>
      <c r="J366" s="18">
        <v>0</v>
      </c>
      <c r="K366" s="19">
        <v>0</v>
      </c>
      <c r="L366" s="20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15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15"/>
      <c r="AP366" s="15"/>
      <c r="AQ366" s="15"/>
    </row>
    <row r="367" spans="1:43">
      <c r="A367" s="15" t="s">
        <v>49</v>
      </c>
      <c r="B367" s="15" t="s">
        <v>50</v>
      </c>
      <c r="C367" s="15" t="s">
        <v>75</v>
      </c>
      <c r="D367" s="15" t="s">
        <v>1049</v>
      </c>
      <c r="E367" s="15" t="s">
        <v>1050</v>
      </c>
      <c r="F367" s="16">
        <v>45042.6576736111</v>
      </c>
      <c r="G367" s="15" t="s">
        <v>1050</v>
      </c>
      <c r="H367" s="15" t="s">
        <v>54</v>
      </c>
      <c r="I367" s="18">
        <v>0</v>
      </c>
      <c r="J367" s="18">
        <v>0</v>
      </c>
      <c r="K367" s="19">
        <v>0</v>
      </c>
      <c r="L367" s="20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15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15"/>
      <c r="AP367" s="15"/>
      <c r="AQ367" s="15"/>
    </row>
    <row r="368" spans="1:43">
      <c r="A368" s="15" t="s">
        <v>43</v>
      </c>
      <c r="B368" s="15" t="s">
        <v>44</v>
      </c>
      <c r="C368" s="15" t="s">
        <v>45</v>
      </c>
      <c r="D368" s="15" t="s">
        <v>1051</v>
      </c>
      <c r="E368" s="15" t="s">
        <v>1052</v>
      </c>
      <c r="F368" s="16">
        <v>42398.7258912037</v>
      </c>
      <c r="G368" s="15" t="s">
        <v>1052</v>
      </c>
      <c r="H368" s="15" t="s">
        <v>1053</v>
      </c>
      <c r="I368" s="18">
        <v>0</v>
      </c>
      <c r="J368" s="18">
        <v>0</v>
      </c>
      <c r="K368" s="19">
        <v>0</v>
      </c>
      <c r="L368" s="20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15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15"/>
      <c r="AP368" s="15"/>
      <c r="AQ368" s="15"/>
    </row>
    <row r="369" spans="1:43">
      <c r="A369" s="15" t="s">
        <v>43</v>
      </c>
      <c r="B369" s="15" t="s">
        <v>44</v>
      </c>
      <c r="C369" s="15" t="s">
        <v>45</v>
      </c>
      <c r="D369" s="15" t="s">
        <v>1054</v>
      </c>
      <c r="E369" s="15" t="s">
        <v>1055</v>
      </c>
      <c r="F369" s="16">
        <v>42973.4153009259</v>
      </c>
      <c r="G369" s="15" t="s">
        <v>1055</v>
      </c>
      <c r="H369" s="15" t="s">
        <v>1056</v>
      </c>
      <c r="I369" s="18">
        <v>0</v>
      </c>
      <c r="J369" s="18">
        <v>0</v>
      </c>
      <c r="K369" s="19">
        <v>0</v>
      </c>
      <c r="L369" s="20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15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15"/>
      <c r="AP369" s="15"/>
      <c r="AQ369" s="15"/>
    </row>
    <row r="370" spans="1:43">
      <c r="A370" s="15" t="s">
        <v>43</v>
      </c>
      <c r="B370" s="15" t="s">
        <v>44</v>
      </c>
      <c r="C370" s="15" t="s">
        <v>45</v>
      </c>
      <c r="D370" s="15" t="s">
        <v>1057</v>
      </c>
      <c r="E370" s="15" t="s">
        <v>1058</v>
      </c>
      <c r="F370" s="16">
        <v>40886.4254398148</v>
      </c>
      <c r="G370" s="15" t="s">
        <v>1058</v>
      </c>
      <c r="H370" s="15" t="s">
        <v>1059</v>
      </c>
      <c r="I370" s="18">
        <v>0</v>
      </c>
      <c r="J370" s="18">
        <v>0</v>
      </c>
      <c r="K370" s="19">
        <v>0</v>
      </c>
      <c r="L370" s="20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15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15"/>
      <c r="AP370" s="15"/>
      <c r="AQ370" s="15"/>
    </row>
    <row r="371" spans="1:43">
      <c r="A371" s="15" t="s">
        <v>49</v>
      </c>
      <c r="B371" s="15" t="s">
        <v>50</v>
      </c>
      <c r="C371" s="15" t="s">
        <v>75</v>
      </c>
      <c r="D371" s="15" t="s">
        <v>1060</v>
      </c>
      <c r="E371" s="15" t="s">
        <v>1061</v>
      </c>
      <c r="F371" s="16">
        <v>45019.3933796296</v>
      </c>
      <c r="G371" s="15" t="s">
        <v>1061</v>
      </c>
      <c r="H371" s="15" t="s">
        <v>54</v>
      </c>
      <c r="I371" s="18">
        <v>0</v>
      </c>
      <c r="J371" s="18">
        <v>0</v>
      </c>
      <c r="K371" s="19">
        <v>0</v>
      </c>
      <c r="L371" s="20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0</v>
      </c>
      <c r="Z371" s="21">
        <v>0</v>
      </c>
      <c r="AA371" s="15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15"/>
      <c r="AP371" s="15"/>
      <c r="AQ371" s="15"/>
    </row>
    <row r="372" spans="1:43">
      <c r="A372" s="15" t="s">
        <v>49</v>
      </c>
      <c r="B372" s="15" t="s">
        <v>50</v>
      </c>
      <c r="C372" s="15" t="s">
        <v>61</v>
      </c>
      <c r="D372" s="15" t="s">
        <v>1062</v>
      </c>
      <c r="E372" s="15" t="s">
        <v>1063</v>
      </c>
      <c r="F372" s="16">
        <v>0</v>
      </c>
      <c r="G372" s="15" t="s">
        <v>1063</v>
      </c>
      <c r="H372" s="15" t="s">
        <v>1064</v>
      </c>
      <c r="I372" s="18">
        <v>0</v>
      </c>
      <c r="J372" s="18">
        <v>0</v>
      </c>
      <c r="K372" s="19">
        <v>0</v>
      </c>
      <c r="L372" s="20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15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15"/>
      <c r="AP372" s="15"/>
      <c r="AQ372" s="15"/>
    </row>
    <row r="373" spans="1:43">
      <c r="A373" s="15" t="s">
        <v>43</v>
      </c>
      <c r="B373" s="15" t="s">
        <v>44</v>
      </c>
      <c r="C373" s="15" t="s">
        <v>45</v>
      </c>
      <c r="D373" s="15" t="s">
        <v>1065</v>
      </c>
      <c r="E373" s="15" t="s">
        <v>1066</v>
      </c>
      <c r="F373" s="16">
        <v>41996.6565277778</v>
      </c>
      <c r="G373" s="15" t="s">
        <v>1066</v>
      </c>
      <c r="H373" s="15" t="s">
        <v>1067</v>
      </c>
      <c r="I373" s="18">
        <v>0</v>
      </c>
      <c r="J373" s="18">
        <v>0</v>
      </c>
      <c r="K373" s="19">
        <v>0</v>
      </c>
      <c r="L373" s="20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15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15"/>
      <c r="AP373" s="15"/>
      <c r="AQ373" s="15"/>
    </row>
    <row r="374" spans="1:43">
      <c r="A374" s="15" t="s">
        <v>64</v>
      </c>
      <c r="B374" s="15" t="s">
        <v>65</v>
      </c>
      <c r="C374" s="15" t="s">
        <v>522</v>
      </c>
      <c r="D374" s="15" t="s">
        <v>1068</v>
      </c>
      <c r="E374" s="15" t="s">
        <v>1069</v>
      </c>
      <c r="F374" s="16">
        <v>45090.4893287037</v>
      </c>
      <c r="G374" s="15" t="s">
        <v>1069</v>
      </c>
      <c r="H374" s="15" t="s">
        <v>54</v>
      </c>
      <c r="I374" s="18">
        <v>2752.62</v>
      </c>
      <c r="J374" s="18">
        <v>14</v>
      </c>
      <c r="K374" s="19">
        <v>196.615714285714</v>
      </c>
      <c r="L374" s="20">
        <v>2.80879591836735</v>
      </c>
      <c r="M374" s="21">
        <v>33.66</v>
      </c>
      <c r="N374" s="21">
        <v>30.86</v>
      </c>
      <c r="O374" s="21">
        <v>171.19</v>
      </c>
      <c r="P374" s="21">
        <v>200.74</v>
      </c>
      <c r="Q374" s="21">
        <v>204.08</v>
      </c>
      <c r="R374" s="21">
        <v>200.22</v>
      </c>
      <c r="S374" s="21">
        <v>200.45</v>
      </c>
      <c r="T374" s="21">
        <v>203.8</v>
      </c>
      <c r="U374" s="21">
        <v>251.53</v>
      </c>
      <c r="V374" s="21">
        <v>250.57</v>
      </c>
      <c r="W374" s="21">
        <v>252.53</v>
      </c>
      <c r="X374" s="21">
        <v>251.95</v>
      </c>
      <c r="Y374" s="21">
        <v>250.22</v>
      </c>
      <c r="Z374" s="21">
        <v>250.82</v>
      </c>
      <c r="AA374" s="15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15"/>
      <c r="AP374" s="15"/>
      <c r="AQ374" s="15"/>
    </row>
    <row r="375" spans="1:43">
      <c r="A375" s="15" t="s">
        <v>43</v>
      </c>
      <c r="B375" s="15" t="s">
        <v>44</v>
      </c>
      <c r="C375" s="15" t="s">
        <v>45</v>
      </c>
      <c r="D375" s="15" t="s">
        <v>1070</v>
      </c>
      <c r="E375" s="15" t="s">
        <v>1071</v>
      </c>
      <c r="F375" s="16">
        <v>43777.4275115741</v>
      </c>
      <c r="G375" s="15" t="s">
        <v>1071</v>
      </c>
      <c r="H375" s="15" t="s">
        <v>54</v>
      </c>
      <c r="I375" s="18">
        <v>0</v>
      </c>
      <c r="J375" s="18">
        <v>0</v>
      </c>
      <c r="K375" s="19">
        <v>0</v>
      </c>
      <c r="L375" s="20">
        <v>0</v>
      </c>
      <c r="M375" s="15">
        <v>0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</row>
    <row r="376" spans="1:43">
      <c r="A376" s="15" t="s">
        <v>43</v>
      </c>
      <c r="B376" s="15" t="s">
        <v>44</v>
      </c>
      <c r="C376" s="15" t="s">
        <v>45</v>
      </c>
      <c r="D376" s="15" t="s">
        <v>1072</v>
      </c>
      <c r="E376" s="15" t="s">
        <v>1073</v>
      </c>
      <c r="F376" s="16">
        <v>44483.4130439815</v>
      </c>
      <c r="G376" s="15" t="s">
        <v>1073</v>
      </c>
      <c r="H376" s="15" t="s">
        <v>54</v>
      </c>
      <c r="I376" s="18">
        <v>0</v>
      </c>
      <c r="J376" s="18">
        <v>0</v>
      </c>
      <c r="K376" s="19">
        <v>0</v>
      </c>
      <c r="L376" s="20">
        <v>0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</row>
    <row r="377" spans="1:43">
      <c r="A377" s="15" t="s">
        <v>49</v>
      </c>
      <c r="B377" s="15" t="s">
        <v>50</v>
      </c>
      <c r="C377" s="15" t="s">
        <v>61</v>
      </c>
      <c r="D377" s="15" t="s">
        <v>1074</v>
      </c>
      <c r="E377" s="15" t="s">
        <v>1075</v>
      </c>
      <c r="F377" s="16">
        <v>0</v>
      </c>
      <c r="G377" s="15" t="s">
        <v>1075</v>
      </c>
      <c r="H377" s="15" t="s">
        <v>1076</v>
      </c>
      <c r="I377" s="18">
        <v>0</v>
      </c>
      <c r="J377" s="18">
        <v>0</v>
      </c>
      <c r="K377" s="19">
        <v>0</v>
      </c>
      <c r="L377" s="20">
        <v>0</v>
      </c>
      <c r="M377" s="15">
        <v>0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</row>
    <row r="378" spans="1:43">
      <c r="A378" s="15" t="s">
        <v>43</v>
      </c>
      <c r="B378" s="15" t="s">
        <v>44</v>
      </c>
      <c r="C378" s="15" t="s">
        <v>45</v>
      </c>
      <c r="D378" s="15" t="s">
        <v>1077</v>
      </c>
      <c r="E378" s="15" t="s">
        <v>1078</v>
      </c>
      <c r="F378" s="16">
        <v>41135.427337963</v>
      </c>
      <c r="G378" s="15" t="s">
        <v>1078</v>
      </c>
      <c r="H378" s="15" t="s">
        <v>1079</v>
      </c>
      <c r="I378" s="18">
        <v>0</v>
      </c>
      <c r="J378" s="18">
        <v>0</v>
      </c>
      <c r="K378" s="19">
        <v>0</v>
      </c>
      <c r="L378" s="20">
        <v>0</v>
      </c>
      <c r="M378" s="15">
        <v>0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</row>
    <row r="379" spans="1:43">
      <c r="A379" s="15" t="s">
        <v>49</v>
      </c>
      <c r="B379" s="15" t="s">
        <v>50</v>
      </c>
      <c r="C379" s="15" t="s">
        <v>61</v>
      </c>
      <c r="D379" s="15" t="s">
        <v>1080</v>
      </c>
      <c r="E379" s="15" t="s">
        <v>1081</v>
      </c>
      <c r="F379" s="16">
        <v>0</v>
      </c>
      <c r="G379" s="15" t="s">
        <v>1081</v>
      </c>
      <c r="H379" s="15" t="s">
        <v>1082</v>
      </c>
      <c r="I379" s="18">
        <v>0</v>
      </c>
      <c r="J379" s="18">
        <v>0</v>
      </c>
      <c r="K379" s="19">
        <v>0</v>
      </c>
      <c r="L379" s="20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</row>
    <row r="380" spans="1:43">
      <c r="A380" s="15" t="s">
        <v>43</v>
      </c>
      <c r="B380" s="15" t="s">
        <v>44</v>
      </c>
      <c r="C380" s="16" t="s">
        <v>45</v>
      </c>
      <c r="D380" s="15" t="s">
        <v>1083</v>
      </c>
      <c r="E380" s="15" t="s">
        <v>1084</v>
      </c>
      <c r="F380" s="16">
        <v>41984.6893402778</v>
      </c>
      <c r="G380" s="15" t="s">
        <v>1084</v>
      </c>
      <c r="H380" s="15" t="s">
        <v>1085</v>
      </c>
      <c r="I380" s="18">
        <v>0</v>
      </c>
      <c r="J380" s="18">
        <v>0</v>
      </c>
      <c r="K380" s="19">
        <v>0</v>
      </c>
      <c r="L380" s="20">
        <v>0</v>
      </c>
      <c r="M380" s="15">
        <v>0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</row>
    <row r="381" spans="1:43">
      <c r="A381" s="15" t="s">
        <v>64</v>
      </c>
      <c r="B381" s="15" t="s">
        <v>65</v>
      </c>
      <c r="C381" s="16" t="s">
        <v>1086</v>
      </c>
      <c r="D381" s="15" t="s">
        <v>1087</v>
      </c>
      <c r="E381" s="15" t="s">
        <v>1088</v>
      </c>
      <c r="F381" s="16">
        <v>44425.7179050926</v>
      </c>
      <c r="G381" s="15" t="s">
        <v>1088</v>
      </c>
      <c r="H381" s="15" t="s">
        <v>54</v>
      </c>
      <c r="I381" s="18">
        <v>0</v>
      </c>
      <c r="J381" s="18">
        <v>0</v>
      </c>
      <c r="K381" s="19">
        <v>0</v>
      </c>
      <c r="L381" s="20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</row>
    <row r="382" spans="1:43">
      <c r="A382" s="15" t="s">
        <v>43</v>
      </c>
      <c r="B382" s="15" t="s">
        <v>44</v>
      </c>
      <c r="C382" s="16" t="s">
        <v>45</v>
      </c>
      <c r="D382" s="15" t="s">
        <v>1089</v>
      </c>
      <c r="E382" s="15" t="s">
        <v>1090</v>
      </c>
      <c r="F382" s="16">
        <v>43278.4754398148</v>
      </c>
      <c r="G382" s="15" t="s">
        <v>1090</v>
      </c>
      <c r="H382" s="15" t="s">
        <v>1091</v>
      </c>
      <c r="I382" s="18">
        <v>0</v>
      </c>
      <c r="J382" s="18">
        <v>0</v>
      </c>
      <c r="K382" s="19">
        <v>0</v>
      </c>
      <c r="L382" s="20">
        <v>0</v>
      </c>
      <c r="M382" s="15">
        <v>0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</row>
    <row r="383" spans="1:43">
      <c r="A383" s="15" t="s">
        <v>49</v>
      </c>
      <c r="B383" s="15" t="s">
        <v>50</v>
      </c>
      <c r="C383" s="16" t="s">
        <v>61</v>
      </c>
      <c r="D383" s="15" t="s">
        <v>1092</v>
      </c>
      <c r="E383" s="15" t="s">
        <v>1093</v>
      </c>
      <c r="F383" s="16">
        <v>0</v>
      </c>
      <c r="G383" s="15" t="s">
        <v>1093</v>
      </c>
      <c r="H383" s="15" t="s">
        <v>54</v>
      </c>
      <c r="I383" s="18">
        <v>0</v>
      </c>
      <c r="J383" s="18">
        <v>0</v>
      </c>
      <c r="K383" s="19">
        <v>0</v>
      </c>
      <c r="L383" s="20">
        <v>0</v>
      </c>
      <c r="M383" s="15">
        <v>0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</row>
    <row r="384" spans="1:43">
      <c r="A384" s="15" t="s">
        <v>43</v>
      </c>
      <c r="B384" s="15" t="s">
        <v>44</v>
      </c>
      <c r="C384" s="16" t="s">
        <v>45</v>
      </c>
      <c r="D384" s="15" t="s">
        <v>1094</v>
      </c>
      <c r="E384" s="15" t="s">
        <v>1095</v>
      </c>
      <c r="F384" s="16">
        <v>42454.6470833333</v>
      </c>
      <c r="G384" s="15" t="s">
        <v>1095</v>
      </c>
      <c r="H384" s="15" t="s">
        <v>1096</v>
      </c>
      <c r="I384" s="18">
        <v>0</v>
      </c>
      <c r="J384" s="18">
        <v>0</v>
      </c>
      <c r="K384" s="19">
        <v>0</v>
      </c>
      <c r="L384" s="20">
        <v>0</v>
      </c>
      <c r="M384" s="15">
        <v>0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</row>
    <row r="385" spans="1:43">
      <c r="A385" s="15" t="s">
        <v>49</v>
      </c>
      <c r="B385" s="15" t="s">
        <v>50</v>
      </c>
      <c r="C385" s="16" t="s">
        <v>61</v>
      </c>
      <c r="D385" s="15" t="s">
        <v>1097</v>
      </c>
      <c r="E385" s="15" t="s">
        <v>1098</v>
      </c>
      <c r="F385" s="16">
        <v>0</v>
      </c>
      <c r="G385" s="15" t="s">
        <v>1098</v>
      </c>
      <c r="H385" s="15" t="s">
        <v>54</v>
      </c>
      <c r="I385" s="18">
        <v>0</v>
      </c>
      <c r="J385" s="18">
        <v>0</v>
      </c>
      <c r="K385" s="19">
        <v>0</v>
      </c>
      <c r="L385" s="20">
        <v>0</v>
      </c>
      <c r="M385" s="15">
        <v>0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</row>
    <row r="386" spans="1:43">
      <c r="A386" s="15" t="s">
        <v>49</v>
      </c>
      <c r="B386" s="15" t="s">
        <v>50</v>
      </c>
      <c r="C386" s="16" t="s">
        <v>51</v>
      </c>
      <c r="D386" s="15" t="s">
        <v>1099</v>
      </c>
      <c r="E386" s="15" t="s">
        <v>1100</v>
      </c>
      <c r="F386" s="16">
        <v>45057.3655439815</v>
      </c>
      <c r="G386" s="15" t="s">
        <v>1100</v>
      </c>
      <c r="H386" s="15" t="s">
        <v>54</v>
      </c>
      <c r="I386" s="18">
        <v>0</v>
      </c>
      <c r="J386" s="18">
        <v>0</v>
      </c>
      <c r="K386" s="19">
        <v>0</v>
      </c>
      <c r="L386" s="20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0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</row>
    <row r="387" spans="1:43">
      <c r="A387" s="15" t="s">
        <v>43</v>
      </c>
      <c r="B387" s="15" t="s">
        <v>44</v>
      </c>
      <c r="C387" s="16" t="s">
        <v>45</v>
      </c>
      <c r="D387" s="15" t="s">
        <v>1101</v>
      </c>
      <c r="E387" s="15" t="s">
        <v>1102</v>
      </c>
      <c r="F387" s="16">
        <v>42234.7031597222</v>
      </c>
      <c r="G387" s="15" t="s">
        <v>1102</v>
      </c>
      <c r="H387" s="15" t="s">
        <v>1103</v>
      </c>
      <c r="I387" s="18">
        <v>0</v>
      </c>
      <c r="J387" s="18">
        <v>0</v>
      </c>
      <c r="K387" s="19">
        <v>0</v>
      </c>
      <c r="L387" s="20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</row>
    <row r="388" spans="1:43">
      <c r="A388" s="15" t="s">
        <v>43</v>
      </c>
      <c r="B388" s="15" t="s">
        <v>44</v>
      </c>
      <c r="C388" s="16" t="s">
        <v>45</v>
      </c>
      <c r="D388" s="15" t="s">
        <v>1104</v>
      </c>
      <c r="E388" s="15" t="s">
        <v>1105</v>
      </c>
      <c r="F388" s="16">
        <v>44158.6304976852</v>
      </c>
      <c r="G388" s="15" t="s">
        <v>1105</v>
      </c>
      <c r="H388" s="15" t="s">
        <v>1106</v>
      </c>
      <c r="I388" s="18">
        <v>0</v>
      </c>
      <c r="J388" s="18">
        <v>0</v>
      </c>
      <c r="K388" s="19">
        <v>0</v>
      </c>
      <c r="L388" s="20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</row>
    <row r="389" spans="1:43">
      <c r="A389" s="15" t="s">
        <v>43</v>
      </c>
      <c r="B389" s="15" t="s">
        <v>44</v>
      </c>
      <c r="C389" s="16" t="s">
        <v>45</v>
      </c>
      <c r="D389" s="15" t="s">
        <v>1107</v>
      </c>
      <c r="E389" s="15" t="s">
        <v>1108</v>
      </c>
      <c r="F389" s="16">
        <v>41817.6356365741</v>
      </c>
      <c r="G389" s="15" t="s">
        <v>1108</v>
      </c>
      <c r="H389" s="15" t="s">
        <v>1109</v>
      </c>
      <c r="I389" s="18">
        <v>0</v>
      </c>
      <c r="J389" s="18">
        <v>0</v>
      </c>
      <c r="K389" s="19">
        <v>0</v>
      </c>
      <c r="L389" s="20">
        <v>0</v>
      </c>
      <c r="M389" s="15">
        <v>0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</row>
    <row r="390" spans="1:43">
      <c r="A390" s="15" t="s">
        <v>43</v>
      </c>
      <c r="B390" s="15" t="s">
        <v>44</v>
      </c>
      <c r="C390" s="16" t="s">
        <v>45</v>
      </c>
      <c r="D390" s="15" t="s">
        <v>1110</v>
      </c>
      <c r="E390" s="15" t="s">
        <v>1111</v>
      </c>
      <c r="F390" s="16">
        <v>40840.4791782407</v>
      </c>
      <c r="G390" s="15" t="s">
        <v>1111</v>
      </c>
      <c r="H390" s="15" t="s">
        <v>1112</v>
      </c>
      <c r="I390" s="18">
        <v>0</v>
      </c>
      <c r="J390" s="18">
        <v>0</v>
      </c>
      <c r="K390" s="19">
        <v>0</v>
      </c>
      <c r="L390" s="20">
        <v>0</v>
      </c>
      <c r="M390" s="15">
        <v>0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</row>
    <row r="391" spans="1:43">
      <c r="A391" s="15" t="s">
        <v>49</v>
      </c>
      <c r="B391" s="15" t="s">
        <v>50</v>
      </c>
      <c r="C391" s="16" t="s">
        <v>61</v>
      </c>
      <c r="D391" s="15" t="s">
        <v>1113</v>
      </c>
      <c r="E391" s="15" t="s">
        <v>1114</v>
      </c>
      <c r="F391" s="16">
        <v>0</v>
      </c>
      <c r="G391" s="15" t="s">
        <v>1114</v>
      </c>
      <c r="H391" s="15" t="s">
        <v>1115</v>
      </c>
      <c r="I391" s="18">
        <v>0</v>
      </c>
      <c r="J391" s="18">
        <v>0</v>
      </c>
      <c r="K391" s="19">
        <v>0</v>
      </c>
      <c r="L391" s="20">
        <v>0</v>
      </c>
      <c r="M391" s="15">
        <v>0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</row>
    <row r="392" spans="1:43">
      <c r="A392" s="15" t="s">
        <v>43</v>
      </c>
      <c r="B392" s="15" t="s">
        <v>44</v>
      </c>
      <c r="C392" s="16" t="s">
        <v>45</v>
      </c>
      <c r="D392" s="15" t="s">
        <v>1116</v>
      </c>
      <c r="E392" s="15" t="s">
        <v>1117</v>
      </c>
      <c r="F392" s="16">
        <v>44140.7061458333</v>
      </c>
      <c r="G392" s="15" t="s">
        <v>1117</v>
      </c>
      <c r="H392" s="15" t="s">
        <v>1118</v>
      </c>
      <c r="I392" s="18">
        <v>0</v>
      </c>
      <c r="J392" s="18">
        <v>0</v>
      </c>
      <c r="K392" s="19">
        <v>0</v>
      </c>
      <c r="L392" s="20">
        <v>0</v>
      </c>
      <c r="M392" s="15">
        <v>0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</row>
    <row r="393" spans="1:43">
      <c r="A393" s="15" t="s">
        <v>43</v>
      </c>
      <c r="B393" s="15" t="s">
        <v>44</v>
      </c>
      <c r="C393" s="16" t="s">
        <v>45</v>
      </c>
      <c r="D393" s="15" t="s">
        <v>1119</v>
      </c>
      <c r="E393" s="15" t="s">
        <v>1120</v>
      </c>
      <c r="F393" s="16">
        <v>44011.6219444444</v>
      </c>
      <c r="G393" s="15" t="s">
        <v>1120</v>
      </c>
      <c r="H393" s="15" t="s">
        <v>54</v>
      </c>
      <c r="I393" s="18">
        <v>0</v>
      </c>
      <c r="J393" s="18">
        <v>0</v>
      </c>
      <c r="K393" s="19">
        <v>0</v>
      </c>
      <c r="L393" s="20">
        <v>0</v>
      </c>
      <c r="M393" s="15">
        <v>0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</row>
    <row r="394" spans="1:43">
      <c r="A394" s="15" t="s">
        <v>43</v>
      </c>
      <c r="B394" s="15" t="s">
        <v>44</v>
      </c>
      <c r="C394" s="15" t="s">
        <v>45</v>
      </c>
      <c r="D394" s="15" t="s">
        <v>1121</v>
      </c>
      <c r="E394" s="15" t="s">
        <v>1122</v>
      </c>
      <c r="F394" s="16">
        <v>43662.6001967593</v>
      </c>
      <c r="G394" s="15" t="s">
        <v>1122</v>
      </c>
      <c r="H394" s="15" t="s">
        <v>1123</v>
      </c>
      <c r="I394" s="18">
        <v>0</v>
      </c>
      <c r="J394" s="18">
        <v>0</v>
      </c>
      <c r="K394" s="19">
        <v>0</v>
      </c>
      <c r="L394" s="20">
        <v>0</v>
      </c>
      <c r="M394" s="15">
        <v>0</v>
      </c>
      <c r="N394" s="15">
        <v>0</v>
      </c>
      <c r="O394" s="15">
        <v>0</v>
      </c>
      <c r="P394" s="15">
        <v>0</v>
      </c>
      <c r="Q394" s="15">
        <v>0</v>
      </c>
      <c r="R394" s="15">
        <v>0</v>
      </c>
      <c r="S394" s="15">
        <v>0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</row>
    <row r="395" spans="1:43">
      <c r="A395" s="15" t="s">
        <v>64</v>
      </c>
      <c r="B395" s="15" t="s">
        <v>65</v>
      </c>
      <c r="C395" s="15" t="s">
        <v>93</v>
      </c>
      <c r="D395" s="15" t="s">
        <v>1124</v>
      </c>
      <c r="E395" s="15" t="s">
        <v>1125</v>
      </c>
      <c r="F395" s="16">
        <v>45058.5972569444</v>
      </c>
      <c r="G395" s="15" t="s">
        <v>1125</v>
      </c>
      <c r="H395" s="15" t="s">
        <v>54</v>
      </c>
      <c r="I395" s="18">
        <v>0</v>
      </c>
      <c r="J395" s="18">
        <v>0</v>
      </c>
      <c r="K395" s="19">
        <v>0</v>
      </c>
      <c r="L395" s="20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</row>
    <row r="396" spans="1:43">
      <c r="A396" s="15" t="s">
        <v>49</v>
      </c>
      <c r="B396" s="15" t="s">
        <v>50</v>
      </c>
      <c r="C396" s="15" t="s">
        <v>61</v>
      </c>
      <c r="D396" s="15" t="s">
        <v>1126</v>
      </c>
      <c r="E396" s="15" t="s">
        <v>1127</v>
      </c>
      <c r="F396" s="16">
        <v>0</v>
      </c>
      <c r="G396" s="15" t="s">
        <v>1127</v>
      </c>
      <c r="H396" s="15" t="s">
        <v>1128</v>
      </c>
      <c r="I396" s="18">
        <v>0</v>
      </c>
      <c r="J396" s="18">
        <v>0</v>
      </c>
      <c r="K396" s="19">
        <v>0</v>
      </c>
      <c r="L396" s="20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</row>
    <row r="397" spans="1:43">
      <c r="A397" s="15" t="s">
        <v>43</v>
      </c>
      <c r="B397" s="15" t="s">
        <v>44</v>
      </c>
      <c r="C397" s="15" t="s">
        <v>45</v>
      </c>
      <c r="D397" s="15" t="s">
        <v>1129</v>
      </c>
      <c r="E397" s="15" t="s">
        <v>1130</v>
      </c>
      <c r="F397" s="16">
        <v>40896.5865740741</v>
      </c>
      <c r="G397" s="15" t="s">
        <v>1130</v>
      </c>
      <c r="H397" s="15" t="s">
        <v>1131</v>
      </c>
      <c r="I397" s="18">
        <v>0</v>
      </c>
      <c r="J397" s="18">
        <v>0</v>
      </c>
      <c r="K397" s="19">
        <v>0</v>
      </c>
      <c r="L397" s="20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</row>
    <row r="398" spans="1:43">
      <c r="A398" s="15" t="s">
        <v>43</v>
      </c>
      <c r="B398" s="15" t="s">
        <v>44</v>
      </c>
      <c r="C398" s="15" t="s">
        <v>45</v>
      </c>
      <c r="D398" s="15" t="s">
        <v>1132</v>
      </c>
      <c r="E398" s="15" t="s">
        <v>1133</v>
      </c>
      <c r="F398" s="16">
        <v>44011.6216435185</v>
      </c>
      <c r="G398" s="15" t="s">
        <v>1133</v>
      </c>
      <c r="H398" s="15" t="s">
        <v>1134</v>
      </c>
      <c r="I398" s="18">
        <v>0</v>
      </c>
      <c r="J398" s="18">
        <v>0</v>
      </c>
      <c r="K398" s="19">
        <v>0</v>
      </c>
      <c r="L398" s="20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</row>
    <row r="399" spans="1:43">
      <c r="A399" s="15" t="s">
        <v>43</v>
      </c>
      <c r="B399" s="15" t="s">
        <v>44</v>
      </c>
      <c r="C399" s="15" t="s">
        <v>45</v>
      </c>
      <c r="D399" s="15" t="s">
        <v>1135</v>
      </c>
      <c r="E399" s="15" t="s">
        <v>1136</v>
      </c>
      <c r="F399" s="16">
        <v>42598.4600115741</v>
      </c>
      <c r="G399" s="15" t="s">
        <v>1136</v>
      </c>
      <c r="H399" s="15" t="s">
        <v>1137</v>
      </c>
      <c r="I399" s="18">
        <v>0</v>
      </c>
      <c r="J399" s="18">
        <v>0</v>
      </c>
      <c r="K399" s="19">
        <v>0</v>
      </c>
      <c r="L399" s="20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</row>
    <row r="400" spans="1:43">
      <c r="A400" s="15" t="s">
        <v>49</v>
      </c>
      <c r="B400" s="15" t="s">
        <v>50</v>
      </c>
      <c r="C400" s="15" t="s">
        <v>61</v>
      </c>
      <c r="D400" s="15" t="s">
        <v>1138</v>
      </c>
      <c r="E400" s="15" t="s">
        <v>1139</v>
      </c>
      <c r="F400" s="16">
        <v>0</v>
      </c>
      <c r="G400" s="15" t="s">
        <v>1139</v>
      </c>
      <c r="H400" s="15" t="s">
        <v>1140</v>
      </c>
      <c r="I400" s="18">
        <v>0</v>
      </c>
      <c r="J400" s="18">
        <v>0</v>
      </c>
      <c r="K400" s="19">
        <v>0</v>
      </c>
      <c r="L400" s="20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</row>
    <row r="401" spans="1:43">
      <c r="A401" s="15" t="s">
        <v>43</v>
      </c>
      <c r="B401" s="15" t="s">
        <v>44</v>
      </c>
      <c r="C401" s="15" t="s">
        <v>45</v>
      </c>
      <c r="D401" s="15" t="s">
        <v>1141</v>
      </c>
      <c r="E401" s="15" t="s">
        <v>1142</v>
      </c>
      <c r="F401" s="16">
        <v>42866.6109027778</v>
      </c>
      <c r="G401" s="15" t="s">
        <v>1142</v>
      </c>
      <c r="H401" s="15" t="s">
        <v>1143</v>
      </c>
      <c r="I401" s="18">
        <v>0</v>
      </c>
      <c r="J401" s="18">
        <v>0</v>
      </c>
      <c r="K401" s="19">
        <v>0</v>
      </c>
      <c r="L401" s="20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</row>
    <row r="402" spans="1:43">
      <c r="A402" s="15" t="s">
        <v>43</v>
      </c>
      <c r="B402" s="15" t="s">
        <v>44</v>
      </c>
      <c r="C402" s="15" t="s">
        <v>45</v>
      </c>
      <c r="D402" s="15" t="s">
        <v>1144</v>
      </c>
      <c r="E402" s="15" t="s">
        <v>1145</v>
      </c>
      <c r="F402" s="16">
        <v>43288.4066782407</v>
      </c>
      <c r="G402" s="15" t="s">
        <v>1145</v>
      </c>
      <c r="H402" s="15" t="s">
        <v>1146</v>
      </c>
      <c r="I402" s="18">
        <v>0</v>
      </c>
      <c r="J402" s="18">
        <v>0</v>
      </c>
      <c r="K402" s="19">
        <v>0</v>
      </c>
      <c r="L402" s="20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0</v>
      </c>
      <c r="S402" s="15">
        <v>0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</row>
    <row r="403" spans="1:43">
      <c r="A403" s="15" t="s">
        <v>43</v>
      </c>
      <c r="B403" s="15" t="s">
        <v>44</v>
      </c>
      <c r="C403" s="15" t="s">
        <v>45</v>
      </c>
      <c r="D403" s="15" t="s">
        <v>1147</v>
      </c>
      <c r="E403" s="15" t="s">
        <v>1148</v>
      </c>
      <c r="F403" s="16">
        <v>42698.3934722222</v>
      </c>
      <c r="G403" s="15" t="s">
        <v>1148</v>
      </c>
      <c r="H403" s="15" t="s">
        <v>1149</v>
      </c>
      <c r="I403" s="18">
        <v>0</v>
      </c>
      <c r="J403" s="18">
        <v>0</v>
      </c>
      <c r="K403" s="19">
        <v>0</v>
      </c>
      <c r="L403" s="20">
        <v>0</v>
      </c>
      <c r="M403" s="15">
        <v>0</v>
      </c>
      <c r="N403" s="15">
        <v>0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</row>
    <row r="404" spans="1:43">
      <c r="A404" s="15" t="s">
        <v>43</v>
      </c>
      <c r="B404" s="15" t="s">
        <v>44</v>
      </c>
      <c r="C404" s="15" t="s">
        <v>45</v>
      </c>
      <c r="D404" s="15" t="s">
        <v>1150</v>
      </c>
      <c r="E404" s="15" t="s">
        <v>1151</v>
      </c>
      <c r="F404" s="16">
        <v>44217.706087963</v>
      </c>
      <c r="G404" s="15" t="s">
        <v>1151</v>
      </c>
      <c r="H404" s="15" t="s">
        <v>1152</v>
      </c>
      <c r="I404" s="18">
        <v>0</v>
      </c>
      <c r="J404" s="18">
        <v>0</v>
      </c>
      <c r="K404" s="19">
        <v>0</v>
      </c>
      <c r="L404" s="20">
        <v>0</v>
      </c>
      <c r="M404" s="15">
        <v>0</v>
      </c>
      <c r="N404" s="15">
        <v>0</v>
      </c>
      <c r="O404" s="15">
        <v>0</v>
      </c>
      <c r="P404" s="15">
        <v>0</v>
      </c>
      <c r="Q404" s="15">
        <v>0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</row>
    <row r="405" spans="1:43">
      <c r="A405" s="15" t="s">
        <v>43</v>
      </c>
      <c r="B405" s="15" t="s">
        <v>44</v>
      </c>
      <c r="C405" s="15" t="s">
        <v>45</v>
      </c>
      <c r="D405" s="15" t="s">
        <v>1153</v>
      </c>
      <c r="E405" s="15" t="s">
        <v>1154</v>
      </c>
      <c r="F405" s="16">
        <v>44363.4752546296</v>
      </c>
      <c r="G405" s="15" t="s">
        <v>1154</v>
      </c>
      <c r="H405" s="15" t="s">
        <v>54</v>
      </c>
      <c r="I405" s="18">
        <v>0</v>
      </c>
      <c r="J405" s="18">
        <v>0</v>
      </c>
      <c r="K405" s="19">
        <v>0</v>
      </c>
      <c r="L405" s="20">
        <v>0</v>
      </c>
      <c r="M405" s="15">
        <v>0</v>
      </c>
      <c r="N405" s="15">
        <v>0</v>
      </c>
      <c r="O405" s="15">
        <v>0</v>
      </c>
      <c r="P405" s="15">
        <v>0</v>
      </c>
      <c r="Q405" s="15">
        <v>0</v>
      </c>
      <c r="R405" s="15">
        <v>0</v>
      </c>
      <c r="S405" s="15">
        <v>0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</row>
    <row r="406" spans="1:43">
      <c r="A406" s="15" t="s">
        <v>43</v>
      </c>
      <c r="B406" s="15" t="s">
        <v>44</v>
      </c>
      <c r="C406" s="15" t="s">
        <v>440</v>
      </c>
      <c r="D406" s="15" t="s">
        <v>1155</v>
      </c>
      <c r="E406" s="15" t="s">
        <v>1156</v>
      </c>
      <c r="F406" s="16">
        <v>45023.639212963</v>
      </c>
      <c r="G406" s="15" t="s">
        <v>1156</v>
      </c>
      <c r="H406" s="15" t="s">
        <v>54</v>
      </c>
      <c r="I406" s="18">
        <v>706.88</v>
      </c>
      <c r="J406" s="18">
        <v>14</v>
      </c>
      <c r="K406" s="19">
        <v>50.4914285714286</v>
      </c>
      <c r="L406" s="20">
        <v>1.00982857142857</v>
      </c>
      <c r="M406" s="15">
        <v>50.14</v>
      </c>
      <c r="N406" s="15">
        <v>50.15</v>
      </c>
      <c r="O406" s="15">
        <v>50.31</v>
      </c>
      <c r="P406" s="15">
        <v>50.94</v>
      </c>
      <c r="Q406" s="15">
        <v>50.87</v>
      </c>
      <c r="R406" s="15">
        <v>50.54</v>
      </c>
      <c r="S406" s="15">
        <v>50.5</v>
      </c>
      <c r="T406" s="15">
        <v>51.37</v>
      </c>
      <c r="U406" s="15">
        <v>50.64</v>
      </c>
      <c r="V406" s="15">
        <v>50.53</v>
      </c>
      <c r="W406" s="15">
        <v>50.22</v>
      </c>
      <c r="X406" s="15">
        <v>50.21</v>
      </c>
      <c r="Y406" s="15">
        <v>50.36</v>
      </c>
      <c r="Z406" s="15">
        <v>50.1</v>
      </c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</row>
    <row r="407" spans="1:43">
      <c r="A407" s="15" t="s">
        <v>43</v>
      </c>
      <c r="B407" s="15" t="s">
        <v>44</v>
      </c>
      <c r="C407" s="15" t="s">
        <v>45</v>
      </c>
      <c r="D407" s="15" t="s">
        <v>1157</v>
      </c>
      <c r="E407" s="15" t="s">
        <v>1158</v>
      </c>
      <c r="F407" s="16">
        <v>41773.4665740741</v>
      </c>
      <c r="G407" s="15" t="s">
        <v>1158</v>
      </c>
      <c r="H407" s="15" t="s">
        <v>1159</v>
      </c>
      <c r="I407" s="18">
        <v>0</v>
      </c>
      <c r="J407" s="18">
        <v>0</v>
      </c>
      <c r="K407" s="19">
        <v>0</v>
      </c>
      <c r="L407" s="20">
        <v>0</v>
      </c>
      <c r="M407" s="15">
        <v>0</v>
      </c>
      <c r="N407" s="15">
        <v>0</v>
      </c>
      <c r="O407" s="15">
        <v>0</v>
      </c>
      <c r="P407" s="15">
        <v>0</v>
      </c>
      <c r="Q407" s="15">
        <v>0</v>
      </c>
      <c r="R407" s="15">
        <v>0</v>
      </c>
      <c r="S407" s="15">
        <v>0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</row>
    <row r="408" spans="1:43">
      <c r="A408" s="15" t="s">
        <v>64</v>
      </c>
      <c r="B408" s="15" t="s">
        <v>65</v>
      </c>
      <c r="C408" s="15" t="s">
        <v>66</v>
      </c>
      <c r="D408" s="15" t="s">
        <v>1160</v>
      </c>
      <c r="E408" s="15" t="s">
        <v>1161</v>
      </c>
      <c r="F408" s="16">
        <v>45044.440474537</v>
      </c>
      <c r="G408" s="15" t="s">
        <v>1161</v>
      </c>
      <c r="H408" s="15" t="s">
        <v>1162</v>
      </c>
      <c r="I408" s="18">
        <v>1266.23</v>
      </c>
      <c r="J408" s="18">
        <v>14</v>
      </c>
      <c r="K408" s="19">
        <v>90.445</v>
      </c>
      <c r="L408" s="20">
        <v>1.29207142857143</v>
      </c>
      <c r="M408" s="15">
        <v>75.18</v>
      </c>
      <c r="N408" s="15">
        <v>102.76</v>
      </c>
      <c r="O408" s="15">
        <v>53.64</v>
      </c>
      <c r="P408" s="15">
        <v>112.8</v>
      </c>
      <c r="Q408" s="15">
        <v>62.26</v>
      </c>
      <c r="R408" s="15">
        <v>52.29</v>
      </c>
      <c r="S408" s="15">
        <v>145.74</v>
      </c>
      <c r="T408" s="15">
        <v>102.38</v>
      </c>
      <c r="U408" s="15">
        <v>150.82</v>
      </c>
      <c r="V408" s="15">
        <v>77.86</v>
      </c>
      <c r="W408" s="15">
        <v>93.29</v>
      </c>
      <c r="X408" s="15">
        <v>37.41</v>
      </c>
      <c r="Y408" s="15">
        <v>77.4</v>
      </c>
      <c r="Z408" s="15">
        <v>122.4</v>
      </c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</row>
    <row r="409" spans="1:43">
      <c r="A409" s="15" t="s">
        <v>49</v>
      </c>
      <c r="B409" s="15" t="s">
        <v>50</v>
      </c>
      <c r="C409" s="15" t="s">
        <v>61</v>
      </c>
      <c r="D409" s="15" t="s">
        <v>1163</v>
      </c>
      <c r="E409" s="15" t="s">
        <v>1164</v>
      </c>
      <c r="F409" s="16">
        <v>0</v>
      </c>
      <c r="G409" s="15" t="s">
        <v>1164</v>
      </c>
      <c r="H409" s="15" t="s">
        <v>54</v>
      </c>
      <c r="I409" s="18">
        <v>0</v>
      </c>
      <c r="J409" s="18">
        <v>0</v>
      </c>
      <c r="K409" s="19">
        <v>0</v>
      </c>
      <c r="L409" s="20">
        <v>0</v>
      </c>
      <c r="M409" s="15">
        <v>0</v>
      </c>
      <c r="N409" s="15">
        <v>0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</row>
    <row r="410" spans="1:43">
      <c r="A410" s="15" t="s">
        <v>43</v>
      </c>
      <c r="B410" s="15" t="s">
        <v>44</v>
      </c>
      <c r="C410" s="15" t="s">
        <v>45</v>
      </c>
      <c r="D410" s="15" t="s">
        <v>1165</v>
      </c>
      <c r="E410" s="15" t="s">
        <v>1166</v>
      </c>
      <c r="F410" s="16">
        <v>42562.4634143518</v>
      </c>
      <c r="G410" s="15" t="s">
        <v>1166</v>
      </c>
      <c r="H410" s="15" t="s">
        <v>1167</v>
      </c>
      <c r="I410" s="18">
        <v>0</v>
      </c>
      <c r="J410" s="18">
        <v>0</v>
      </c>
      <c r="K410" s="19">
        <v>0</v>
      </c>
      <c r="L410" s="20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</v>
      </c>
      <c r="R410" s="15">
        <v>0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</row>
    <row r="411" spans="1:43">
      <c r="A411" s="15" t="s">
        <v>43</v>
      </c>
      <c r="B411" s="15" t="s">
        <v>44</v>
      </c>
      <c r="C411" s="15" t="s">
        <v>45</v>
      </c>
      <c r="D411" s="15" t="s">
        <v>1168</v>
      </c>
      <c r="E411" s="15" t="s">
        <v>1169</v>
      </c>
      <c r="F411" s="16">
        <v>44324.6782986111</v>
      </c>
      <c r="G411" s="15" t="s">
        <v>1169</v>
      </c>
      <c r="H411" s="15" t="s">
        <v>1170</v>
      </c>
      <c r="I411" s="18">
        <v>0</v>
      </c>
      <c r="J411" s="18">
        <v>0</v>
      </c>
      <c r="K411" s="19">
        <v>0</v>
      </c>
      <c r="L411" s="20">
        <v>0</v>
      </c>
      <c r="M411" s="15">
        <v>0</v>
      </c>
      <c r="N411" s="15">
        <v>0</v>
      </c>
      <c r="O411" s="15">
        <v>0</v>
      </c>
      <c r="P411" s="15">
        <v>0</v>
      </c>
      <c r="Q411" s="15">
        <v>0</v>
      </c>
      <c r="R411" s="15">
        <v>0</v>
      </c>
      <c r="S411" s="15">
        <v>0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</row>
    <row r="412" spans="1:43">
      <c r="A412" s="15" t="s">
        <v>64</v>
      </c>
      <c r="B412" s="15" t="s">
        <v>65</v>
      </c>
      <c r="C412" s="15" t="s">
        <v>66</v>
      </c>
      <c r="D412" s="15" t="s">
        <v>1171</v>
      </c>
      <c r="E412" s="15" t="s">
        <v>1172</v>
      </c>
      <c r="F412" s="16">
        <v>44383.6473958333</v>
      </c>
      <c r="G412" s="15" t="s">
        <v>1172</v>
      </c>
      <c r="H412" s="15" t="s">
        <v>54</v>
      </c>
      <c r="I412" s="18">
        <v>0</v>
      </c>
      <c r="J412" s="18">
        <v>0</v>
      </c>
      <c r="K412" s="19">
        <v>0</v>
      </c>
      <c r="L412" s="20">
        <v>0</v>
      </c>
      <c r="M412" s="15">
        <v>0</v>
      </c>
      <c r="N412" s="15">
        <v>0</v>
      </c>
      <c r="O412" s="15">
        <v>0</v>
      </c>
      <c r="P412" s="15">
        <v>0</v>
      </c>
      <c r="Q412" s="15">
        <v>0</v>
      </c>
      <c r="R412" s="15">
        <v>0</v>
      </c>
      <c r="S412" s="15">
        <v>0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</row>
    <row r="413" spans="1:43">
      <c r="A413" s="15" t="s">
        <v>43</v>
      </c>
      <c r="B413" s="15" t="s">
        <v>44</v>
      </c>
      <c r="C413" s="15" t="s">
        <v>45</v>
      </c>
      <c r="D413" s="15" t="s">
        <v>1173</v>
      </c>
      <c r="E413" s="15" t="s">
        <v>1174</v>
      </c>
      <c r="F413" s="16">
        <v>42585.6559027778</v>
      </c>
      <c r="G413" s="15" t="s">
        <v>1174</v>
      </c>
      <c r="H413" s="15" t="s">
        <v>1175</v>
      </c>
      <c r="I413" s="18">
        <v>0</v>
      </c>
      <c r="J413" s="18">
        <v>0</v>
      </c>
      <c r="K413" s="19">
        <v>0</v>
      </c>
      <c r="L413" s="20">
        <v>0</v>
      </c>
      <c r="M413" s="15">
        <v>0</v>
      </c>
      <c r="N413" s="15">
        <v>0</v>
      </c>
      <c r="O413" s="15">
        <v>0</v>
      </c>
      <c r="P413" s="15">
        <v>0</v>
      </c>
      <c r="Q413" s="15">
        <v>0</v>
      </c>
      <c r="R413" s="15">
        <v>0</v>
      </c>
      <c r="S413" s="15">
        <v>0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</row>
    <row r="414" spans="1:43">
      <c r="A414" s="15" t="s">
        <v>43</v>
      </c>
      <c r="B414" s="15" t="s">
        <v>44</v>
      </c>
      <c r="C414" s="15" t="s">
        <v>45</v>
      </c>
      <c r="D414" s="15" t="s">
        <v>1176</v>
      </c>
      <c r="E414" s="15" t="s">
        <v>1177</v>
      </c>
      <c r="F414" s="16">
        <v>42087.4081481481</v>
      </c>
      <c r="G414" s="15" t="s">
        <v>1177</v>
      </c>
      <c r="H414" s="15" t="s">
        <v>1178</v>
      </c>
      <c r="I414" s="18">
        <v>0</v>
      </c>
      <c r="J414" s="18">
        <v>0</v>
      </c>
      <c r="K414" s="19">
        <v>0</v>
      </c>
      <c r="L414" s="20">
        <v>0</v>
      </c>
      <c r="M414" s="15">
        <v>0</v>
      </c>
      <c r="N414" s="15">
        <v>0</v>
      </c>
      <c r="O414" s="15">
        <v>0</v>
      </c>
      <c r="P414" s="15">
        <v>0</v>
      </c>
      <c r="Q414" s="15">
        <v>0</v>
      </c>
      <c r="R414" s="15">
        <v>0</v>
      </c>
      <c r="S414" s="15">
        <v>0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</row>
    <row r="415" spans="1:43">
      <c r="A415" s="15" t="s">
        <v>49</v>
      </c>
      <c r="B415" s="15" t="s">
        <v>50</v>
      </c>
      <c r="C415" s="15" t="s">
        <v>61</v>
      </c>
      <c r="D415" s="15" t="s">
        <v>1179</v>
      </c>
      <c r="E415" s="15" t="s">
        <v>1180</v>
      </c>
      <c r="F415" s="16">
        <v>0</v>
      </c>
      <c r="G415" s="15" t="s">
        <v>1180</v>
      </c>
      <c r="H415" s="15" t="s">
        <v>54</v>
      </c>
      <c r="I415" s="18">
        <v>0</v>
      </c>
      <c r="J415" s="18">
        <v>0</v>
      </c>
      <c r="K415" s="19">
        <v>0</v>
      </c>
      <c r="L415" s="20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</row>
    <row r="416" spans="1:43">
      <c r="A416" s="15" t="s">
        <v>49</v>
      </c>
      <c r="B416" s="15" t="s">
        <v>50</v>
      </c>
      <c r="C416" s="15" t="s">
        <v>61</v>
      </c>
      <c r="D416" s="15" t="s">
        <v>1181</v>
      </c>
      <c r="E416" s="15" t="s">
        <v>1182</v>
      </c>
      <c r="F416" s="16">
        <v>0</v>
      </c>
      <c r="G416" s="15" t="s">
        <v>1182</v>
      </c>
      <c r="H416" s="15" t="s">
        <v>107</v>
      </c>
      <c r="I416" s="18">
        <v>0</v>
      </c>
      <c r="J416" s="18">
        <v>0</v>
      </c>
      <c r="K416" s="19">
        <v>0</v>
      </c>
      <c r="L416" s="20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</row>
    <row r="417" spans="1:43">
      <c r="A417" s="15" t="s">
        <v>43</v>
      </c>
      <c r="B417" s="15" t="s">
        <v>44</v>
      </c>
      <c r="C417" s="15" t="s">
        <v>45</v>
      </c>
      <c r="D417" s="15" t="s">
        <v>1183</v>
      </c>
      <c r="E417" s="15" t="s">
        <v>1184</v>
      </c>
      <c r="F417" s="16">
        <v>42906.6719791667</v>
      </c>
      <c r="G417" s="15" t="s">
        <v>1184</v>
      </c>
      <c r="H417" s="15" t="s">
        <v>1185</v>
      </c>
      <c r="I417" s="18">
        <v>0</v>
      </c>
      <c r="J417" s="18">
        <v>0</v>
      </c>
      <c r="K417" s="19">
        <v>0</v>
      </c>
      <c r="L417" s="20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</row>
    <row r="418" spans="1:43">
      <c r="A418" s="15" t="s">
        <v>43</v>
      </c>
      <c r="B418" s="15" t="s">
        <v>44</v>
      </c>
      <c r="C418" s="15" t="s">
        <v>45</v>
      </c>
      <c r="D418" s="15" t="s">
        <v>1186</v>
      </c>
      <c r="E418" s="15" t="s">
        <v>1187</v>
      </c>
      <c r="F418" s="16">
        <v>44196.4756134259</v>
      </c>
      <c r="G418" s="15" t="s">
        <v>1187</v>
      </c>
      <c r="H418" s="15" t="s">
        <v>54</v>
      </c>
      <c r="I418" s="18">
        <v>0</v>
      </c>
      <c r="J418" s="18">
        <v>0</v>
      </c>
      <c r="K418" s="19">
        <v>0</v>
      </c>
      <c r="L418" s="20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</row>
    <row r="419" spans="1:43">
      <c r="A419" s="15" t="s">
        <v>49</v>
      </c>
      <c r="B419" s="15" t="s">
        <v>50</v>
      </c>
      <c r="C419" s="15" t="s">
        <v>61</v>
      </c>
      <c r="D419" s="15" t="s">
        <v>1188</v>
      </c>
      <c r="E419" s="15" t="s">
        <v>1189</v>
      </c>
      <c r="F419" s="16">
        <v>0</v>
      </c>
      <c r="G419" s="15" t="s">
        <v>1189</v>
      </c>
      <c r="H419" s="15" t="s">
        <v>107</v>
      </c>
      <c r="I419" s="18">
        <v>0</v>
      </c>
      <c r="J419" s="18">
        <v>0</v>
      </c>
      <c r="K419" s="19">
        <v>0</v>
      </c>
      <c r="L419" s="20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</row>
    <row r="420" spans="1:43">
      <c r="A420" s="15" t="s">
        <v>43</v>
      </c>
      <c r="B420" s="15" t="s">
        <v>44</v>
      </c>
      <c r="C420" s="15" t="s">
        <v>45</v>
      </c>
      <c r="D420" s="15" t="s">
        <v>1190</v>
      </c>
      <c r="E420" s="15" t="s">
        <v>1191</v>
      </c>
      <c r="F420" s="16">
        <v>43633.7198263889</v>
      </c>
      <c r="G420" s="15" t="s">
        <v>1191</v>
      </c>
      <c r="H420" s="15" t="s">
        <v>1192</v>
      </c>
      <c r="I420" s="18">
        <v>0</v>
      </c>
      <c r="J420" s="18">
        <v>0</v>
      </c>
      <c r="K420" s="19">
        <v>0</v>
      </c>
      <c r="L420" s="20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</row>
    <row r="421" spans="1:43">
      <c r="A421" s="15" t="s">
        <v>43</v>
      </c>
      <c r="B421" s="15" t="s">
        <v>44</v>
      </c>
      <c r="C421" s="15" t="s">
        <v>228</v>
      </c>
      <c r="D421" s="15" t="s">
        <v>1193</v>
      </c>
      <c r="E421" s="15" t="s">
        <v>953</v>
      </c>
      <c r="F421" s="16">
        <v>44960.4345949074</v>
      </c>
      <c r="G421" s="15" t="s">
        <v>953</v>
      </c>
      <c r="H421" s="15" t="s">
        <v>54</v>
      </c>
      <c r="I421" s="18">
        <v>0</v>
      </c>
      <c r="J421" s="18">
        <v>0</v>
      </c>
      <c r="K421" s="19">
        <v>0</v>
      </c>
      <c r="L421" s="20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</row>
    <row r="422" spans="1:43">
      <c r="A422" s="15" t="s">
        <v>64</v>
      </c>
      <c r="B422" s="15" t="s">
        <v>65</v>
      </c>
      <c r="C422" s="15" t="s">
        <v>1086</v>
      </c>
      <c r="D422" s="15" t="s">
        <v>1194</v>
      </c>
      <c r="E422" s="15" t="s">
        <v>1195</v>
      </c>
      <c r="F422" s="16">
        <v>44446.6510069444</v>
      </c>
      <c r="G422" s="15" t="s">
        <v>1195</v>
      </c>
      <c r="H422" s="15" t="s">
        <v>54</v>
      </c>
      <c r="I422" s="18">
        <v>280.17</v>
      </c>
      <c r="J422" s="18">
        <v>14</v>
      </c>
      <c r="K422" s="19">
        <v>20.0121428571429</v>
      </c>
      <c r="L422" s="20">
        <v>0.285887755102041</v>
      </c>
      <c r="M422" s="15">
        <v>44.04</v>
      </c>
      <c r="N422" s="15">
        <v>26.68</v>
      </c>
      <c r="O422" s="15">
        <v>8.38</v>
      </c>
      <c r="P422" s="15">
        <v>7.5</v>
      </c>
      <c r="Q422" s="15">
        <v>10.5</v>
      </c>
      <c r="R422" s="15">
        <v>16.85</v>
      </c>
      <c r="S422" s="15">
        <v>26.66</v>
      </c>
      <c r="T422" s="15">
        <v>14.67</v>
      </c>
      <c r="U422" s="15">
        <v>8.7</v>
      </c>
      <c r="V422" s="15">
        <v>3.38</v>
      </c>
      <c r="W422" s="15">
        <v>10.1</v>
      </c>
      <c r="X422" s="15">
        <v>11.26</v>
      </c>
      <c r="Y422" s="15">
        <v>25.47</v>
      </c>
      <c r="Z422" s="15">
        <v>65.98</v>
      </c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</row>
    <row r="423" spans="1:43">
      <c r="A423" s="15" t="s">
        <v>64</v>
      </c>
      <c r="B423" s="15" t="s">
        <v>65</v>
      </c>
      <c r="C423" s="15" t="s">
        <v>522</v>
      </c>
      <c r="D423" s="15" t="s">
        <v>1196</v>
      </c>
      <c r="E423" s="15" t="s">
        <v>1197</v>
      </c>
      <c r="F423" s="16">
        <v>44994.6746296296</v>
      </c>
      <c r="G423" s="15" t="s">
        <v>1197</v>
      </c>
      <c r="H423" s="15" t="s">
        <v>1198</v>
      </c>
      <c r="I423" s="18">
        <v>753.01</v>
      </c>
      <c r="J423" s="18">
        <v>11</v>
      </c>
      <c r="K423" s="19">
        <v>68.4554545454545</v>
      </c>
      <c r="L423" s="20">
        <v>0.977935064935065</v>
      </c>
      <c r="M423" s="15">
        <v>0</v>
      </c>
      <c r="N423" s="15">
        <v>90.18</v>
      </c>
      <c r="O423" s="15">
        <v>98.8</v>
      </c>
      <c r="P423" s="15">
        <v>93.45</v>
      </c>
      <c r="Q423" s="15">
        <v>3.28</v>
      </c>
      <c r="R423" s="15">
        <v>3.04</v>
      </c>
      <c r="S423" s="15">
        <v>0</v>
      </c>
      <c r="T423" s="15">
        <v>29.92</v>
      </c>
      <c r="U423" s="15">
        <v>58.11</v>
      </c>
      <c r="V423" s="15">
        <v>0</v>
      </c>
      <c r="W423" s="15">
        <v>81.05</v>
      </c>
      <c r="X423" s="15">
        <v>98.68</v>
      </c>
      <c r="Y423" s="15">
        <v>106.29</v>
      </c>
      <c r="Z423" s="15">
        <v>90.21</v>
      </c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</row>
    <row r="424" spans="1:43">
      <c r="A424" s="15" t="s">
        <v>49</v>
      </c>
      <c r="B424" s="15" t="s">
        <v>50</v>
      </c>
      <c r="C424" s="15" t="s">
        <v>75</v>
      </c>
      <c r="D424" s="15" t="s">
        <v>1199</v>
      </c>
      <c r="E424" s="15" t="s">
        <v>1200</v>
      </c>
      <c r="F424" s="16">
        <v>45127.6552662037</v>
      </c>
      <c r="G424" s="15" t="s">
        <v>1200</v>
      </c>
      <c r="H424" s="15" t="s">
        <v>54</v>
      </c>
      <c r="I424" s="18">
        <v>982.6</v>
      </c>
      <c r="J424" s="18">
        <v>14</v>
      </c>
      <c r="K424" s="19">
        <v>70.1857142857143</v>
      </c>
      <c r="L424" s="20">
        <v>1.40371428571429</v>
      </c>
      <c r="M424" s="15">
        <v>46.49</v>
      </c>
      <c r="N424" s="15">
        <v>47.01</v>
      </c>
      <c r="O424" s="15">
        <v>66.54</v>
      </c>
      <c r="P424" s="15">
        <v>80.85</v>
      </c>
      <c r="Q424" s="15">
        <v>68.17</v>
      </c>
      <c r="R424" s="15">
        <v>68.78</v>
      </c>
      <c r="S424" s="15">
        <v>100.59</v>
      </c>
      <c r="T424" s="15">
        <v>98.29</v>
      </c>
      <c r="U424" s="15">
        <v>92.26</v>
      </c>
      <c r="V424" s="15">
        <v>51.19</v>
      </c>
      <c r="W424" s="15">
        <v>61.1</v>
      </c>
      <c r="X424" s="15">
        <v>38.01</v>
      </c>
      <c r="Y424" s="15">
        <v>101.61</v>
      </c>
      <c r="Z424" s="15">
        <v>61.71</v>
      </c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</row>
    <row r="425" spans="1:43">
      <c r="A425" s="15" t="s">
        <v>49</v>
      </c>
      <c r="B425" s="15" t="s">
        <v>50</v>
      </c>
      <c r="C425" s="15" t="s">
        <v>61</v>
      </c>
      <c r="D425" s="15" t="s">
        <v>1201</v>
      </c>
      <c r="E425" s="15" t="s">
        <v>1202</v>
      </c>
      <c r="F425" s="16">
        <v>0</v>
      </c>
      <c r="G425" s="15" t="s">
        <v>1202</v>
      </c>
      <c r="H425" s="15" t="s">
        <v>1203</v>
      </c>
      <c r="I425" s="18">
        <v>0</v>
      </c>
      <c r="J425" s="18">
        <v>0</v>
      </c>
      <c r="K425" s="19">
        <v>0</v>
      </c>
      <c r="L425" s="20">
        <v>0</v>
      </c>
      <c r="M425" s="15">
        <v>0</v>
      </c>
      <c r="N425" s="15">
        <v>0</v>
      </c>
      <c r="O425" s="15">
        <v>0</v>
      </c>
      <c r="P425" s="15">
        <v>0</v>
      </c>
      <c r="Q425" s="15">
        <v>0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</row>
    <row r="426" spans="1:43">
      <c r="A426" s="15" t="s">
        <v>49</v>
      </c>
      <c r="B426" s="15" t="s">
        <v>50</v>
      </c>
      <c r="C426" s="15" t="s">
        <v>61</v>
      </c>
      <c r="D426" s="15" t="s">
        <v>1204</v>
      </c>
      <c r="E426" s="15" t="s">
        <v>1205</v>
      </c>
      <c r="F426" s="16">
        <v>0</v>
      </c>
      <c r="G426" s="15" t="s">
        <v>1205</v>
      </c>
      <c r="H426" s="15" t="s">
        <v>54</v>
      </c>
      <c r="I426" s="18">
        <v>0</v>
      </c>
      <c r="J426" s="18">
        <v>0</v>
      </c>
      <c r="K426" s="19">
        <v>0</v>
      </c>
      <c r="L426" s="20">
        <v>0</v>
      </c>
      <c r="M426" s="15">
        <v>0</v>
      </c>
      <c r="N426" s="15">
        <v>0</v>
      </c>
      <c r="O426" s="15">
        <v>0</v>
      </c>
      <c r="P426" s="15">
        <v>0</v>
      </c>
      <c r="Q426" s="15">
        <v>0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</row>
    <row r="427" spans="1:43">
      <c r="A427" s="15" t="s">
        <v>49</v>
      </c>
      <c r="B427" s="15" t="s">
        <v>50</v>
      </c>
      <c r="C427" s="15" t="s">
        <v>51</v>
      </c>
      <c r="D427" s="15" t="s">
        <v>1206</v>
      </c>
      <c r="E427" s="15" t="s">
        <v>1207</v>
      </c>
      <c r="F427" s="16">
        <v>45119.6419097222</v>
      </c>
      <c r="G427" s="15" t="s">
        <v>1207</v>
      </c>
      <c r="H427" s="15" t="s">
        <v>54</v>
      </c>
      <c r="I427" s="18">
        <v>1206.18</v>
      </c>
      <c r="J427" s="18">
        <v>14</v>
      </c>
      <c r="K427" s="19">
        <v>86.1557142857143</v>
      </c>
      <c r="L427" s="20">
        <v>1.72311428571429</v>
      </c>
      <c r="M427" s="15">
        <v>64.24</v>
      </c>
      <c r="N427" s="15">
        <v>82.92</v>
      </c>
      <c r="O427" s="15">
        <v>81.76</v>
      </c>
      <c r="P427" s="15">
        <v>103.54</v>
      </c>
      <c r="Q427" s="15">
        <v>39.16</v>
      </c>
      <c r="R427" s="15">
        <v>41.57</v>
      </c>
      <c r="S427" s="15">
        <v>102.2</v>
      </c>
      <c r="T427" s="15">
        <v>90.5</v>
      </c>
      <c r="U427" s="15">
        <v>130.83</v>
      </c>
      <c r="V427" s="15">
        <v>105.06</v>
      </c>
      <c r="W427" s="15">
        <v>100.6</v>
      </c>
      <c r="X427" s="15">
        <v>104.47</v>
      </c>
      <c r="Y427" s="15">
        <v>81.94</v>
      </c>
      <c r="Z427" s="15">
        <v>77.39</v>
      </c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</row>
    <row r="428" spans="1:43">
      <c r="A428" s="15" t="s">
        <v>49</v>
      </c>
      <c r="B428" s="15" t="s">
        <v>50</v>
      </c>
      <c r="C428" s="15" t="s">
        <v>61</v>
      </c>
      <c r="D428" s="15" t="s">
        <v>1208</v>
      </c>
      <c r="E428" s="15" t="s">
        <v>1209</v>
      </c>
      <c r="F428" s="16">
        <v>44161.4295601852</v>
      </c>
      <c r="G428" s="15" t="s">
        <v>1209</v>
      </c>
      <c r="H428" s="15" t="s">
        <v>1210</v>
      </c>
      <c r="I428" s="18">
        <v>0</v>
      </c>
      <c r="J428" s="18">
        <v>0</v>
      </c>
      <c r="K428" s="19">
        <v>0</v>
      </c>
      <c r="L428" s="20">
        <v>0</v>
      </c>
      <c r="M428" s="15">
        <v>0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</row>
    <row r="429" spans="1:43">
      <c r="A429" s="15" t="s">
        <v>43</v>
      </c>
      <c r="B429" s="15" t="s">
        <v>44</v>
      </c>
      <c r="C429" s="15" t="s">
        <v>45</v>
      </c>
      <c r="D429" s="15" t="s">
        <v>1211</v>
      </c>
      <c r="E429" s="15" t="s">
        <v>1212</v>
      </c>
      <c r="F429" s="16">
        <v>42724.3914467593</v>
      </c>
      <c r="G429" s="15" t="s">
        <v>1212</v>
      </c>
      <c r="H429" s="15" t="s">
        <v>1213</v>
      </c>
      <c r="I429" s="18">
        <v>0</v>
      </c>
      <c r="J429" s="18">
        <v>0</v>
      </c>
      <c r="K429" s="19">
        <v>0</v>
      </c>
      <c r="L429" s="20">
        <v>0</v>
      </c>
      <c r="M429" s="15">
        <v>0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</row>
    <row r="430" spans="1:43">
      <c r="A430" s="15" t="s">
        <v>49</v>
      </c>
      <c r="B430" s="15" t="s">
        <v>50</v>
      </c>
      <c r="C430" s="15" t="s">
        <v>61</v>
      </c>
      <c r="D430" s="15" t="s">
        <v>1214</v>
      </c>
      <c r="E430" s="15" t="s">
        <v>1215</v>
      </c>
      <c r="F430" s="16">
        <v>0</v>
      </c>
      <c r="G430" s="15" t="s">
        <v>1215</v>
      </c>
      <c r="H430" s="15" t="s">
        <v>54</v>
      </c>
      <c r="I430" s="18">
        <v>0</v>
      </c>
      <c r="J430" s="18">
        <v>0</v>
      </c>
      <c r="K430" s="19">
        <v>0</v>
      </c>
      <c r="L430" s="20">
        <v>0</v>
      </c>
      <c r="M430" s="15">
        <v>0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</row>
    <row r="431" spans="1:43">
      <c r="A431" s="15" t="s">
        <v>49</v>
      </c>
      <c r="B431" s="15" t="s">
        <v>50</v>
      </c>
      <c r="C431" s="15" t="s">
        <v>61</v>
      </c>
      <c r="D431" s="15" t="s">
        <v>1216</v>
      </c>
      <c r="E431" s="15" t="s">
        <v>1217</v>
      </c>
      <c r="F431" s="16">
        <v>0</v>
      </c>
      <c r="G431" s="15" t="s">
        <v>1217</v>
      </c>
      <c r="H431" s="15" t="s">
        <v>54</v>
      </c>
      <c r="I431" s="18">
        <v>0</v>
      </c>
      <c r="J431" s="18">
        <v>0</v>
      </c>
      <c r="K431" s="19">
        <v>0</v>
      </c>
      <c r="L431" s="20">
        <v>0</v>
      </c>
      <c r="M431" s="15">
        <v>0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</row>
    <row r="432" spans="1:43">
      <c r="A432" s="15" t="s">
        <v>43</v>
      </c>
      <c r="B432" s="15" t="s">
        <v>44</v>
      </c>
      <c r="C432" s="15" t="s">
        <v>45</v>
      </c>
      <c r="D432" s="15" t="s">
        <v>1218</v>
      </c>
      <c r="E432" s="15" t="s">
        <v>1219</v>
      </c>
      <c r="F432" s="16">
        <v>40742.6644560185</v>
      </c>
      <c r="G432" s="15" t="s">
        <v>1219</v>
      </c>
      <c r="H432" s="15" t="s">
        <v>1220</v>
      </c>
      <c r="I432" s="18">
        <v>0</v>
      </c>
      <c r="J432" s="18">
        <v>0</v>
      </c>
      <c r="K432" s="19">
        <v>0</v>
      </c>
      <c r="L432" s="20">
        <v>0</v>
      </c>
      <c r="M432" s="15">
        <v>0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</row>
    <row r="433" spans="1:43">
      <c r="A433" s="15" t="s">
        <v>64</v>
      </c>
      <c r="B433" s="15" t="s">
        <v>118</v>
      </c>
      <c r="C433" s="15" t="s">
        <v>138</v>
      </c>
      <c r="D433" s="15" t="s">
        <v>1221</v>
      </c>
      <c r="E433" s="15" t="s">
        <v>1222</v>
      </c>
      <c r="F433" s="16">
        <v>45110.6327430555</v>
      </c>
      <c r="G433" s="15" t="s">
        <v>1222</v>
      </c>
      <c r="H433" s="15" t="s">
        <v>1223</v>
      </c>
      <c r="I433" s="18">
        <v>1254.42</v>
      </c>
      <c r="J433" s="18">
        <v>10</v>
      </c>
      <c r="K433" s="19">
        <v>125.442</v>
      </c>
      <c r="L433" s="20">
        <v>1.79202857142857</v>
      </c>
      <c r="M433" s="15">
        <v>93.32</v>
      </c>
      <c r="N433" s="15">
        <v>98.14</v>
      </c>
      <c r="O433" s="15">
        <v>120.71</v>
      </c>
      <c r="P433" s="15">
        <v>75.91</v>
      </c>
      <c r="Q433" s="15">
        <v>0</v>
      </c>
      <c r="R433" s="15">
        <v>0</v>
      </c>
      <c r="S433" s="15">
        <v>99.07</v>
      </c>
      <c r="T433" s="15">
        <v>155.46</v>
      </c>
      <c r="U433" s="15">
        <v>161.23</v>
      </c>
      <c r="V433" s="15">
        <v>135.39</v>
      </c>
      <c r="W433" s="15">
        <v>160.93</v>
      </c>
      <c r="X433" s="15">
        <v>0</v>
      </c>
      <c r="Y433" s="15">
        <v>0</v>
      </c>
      <c r="Z433" s="15">
        <v>154.26</v>
      </c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</row>
    <row r="434" spans="1:43">
      <c r="A434" s="15" t="s">
        <v>49</v>
      </c>
      <c r="B434" s="15" t="s">
        <v>50</v>
      </c>
      <c r="C434" s="15" t="s">
        <v>75</v>
      </c>
      <c r="D434" s="15" t="s">
        <v>1224</v>
      </c>
      <c r="E434" s="15" t="s">
        <v>1225</v>
      </c>
      <c r="F434" s="16">
        <v>44995.7247222222</v>
      </c>
      <c r="G434" s="15" t="s">
        <v>1225</v>
      </c>
      <c r="H434" s="15" t="s">
        <v>54</v>
      </c>
      <c r="I434" s="18">
        <v>0</v>
      </c>
      <c r="J434" s="18">
        <v>0</v>
      </c>
      <c r="K434" s="19">
        <v>0</v>
      </c>
      <c r="L434" s="20">
        <v>0</v>
      </c>
      <c r="M434" s="15">
        <v>0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</row>
    <row r="435" spans="1:43">
      <c r="A435" s="15" t="s">
        <v>43</v>
      </c>
      <c r="B435" s="15" t="s">
        <v>44</v>
      </c>
      <c r="C435" s="15" t="s">
        <v>45</v>
      </c>
      <c r="D435" s="15" t="s">
        <v>1226</v>
      </c>
      <c r="E435" s="15" t="s">
        <v>1227</v>
      </c>
      <c r="F435" s="16">
        <v>42527.6612037037</v>
      </c>
      <c r="G435" s="15" t="s">
        <v>1227</v>
      </c>
      <c r="H435" s="15" t="s">
        <v>1228</v>
      </c>
      <c r="I435" s="18">
        <v>0</v>
      </c>
      <c r="J435" s="18">
        <v>0</v>
      </c>
      <c r="K435" s="19">
        <v>0</v>
      </c>
      <c r="L435" s="20">
        <v>0</v>
      </c>
      <c r="M435" s="15">
        <v>0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</row>
    <row r="436" spans="1:43">
      <c r="A436" s="15" t="s">
        <v>43</v>
      </c>
      <c r="B436" s="15" t="s">
        <v>44</v>
      </c>
      <c r="C436" s="15" t="s">
        <v>45</v>
      </c>
      <c r="D436" s="15" t="s">
        <v>1229</v>
      </c>
      <c r="E436" s="15" t="s">
        <v>1230</v>
      </c>
      <c r="F436" s="16">
        <v>42690.7075462963</v>
      </c>
      <c r="G436" s="15" t="s">
        <v>1230</v>
      </c>
      <c r="H436" s="15" t="s">
        <v>1231</v>
      </c>
      <c r="I436" s="18">
        <v>0</v>
      </c>
      <c r="J436" s="18">
        <v>0</v>
      </c>
      <c r="K436" s="19">
        <v>0</v>
      </c>
      <c r="L436" s="20">
        <v>0</v>
      </c>
      <c r="M436" s="15">
        <v>0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</row>
    <row r="437" spans="1:43">
      <c r="A437" s="15" t="s">
        <v>43</v>
      </c>
      <c r="B437" s="15" t="s">
        <v>44</v>
      </c>
      <c r="C437" s="15" t="s">
        <v>45</v>
      </c>
      <c r="D437" s="15" t="s">
        <v>1232</v>
      </c>
      <c r="E437" s="15" t="s">
        <v>1233</v>
      </c>
      <c r="F437" s="16">
        <v>42632.479224537</v>
      </c>
      <c r="G437" s="15" t="s">
        <v>1233</v>
      </c>
      <c r="H437" s="15" t="s">
        <v>1234</v>
      </c>
      <c r="I437" s="18">
        <v>0</v>
      </c>
      <c r="J437" s="18">
        <v>0</v>
      </c>
      <c r="K437" s="19">
        <v>0</v>
      </c>
      <c r="L437" s="20">
        <v>0</v>
      </c>
      <c r="M437" s="15">
        <v>0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</row>
    <row r="438" spans="1:43">
      <c r="A438" s="15" t="s">
        <v>43</v>
      </c>
      <c r="B438" s="15" t="s">
        <v>44</v>
      </c>
      <c r="C438" s="15" t="s">
        <v>45</v>
      </c>
      <c r="D438" s="15" t="s">
        <v>1235</v>
      </c>
      <c r="E438" s="15" t="s">
        <v>1236</v>
      </c>
      <c r="F438" s="16">
        <v>41025.6514814815</v>
      </c>
      <c r="G438" s="15" t="s">
        <v>1236</v>
      </c>
      <c r="H438" s="15" t="s">
        <v>1237</v>
      </c>
      <c r="I438" s="18">
        <v>0</v>
      </c>
      <c r="J438" s="18">
        <v>0</v>
      </c>
      <c r="K438" s="19">
        <v>0</v>
      </c>
      <c r="L438" s="20">
        <v>0</v>
      </c>
      <c r="M438" s="15">
        <v>0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</row>
    <row r="439" spans="1:43">
      <c r="A439" s="15" t="s">
        <v>43</v>
      </c>
      <c r="B439" s="15" t="s">
        <v>44</v>
      </c>
      <c r="C439" s="15" t="s">
        <v>45</v>
      </c>
      <c r="D439" s="15" t="s">
        <v>1238</v>
      </c>
      <c r="E439" s="15" t="s">
        <v>1239</v>
      </c>
      <c r="F439" s="16">
        <v>42387.6577546296</v>
      </c>
      <c r="G439" s="15" t="s">
        <v>1239</v>
      </c>
      <c r="H439" s="15" t="s">
        <v>1240</v>
      </c>
      <c r="I439" s="18">
        <v>0</v>
      </c>
      <c r="J439" s="18">
        <v>0</v>
      </c>
      <c r="K439" s="19">
        <v>0</v>
      </c>
      <c r="L439" s="20">
        <v>0</v>
      </c>
      <c r="M439" s="15">
        <v>0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</row>
    <row r="440" spans="1:43">
      <c r="A440" s="15" t="s">
        <v>43</v>
      </c>
      <c r="B440" s="15" t="s">
        <v>44</v>
      </c>
      <c r="C440" s="15" t="s">
        <v>45</v>
      </c>
      <c r="D440" s="15" t="s">
        <v>1241</v>
      </c>
      <c r="E440" s="15" t="s">
        <v>1242</v>
      </c>
      <c r="F440" s="16">
        <v>41751.699224537</v>
      </c>
      <c r="G440" s="15" t="s">
        <v>1242</v>
      </c>
      <c r="H440" s="15" t="s">
        <v>1243</v>
      </c>
      <c r="I440" s="18">
        <v>0</v>
      </c>
      <c r="J440" s="18">
        <v>0</v>
      </c>
      <c r="K440" s="19">
        <v>0</v>
      </c>
      <c r="L440" s="20">
        <v>0</v>
      </c>
      <c r="M440" s="15">
        <v>0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</row>
    <row r="441" spans="1:43">
      <c r="A441" s="15" t="s">
        <v>43</v>
      </c>
      <c r="B441" s="15" t="s">
        <v>44</v>
      </c>
      <c r="C441" s="15" t="s">
        <v>45</v>
      </c>
      <c r="D441" s="15" t="s">
        <v>1244</v>
      </c>
      <c r="E441" s="15" t="s">
        <v>1245</v>
      </c>
      <c r="F441" s="16">
        <v>43908.7288541667</v>
      </c>
      <c r="G441" s="15" t="s">
        <v>1245</v>
      </c>
      <c r="H441" s="15" t="s">
        <v>54</v>
      </c>
      <c r="I441" s="18">
        <v>0</v>
      </c>
      <c r="J441" s="18">
        <v>0</v>
      </c>
      <c r="K441" s="19">
        <v>0</v>
      </c>
      <c r="L441" s="20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</row>
    <row r="442" spans="1:43">
      <c r="A442" s="15" t="s">
        <v>43</v>
      </c>
      <c r="B442" s="15" t="s">
        <v>44</v>
      </c>
      <c r="C442" s="15" t="s">
        <v>45</v>
      </c>
      <c r="D442" s="15" t="s">
        <v>1246</v>
      </c>
      <c r="E442" s="15" t="s">
        <v>1247</v>
      </c>
      <c r="F442" s="16">
        <v>0</v>
      </c>
      <c r="G442" s="15" t="s">
        <v>1247</v>
      </c>
      <c r="H442" s="15" t="s">
        <v>1248</v>
      </c>
      <c r="I442" s="18">
        <v>0</v>
      </c>
      <c r="J442" s="18">
        <v>0</v>
      </c>
      <c r="K442" s="19">
        <v>0</v>
      </c>
      <c r="L442" s="20">
        <v>0</v>
      </c>
      <c r="M442" s="15">
        <v>0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</row>
    <row r="443" spans="1:43">
      <c r="A443" s="15" t="s">
        <v>64</v>
      </c>
      <c r="B443" s="15" t="s">
        <v>65</v>
      </c>
      <c r="C443" s="15" t="s">
        <v>1086</v>
      </c>
      <c r="D443" s="15" t="s">
        <v>1249</v>
      </c>
      <c r="E443" s="15" t="s">
        <v>1195</v>
      </c>
      <c r="F443" s="16">
        <v>44714.4062268518</v>
      </c>
      <c r="G443" s="15" t="s">
        <v>1195</v>
      </c>
      <c r="H443" s="15" t="s">
        <v>54</v>
      </c>
      <c r="I443" s="18">
        <v>0</v>
      </c>
      <c r="J443" s="18">
        <v>0</v>
      </c>
      <c r="K443" s="19">
        <v>0</v>
      </c>
      <c r="L443" s="20">
        <v>0</v>
      </c>
      <c r="M443" s="15">
        <v>0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</row>
    <row r="444" spans="1:43">
      <c r="A444" s="15" t="s">
        <v>43</v>
      </c>
      <c r="B444" s="15" t="s">
        <v>44</v>
      </c>
      <c r="C444" s="15" t="s">
        <v>45</v>
      </c>
      <c r="D444" s="15" t="s">
        <v>1250</v>
      </c>
      <c r="E444" s="15" t="s">
        <v>1251</v>
      </c>
      <c r="F444" s="16">
        <v>41363.3979513889</v>
      </c>
      <c r="G444" s="15" t="s">
        <v>1251</v>
      </c>
      <c r="H444" s="15" t="s">
        <v>1252</v>
      </c>
      <c r="I444" s="18">
        <v>0</v>
      </c>
      <c r="J444" s="18">
        <v>0</v>
      </c>
      <c r="K444" s="19">
        <v>0</v>
      </c>
      <c r="L444" s="20">
        <v>0</v>
      </c>
      <c r="M444" s="15">
        <v>0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</row>
    <row r="445" spans="1:43">
      <c r="A445" s="15" t="s">
        <v>49</v>
      </c>
      <c r="B445" s="15" t="s">
        <v>50</v>
      </c>
      <c r="C445" s="15" t="s">
        <v>75</v>
      </c>
      <c r="D445" s="15" t="s">
        <v>1253</v>
      </c>
      <c r="E445" s="15" t="s">
        <v>1254</v>
      </c>
      <c r="F445" s="16">
        <v>44851.6739930556</v>
      </c>
      <c r="G445" s="15" t="s">
        <v>1254</v>
      </c>
      <c r="H445" s="15" t="s">
        <v>54</v>
      </c>
      <c r="I445" s="18">
        <v>1015.43</v>
      </c>
      <c r="J445" s="18">
        <v>12</v>
      </c>
      <c r="K445" s="19">
        <v>84.6191666666667</v>
      </c>
      <c r="L445" s="20">
        <v>1.69238333333333</v>
      </c>
      <c r="M445" s="15">
        <v>0</v>
      </c>
      <c r="N445" s="15">
        <v>0</v>
      </c>
      <c r="O445" s="15">
        <v>7.04</v>
      </c>
      <c r="P445" s="15">
        <v>5.77</v>
      </c>
      <c r="Q445" s="15">
        <v>105.43</v>
      </c>
      <c r="R445" s="15">
        <v>104.24</v>
      </c>
      <c r="S445" s="15">
        <v>77.24</v>
      </c>
      <c r="T445" s="15">
        <v>73.44</v>
      </c>
      <c r="U445" s="15">
        <v>109.76</v>
      </c>
      <c r="V445" s="15">
        <v>104.8</v>
      </c>
      <c r="W445" s="15">
        <v>104.07</v>
      </c>
      <c r="X445" s="15">
        <v>100.62</v>
      </c>
      <c r="Y445" s="15">
        <v>109.17</v>
      </c>
      <c r="Z445" s="15">
        <v>113.85</v>
      </c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</row>
    <row r="446" spans="1:43">
      <c r="A446" s="15" t="s">
        <v>43</v>
      </c>
      <c r="B446" s="15" t="s">
        <v>44</v>
      </c>
      <c r="C446" s="15" t="s">
        <v>440</v>
      </c>
      <c r="D446" s="15" t="s">
        <v>1255</v>
      </c>
      <c r="E446" s="15" t="s">
        <v>1256</v>
      </c>
      <c r="F446" s="16">
        <v>44706.4669444444</v>
      </c>
      <c r="G446" s="15" t="s">
        <v>1256</v>
      </c>
      <c r="H446" s="15" t="s">
        <v>54</v>
      </c>
      <c r="I446" s="18">
        <v>0</v>
      </c>
      <c r="J446" s="18">
        <v>0</v>
      </c>
      <c r="K446" s="19">
        <v>0</v>
      </c>
      <c r="L446" s="20">
        <v>0</v>
      </c>
      <c r="M446" s="15">
        <v>0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</row>
    <row r="447" spans="1:43">
      <c r="A447" s="15" t="s">
        <v>43</v>
      </c>
      <c r="B447" s="15" t="s">
        <v>44</v>
      </c>
      <c r="C447" s="15" t="s">
        <v>45</v>
      </c>
      <c r="D447" s="15" t="s">
        <v>1257</v>
      </c>
      <c r="E447" s="15" t="s">
        <v>1258</v>
      </c>
      <c r="F447" s="16">
        <v>42741.7130787037</v>
      </c>
      <c r="G447" s="15" t="s">
        <v>1258</v>
      </c>
      <c r="H447" s="15" t="s">
        <v>1259</v>
      </c>
      <c r="I447" s="18">
        <v>0</v>
      </c>
      <c r="J447" s="18">
        <v>0</v>
      </c>
      <c r="K447" s="19">
        <v>0</v>
      </c>
      <c r="L447" s="20">
        <v>0</v>
      </c>
      <c r="M447" s="15">
        <v>0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</row>
    <row r="448" spans="1:43">
      <c r="A448" s="15" t="s">
        <v>43</v>
      </c>
      <c r="B448" s="15" t="s">
        <v>44</v>
      </c>
      <c r="C448" s="15" t="s">
        <v>45</v>
      </c>
      <c r="D448" s="15" t="s">
        <v>1260</v>
      </c>
      <c r="E448" s="15" t="s">
        <v>1261</v>
      </c>
      <c r="F448" s="16">
        <v>41355.7050578704</v>
      </c>
      <c r="G448" s="15" t="s">
        <v>1261</v>
      </c>
      <c r="H448" s="15" t="s">
        <v>1262</v>
      </c>
      <c r="I448" s="18">
        <v>0</v>
      </c>
      <c r="J448" s="18">
        <v>0</v>
      </c>
      <c r="K448" s="19">
        <v>0</v>
      </c>
      <c r="L448" s="20">
        <v>0</v>
      </c>
      <c r="M448" s="15">
        <v>0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</row>
    <row r="449" spans="1:43">
      <c r="A449" s="15" t="s">
        <v>43</v>
      </c>
      <c r="B449" s="15" t="s">
        <v>44</v>
      </c>
      <c r="C449" s="15" t="s">
        <v>45</v>
      </c>
      <c r="D449" s="15" t="s">
        <v>1263</v>
      </c>
      <c r="E449" s="15" t="s">
        <v>1264</v>
      </c>
      <c r="F449" s="16">
        <v>42727.4496527778</v>
      </c>
      <c r="G449" s="15" t="s">
        <v>1264</v>
      </c>
      <c r="H449" s="15" t="s">
        <v>1265</v>
      </c>
      <c r="I449" s="18">
        <v>0</v>
      </c>
      <c r="J449" s="18">
        <v>0</v>
      </c>
      <c r="K449" s="19">
        <v>0</v>
      </c>
      <c r="L449" s="20">
        <v>0</v>
      </c>
      <c r="M449" s="15">
        <v>0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</row>
    <row r="450" spans="1:43">
      <c r="A450" s="15" t="s">
        <v>43</v>
      </c>
      <c r="B450" s="15" t="s">
        <v>44</v>
      </c>
      <c r="C450" s="15" t="s">
        <v>45</v>
      </c>
      <c r="D450" s="15" t="s">
        <v>1266</v>
      </c>
      <c r="E450" s="15" t="s">
        <v>1267</v>
      </c>
      <c r="F450" s="16">
        <v>40735.6784259259</v>
      </c>
      <c r="G450" s="15" t="s">
        <v>1267</v>
      </c>
      <c r="H450" s="15" t="s">
        <v>1268</v>
      </c>
      <c r="I450" s="18">
        <v>0</v>
      </c>
      <c r="J450" s="18">
        <v>0</v>
      </c>
      <c r="K450" s="19">
        <v>0</v>
      </c>
      <c r="L450" s="20">
        <v>0</v>
      </c>
      <c r="M450" s="15">
        <v>0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</row>
    <row r="451" spans="1:43">
      <c r="A451" s="15" t="s">
        <v>43</v>
      </c>
      <c r="B451" s="15" t="s">
        <v>44</v>
      </c>
      <c r="C451" s="15" t="s">
        <v>45</v>
      </c>
      <c r="D451" s="15" t="s">
        <v>1269</v>
      </c>
      <c r="E451" s="15" t="s">
        <v>1270</v>
      </c>
      <c r="F451" s="16">
        <v>43638.4234027778</v>
      </c>
      <c r="G451" s="15" t="s">
        <v>1270</v>
      </c>
      <c r="H451" s="15" t="s">
        <v>1271</v>
      </c>
      <c r="I451" s="18">
        <v>0</v>
      </c>
      <c r="J451" s="18">
        <v>0</v>
      </c>
      <c r="K451" s="19">
        <v>0</v>
      </c>
      <c r="L451" s="20">
        <v>0</v>
      </c>
      <c r="M451" s="15">
        <v>0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</row>
    <row r="452" spans="1:43">
      <c r="A452" s="15" t="s">
        <v>43</v>
      </c>
      <c r="B452" s="15" t="s">
        <v>44</v>
      </c>
      <c r="C452" s="15" t="s">
        <v>45</v>
      </c>
      <c r="D452" s="15" t="s">
        <v>1272</v>
      </c>
      <c r="E452" s="15" t="s">
        <v>1273</v>
      </c>
      <c r="F452" s="16">
        <v>42713.3817708333</v>
      </c>
      <c r="G452" s="15" t="s">
        <v>1273</v>
      </c>
      <c r="H452" s="15" t="s">
        <v>1274</v>
      </c>
      <c r="I452" s="18">
        <v>0</v>
      </c>
      <c r="J452" s="18">
        <v>0</v>
      </c>
      <c r="K452" s="19">
        <v>0</v>
      </c>
      <c r="L452" s="20">
        <v>0</v>
      </c>
      <c r="M452" s="15">
        <v>0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</row>
    <row r="453" spans="1:43">
      <c r="A453" s="15" t="s">
        <v>49</v>
      </c>
      <c r="B453" s="15" t="s">
        <v>50</v>
      </c>
      <c r="C453" s="15" t="s">
        <v>61</v>
      </c>
      <c r="D453" s="15" t="s">
        <v>1275</v>
      </c>
      <c r="E453" s="15" t="s">
        <v>1276</v>
      </c>
      <c r="F453" s="16">
        <v>44309.3827662037</v>
      </c>
      <c r="G453" s="15" t="s">
        <v>1276</v>
      </c>
      <c r="H453" s="15" t="s">
        <v>1277</v>
      </c>
      <c r="I453" s="18">
        <v>541.27</v>
      </c>
      <c r="J453" s="18">
        <v>14</v>
      </c>
      <c r="K453" s="19">
        <v>38.6621428571428</v>
      </c>
      <c r="L453" s="20">
        <v>0.773242857142857</v>
      </c>
      <c r="M453" s="15">
        <v>27.03</v>
      </c>
      <c r="N453" s="15">
        <v>27.88</v>
      </c>
      <c r="O453" s="15">
        <v>40.65</v>
      </c>
      <c r="P453" s="15">
        <v>54.66</v>
      </c>
      <c r="Q453" s="15">
        <v>43.83</v>
      </c>
      <c r="R453" s="15">
        <v>37.07</v>
      </c>
      <c r="S453" s="15">
        <v>48.78</v>
      </c>
      <c r="T453" s="15">
        <v>51.66</v>
      </c>
      <c r="U453" s="15">
        <v>51.26</v>
      </c>
      <c r="V453" s="15">
        <v>50.09</v>
      </c>
      <c r="W453" s="15">
        <v>15.22</v>
      </c>
      <c r="X453" s="15">
        <v>13.01</v>
      </c>
      <c r="Y453" s="15">
        <v>29.69</v>
      </c>
      <c r="Z453" s="15">
        <v>50.44</v>
      </c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</row>
    <row r="454" spans="1:43">
      <c r="A454" s="15" t="s">
        <v>43</v>
      </c>
      <c r="B454" s="15" t="s">
        <v>44</v>
      </c>
      <c r="C454" s="15" t="s">
        <v>440</v>
      </c>
      <c r="D454" s="15" t="s">
        <v>1278</v>
      </c>
      <c r="E454" s="15" t="s">
        <v>1279</v>
      </c>
      <c r="F454" s="16">
        <v>44403.7097453704</v>
      </c>
      <c r="G454" s="15" t="s">
        <v>1279</v>
      </c>
      <c r="H454" s="15" t="s">
        <v>54</v>
      </c>
      <c r="I454" s="18">
        <v>0</v>
      </c>
      <c r="J454" s="18">
        <v>0</v>
      </c>
      <c r="K454" s="19">
        <v>0</v>
      </c>
      <c r="L454" s="20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</row>
    <row r="455" spans="1:43">
      <c r="A455" s="15" t="s">
        <v>49</v>
      </c>
      <c r="B455" s="15" t="s">
        <v>50</v>
      </c>
      <c r="C455" s="15" t="s">
        <v>61</v>
      </c>
      <c r="D455" s="15" t="s">
        <v>1280</v>
      </c>
      <c r="E455" s="15" t="s">
        <v>1281</v>
      </c>
      <c r="F455" s="16">
        <v>0</v>
      </c>
      <c r="G455" s="15" t="s">
        <v>1281</v>
      </c>
      <c r="H455" s="15" t="s">
        <v>54</v>
      </c>
      <c r="I455" s="18">
        <v>0</v>
      </c>
      <c r="J455" s="18">
        <v>0</v>
      </c>
      <c r="K455" s="19">
        <v>0</v>
      </c>
      <c r="L455" s="20">
        <v>0</v>
      </c>
      <c r="M455" s="15">
        <v>0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</row>
    <row r="456" spans="1:43">
      <c r="A456" s="15" t="s">
        <v>43</v>
      </c>
      <c r="B456" s="15" t="s">
        <v>44</v>
      </c>
      <c r="C456" s="15" t="s">
        <v>45</v>
      </c>
      <c r="D456" s="15" t="s">
        <v>1282</v>
      </c>
      <c r="E456" s="15" t="s">
        <v>1283</v>
      </c>
      <c r="F456" s="16">
        <v>42094.7031134259</v>
      </c>
      <c r="G456" s="15" t="s">
        <v>1283</v>
      </c>
      <c r="H456" s="15" t="s">
        <v>1284</v>
      </c>
      <c r="I456" s="18">
        <v>0</v>
      </c>
      <c r="J456" s="18">
        <v>0</v>
      </c>
      <c r="K456" s="19">
        <v>0</v>
      </c>
      <c r="L456" s="20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</row>
    <row r="457" spans="1:43">
      <c r="A457" s="15" t="s">
        <v>49</v>
      </c>
      <c r="B457" s="15" t="s">
        <v>50</v>
      </c>
      <c r="C457" s="15" t="s">
        <v>61</v>
      </c>
      <c r="D457" s="15" t="s">
        <v>1285</v>
      </c>
      <c r="E457" s="15" t="s">
        <v>1286</v>
      </c>
      <c r="F457" s="16">
        <v>0</v>
      </c>
      <c r="G457" s="15" t="s">
        <v>1286</v>
      </c>
      <c r="H457" s="15" t="s">
        <v>1287</v>
      </c>
      <c r="I457" s="18">
        <v>0</v>
      </c>
      <c r="J457" s="18">
        <v>0</v>
      </c>
      <c r="K457" s="19">
        <v>0</v>
      </c>
      <c r="L457" s="20">
        <v>0</v>
      </c>
      <c r="M457" s="15">
        <v>0</v>
      </c>
      <c r="N457" s="15">
        <v>0</v>
      </c>
      <c r="O457" s="15">
        <v>0</v>
      </c>
      <c r="P457" s="15">
        <v>0</v>
      </c>
      <c r="Q457" s="15">
        <v>0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</row>
    <row r="458" spans="1:43">
      <c r="A458" s="15" t="s">
        <v>43</v>
      </c>
      <c r="B458" s="15" t="s">
        <v>44</v>
      </c>
      <c r="C458" s="15" t="s">
        <v>45</v>
      </c>
      <c r="D458" s="15" t="s">
        <v>1288</v>
      </c>
      <c r="E458" s="15" t="s">
        <v>1289</v>
      </c>
      <c r="F458" s="16">
        <v>42906.7001041667</v>
      </c>
      <c r="G458" s="15" t="s">
        <v>1289</v>
      </c>
      <c r="H458" s="15" t="s">
        <v>1290</v>
      </c>
      <c r="I458" s="18">
        <v>0</v>
      </c>
      <c r="J458" s="18">
        <v>0</v>
      </c>
      <c r="K458" s="19">
        <v>0</v>
      </c>
      <c r="L458" s="20">
        <v>0</v>
      </c>
      <c r="M458" s="15">
        <v>0</v>
      </c>
      <c r="N458" s="15">
        <v>0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</row>
    <row r="459" spans="1:43">
      <c r="A459" s="15" t="s">
        <v>43</v>
      </c>
      <c r="B459" s="15" t="s">
        <v>44</v>
      </c>
      <c r="C459" s="15" t="s">
        <v>45</v>
      </c>
      <c r="D459" s="15" t="s">
        <v>1291</v>
      </c>
      <c r="E459" s="15" t="s">
        <v>1292</v>
      </c>
      <c r="F459" s="16">
        <v>43070.7144791667</v>
      </c>
      <c r="G459" s="15" t="s">
        <v>1292</v>
      </c>
      <c r="H459" s="15" t="s">
        <v>1293</v>
      </c>
      <c r="I459" s="18">
        <v>0</v>
      </c>
      <c r="J459" s="18">
        <v>0</v>
      </c>
      <c r="K459" s="19">
        <v>0</v>
      </c>
      <c r="L459" s="20">
        <v>0</v>
      </c>
      <c r="M459" s="15">
        <v>0</v>
      </c>
      <c r="N459" s="15">
        <v>0</v>
      </c>
      <c r="O459" s="15">
        <v>0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</row>
    <row r="460" spans="1:43">
      <c r="A460" s="15" t="s">
        <v>49</v>
      </c>
      <c r="B460" s="15" t="s">
        <v>50</v>
      </c>
      <c r="C460" s="15" t="s">
        <v>75</v>
      </c>
      <c r="D460" s="15" t="s">
        <v>1294</v>
      </c>
      <c r="E460" s="15" t="s">
        <v>1295</v>
      </c>
      <c r="F460" s="16">
        <v>43550.6905092593</v>
      </c>
      <c r="G460" s="15" t="s">
        <v>1295</v>
      </c>
      <c r="H460" s="15" t="s">
        <v>1296</v>
      </c>
      <c r="I460" s="18">
        <v>0</v>
      </c>
      <c r="J460" s="18">
        <v>0</v>
      </c>
      <c r="K460" s="19">
        <v>0</v>
      </c>
      <c r="L460" s="20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</row>
    <row r="461" spans="1:43">
      <c r="A461" s="15" t="s">
        <v>43</v>
      </c>
      <c r="B461" s="15" t="s">
        <v>44</v>
      </c>
      <c r="C461" s="15" t="s">
        <v>45</v>
      </c>
      <c r="D461" s="15" t="s">
        <v>1297</v>
      </c>
      <c r="E461" s="15" t="s">
        <v>1298</v>
      </c>
      <c r="F461" s="16">
        <v>42990.7155671296</v>
      </c>
      <c r="G461" s="15" t="s">
        <v>1298</v>
      </c>
      <c r="H461" s="15" t="s">
        <v>1299</v>
      </c>
      <c r="I461" s="18">
        <v>0</v>
      </c>
      <c r="J461" s="18">
        <v>0</v>
      </c>
      <c r="K461" s="19">
        <v>0</v>
      </c>
      <c r="L461" s="20">
        <v>0</v>
      </c>
      <c r="M461" s="15">
        <v>0</v>
      </c>
      <c r="N461" s="15">
        <v>0</v>
      </c>
      <c r="O461" s="15">
        <v>0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</row>
    <row r="462" spans="1:43">
      <c r="A462" s="15" t="s">
        <v>49</v>
      </c>
      <c r="B462" s="15" t="s">
        <v>50</v>
      </c>
      <c r="C462" s="15" t="s">
        <v>1300</v>
      </c>
      <c r="D462" s="15" t="s">
        <v>1301</v>
      </c>
      <c r="E462" s="15" t="s">
        <v>1302</v>
      </c>
      <c r="F462" s="16">
        <v>45089.580775463</v>
      </c>
      <c r="G462" s="15" t="s">
        <v>1302</v>
      </c>
      <c r="H462" s="15" t="s">
        <v>54</v>
      </c>
      <c r="I462" s="18">
        <v>0</v>
      </c>
      <c r="J462" s="18">
        <v>0</v>
      </c>
      <c r="K462" s="19">
        <v>0</v>
      </c>
      <c r="L462" s="20">
        <v>0</v>
      </c>
      <c r="M462" s="15">
        <v>0</v>
      </c>
      <c r="N462" s="15">
        <v>0</v>
      </c>
      <c r="O462" s="15">
        <v>0</v>
      </c>
      <c r="P462" s="15">
        <v>0</v>
      </c>
      <c r="Q462" s="15">
        <v>0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</row>
    <row r="463" spans="1:43">
      <c r="A463" s="15" t="s">
        <v>43</v>
      </c>
      <c r="B463" s="15" t="s">
        <v>44</v>
      </c>
      <c r="C463" s="15" t="s">
        <v>228</v>
      </c>
      <c r="D463" s="15" t="s">
        <v>1303</v>
      </c>
      <c r="E463" s="15" t="s">
        <v>1304</v>
      </c>
      <c r="F463" s="16">
        <v>45124.6464236111</v>
      </c>
      <c r="G463" s="15" t="s">
        <v>1304</v>
      </c>
      <c r="H463" s="15" t="s">
        <v>54</v>
      </c>
      <c r="I463" s="18">
        <v>717.32</v>
      </c>
      <c r="J463" s="18">
        <v>14</v>
      </c>
      <c r="K463" s="19">
        <v>51.2371428571428</v>
      </c>
      <c r="L463" s="20">
        <v>1.02474285714286</v>
      </c>
      <c r="M463" s="15">
        <v>61.41</v>
      </c>
      <c r="N463" s="15">
        <v>60.23</v>
      </c>
      <c r="O463" s="15">
        <v>61.68</v>
      </c>
      <c r="P463" s="15">
        <v>60.87</v>
      </c>
      <c r="Q463" s="15">
        <v>60.59</v>
      </c>
      <c r="R463" s="15">
        <v>61.01</v>
      </c>
      <c r="S463" s="15">
        <v>73.14</v>
      </c>
      <c r="T463" s="15">
        <v>61.61</v>
      </c>
      <c r="U463" s="15">
        <v>51.17</v>
      </c>
      <c r="V463" s="15">
        <v>44.99</v>
      </c>
      <c r="W463" s="15">
        <v>45.27</v>
      </c>
      <c r="X463" s="15">
        <v>21.28</v>
      </c>
      <c r="Y463" s="15">
        <v>16.3</v>
      </c>
      <c r="Z463" s="15">
        <v>37.77</v>
      </c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</row>
    <row r="464" spans="1:43">
      <c r="A464" s="15" t="s">
        <v>43</v>
      </c>
      <c r="B464" s="15" t="s">
        <v>44</v>
      </c>
      <c r="C464" s="15" t="s">
        <v>45</v>
      </c>
      <c r="D464" s="15" t="s">
        <v>1305</v>
      </c>
      <c r="E464" s="15" t="s">
        <v>1306</v>
      </c>
      <c r="F464" s="16">
        <v>43553.6995023148</v>
      </c>
      <c r="G464" s="15" t="s">
        <v>1306</v>
      </c>
      <c r="H464" s="15" t="s">
        <v>1307</v>
      </c>
      <c r="I464" s="18">
        <v>0</v>
      </c>
      <c r="J464" s="18">
        <v>0</v>
      </c>
      <c r="K464" s="19">
        <v>0</v>
      </c>
      <c r="L464" s="20">
        <v>0</v>
      </c>
      <c r="M464" s="15">
        <v>0</v>
      </c>
      <c r="N464" s="15">
        <v>0</v>
      </c>
      <c r="O464" s="15">
        <v>0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</row>
    <row r="465" spans="1:43">
      <c r="A465" s="15" t="s">
        <v>49</v>
      </c>
      <c r="B465" s="15" t="s">
        <v>50</v>
      </c>
      <c r="C465" s="15" t="s">
        <v>61</v>
      </c>
      <c r="D465" s="15" t="s">
        <v>1308</v>
      </c>
      <c r="E465" s="15" t="s">
        <v>1309</v>
      </c>
      <c r="F465" s="16">
        <v>0</v>
      </c>
      <c r="G465" s="15" t="s">
        <v>1309</v>
      </c>
      <c r="H465" s="15" t="s">
        <v>54</v>
      </c>
      <c r="I465" s="18">
        <v>0</v>
      </c>
      <c r="J465" s="18">
        <v>0</v>
      </c>
      <c r="K465" s="19">
        <v>0</v>
      </c>
      <c r="L465" s="20">
        <v>0</v>
      </c>
      <c r="M465" s="15">
        <v>0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</row>
    <row r="466" spans="1:43">
      <c r="A466" s="15" t="s">
        <v>49</v>
      </c>
      <c r="B466" s="15" t="s">
        <v>50</v>
      </c>
      <c r="C466" s="15" t="s">
        <v>61</v>
      </c>
      <c r="D466" s="15" t="s">
        <v>1310</v>
      </c>
      <c r="E466" s="15" t="s">
        <v>340</v>
      </c>
      <c r="F466" s="16">
        <v>0</v>
      </c>
      <c r="G466" s="15" t="s">
        <v>340</v>
      </c>
      <c r="H466" s="15" t="s">
        <v>54</v>
      </c>
      <c r="I466" s="18">
        <v>0</v>
      </c>
      <c r="J466" s="18">
        <v>0</v>
      </c>
      <c r="K466" s="19">
        <v>0</v>
      </c>
      <c r="L466" s="20">
        <v>0</v>
      </c>
      <c r="M466" s="15">
        <v>0</v>
      </c>
      <c r="N466" s="15">
        <v>0</v>
      </c>
      <c r="O466" s="15">
        <v>0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</row>
    <row r="467" spans="1:43">
      <c r="A467" s="15" t="s">
        <v>43</v>
      </c>
      <c r="B467" s="15" t="s">
        <v>44</v>
      </c>
      <c r="C467" s="15" t="s">
        <v>45</v>
      </c>
      <c r="D467" s="15" t="s">
        <v>1311</v>
      </c>
      <c r="E467" s="15" t="s">
        <v>1312</v>
      </c>
      <c r="F467" s="16">
        <v>41810.7182291667</v>
      </c>
      <c r="G467" s="15" t="s">
        <v>1312</v>
      </c>
      <c r="H467" s="15" t="s">
        <v>1313</v>
      </c>
      <c r="I467" s="18">
        <v>0</v>
      </c>
      <c r="J467" s="18">
        <v>0</v>
      </c>
      <c r="K467" s="19">
        <v>0</v>
      </c>
      <c r="L467" s="20">
        <v>0</v>
      </c>
      <c r="M467" s="15">
        <v>0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</row>
    <row r="468" spans="1:43">
      <c r="A468" s="15" t="s">
        <v>49</v>
      </c>
      <c r="B468" s="15" t="s">
        <v>50</v>
      </c>
      <c r="C468" s="15" t="s">
        <v>75</v>
      </c>
      <c r="D468" s="15" t="s">
        <v>1314</v>
      </c>
      <c r="E468" s="15" t="s">
        <v>1315</v>
      </c>
      <c r="F468" s="16">
        <v>43003.4075</v>
      </c>
      <c r="G468" s="15" t="s">
        <v>1315</v>
      </c>
      <c r="H468" s="15" t="s">
        <v>1316</v>
      </c>
      <c r="I468" s="18">
        <v>0</v>
      </c>
      <c r="J468" s="18">
        <v>0</v>
      </c>
      <c r="K468" s="19">
        <v>0</v>
      </c>
      <c r="L468" s="20">
        <v>0</v>
      </c>
      <c r="M468" s="15">
        <v>0</v>
      </c>
      <c r="N468" s="15">
        <v>0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</row>
    <row r="469" spans="1:43">
      <c r="A469" s="15" t="s">
        <v>49</v>
      </c>
      <c r="B469" s="15" t="s">
        <v>50</v>
      </c>
      <c r="C469" s="15" t="s">
        <v>61</v>
      </c>
      <c r="D469" s="15" t="s">
        <v>1317</v>
      </c>
      <c r="E469" s="15" t="s">
        <v>1318</v>
      </c>
      <c r="F469" s="16">
        <v>0</v>
      </c>
      <c r="G469" s="15" t="s">
        <v>1318</v>
      </c>
      <c r="H469" s="15" t="s">
        <v>1319</v>
      </c>
      <c r="I469" s="18">
        <v>0</v>
      </c>
      <c r="J469" s="18">
        <v>0</v>
      </c>
      <c r="K469" s="19">
        <v>0</v>
      </c>
      <c r="L469" s="20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</row>
    <row r="470" spans="1:43">
      <c r="A470" s="15" t="s">
        <v>43</v>
      </c>
      <c r="B470" s="15" t="s">
        <v>44</v>
      </c>
      <c r="C470" s="15" t="s">
        <v>45</v>
      </c>
      <c r="D470" s="15" t="s">
        <v>1320</v>
      </c>
      <c r="E470" s="15" t="s">
        <v>1321</v>
      </c>
      <c r="F470" s="16">
        <v>42503.6245138889</v>
      </c>
      <c r="G470" s="15" t="s">
        <v>1321</v>
      </c>
      <c r="H470" s="15" t="s">
        <v>1322</v>
      </c>
      <c r="I470" s="18">
        <v>0</v>
      </c>
      <c r="J470" s="18">
        <v>0</v>
      </c>
      <c r="K470" s="19">
        <v>0</v>
      </c>
      <c r="L470" s="20">
        <v>0</v>
      </c>
      <c r="M470" s="15">
        <v>0</v>
      </c>
      <c r="N470" s="15">
        <v>0</v>
      </c>
      <c r="O470" s="15">
        <v>0</v>
      </c>
      <c r="P470" s="15">
        <v>0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</row>
    <row r="471" spans="1:43">
      <c r="A471" s="15" t="s">
        <v>49</v>
      </c>
      <c r="B471" s="15" t="s">
        <v>50</v>
      </c>
      <c r="C471" s="15" t="s">
        <v>61</v>
      </c>
      <c r="D471" s="15" t="s">
        <v>1323</v>
      </c>
      <c r="E471" s="15" t="s">
        <v>631</v>
      </c>
      <c r="F471" s="16">
        <v>0</v>
      </c>
      <c r="G471" s="15" t="s">
        <v>631</v>
      </c>
      <c r="H471" s="15" t="s">
        <v>252</v>
      </c>
      <c r="I471" s="18">
        <v>0</v>
      </c>
      <c r="J471" s="18">
        <v>0</v>
      </c>
      <c r="K471" s="19">
        <v>0</v>
      </c>
      <c r="L471" s="20">
        <v>0</v>
      </c>
      <c r="M471" s="15">
        <v>0</v>
      </c>
      <c r="N471" s="15">
        <v>0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</row>
    <row r="472" spans="1:43">
      <c r="A472" s="15" t="s">
        <v>43</v>
      </c>
      <c r="B472" s="15" t="s">
        <v>44</v>
      </c>
      <c r="C472" s="15" t="s">
        <v>45</v>
      </c>
      <c r="D472" s="15" t="s">
        <v>1324</v>
      </c>
      <c r="E472" s="15" t="s">
        <v>1325</v>
      </c>
      <c r="F472" s="16">
        <v>44257.6286574074</v>
      </c>
      <c r="G472" s="15" t="s">
        <v>1325</v>
      </c>
      <c r="H472" s="15" t="s">
        <v>1326</v>
      </c>
      <c r="I472" s="18">
        <v>0</v>
      </c>
      <c r="J472" s="18">
        <v>0</v>
      </c>
      <c r="K472" s="19">
        <v>0</v>
      </c>
      <c r="L472" s="20">
        <v>0</v>
      </c>
      <c r="M472" s="15">
        <v>0</v>
      </c>
      <c r="N472" s="15">
        <v>0</v>
      </c>
      <c r="O472" s="15">
        <v>0</v>
      </c>
      <c r="P472" s="15">
        <v>0</v>
      </c>
      <c r="Q472" s="15">
        <v>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</row>
    <row r="473" spans="1:43">
      <c r="A473" s="15" t="s">
        <v>43</v>
      </c>
      <c r="B473" s="15" t="s">
        <v>44</v>
      </c>
      <c r="C473" s="15" t="s">
        <v>45</v>
      </c>
      <c r="D473" s="15" t="s">
        <v>1327</v>
      </c>
      <c r="E473" s="15" t="s">
        <v>1328</v>
      </c>
      <c r="F473" s="16">
        <v>44300.5787962963</v>
      </c>
      <c r="G473" s="15" t="s">
        <v>1328</v>
      </c>
      <c r="H473" s="15" t="s">
        <v>54</v>
      </c>
      <c r="I473" s="18">
        <v>0</v>
      </c>
      <c r="J473" s="18">
        <v>0</v>
      </c>
      <c r="K473" s="19">
        <v>0</v>
      </c>
      <c r="L473" s="20">
        <v>0</v>
      </c>
      <c r="M473" s="15">
        <v>0</v>
      </c>
      <c r="N473" s="15">
        <v>0</v>
      </c>
      <c r="O473" s="15">
        <v>0</v>
      </c>
      <c r="P473" s="15">
        <v>0</v>
      </c>
      <c r="Q473" s="15">
        <v>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</row>
    <row r="474" spans="1:43">
      <c r="A474" s="15" t="s">
        <v>49</v>
      </c>
      <c r="B474" s="15" t="s">
        <v>50</v>
      </c>
      <c r="C474" s="15" t="s">
        <v>61</v>
      </c>
      <c r="D474" s="15" t="s">
        <v>1329</v>
      </c>
      <c r="E474" s="15" t="s">
        <v>1330</v>
      </c>
      <c r="F474" s="16">
        <v>0</v>
      </c>
      <c r="G474" s="15" t="s">
        <v>1330</v>
      </c>
      <c r="H474" s="15" t="s">
        <v>1331</v>
      </c>
      <c r="I474" s="18">
        <v>0</v>
      </c>
      <c r="J474" s="18">
        <v>0</v>
      </c>
      <c r="K474" s="19">
        <v>0</v>
      </c>
      <c r="L474" s="20">
        <v>0</v>
      </c>
      <c r="M474" s="15">
        <v>0</v>
      </c>
      <c r="N474" s="15">
        <v>0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</row>
    <row r="475" spans="1:43">
      <c r="A475" s="15" t="s">
        <v>49</v>
      </c>
      <c r="B475" s="15" t="s">
        <v>50</v>
      </c>
      <c r="C475" s="15" t="s">
        <v>61</v>
      </c>
      <c r="D475" s="15" t="s">
        <v>1332</v>
      </c>
      <c r="E475" s="15" t="s">
        <v>1333</v>
      </c>
      <c r="F475" s="16">
        <v>0</v>
      </c>
      <c r="G475" s="15" t="s">
        <v>1333</v>
      </c>
      <c r="H475" s="15" t="s">
        <v>1334</v>
      </c>
      <c r="I475" s="18">
        <v>0</v>
      </c>
      <c r="J475" s="18">
        <v>0</v>
      </c>
      <c r="K475" s="19">
        <v>0</v>
      </c>
      <c r="L475" s="20">
        <v>0</v>
      </c>
      <c r="M475" s="15">
        <v>0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</row>
    <row r="476" spans="1:43">
      <c r="A476" s="15" t="s">
        <v>49</v>
      </c>
      <c r="B476" s="15" t="s">
        <v>50</v>
      </c>
      <c r="C476" s="15" t="s">
        <v>61</v>
      </c>
      <c r="D476" s="15" t="s">
        <v>1335</v>
      </c>
      <c r="E476" s="15" t="s">
        <v>1336</v>
      </c>
      <c r="F476" s="16">
        <v>0</v>
      </c>
      <c r="G476" s="15" t="s">
        <v>1336</v>
      </c>
      <c r="H476" s="15" t="s">
        <v>1337</v>
      </c>
      <c r="I476" s="18">
        <v>0</v>
      </c>
      <c r="J476" s="18">
        <v>0</v>
      </c>
      <c r="K476" s="19">
        <v>0</v>
      </c>
      <c r="L476" s="20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</row>
    <row r="477" spans="1:43">
      <c r="A477" s="15" t="s">
        <v>49</v>
      </c>
      <c r="B477" s="15" t="s">
        <v>50</v>
      </c>
      <c r="C477" s="15" t="s">
        <v>61</v>
      </c>
      <c r="D477" s="15" t="s">
        <v>1338</v>
      </c>
      <c r="E477" s="15" t="s">
        <v>1339</v>
      </c>
      <c r="F477" s="16">
        <v>0</v>
      </c>
      <c r="G477" s="15" t="s">
        <v>1339</v>
      </c>
      <c r="H477" s="15" t="s">
        <v>54</v>
      </c>
      <c r="I477" s="18">
        <v>0</v>
      </c>
      <c r="J477" s="18">
        <v>0</v>
      </c>
      <c r="K477" s="19">
        <v>0</v>
      </c>
      <c r="L477" s="20">
        <v>0</v>
      </c>
      <c r="M477" s="15">
        <v>0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</row>
    <row r="478" spans="1:43">
      <c r="A478" s="15" t="s">
        <v>43</v>
      </c>
      <c r="B478" s="15" t="s">
        <v>44</v>
      </c>
      <c r="C478" s="15" t="s">
        <v>45</v>
      </c>
      <c r="D478" s="15" t="s">
        <v>1340</v>
      </c>
      <c r="E478" s="15" t="s">
        <v>1341</v>
      </c>
      <c r="F478" s="16">
        <v>42454.4283101852</v>
      </c>
      <c r="G478" s="15" t="s">
        <v>1341</v>
      </c>
      <c r="H478" s="15" t="s">
        <v>1342</v>
      </c>
      <c r="I478" s="18">
        <v>0</v>
      </c>
      <c r="J478" s="18">
        <v>0</v>
      </c>
      <c r="K478" s="19">
        <v>0</v>
      </c>
      <c r="L478" s="20">
        <v>0</v>
      </c>
      <c r="M478" s="15">
        <v>0</v>
      </c>
      <c r="N478" s="15">
        <v>0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</row>
    <row r="479" spans="1:43">
      <c r="A479" s="15" t="s">
        <v>64</v>
      </c>
      <c r="B479" s="15" t="s">
        <v>65</v>
      </c>
      <c r="C479" s="15" t="s">
        <v>78</v>
      </c>
      <c r="D479" s="15" t="s">
        <v>1343</v>
      </c>
      <c r="E479" s="15" t="s">
        <v>1344</v>
      </c>
      <c r="F479" s="16">
        <v>44991.6719444445</v>
      </c>
      <c r="G479" s="15" t="s">
        <v>1344</v>
      </c>
      <c r="H479" s="15" t="s">
        <v>54</v>
      </c>
      <c r="I479" s="18">
        <v>0</v>
      </c>
      <c r="J479" s="18">
        <v>0</v>
      </c>
      <c r="K479" s="19">
        <v>0</v>
      </c>
      <c r="L479" s="20">
        <v>0</v>
      </c>
      <c r="M479" s="15">
        <v>0</v>
      </c>
      <c r="N479" s="15">
        <v>0</v>
      </c>
      <c r="O479" s="15">
        <v>0</v>
      </c>
      <c r="P479" s="15">
        <v>0</v>
      </c>
      <c r="Q479" s="15">
        <v>0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</row>
    <row r="480" spans="1:43">
      <c r="A480" s="15" t="s">
        <v>49</v>
      </c>
      <c r="B480" s="15" t="s">
        <v>50</v>
      </c>
      <c r="C480" s="15" t="s">
        <v>61</v>
      </c>
      <c r="D480" s="15" t="s">
        <v>1345</v>
      </c>
      <c r="E480" s="15" t="s">
        <v>1346</v>
      </c>
      <c r="F480" s="16">
        <v>0</v>
      </c>
      <c r="G480" s="15" t="s">
        <v>1346</v>
      </c>
      <c r="H480" s="15" t="s">
        <v>54</v>
      </c>
      <c r="I480" s="18">
        <v>0</v>
      </c>
      <c r="J480" s="18">
        <v>0</v>
      </c>
      <c r="K480" s="19">
        <v>0</v>
      </c>
      <c r="L480" s="20">
        <v>0</v>
      </c>
      <c r="M480" s="15">
        <v>0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</row>
    <row r="481" spans="1:43">
      <c r="A481" s="15" t="s">
        <v>49</v>
      </c>
      <c r="B481" s="15" t="s">
        <v>50</v>
      </c>
      <c r="C481" s="15" t="s">
        <v>61</v>
      </c>
      <c r="D481" s="15" t="s">
        <v>1347</v>
      </c>
      <c r="E481" s="15" t="s">
        <v>1348</v>
      </c>
      <c r="F481" s="16">
        <v>0</v>
      </c>
      <c r="G481" s="15" t="s">
        <v>1348</v>
      </c>
      <c r="H481" s="15" t="s">
        <v>54</v>
      </c>
      <c r="I481" s="18">
        <v>0</v>
      </c>
      <c r="J481" s="18">
        <v>0</v>
      </c>
      <c r="K481" s="19">
        <v>0</v>
      </c>
      <c r="L481" s="20">
        <v>0</v>
      </c>
      <c r="M481" s="15">
        <v>0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</row>
    <row r="482" spans="1:43">
      <c r="A482" s="15" t="s">
        <v>49</v>
      </c>
      <c r="B482" s="15" t="s">
        <v>50</v>
      </c>
      <c r="C482" s="15" t="s">
        <v>51</v>
      </c>
      <c r="D482" s="15" t="s">
        <v>1349</v>
      </c>
      <c r="E482" s="15" t="s">
        <v>1350</v>
      </c>
      <c r="F482" s="16">
        <v>44532.4346296296</v>
      </c>
      <c r="G482" s="15" t="s">
        <v>1350</v>
      </c>
      <c r="H482" s="15" t="s">
        <v>54</v>
      </c>
      <c r="I482" s="18">
        <v>0</v>
      </c>
      <c r="J482" s="18">
        <v>0</v>
      </c>
      <c r="K482" s="19">
        <v>0</v>
      </c>
      <c r="L482" s="20">
        <v>0</v>
      </c>
      <c r="M482" s="15">
        <v>0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</row>
    <row r="483" spans="1:43">
      <c r="A483" s="15" t="s">
        <v>49</v>
      </c>
      <c r="B483" s="15" t="s">
        <v>50</v>
      </c>
      <c r="C483" s="15" t="s">
        <v>61</v>
      </c>
      <c r="D483" s="15" t="s">
        <v>1351</v>
      </c>
      <c r="E483" s="15" t="s">
        <v>1352</v>
      </c>
      <c r="F483" s="16">
        <v>0</v>
      </c>
      <c r="G483" s="15" t="s">
        <v>1352</v>
      </c>
      <c r="H483" s="15" t="s">
        <v>1353</v>
      </c>
      <c r="I483" s="18">
        <v>0</v>
      </c>
      <c r="J483" s="18">
        <v>0</v>
      </c>
      <c r="K483" s="19">
        <v>0</v>
      </c>
      <c r="L483" s="20">
        <v>0</v>
      </c>
      <c r="M483" s="15">
        <v>0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</row>
    <row r="484" spans="1:43">
      <c r="A484" s="15" t="s">
        <v>49</v>
      </c>
      <c r="B484" s="15" t="s">
        <v>50</v>
      </c>
      <c r="C484" s="15" t="s">
        <v>61</v>
      </c>
      <c r="D484" s="15" t="s">
        <v>1354</v>
      </c>
      <c r="E484" s="15" t="s">
        <v>1355</v>
      </c>
      <c r="F484" s="16">
        <v>0</v>
      </c>
      <c r="G484" s="15" t="s">
        <v>1355</v>
      </c>
      <c r="H484" s="15" t="s">
        <v>1356</v>
      </c>
      <c r="I484" s="18">
        <v>0</v>
      </c>
      <c r="J484" s="18">
        <v>0</v>
      </c>
      <c r="K484" s="19">
        <v>0</v>
      </c>
      <c r="L484" s="20">
        <v>0</v>
      </c>
      <c r="M484" s="15">
        <v>0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</row>
    <row r="485" spans="1:43">
      <c r="A485" s="15" t="s">
        <v>43</v>
      </c>
      <c r="B485" s="15" t="s">
        <v>44</v>
      </c>
      <c r="C485" s="15" t="s">
        <v>228</v>
      </c>
      <c r="D485" s="15" t="s">
        <v>1357</v>
      </c>
      <c r="E485" s="15" t="s">
        <v>1358</v>
      </c>
      <c r="F485" s="16">
        <v>44278.6427777778</v>
      </c>
      <c r="G485" s="15" t="s">
        <v>1358</v>
      </c>
      <c r="H485" s="15" t="s">
        <v>1359</v>
      </c>
      <c r="I485" s="18">
        <v>0</v>
      </c>
      <c r="J485" s="18">
        <v>0</v>
      </c>
      <c r="K485" s="19">
        <v>0</v>
      </c>
      <c r="L485" s="20">
        <v>0</v>
      </c>
      <c r="M485" s="15">
        <v>0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</row>
    <row r="486" spans="1:43">
      <c r="A486" s="15" t="s">
        <v>49</v>
      </c>
      <c r="B486" s="15" t="s">
        <v>50</v>
      </c>
      <c r="C486" s="15" t="s">
        <v>301</v>
      </c>
      <c r="D486" s="15" t="s">
        <v>1360</v>
      </c>
      <c r="E486" s="15" t="s">
        <v>1361</v>
      </c>
      <c r="F486" s="16">
        <v>43242.4424652778</v>
      </c>
      <c r="G486" s="15" t="s">
        <v>1361</v>
      </c>
      <c r="H486" s="15" t="s">
        <v>1362</v>
      </c>
      <c r="I486" s="18">
        <v>0</v>
      </c>
      <c r="J486" s="18">
        <v>0</v>
      </c>
      <c r="K486" s="19">
        <v>0</v>
      </c>
      <c r="L486" s="20">
        <v>0</v>
      </c>
      <c r="M486" s="15">
        <v>0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</row>
    <row r="487" spans="1:43">
      <c r="A487" s="15" t="s">
        <v>43</v>
      </c>
      <c r="B487" s="15" t="s">
        <v>44</v>
      </c>
      <c r="C487" s="15" t="s">
        <v>228</v>
      </c>
      <c r="D487" s="15" t="s">
        <v>1363</v>
      </c>
      <c r="E487" s="15" t="s">
        <v>1364</v>
      </c>
      <c r="F487" s="16">
        <v>44645.6663425926</v>
      </c>
      <c r="G487" s="15" t="s">
        <v>1364</v>
      </c>
      <c r="H487" s="15" t="s">
        <v>54</v>
      </c>
      <c r="I487" s="18">
        <v>0</v>
      </c>
      <c r="J487" s="18">
        <v>0</v>
      </c>
      <c r="K487" s="19">
        <v>0</v>
      </c>
      <c r="L487" s="20">
        <v>0</v>
      </c>
      <c r="M487" s="15">
        <v>0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</row>
    <row r="488" spans="1:43">
      <c r="A488" s="15" t="s">
        <v>43</v>
      </c>
      <c r="B488" s="15" t="s">
        <v>44</v>
      </c>
      <c r="C488" s="15" t="s">
        <v>45</v>
      </c>
      <c r="D488" s="15" t="s">
        <v>1365</v>
      </c>
      <c r="E488" s="15" t="s">
        <v>1366</v>
      </c>
      <c r="F488" s="16">
        <v>43937.4306018518</v>
      </c>
      <c r="G488" s="15" t="s">
        <v>1366</v>
      </c>
      <c r="H488" s="15" t="s">
        <v>54</v>
      </c>
      <c r="I488" s="18">
        <v>0</v>
      </c>
      <c r="J488" s="18">
        <v>0</v>
      </c>
      <c r="K488" s="19">
        <v>0</v>
      </c>
      <c r="L488" s="20">
        <v>0</v>
      </c>
      <c r="M488" s="15">
        <v>0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</row>
    <row r="489" spans="1:43">
      <c r="A489" s="15" t="s">
        <v>49</v>
      </c>
      <c r="B489" s="15" t="s">
        <v>50</v>
      </c>
      <c r="C489" s="15" t="s">
        <v>61</v>
      </c>
      <c r="D489" s="15" t="s">
        <v>1367</v>
      </c>
      <c r="E489" s="15" t="s">
        <v>1368</v>
      </c>
      <c r="F489" s="16">
        <v>0</v>
      </c>
      <c r="G489" s="15" t="s">
        <v>1368</v>
      </c>
      <c r="H489" s="15" t="s">
        <v>1369</v>
      </c>
      <c r="I489" s="18">
        <v>0</v>
      </c>
      <c r="J489" s="18">
        <v>0</v>
      </c>
      <c r="K489" s="19">
        <v>0</v>
      </c>
      <c r="L489" s="20">
        <v>0</v>
      </c>
      <c r="M489" s="15">
        <v>0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</row>
    <row r="490" spans="1:43">
      <c r="A490" s="15" t="s">
        <v>43</v>
      </c>
      <c r="B490" s="15" t="s">
        <v>44</v>
      </c>
      <c r="C490" s="15" t="s">
        <v>653</v>
      </c>
      <c r="D490" s="15" t="s">
        <v>1370</v>
      </c>
      <c r="E490" s="15" t="s">
        <v>1371</v>
      </c>
      <c r="F490" s="16">
        <v>40851.5795601852</v>
      </c>
      <c r="G490" s="15" t="s">
        <v>1371</v>
      </c>
      <c r="H490" s="15" t="s">
        <v>1372</v>
      </c>
      <c r="I490" s="18">
        <v>0</v>
      </c>
      <c r="J490" s="18">
        <v>0</v>
      </c>
      <c r="K490" s="19">
        <v>0</v>
      </c>
      <c r="L490" s="20">
        <v>0</v>
      </c>
      <c r="M490" s="15">
        <v>0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</row>
    <row r="491" spans="1:43">
      <c r="A491" s="15" t="s">
        <v>49</v>
      </c>
      <c r="B491" s="15" t="s">
        <v>50</v>
      </c>
      <c r="C491" s="15" t="s">
        <v>61</v>
      </c>
      <c r="D491" s="15" t="s">
        <v>1373</v>
      </c>
      <c r="E491" s="15" t="s">
        <v>1374</v>
      </c>
      <c r="F491" s="16">
        <v>0</v>
      </c>
      <c r="G491" s="15" t="s">
        <v>1374</v>
      </c>
      <c r="H491" s="15" t="s">
        <v>1375</v>
      </c>
      <c r="I491" s="18">
        <v>0</v>
      </c>
      <c r="J491" s="18">
        <v>0</v>
      </c>
      <c r="K491" s="19">
        <v>0</v>
      </c>
      <c r="L491" s="20">
        <v>0</v>
      </c>
      <c r="M491" s="15">
        <v>0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</row>
    <row r="492" spans="1:43">
      <c r="A492" s="15" t="s">
        <v>43</v>
      </c>
      <c r="B492" s="15" t="s">
        <v>44</v>
      </c>
      <c r="C492" s="15" t="s">
        <v>228</v>
      </c>
      <c r="D492" s="15" t="s">
        <v>1376</v>
      </c>
      <c r="E492" s="15" t="s">
        <v>1377</v>
      </c>
      <c r="F492" s="16">
        <v>44809.6431018518</v>
      </c>
      <c r="G492" s="15" t="s">
        <v>1377</v>
      </c>
      <c r="H492" s="15" t="s">
        <v>54</v>
      </c>
      <c r="I492" s="18">
        <v>0</v>
      </c>
      <c r="J492" s="18">
        <v>0</v>
      </c>
      <c r="K492" s="19">
        <v>0</v>
      </c>
      <c r="L492" s="20">
        <v>0</v>
      </c>
      <c r="M492" s="15">
        <v>0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</row>
    <row r="493" spans="1:43">
      <c r="A493" s="15" t="s">
        <v>43</v>
      </c>
      <c r="B493" s="15" t="s">
        <v>44</v>
      </c>
      <c r="C493" s="15" t="s">
        <v>45</v>
      </c>
      <c r="D493" s="15" t="s">
        <v>1378</v>
      </c>
      <c r="E493" s="15" t="s">
        <v>1379</v>
      </c>
      <c r="F493" s="16">
        <v>42909.6228703704</v>
      </c>
      <c r="G493" s="15" t="s">
        <v>1379</v>
      </c>
      <c r="H493" s="15" t="s">
        <v>1380</v>
      </c>
      <c r="I493" s="18">
        <v>0</v>
      </c>
      <c r="J493" s="18">
        <v>0</v>
      </c>
      <c r="K493" s="19">
        <v>0</v>
      </c>
      <c r="L493" s="20">
        <v>0</v>
      </c>
      <c r="M493" s="15">
        <v>0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</row>
    <row r="494" spans="1:43">
      <c r="A494" s="15" t="s">
        <v>49</v>
      </c>
      <c r="B494" s="15" t="s">
        <v>50</v>
      </c>
      <c r="C494" s="15" t="s">
        <v>61</v>
      </c>
      <c r="D494" s="15" t="s">
        <v>1381</v>
      </c>
      <c r="E494" s="15" t="s">
        <v>1382</v>
      </c>
      <c r="F494" s="16">
        <v>0</v>
      </c>
      <c r="G494" s="15" t="s">
        <v>1382</v>
      </c>
      <c r="H494" s="15" t="s">
        <v>54</v>
      </c>
      <c r="I494" s="18">
        <v>0</v>
      </c>
      <c r="J494" s="18">
        <v>0</v>
      </c>
      <c r="K494" s="19">
        <v>0</v>
      </c>
      <c r="L494" s="20">
        <v>0</v>
      </c>
      <c r="M494" s="15">
        <v>0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</row>
    <row r="495" spans="1:43">
      <c r="A495" s="15" t="s">
        <v>49</v>
      </c>
      <c r="B495" s="15" t="s">
        <v>50</v>
      </c>
      <c r="C495" s="15" t="s">
        <v>61</v>
      </c>
      <c r="D495" s="15" t="s">
        <v>1383</v>
      </c>
      <c r="E495" s="15" t="s">
        <v>1384</v>
      </c>
      <c r="F495" s="16">
        <v>0</v>
      </c>
      <c r="G495" s="15" t="s">
        <v>1384</v>
      </c>
      <c r="H495" s="15" t="s">
        <v>1385</v>
      </c>
      <c r="I495" s="18">
        <v>0</v>
      </c>
      <c r="J495" s="18">
        <v>0</v>
      </c>
      <c r="K495" s="19">
        <v>0</v>
      </c>
      <c r="L495" s="20">
        <v>0</v>
      </c>
      <c r="M495" s="15">
        <v>0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</row>
    <row r="496" spans="1:43">
      <c r="A496" s="15" t="s">
        <v>49</v>
      </c>
      <c r="B496" s="15" t="s">
        <v>50</v>
      </c>
      <c r="C496" s="15" t="s">
        <v>301</v>
      </c>
      <c r="D496" s="15" t="s">
        <v>1386</v>
      </c>
      <c r="E496" s="15" t="s">
        <v>1387</v>
      </c>
      <c r="F496" s="16">
        <v>44618.4074537037</v>
      </c>
      <c r="G496" s="15" t="s">
        <v>1387</v>
      </c>
      <c r="H496" s="15" t="s">
        <v>54</v>
      </c>
      <c r="I496" s="18">
        <v>0</v>
      </c>
      <c r="J496" s="18">
        <v>0</v>
      </c>
      <c r="K496" s="19">
        <v>0</v>
      </c>
      <c r="L496" s="20">
        <v>0</v>
      </c>
      <c r="M496" s="15">
        <v>0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</row>
    <row r="497" spans="1:43">
      <c r="A497" s="15" t="s">
        <v>64</v>
      </c>
      <c r="B497" s="15" t="s">
        <v>65</v>
      </c>
      <c r="C497" s="15" t="s">
        <v>66</v>
      </c>
      <c r="D497" s="15" t="s">
        <v>1388</v>
      </c>
      <c r="E497" s="15" t="s">
        <v>1389</v>
      </c>
      <c r="F497" s="16">
        <v>44820.5900347222</v>
      </c>
      <c r="G497" s="15" t="s">
        <v>1389</v>
      </c>
      <c r="H497" s="15" t="s">
        <v>1390</v>
      </c>
      <c r="I497" s="18">
        <v>0</v>
      </c>
      <c r="J497" s="18">
        <v>0</v>
      </c>
      <c r="K497" s="19">
        <v>0</v>
      </c>
      <c r="L497" s="20">
        <v>0</v>
      </c>
      <c r="M497" s="15">
        <v>0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</row>
    <row r="498" spans="1:43">
      <c r="A498" s="15" t="s">
        <v>49</v>
      </c>
      <c r="B498" s="15" t="s">
        <v>50</v>
      </c>
      <c r="C498" s="15" t="s">
        <v>61</v>
      </c>
      <c r="D498" s="15" t="s">
        <v>1391</v>
      </c>
      <c r="E498" s="15" t="s">
        <v>1392</v>
      </c>
      <c r="F498" s="16">
        <v>0</v>
      </c>
      <c r="G498" s="15" t="s">
        <v>1392</v>
      </c>
      <c r="H498" s="15" t="s">
        <v>1393</v>
      </c>
      <c r="I498" s="18">
        <v>0</v>
      </c>
      <c r="J498" s="18">
        <v>0</v>
      </c>
      <c r="K498" s="19">
        <v>0</v>
      </c>
      <c r="L498" s="20">
        <v>0</v>
      </c>
      <c r="M498" s="15">
        <v>0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</row>
    <row r="499" spans="1:43">
      <c r="A499" s="15" t="s">
        <v>64</v>
      </c>
      <c r="B499" s="15" t="s">
        <v>65</v>
      </c>
      <c r="C499" s="15" t="s">
        <v>78</v>
      </c>
      <c r="D499" s="15" t="s">
        <v>1394</v>
      </c>
      <c r="E499" s="15" t="s">
        <v>1395</v>
      </c>
      <c r="F499" s="16">
        <v>44994.4507175926</v>
      </c>
      <c r="G499" s="15" t="s">
        <v>1395</v>
      </c>
      <c r="H499" s="15" t="s">
        <v>54</v>
      </c>
      <c r="I499" s="18">
        <v>0</v>
      </c>
      <c r="J499" s="18">
        <v>0</v>
      </c>
      <c r="K499" s="19">
        <v>0</v>
      </c>
      <c r="L499" s="20">
        <v>0</v>
      </c>
      <c r="M499" s="15">
        <v>0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</row>
    <row r="500" spans="1:43">
      <c r="A500" s="15" t="s">
        <v>43</v>
      </c>
      <c r="B500" s="15" t="s">
        <v>44</v>
      </c>
      <c r="C500" s="15" t="s">
        <v>45</v>
      </c>
      <c r="D500" s="15" t="s">
        <v>1396</v>
      </c>
      <c r="E500" s="15" t="s">
        <v>1397</v>
      </c>
      <c r="F500" s="16">
        <v>43094.4446990741</v>
      </c>
      <c r="G500" s="15" t="s">
        <v>1397</v>
      </c>
      <c r="H500" s="15" t="s">
        <v>1398</v>
      </c>
      <c r="I500" s="18">
        <v>0</v>
      </c>
      <c r="J500" s="18">
        <v>0</v>
      </c>
      <c r="K500" s="19">
        <v>0</v>
      </c>
      <c r="L500" s="20">
        <v>0</v>
      </c>
      <c r="M500" s="15">
        <v>0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</row>
    <row r="501" spans="1:43">
      <c r="A501" s="15" t="s">
        <v>49</v>
      </c>
      <c r="B501" s="15" t="s">
        <v>50</v>
      </c>
      <c r="C501" s="15" t="s">
        <v>61</v>
      </c>
      <c r="D501" s="15" t="s">
        <v>1399</v>
      </c>
      <c r="E501" s="15" t="s">
        <v>1400</v>
      </c>
      <c r="F501" s="16">
        <v>0</v>
      </c>
      <c r="G501" s="15" t="s">
        <v>1400</v>
      </c>
      <c r="H501" s="15" t="s">
        <v>1401</v>
      </c>
      <c r="I501" s="18">
        <v>0</v>
      </c>
      <c r="J501" s="18">
        <v>0</v>
      </c>
      <c r="K501" s="19">
        <v>0</v>
      </c>
      <c r="L501" s="20">
        <v>0</v>
      </c>
      <c r="M501" s="15">
        <v>0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</row>
    <row r="502" spans="1:43">
      <c r="A502" s="15" t="s">
        <v>43</v>
      </c>
      <c r="B502" s="15" t="s">
        <v>44</v>
      </c>
      <c r="C502" s="15" t="s">
        <v>45</v>
      </c>
      <c r="D502" s="15" t="s">
        <v>1402</v>
      </c>
      <c r="E502" s="15" t="s">
        <v>1403</v>
      </c>
      <c r="F502" s="16">
        <v>43004.7719328704</v>
      </c>
      <c r="G502" s="15" t="s">
        <v>1403</v>
      </c>
      <c r="H502" s="15" t="s">
        <v>1404</v>
      </c>
      <c r="I502" s="18">
        <v>0</v>
      </c>
      <c r="J502" s="18">
        <v>0</v>
      </c>
      <c r="K502" s="19">
        <v>0</v>
      </c>
      <c r="L502" s="20">
        <v>0</v>
      </c>
      <c r="M502" s="15">
        <v>0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</row>
    <row r="503" spans="1:43">
      <c r="A503" s="15" t="s">
        <v>43</v>
      </c>
      <c r="B503" s="15" t="s">
        <v>44</v>
      </c>
      <c r="C503" s="15" t="s">
        <v>440</v>
      </c>
      <c r="D503" s="15" t="s">
        <v>1405</v>
      </c>
      <c r="E503" s="15" t="s">
        <v>1406</v>
      </c>
      <c r="F503" s="16">
        <v>45016.6294560185</v>
      </c>
      <c r="G503" s="15" t="s">
        <v>1406</v>
      </c>
      <c r="H503" s="15" t="s">
        <v>54</v>
      </c>
      <c r="I503" s="18">
        <v>712.47</v>
      </c>
      <c r="J503" s="18">
        <v>14</v>
      </c>
      <c r="K503" s="19">
        <v>50.8907142857143</v>
      </c>
      <c r="L503" s="20">
        <v>1.01781428571429</v>
      </c>
      <c r="M503" s="15">
        <v>50.46</v>
      </c>
      <c r="N503" s="15">
        <v>50.64</v>
      </c>
      <c r="O503" s="15">
        <v>55.62</v>
      </c>
      <c r="P503" s="15">
        <v>50.37</v>
      </c>
      <c r="Q503" s="15">
        <v>50.22</v>
      </c>
      <c r="R503" s="15">
        <v>50.62</v>
      </c>
      <c r="S503" s="15">
        <v>50.06</v>
      </c>
      <c r="T503" s="15">
        <v>50.06</v>
      </c>
      <c r="U503" s="15">
        <v>50.68</v>
      </c>
      <c r="V503" s="15">
        <v>50.16</v>
      </c>
      <c r="W503" s="15">
        <v>52.26</v>
      </c>
      <c r="X503" s="15">
        <v>50.28</v>
      </c>
      <c r="Y503" s="15">
        <v>50.08</v>
      </c>
      <c r="Z503" s="15">
        <v>50.96</v>
      </c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</row>
    <row r="504" spans="1:43">
      <c r="A504" s="15" t="s">
        <v>64</v>
      </c>
      <c r="B504" s="15" t="s">
        <v>118</v>
      </c>
      <c r="C504" s="15" t="s">
        <v>131</v>
      </c>
      <c r="D504" s="15" t="s">
        <v>1407</v>
      </c>
      <c r="E504" s="15" t="s">
        <v>1408</v>
      </c>
      <c r="F504" s="16">
        <v>45075.6278125</v>
      </c>
      <c r="G504" s="15" t="s">
        <v>1408</v>
      </c>
      <c r="H504" s="15" t="s">
        <v>54</v>
      </c>
      <c r="I504" s="18">
        <v>1309.92</v>
      </c>
      <c r="J504" s="18">
        <v>14</v>
      </c>
      <c r="K504" s="19">
        <v>93.5657142857143</v>
      </c>
      <c r="L504" s="20">
        <v>1.33665306122449</v>
      </c>
      <c r="M504" s="15">
        <v>38.97</v>
      </c>
      <c r="N504" s="15">
        <v>18.16</v>
      </c>
      <c r="O504" s="15">
        <v>100.95</v>
      </c>
      <c r="P504" s="15">
        <v>100.27</v>
      </c>
      <c r="Q504" s="15">
        <v>110.41</v>
      </c>
      <c r="R504" s="15">
        <v>110.38</v>
      </c>
      <c r="S504" s="15">
        <v>103.09</v>
      </c>
      <c r="T504" s="15">
        <v>105.18</v>
      </c>
      <c r="U504" s="15">
        <v>100.55</v>
      </c>
      <c r="V504" s="15">
        <v>102.82</v>
      </c>
      <c r="W504" s="15">
        <v>106.77</v>
      </c>
      <c r="X504" s="15">
        <v>100.32</v>
      </c>
      <c r="Y504" s="15">
        <v>110.24</v>
      </c>
      <c r="Z504" s="15">
        <v>101.81</v>
      </c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</row>
    <row r="505" spans="1:43">
      <c r="A505" s="15" t="s">
        <v>64</v>
      </c>
      <c r="B505" s="15" t="s">
        <v>118</v>
      </c>
      <c r="C505" s="15" t="s">
        <v>131</v>
      </c>
      <c r="D505" s="15" t="s">
        <v>1409</v>
      </c>
      <c r="E505" s="15" t="s">
        <v>1410</v>
      </c>
      <c r="F505" s="16">
        <v>45139.7046296296</v>
      </c>
      <c r="G505" s="15" t="s">
        <v>1410</v>
      </c>
      <c r="H505" s="15" t="s">
        <v>1411</v>
      </c>
      <c r="I505" s="18">
        <v>558.57</v>
      </c>
      <c r="J505" s="18">
        <v>7</v>
      </c>
      <c r="K505" s="19">
        <v>79.7957142857143</v>
      </c>
      <c r="L505" s="20">
        <v>1.1399387755102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47.62</v>
      </c>
      <c r="U505" s="15">
        <v>110.06</v>
      </c>
      <c r="V505" s="15">
        <v>59.16</v>
      </c>
      <c r="W505" s="15">
        <v>47.36</v>
      </c>
      <c r="X505" s="15">
        <v>38.51</v>
      </c>
      <c r="Y505" s="15">
        <v>55.25</v>
      </c>
      <c r="Z505" s="15">
        <v>200.61</v>
      </c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</row>
    <row r="506" spans="1:43">
      <c r="A506" s="15" t="s">
        <v>43</v>
      </c>
      <c r="B506" s="15" t="s">
        <v>44</v>
      </c>
      <c r="C506" s="15" t="s">
        <v>45</v>
      </c>
      <c r="D506" s="15" t="s">
        <v>1412</v>
      </c>
      <c r="E506" s="15" t="s">
        <v>1413</v>
      </c>
      <c r="F506" s="16">
        <v>42501.4561689815</v>
      </c>
      <c r="G506" s="15" t="s">
        <v>1413</v>
      </c>
      <c r="H506" s="15" t="s">
        <v>1414</v>
      </c>
      <c r="I506" s="18">
        <v>0</v>
      </c>
      <c r="J506" s="18">
        <v>0</v>
      </c>
      <c r="K506" s="19">
        <v>0</v>
      </c>
      <c r="L506" s="20">
        <v>0</v>
      </c>
      <c r="M506" s="15">
        <v>0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</row>
    <row r="507" spans="1:43">
      <c r="A507" s="15" t="s">
        <v>49</v>
      </c>
      <c r="B507" s="15" t="s">
        <v>50</v>
      </c>
      <c r="C507" s="15" t="s">
        <v>61</v>
      </c>
      <c r="D507" s="15" t="s">
        <v>1415</v>
      </c>
      <c r="E507" s="15" t="s">
        <v>1416</v>
      </c>
      <c r="F507" s="16">
        <v>0</v>
      </c>
      <c r="G507" s="15" t="s">
        <v>1416</v>
      </c>
      <c r="H507" s="15" t="s">
        <v>1417</v>
      </c>
      <c r="I507" s="18">
        <v>0</v>
      </c>
      <c r="J507" s="18">
        <v>0</v>
      </c>
      <c r="K507" s="19">
        <v>0</v>
      </c>
      <c r="L507" s="20">
        <v>0</v>
      </c>
      <c r="M507" s="15">
        <v>0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</row>
    <row r="508" spans="1:43">
      <c r="A508" s="15" t="s">
        <v>43</v>
      </c>
      <c r="B508" s="15" t="s">
        <v>44</v>
      </c>
      <c r="C508" s="15" t="s">
        <v>228</v>
      </c>
      <c r="D508" s="15" t="s">
        <v>1418</v>
      </c>
      <c r="E508" s="15" t="s">
        <v>1419</v>
      </c>
      <c r="F508" s="16">
        <v>44845.3771875</v>
      </c>
      <c r="G508" s="15" t="s">
        <v>1419</v>
      </c>
      <c r="H508" s="15" t="s">
        <v>54</v>
      </c>
      <c r="I508" s="18">
        <v>0</v>
      </c>
      <c r="J508" s="18">
        <v>0</v>
      </c>
      <c r="K508" s="19">
        <v>0</v>
      </c>
      <c r="L508" s="20">
        <v>0</v>
      </c>
      <c r="M508" s="15">
        <v>0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</row>
    <row r="509" spans="1:43">
      <c r="A509" s="15" t="s">
        <v>49</v>
      </c>
      <c r="B509" s="15" t="s">
        <v>50</v>
      </c>
      <c r="C509" s="15" t="s">
        <v>61</v>
      </c>
      <c r="D509" s="15" t="s">
        <v>1420</v>
      </c>
      <c r="E509" s="15" t="s">
        <v>1421</v>
      </c>
      <c r="F509" s="16">
        <v>0</v>
      </c>
      <c r="G509" s="15" t="s">
        <v>1421</v>
      </c>
      <c r="H509" s="15" t="s">
        <v>54</v>
      </c>
      <c r="I509" s="18">
        <v>0</v>
      </c>
      <c r="J509" s="18">
        <v>0</v>
      </c>
      <c r="K509" s="19">
        <v>0</v>
      </c>
      <c r="L509" s="20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</row>
    <row r="510" spans="1:43">
      <c r="A510" s="15" t="s">
        <v>49</v>
      </c>
      <c r="B510" s="15" t="s">
        <v>50</v>
      </c>
      <c r="C510" s="15" t="s">
        <v>51</v>
      </c>
      <c r="D510" s="15" t="s">
        <v>1422</v>
      </c>
      <c r="E510" s="15" t="s">
        <v>1423</v>
      </c>
      <c r="F510" s="16">
        <v>44749.4256134259</v>
      </c>
      <c r="G510" s="15" t="s">
        <v>1423</v>
      </c>
      <c r="H510" s="15" t="s">
        <v>1424</v>
      </c>
      <c r="I510" s="18">
        <v>1548.62</v>
      </c>
      <c r="J510" s="18">
        <v>14</v>
      </c>
      <c r="K510" s="19">
        <v>110.615714285714</v>
      </c>
      <c r="L510" s="20">
        <v>2.21231428571429</v>
      </c>
      <c r="M510" s="15">
        <v>101.3</v>
      </c>
      <c r="N510" s="15">
        <v>103.14</v>
      </c>
      <c r="O510" s="15">
        <v>105.82</v>
      </c>
      <c r="P510" s="15">
        <v>101.81</v>
      </c>
      <c r="Q510" s="15">
        <v>122.25</v>
      </c>
      <c r="R510" s="15">
        <v>105.67</v>
      </c>
      <c r="S510" s="15">
        <v>119.96</v>
      </c>
      <c r="T510" s="15">
        <v>106.83</v>
      </c>
      <c r="U510" s="15">
        <v>109.01</v>
      </c>
      <c r="V510" s="15">
        <v>101.13</v>
      </c>
      <c r="W510" s="15">
        <v>103.69</v>
      </c>
      <c r="X510" s="15">
        <v>141.19</v>
      </c>
      <c r="Y510" s="15">
        <v>117.1</v>
      </c>
      <c r="Z510" s="15">
        <v>109.72</v>
      </c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</row>
    <row r="511" spans="1:43">
      <c r="A511" s="15" t="s">
        <v>43</v>
      </c>
      <c r="B511" s="15" t="s">
        <v>44</v>
      </c>
      <c r="C511" s="15" t="s">
        <v>45</v>
      </c>
      <c r="D511" s="15" t="s">
        <v>1425</v>
      </c>
      <c r="E511" s="15" t="s">
        <v>1426</v>
      </c>
      <c r="F511" s="16">
        <v>42156.7224074074</v>
      </c>
      <c r="G511" s="15" t="s">
        <v>1426</v>
      </c>
      <c r="H511" s="15" t="s">
        <v>1427</v>
      </c>
      <c r="I511" s="18">
        <v>0</v>
      </c>
      <c r="J511" s="18">
        <v>0</v>
      </c>
      <c r="K511" s="19">
        <v>0</v>
      </c>
      <c r="L511" s="20">
        <v>0</v>
      </c>
      <c r="M511" s="15">
        <v>0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</row>
    <row r="512" spans="1:43">
      <c r="A512" s="15" t="s">
        <v>64</v>
      </c>
      <c r="B512" s="15" t="s">
        <v>118</v>
      </c>
      <c r="C512" s="15" t="s">
        <v>119</v>
      </c>
      <c r="D512" s="15" t="s">
        <v>1428</v>
      </c>
      <c r="E512" s="15" t="s">
        <v>1429</v>
      </c>
      <c r="F512" s="16">
        <v>45070.7277314815</v>
      </c>
      <c r="G512" s="15" t="s">
        <v>1429</v>
      </c>
      <c r="H512" s="15" t="s">
        <v>54</v>
      </c>
      <c r="I512" s="18">
        <v>1572.93</v>
      </c>
      <c r="J512" s="18">
        <v>12</v>
      </c>
      <c r="K512" s="19">
        <v>131.0775</v>
      </c>
      <c r="L512" s="20">
        <v>1.87253571428571</v>
      </c>
      <c r="M512" s="15">
        <v>158.5</v>
      </c>
      <c r="N512" s="15">
        <v>174.88</v>
      </c>
      <c r="O512" s="15">
        <v>171.28</v>
      </c>
      <c r="P512" s="15">
        <v>182.86</v>
      </c>
      <c r="Q512" s="15">
        <v>0</v>
      </c>
      <c r="R512" s="15">
        <v>0</v>
      </c>
      <c r="S512" s="15">
        <v>202.11</v>
      </c>
      <c r="T512" s="15">
        <v>222.99</v>
      </c>
      <c r="U512" s="15">
        <v>209.73</v>
      </c>
      <c r="V512" s="15">
        <v>209.59</v>
      </c>
      <c r="W512" s="15">
        <v>15.09</v>
      </c>
      <c r="X512" s="15">
        <v>13.54</v>
      </c>
      <c r="Y512" s="15">
        <v>7.57</v>
      </c>
      <c r="Z512" s="15">
        <v>4.79</v>
      </c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</row>
    <row r="513" spans="1:43">
      <c r="A513" s="15" t="s">
        <v>49</v>
      </c>
      <c r="B513" s="15" t="s">
        <v>50</v>
      </c>
      <c r="C513" s="15" t="s">
        <v>301</v>
      </c>
      <c r="D513" s="15" t="s">
        <v>1430</v>
      </c>
      <c r="E513" s="15" t="s">
        <v>1431</v>
      </c>
      <c r="F513" s="16">
        <v>45033.4426273148</v>
      </c>
      <c r="G513" s="15" t="s">
        <v>1431</v>
      </c>
      <c r="H513" s="15" t="s">
        <v>1432</v>
      </c>
      <c r="I513" s="18">
        <v>676.63</v>
      </c>
      <c r="J513" s="18">
        <v>14</v>
      </c>
      <c r="K513" s="19">
        <v>48.3307142857143</v>
      </c>
      <c r="L513" s="20">
        <v>0.966614285714286</v>
      </c>
      <c r="M513" s="15">
        <v>52.21</v>
      </c>
      <c r="N513" s="15">
        <v>47.74</v>
      </c>
      <c r="O513" s="15">
        <v>51.91</v>
      </c>
      <c r="P513" s="15">
        <v>51.77</v>
      </c>
      <c r="Q513" s="15">
        <v>49.12</v>
      </c>
      <c r="R513" s="15">
        <v>53.39</v>
      </c>
      <c r="S513" s="15">
        <v>50.75</v>
      </c>
      <c r="T513" s="15">
        <v>8.69</v>
      </c>
      <c r="U513" s="15">
        <v>50.07</v>
      </c>
      <c r="V513" s="15">
        <v>51.84</v>
      </c>
      <c r="W513" s="15">
        <v>52.66</v>
      </c>
      <c r="X513" s="15">
        <v>50.61</v>
      </c>
      <c r="Y513" s="15">
        <v>50.94</v>
      </c>
      <c r="Z513" s="15">
        <v>54.93</v>
      </c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</row>
    <row r="514" spans="1:43">
      <c r="A514" s="15" t="s">
        <v>43</v>
      </c>
      <c r="B514" s="15" t="s">
        <v>44</v>
      </c>
      <c r="C514" s="15" t="s">
        <v>45</v>
      </c>
      <c r="D514" s="15" t="s">
        <v>1433</v>
      </c>
      <c r="E514" s="15" t="s">
        <v>1434</v>
      </c>
      <c r="F514" s="16">
        <v>42286.7232638889</v>
      </c>
      <c r="G514" s="15" t="s">
        <v>1434</v>
      </c>
      <c r="H514" s="15" t="s">
        <v>1435</v>
      </c>
      <c r="I514" s="18">
        <v>0</v>
      </c>
      <c r="J514" s="18">
        <v>0</v>
      </c>
      <c r="K514" s="19">
        <v>0</v>
      </c>
      <c r="L514" s="20">
        <v>0</v>
      </c>
      <c r="M514" s="15">
        <v>0</v>
      </c>
      <c r="N514" s="15">
        <v>0</v>
      </c>
      <c r="O514" s="15">
        <v>0</v>
      </c>
      <c r="P514" s="15">
        <v>0</v>
      </c>
      <c r="Q514" s="15">
        <v>0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</row>
    <row r="515" spans="1:43">
      <c r="A515" s="15" t="s">
        <v>43</v>
      </c>
      <c r="B515" s="15" t="s">
        <v>44</v>
      </c>
      <c r="C515" s="15" t="s">
        <v>45</v>
      </c>
      <c r="D515" s="15" t="s">
        <v>1436</v>
      </c>
      <c r="E515" s="15" t="s">
        <v>1437</v>
      </c>
      <c r="F515" s="16">
        <v>41209.4119560185</v>
      </c>
      <c r="G515" s="15" t="s">
        <v>1437</v>
      </c>
      <c r="H515" s="15" t="s">
        <v>1438</v>
      </c>
      <c r="I515" s="18">
        <v>0</v>
      </c>
      <c r="J515" s="18">
        <v>0</v>
      </c>
      <c r="K515" s="19">
        <v>0</v>
      </c>
      <c r="L515" s="20">
        <v>0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</row>
    <row r="516" spans="1:43">
      <c r="A516" s="15" t="s">
        <v>49</v>
      </c>
      <c r="B516" s="15" t="s">
        <v>50</v>
      </c>
      <c r="C516" s="15" t="s">
        <v>75</v>
      </c>
      <c r="D516" s="15" t="s">
        <v>1439</v>
      </c>
      <c r="E516" s="15" t="s">
        <v>1440</v>
      </c>
      <c r="F516" s="16">
        <v>45146.6964467593</v>
      </c>
      <c r="G516" s="15" t="s">
        <v>1440</v>
      </c>
      <c r="H516" s="15" t="s">
        <v>1441</v>
      </c>
      <c r="I516" s="18">
        <v>0</v>
      </c>
      <c r="J516" s="18">
        <v>0</v>
      </c>
      <c r="K516" s="19">
        <v>0</v>
      </c>
      <c r="L516" s="20">
        <v>0</v>
      </c>
      <c r="M516" s="15">
        <v>0</v>
      </c>
      <c r="N516" s="15">
        <v>0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</row>
    <row r="517" spans="1:43">
      <c r="A517" s="15" t="s">
        <v>49</v>
      </c>
      <c r="B517" s="15" t="s">
        <v>50</v>
      </c>
      <c r="C517" s="15" t="s">
        <v>61</v>
      </c>
      <c r="D517" s="15" t="s">
        <v>1442</v>
      </c>
      <c r="E517" s="15" t="s">
        <v>1443</v>
      </c>
      <c r="F517" s="16">
        <v>0</v>
      </c>
      <c r="G517" s="15" t="s">
        <v>1443</v>
      </c>
      <c r="H517" s="15" t="s">
        <v>1444</v>
      </c>
      <c r="I517" s="18">
        <v>0</v>
      </c>
      <c r="J517" s="18">
        <v>0</v>
      </c>
      <c r="K517" s="19">
        <v>0</v>
      </c>
      <c r="L517" s="20">
        <v>0</v>
      </c>
      <c r="M517" s="15">
        <v>0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</row>
    <row r="518" spans="1:43">
      <c r="A518" s="15" t="s">
        <v>49</v>
      </c>
      <c r="B518" s="15" t="s">
        <v>50</v>
      </c>
      <c r="C518" s="15" t="s">
        <v>61</v>
      </c>
      <c r="D518" s="15" t="s">
        <v>1445</v>
      </c>
      <c r="E518" s="15" t="s">
        <v>1446</v>
      </c>
      <c r="F518" s="16">
        <v>0</v>
      </c>
      <c r="G518" s="15" t="s">
        <v>1446</v>
      </c>
      <c r="H518" s="15" t="s">
        <v>54</v>
      </c>
      <c r="I518" s="18">
        <v>0</v>
      </c>
      <c r="J518" s="18">
        <v>0</v>
      </c>
      <c r="K518" s="19">
        <v>0</v>
      </c>
      <c r="L518" s="20">
        <v>0</v>
      </c>
      <c r="M518" s="15">
        <v>0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</row>
    <row r="519" spans="1:43">
      <c r="A519" s="15" t="s">
        <v>43</v>
      </c>
      <c r="B519" s="15" t="s">
        <v>44</v>
      </c>
      <c r="C519" s="15" t="s">
        <v>45</v>
      </c>
      <c r="D519" s="15" t="s">
        <v>1447</v>
      </c>
      <c r="E519" s="15" t="s">
        <v>1448</v>
      </c>
      <c r="F519" s="16">
        <v>41102.6394791667</v>
      </c>
      <c r="G519" s="15" t="s">
        <v>1448</v>
      </c>
      <c r="H519" s="15" t="s">
        <v>1449</v>
      </c>
      <c r="I519" s="18">
        <v>0</v>
      </c>
      <c r="J519" s="18">
        <v>0</v>
      </c>
      <c r="K519" s="19">
        <v>0</v>
      </c>
      <c r="L519" s="20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</row>
    <row r="520" spans="1:43">
      <c r="A520" s="15" t="s">
        <v>49</v>
      </c>
      <c r="B520" s="15" t="s">
        <v>50</v>
      </c>
      <c r="C520" s="15" t="s">
        <v>75</v>
      </c>
      <c r="D520" s="15" t="s">
        <v>1450</v>
      </c>
      <c r="E520" s="15" t="s">
        <v>1451</v>
      </c>
      <c r="F520" s="16">
        <v>45050.6721527778</v>
      </c>
      <c r="G520" s="15" t="s">
        <v>1451</v>
      </c>
      <c r="H520" s="15" t="s">
        <v>54</v>
      </c>
      <c r="I520" s="18">
        <v>339.78</v>
      </c>
      <c r="J520" s="18">
        <v>13</v>
      </c>
      <c r="K520" s="19">
        <v>26.1369230769231</v>
      </c>
      <c r="L520" s="20">
        <v>0.522738461538461</v>
      </c>
      <c r="M520" s="15">
        <v>71.99</v>
      </c>
      <c r="N520" s="15">
        <v>68.4</v>
      </c>
      <c r="O520" s="15">
        <v>3.49</v>
      </c>
      <c r="P520" s="15">
        <v>0</v>
      </c>
      <c r="Q520" s="15">
        <v>82.87</v>
      </c>
      <c r="R520" s="15">
        <v>4.79</v>
      </c>
      <c r="S520" s="15">
        <v>8.5</v>
      </c>
      <c r="T520" s="15">
        <v>39.87</v>
      </c>
      <c r="U520" s="15">
        <v>2.5</v>
      </c>
      <c r="V520" s="15">
        <v>23.09</v>
      </c>
      <c r="W520" s="15">
        <v>6.39</v>
      </c>
      <c r="X520" s="15">
        <v>11.6</v>
      </c>
      <c r="Y520" s="15">
        <v>4.72</v>
      </c>
      <c r="Z520" s="15">
        <v>11.57</v>
      </c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</row>
    <row r="521" spans="1:43">
      <c r="A521" s="15" t="s">
        <v>49</v>
      </c>
      <c r="B521" s="15" t="s">
        <v>50</v>
      </c>
      <c r="C521" s="15" t="s">
        <v>61</v>
      </c>
      <c r="D521" s="15" t="s">
        <v>1452</v>
      </c>
      <c r="E521" s="15" t="s">
        <v>1453</v>
      </c>
      <c r="F521" s="16">
        <v>0</v>
      </c>
      <c r="G521" s="15" t="s">
        <v>1453</v>
      </c>
      <c r="H521" s="15" t="s">
        <v>54</v>
      </c>
      <c r="I521" s="18">
        <v>0</v>
      </c>
      <c r="J521" s="18">
        <v>0</v>
      </c>
      <c r="K521" s="19">
        <v>0</v>
      </c>
      <c r="L521" s="20">
        <v>0</v>
      </c>
      <c r="M521" s="15">
        <v>0</v>
      </c>
      <c r="N521" s="15">
        <v>0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</row>
    <row r="522" spans="1:43">
      <c r="A522" s="15" t="s">
        <v>49</v>
      </c>
      <c r="B522" s="15" t="s">
        <v>50</v>
      </c>
      <c r="C522" s="15" t="s">
        <v>51</v>
      </c>
      <c r="D522" s="15" t="s">
        <v>1454</v>
      </c>
      <c r="E522" s="15" t="s">
        <v>1455</v>
      </c>
      <c r="F522" s="16">
        <v>44452.6760300926</v>
      </c>
      <c r="G522" s="15" t="s">
        <v>1455</v>
      </c>
      <c r="H522" s="15" t="s">
        <v>54</v>
      </c>
      <c r="I522" s="18">
        <v>0</v>
      </c>
      <c r="J522" s="18">
        <v>0</v>
      </c>
      <c r="K522" s="19">
        <v>0</v>
      </c>
      <c r="L522" s="20">
        <v>0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</row>
    <row r="523" spans="1:43">
      <c r="A523" s="15" t="s">
        <v>43</v>
      </c>
      <c r="B523" s="15" t="s">
        <v>44</v>
      </c>
      <c r="C523" s="15" t="s">
        <v>45</v>
      </c>
      <c r="D523" s="15" t="s">
        <v>1456</v>
      </c>
      <c r="E523" s="15" t="s">
        <v>1457</v>
      </c>
      <c r="F523" s="16">
        <v>43089.7205787037</v>
      </c>
      <c r="G523" s="15" t="s">
        <v>1457</v>
      </c>
      <c r="H523" s="15" t="s">
        <v>1458</v>
      </c>
      <c r="I523" s="18">
        <v>0</v>
      </c>
      <c r="J523" s="18">
        <v>0</v>
      </c>
      <c r="K523" s="19">
        <v>0</v>
      </c>
      <c r="L523" s="20">
        <v>0</v>
      </c>
      <c r="M523" s="15">
        <v>0</v>
      </c>
      <c r="N523" s="15">
        <v>0</v>
      </c>
      <c r="O523" s="15">
        <v>0</v>
      </c>
      <c r="P523" s="15">
        <v>0</v>
      </c>
      <c r="Q523" s="15">
        <v>0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</row>
    <row r="524" spans="1:43">
      <c r="A524" s="15" t="s">
        <v>43</v>
      </c>
      <c r="B524" s="15" t="s">
        <v>44</v>
      </c>
      <c r="C524" s="15" t="s">
        <v>45</v>
      </c>
      <c r="D524" s="15" t="s">
        <v>1459</v>
      </c>
      <c r="E524" s="15" t="s">
        <v>1460</v>
      </c>
      <c r="F524" s="16">
        <v>41052.4474652778</v>
      </c>
      <c r="G524" s="15" t="s">
        <v>1460</v>
      </c>
      <c r="H524" s="15" t="s">
        <v>1461</v>
      </c>
      <c r="I524" s="18">
        <v>0</v>
      </c>
      <c r="J524" s="18">
        <v>0</v>
      </c>
      <c r="K524" s="19">
        <v>0</v>
      </c>
      <c r="L524" s="20">
        <v>0</v>
      </c>
      <c r="M524" s="15">
        <v>0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</row>
    <row r="525" spans="1:43">
      <c r="A525" s="15" t="s">
        <v>49</v>
      </c>
      <c r="B525" s="15" t="s">
        <v>50</v>
      </c>
      <c r="C525" s="15" t="s">
        <v>61</v>
      </c>
      <c r="D525" s="15" t="s">
        <v>1462</v>
      </c>
      <c r="E525" s="15" t="s">
        <v>1463</v>
      </c>
      <c r="F525" s="16">
        <v>0</v>
      </c>
      <c r="G525" s="15" t="s">
        <v>1463</v>
      </c>
      <c r="H525" s="15" t="s">
        <v>1464</v>
      </c>
      <c r="I525" s="18">
        <v>0</v>
      </c>
      <c r="J525" s="18">
        <v>0</v>
      </c>
      <c r="K525" s="19">
        <v>0</v>
      </c>
      <c r="L525" s="20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</row>
    <row r="526" spans="1:43">
      <c r="A526" s="15" t="s">
        <v>49</v>
      </c>
      <c r="B526" s="15" t="s">
        <v>50</v>
      </c>
      <c r="C526" s="15" t="s">
        <v>61</v>
      </c>
      <c r="D526" s="15" t="s">
        <v>1465</v>
      </c>
      <c r="E526" s="15" t="s">
        <v>1466</v>
      </c>
      <c r="F526" s="16">
        <v>0</v>
      </c>
      <c r="G526" s="15" t="s">
        <v>1466</v>
      </c>
      <c r="H526" s="15" t="s">
        <v>1467</v>
      </c>
      <c r="I526" s="18">
        <v>0</v>
      </c>
      <c r="J526" s="18">
        <v>0</v>
      </c>
      <c r="K526" s="19">
        <v>0</v>
      </c>
      <c r="L526" s="20">
        <v>0</v>
      </c>
      <c r="M526" s="15">
        <v>0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</row>
    <row r="527" spans="1:43">
      <c r="A527" s="15" t="s">
        <v>43</v>
      </c>
      <c r="B527" s="15" t="s">
        <v>44</v>
      </c>
      <c r="C527" s="15" t="s">
        <v>228</v>
      </c>
      <c r="D527" s="15" t="s">
        <v>1468</v>
      </c>
      <c r="E527" s="15" t="s">
        <v>1469</v>
      </c>
      <c r="F527" s="16">
        <v>45079.6037384259</v>
      </c>
      <c r="G527" s="15" t="s">
        <v>1469</v>
      </c>
      <c r="H527" s="15" t="s">
        <v>54</v>
      </c>
      <c r="I527" s="18">
        <v>682.73</v>
      </c>
      <c r="J527" s="18">
        <v>14</v>
      </c>
      <c r="K527" s="19">
        <v>48.7664285714286</v>
      </c>
      <c r="L527" s="20">
        <v>0.975328571428571</v>
      </c>
      <c r="M527" s="15">
        <v>32.41</v>
      </c>
      <c r="N527" s="15">
        <v>34.98</v>
      </c>
      <c r="O527" s="15">
        <v>42.61</v>
      </c>
      <c r="P527" s="15">
        <v>37.62</v>
      </c>
      <c r="Q527" s="15">
        <v>72.05</v>
      </c>
      <c r="R527" s="15">
        <v>65.83</v>
      </c>
      <c r="S527" s="15">
        <v>72.39</v>
      </c>
      <c r="T527" s="15">
        <v>50.66</v>
      </c>
      <c r="U527" s="15">
        <v>40.59</v>
      </c>
      <c r="V527" s="15">
        <v>31.16</v>
      </c>
      <c r="W527" s="15">
        <v>49.09</v>
      </c>
      <c r="X527" s="15">
        <v>34.41</v>
      </c>
      <c r="Y527" s="15">
        <v>40.3</v>
      </c>
      <c r="Z527" s="15">
        <v>78.63</v>
      </c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</row>
    <row r="528" spans="1:43">
      <c r="A528" s="15" t="s">
        <v>49</v>
      </c>
      <c r="B528" s="15" t="s">
        <v>50</v>
      </c>
      <c r="C528" s="15" t="s">
        <v>61</v>
      </c>
      <c r="D528" s="15" t="s">
        <v>1470</v>
      </c>
      <c r="E528" s="15" t="s">
        <v>549</v>
      </c>
      <c r="F528" s="16">
        <v>0</v>
      </c>
      <c r="G528" s="15" t="s">
        <v>549</v>
      </c>
      <c r="H528" s="15" t="s">
        <v>550</v>
      </c>
      <c r="I528" s="18">
        <v>0</v>
      </c>
      <c r="J528" s="18">
        <v>0</v>
      </c>
      <c r="K528" s="19">
        <v>0</v>
      </c>
      <c r="L528" s="20">
        <v>0</v>
      </c>
      <c r="M528" s="15">
        <v>0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</row>
    <row r="529" spans="1:43">
      <c r="A529" s="15" t="s">
        <v>43</v>
      </c>
      <c r="B529" s="15" t="s">
        <v>44</v>
      </c>
      <c r="C529" s="15" t="s">
        <v>45</v>
      </c>
      <c r="D529" s="15" t="s">
        <v>1471</v>
      </c>
      <c r="E529" s="15" t="s">
        <v>1472</v>
      </c>
      <c r="F529" s="16">
        <v>40995.4121759259</v>
      </c>
      <c r="G529" s="15" t="s">
        <v>1472</v>
      </c>
      <c r="H529" s="15" t="s">
        <v>1473</v>
      </c>
      <c r="I529" s="18">
        <v>0</v>
      </c>
      <c r="J529" s="18">
        <v>0</v>
      </c>
      <c r="K529" s="19">
        <v>0</v>
      </c>
      <c r="L529" s="20">
        <v>0</v>
      </c>
      <c r="M529" s="15">
        <v>0</v>
      </c>
      <c r="N529" s="15">
        <v>0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</row>
    <row r="530" spans="1:43">
      <c r="A530" s="15" t="s">
        <v>49</v>
      </c>
      <c r="B530" s="15" t="s">
        <v>50</v>
      </c>
      <c r="C530" s="15" t="s">
        <v>61</v>
      </c>
      <c r="D530" s="15" t="s">
        <v>1474</v>
      </c>
      <c r="E530" s="15" t="s">
        <v>1475</v>
      </c>
      <c r="F530" s="16">
        <v>0</v>
      </c>
      <c r="G530" s="15" t="s">
        <v>1475</v>
      </c>
      <c r="H530" s="15" t="s">
        <v>1476</v>
      </c>
      <c r="I530" s="18">
        <v>0</v>
      </c>
      <c r="J530" s="18">
        <v>0</v>
      </c>
      <c r="K530" s="19">
        <v>0</v>
      </c>
      <c r="L530" s="20">
        <v>0</v>
      </c>
      <c r="M530" s="15">
        <v>0</v>
      </c>
      <c r="N530" s="15">
        <v>0</v>
      </c>
      <c r="O530" s="15">
        <v>0</v>
      </c>
      <c r="P530" s="15">
        <v>0</v>
      </c>
      <c r="Q530" s="15">
        <v>0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</row>
    <row r="531" spans="1:43">
      <c r="A531" s="15" t="s">
        <v>64</v>
      </c>
      <c r="B531" s="15" t="s">
        <v>118</v>
      </c>
      <c r="C531" s="15" t="s">
        <v>119</v>
      </c>
      <c r="D531" s="15" t="s">
        <v>1477</v>
      </c>
      <c r="E531" s="15" t="s">
        <v>1478</v>
      </c>
      <c r="F531" s="16">
        <v>44895.6240277778</v>
      </c>
      <c r="G531" s="15" t="s">
        <v>1478</v>
      </c>
      <c r="H531" s="15" t="s">
        <v>54</v>
      </c>
      <c r="I531" s="18">
        <v>0</v>
      </c>
      <c r="J531" s="18">
        <v>0</v>
      </c>
      <c r="K531" s="19">
        <v>0</v>
      </c>
      <c r="L531" s="20">
        <v>0</v>
      </c>
      <c r="M531" s="15">
        <v>0</v>
      </c>
      <c r="N531" s="15">
        <v>0</v>
      </c>
      <c r="O531" s="15">
        <v>0</v>
      </c>
      <c r="P531" s="15">
        <v>0</v>
      </c>
      <c r="Q531" s="15">
        <v>0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</row>
    <row r="532" spans="1:43">
      <c r="A532" s="15" t="s">
        <v>49</v>
      </c>
      <c r="B532" s="15" t="s">
        <v>50</v>
      </c>
      <c r="C532" s="15" t="s">
        <v>61</v>
      </c>
      <c r="D532" s="15" t="s">
        <v>1479</v>
      </c>
      <c r="E532" s="15" t="s">
        <v>1480</v>
      </c>
      <c r="F532" s="16">
        <v>42858.6007407407</v>
      </c>
      <c r="G532" s="15" t="s">
        <v>1480</v>
      </c>
      <c r="H532" s="15" t="s">
        <v>1481</v>
      </c>
      <c r="I532" s="18">
        <v>0</v>
      </c>
      <c r="J532" s="18">
        <v>0</v>
      </c>
      <c r="K532" s="19">
        <v>0</v>
      </c>
      <c r="L532" s="20">
        <v>0</v>
      </c>
      <c r="M532" s="15">
        <v>0</v>
      </c>
      <c r="N532" s="15">
        <v>0</v>
      </c>
      <c r="O532" s="15">
        <v>0</v>
      </c>
      <c r="P532" s="15">
        <v>0</v>
      </c>
      <c r="Q532" s="15">
        <v>0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</row>
    <row r="533" spans="1:43">
      <c r="A533" s="15" t="s">
        <v>49</v>
      </c>
      <c r="B533" s="15" t="s">
        <v>50</v>
      </c>
      <c r="C533" s="15" t="s">
        <v>61</v>
      </c>
      <c r="D533" s="15" t="s">
        <v>1482</v>
      </c>
      <c r="E533" s="15" t="s">
        <v>1483</v>
      </c>
      <c r="F533" s="16">
        <v>0</v>
      </c>
      <c r="G533" s="15" t="s">
        <v>1483</v>
      </c>
      <c r="H533" s="15" t="s">
        <v>1484</v>
      </c>
      <c r="I533" s="18">
        <v>0</v>
      </c>
      <c r="J533" s="18">
        <v>0</v>
      </c>
      <c r="K533" s="19">
        <v>0</v>
      </c>
      <c r="L533" s="20">
        <v>0</v>
      </c>
      <c r="M533" s="15">
        <v>0</v>
      </c>
      <c r="N533" s="15">
        <v>0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</row>
    <row r="534" spans="1:43">
      <c r="A534" s="15" t="s">
        <v>64</v>
      </c>
      <c r="B534" s="15" t="s">
        <v>118</v>
      </c>
      <c r="C534" s="15" t="s">
        <v>119</v>
      </c>
      <c r="D534" s="15" t="s">
        <v>1485</v>
      </c>
      <c r="E534" s="15" t="s">
        <v>1486</v>
      </c>
      <c r="F534" s="16">
        <v>45122.4742824074</v>
      </c>
      <c r="G534" s="15" t="s">
        <v>1486</v>
      </c>
      <c r="H534" s="15" t="s">
        <v>54</v>
      </c>
      <c r="I534" s="18">
        <v>2679.69</v>
      </c>
      <c r="J534" s="18">
        <v>11</v>
      </c>
      <c r="K534" s="19">
        <v>243.608181818182</v>
      </c>
      <c r="L534" s="20">
        <v>3.48011688311688</v>
      </c>
      <c r="M534" s="15">
        <v>308.16</v>
      </c>
      <c r="N534" s="15">
        <v>300.23</v>
      </c>
      <c r="O534" s="15">
        <v>307.43</v>
      </c>
      <c r="P534" s="15">
        <v>304.21</v>
      </c>
      <c r="Q534" s="15">
        <v>201.83</v>
      </c>
      <c r="R534" s="15">
        <v>271.9</v>
      </c>
      <c r="S534" s="15">
        <v>305.65</v>
      </c>
      <c r="T534" s="15">
        <v>201.33</v>
      </c>
      <c r="U534" s="15">
        <v>202.06</v>
      </c>
      <c r="V534" s="15">
        <v>165.76</v>
      </c>
      <c r="W534" s="15">
        <v>111.13</v>
      </c>
      <c r="X534" s="15">
        <v>0</v>
      </c>
      <c r="Y534" s="15">
        <v>0</v>
      </c>
      <c r="Z534" s="15">
        <v>0</v>
      </c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</row>
    <row r="535" spans="1:43">
      <c r="A535" s="15" t="s">
        <v>43</v>
      </c>
      <c r="B535" s="15" t="s">
        <v>44</v>
      </c>
      <c r="C535" s="15" t="s">
        <v>440</v>
      </c>
      <c r="D535" s="15" t="s">
        <v>1487</v>
      </c>
      <c r="E535" s="15" t="s">
        <v>1488</v>
      </c>
      <c r="F535" s="16">
        <v>44270.4100462963</v>
      </c>
      <c r="G535" s="15" t="s">
        <v>1488</v>
      </c>
      <c r="H535" s="15" t="s">
        <v>54</v>
      </c>
      <c r="I535" s="18">
        <v>0</v>
      </c>
      <c r="J535" s="18">
        <v>0</v>
      </c>
      <c r="K535" s="19">
        <v>0</v>
      </c>
      <c r="L535" s="20">
        <v>0</v>
      </c>
      <c r="M535" s="15">
        <v>0</v>
      </c>
      <c r="N535" s="15">
        <v>0</v>
      </c>
      <c r="O535" s="15">
        <v>0</v>
      </c>
      <c r="P535" s="15">
        <v>0</v>
      </c>
      <c r="Q535" s="15">
        <v>0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</row>
    <row r="536" spans="1:43">
      <c r="A536" s="15" t="s">
        <v>43</v>
      </c>
      <c r="B536" s="15" t="s">
        <v>44</v>
      </c>
      <c r="C536" s="15" t="s">
        <v>45</v>
      </c>
      <c r="D536" s="15" t="s">
        <v>1489</v>
      </c>
      <c r="E536" s="15" t="s">
        <v>1490</v>
      </c>
      <c r="F536" s="16">
        <v>42999.64625</v>
      </c>
      <c r="G536" s="15" t="s">
        <v>1490</v>
      </c>
      <c r="H536" s="15" t="s">
        <v>1491</v>
      </c>
      <c r="I536" s="18">
        <v>0</v>
      </c>
      <c r="J536" s="18">
        <v>0</v>
      </c>
      <c r="K536" s="19">
        <v>0</v>
      </c>
      <c r="L536" s="20">
        <v>0</v>
      </c>
      <c r="M536" s="15">
        <v>0</v>
      </c>
      <c r="N536" s="15">
        <v>0</v>
      </c>
      <c r="O536" s="15">
        <v>0</v>
      </c>
      <c r="P536" s="15">
        <v>0</v>
      </c>
      <c r="Q536" s="15">
        <v>0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</row>
    <row r="537" spans="1:43">
      <c r="A537" s="15" t="s">
        <v>49</v>
      </c>
      <c r="B537" s="15" t="s">
        <v>50</v>
      </c>
      <c r="C537" s="15" t="s">
        <v>61</v>
      </c>
      <c r="D537" s="15" t="s">
        <v>1492</v>
      </c>
      <c r="E537" s="15" t="s">
        <v>1493</v>
      </c>
      <c r="F537" s="16">
        <v>0</v>
      </c>
      <c r="G537" s="15" t="s">
        <v>1493</v>
      </c>
      <c r="H537" s="15" t="s">
        <v>54</v>
      </c>
      <c r="I537" s="18">
        <v>0</v>
      </c>
      <c r="J537" s="18">
        <v>0</v>
      </c>
      <c r="K537" s="19">
        <v>0</v>
      </c>
      <c r="L537" s="20">
        <v>0</v>
      </c>
      <c r="M537" s="15">
        <v>0</v>
      </c>
      <c r="N537" s="15">
        <v>0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</row>
    <row r="538" spans="1:43">
      <c r="A538" s="15" t="s">
        <v>43</v>
      </c>
      <c r="B538" s="15" t="s">
        <v>44</v>
      </c>
      <c r="C538" s="15" t="s">
        <v>45</v>
      </c>
      <c r="D538" s="15" t="s">
        <v>1494</v>
      </c>
      <c r="E538" s="15" t="s">
        <v>1495</v>
      </c>
      <c r="F538" s="16">
        <v>42631.651400463</v>
      </c>
      <c r="G538" s="15" t="s">
        <v>1495</v>
      </c>
      <c r="H538" s="15" t="s">
        <v>1496</v>
      </c>
      <c r="I538" s="18">
        <v>0</v>
      </c>
      <c r="J538" s="18">
        <v>0</v>
      </c>
      <c r="K538" s="19">
        <v>0</v>
      </c>
      <c r="L538" s="20">
        <v>0</v>
      </c>
      <c r="M538" s="15">
        <v>0</v>
      </c>
      <c r="N538" s="15">
        <v>0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</row>
    <row r="539" spans="1:43">
      <c r="A539" s="15" t="s">
        <v>49</v>
      </c>
      <c r="B539" s="15" t="s">
        <v>50</v>
      </c>
      <c r="C539" s="15" t="s">
        <v>61</v>
      </c>
      <c r="D539" s="15" t="s">
        <v>1497</v>
      </c>
      <c r="E539" s="15" t="s">
        <v>1498</v>
      </c>
      <c r="F539" s="16">
        <v>0</v>
      </c>
      <c r="G539" s="15" t="s">
        <v>1498</v>
      </c>
      <c r="H539" s="15" t="s">
        <v>54</v>
      </c>
      <c r="I539" s="18">
        <v>0</v>
      </c>
      <c r="J539" s="18">
        <v>0</v>
      </c>
      <c r="K539" s="19">
        <v>0</v>
      </c>
      <c r="L539" s="20">
        <v>0</v>
      </c>
      <c r="M539" s="15">
        <v>0</v>
      </c>
      <c r="N539" s="15">
        <v>0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</row>
    <row r="540" spans="1:43">
      <c r="A540" s="15" t="s">
        <v>49</v>
      </c>
      <c r="B540" s="15" t="s">
        <v>50</v>
      </c>
      <c r="C540" s="15" t="s">
        <v>1300</v>
      </c>
      <c r="D540" s="15" t="s">
        <v>1499</v>
      </c>
      <c r="E540" s="15" t="s">
        <v>1302</v>
      </c>
      <c r="F540" s="16">
        <v>45071.7291087963</v>
      </c>
      <c r="G540" s="15" t="s">
        <v>1302</v>
      </c>
      <c r="H540" s="15" t="s">
        <v>54</v>
      </c>
      <c r="I540" s="18">
        <v>0</v>
      </c>
      <c r="J540" s="18">
        <v>0</v>
      </c>
      <c r="K540" s="19">
        <v>0</v>
      </c>
      <c r="L540" s="20">
        <v>0</v>
      </c>
      <c r="M540" s="15">
        <v>0</v>
      </c>
      <c r="N540" s="15">
        <v>0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</row>
    <row r="541" spans="1:43">
      <c r="A541" s="15" t="s">
        <v>43</v>
      </c>
      <c r="B541" s="15" t="s">
        <v>44</v>
      </c>
      <c r="C541" s="15" t="s">
        <v>45</v>
      </c>
      <c r="D541" s="15" t="s">
        <v>1500</v>
      </c>
      <c r="E541" s="15" t="s">
        <v>1501</v>
      </c>
      <c r="F541" s="16">
        <v>42037.68375</v>
      </c>
      <c r="G541" s="15" t="s">
        <v>1501</v>
      </c>
      <c r="H541" s="15" t="s">
        <v>1502</v>
      </c>
      <c r="I541" s="18">
        <v>0</v>
      </c>
      <c r="J541" s="18">
        <v>0</v>
      </c>
      <c r="K541" s="19">
        <v>0</v>
      </c>
      <c r="L541" s="20">
        <v>0</v>
      </c>
      <c r="M541" s="15">
        <v>0</v>
      </c>
      <c r="N541" s="15">
        <v>0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</row>
    <row r="542" spans="1:43">
      <c r="A542" s="15" t="s">
        <v>43</v>
      </c>
      <c r="B542" s="15" t="s">
        <v>44</v>
      </c>
      <c r="C542" s="15" t="s">
        <v>45</v>
      </c>
      <c r="D542" s="15" t="s">
        <v>1503</v>
      </c>
      <c r="E542" s="15" t="s">
        <v>1504</v>
      </c>
      <c r="F542" s="16">
        <v>42450.6257638889</v>
      </c>
      <c r="G542" s="15" t="s">
        <v>1504</v>
      </c>
      <c r="H542" s="15" t="s">
        <v>1505</v>
      </c>
      <c r="I542" s="18">
        <v>0</v>
      </c>
      <c r="J542" s="18">
        <v>0</v>
      </c>
      <c r="K542" s="19">
        <v>0</v>
      </c>
      <c r="L542" s="20">
        <v>0</v>
      </c>
      <c r="M542" s="15">
        <v>0</v>
      </c>
      <c r="N542" s="15">
        <v>0</v>
      </c>
      <c r="O542" s="15">
        <v>0</v>
      </c>
      <c r="P542" s="15">
        <v>0</v>
      </c>
      <c r="Q542" s="15">
        <v>0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</row>
    <row r="543" spans="1:43">
      <c r="A543" s="15" t="s">
        <v>49</v>
      </c>
      <c r="B543" s="15" t="s">
        <v>50</v>
      </c>
      <c r="C543" s="15" t="s">
        <v>61</v>
      </c>
      <c r="D543" s="15" t="s">
        <v>1506</v>
      </c>
      <c r="E543" s="15" t="s">
        <v>1507</v>
      </c>
      <c r="F543" s="16">
        <v>0</v>
      </c>
      <c r="G543" s="15" t="s">
        <v>1507</v>
      </c>
      <c r="H543" s="15" t="s">
        <v>1508</v>
      </c>
      <c r="I543" s="18">
        <v>0</v>
      </c>
      <c r="J543" s="18">
        <v>0</v>
      </c>
      <c r="K543" s="19">
        <v>0</v>
      </c>
      <c r="L543" s="20">
        <v>0</v>
      </c>
      <c r="M543" s="15">
        <v>0</v>
      </c>
      <c r="N543" s="15">
        <v>0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</row>
    <row r="544" spans="1:43">
      <c r="A544" s="15" t="s">
        <v>43</v>
      </c>
      <c r="B544" s="15" t="s">
        <v>44</v>
      </c>
      <c r="C544" s="15" t="s">
        <v>45</v>
      </c>
      <c r="D544" s="15" t="s">
        <v>1509</v>
      </c>
      <c r="E544" s="15" t="s">
        <v>1510</v>
      </c>
      <c r="F544" s="16">
        <v>41473.6546990741</v>
      </c>
      <c r="G544" s="15" t="s">
        <v>1510</v>
      </c>
      <c r="H544" s="15" t="s">
        <v>1511</v>
      </c>
      <c r="I544" s="18">
        <v>0</v>
      </c>
      <c r="J544" s="18">
        <v>0</v>
      </c>
      <c r="K544" s="19">
        <v>0</v>
      </c>
      <c r="L544" s="20">
        <v>0</v>
      </c>
      <c r="M544" s="15">
        <v>0</v>
      </c>
      <c r="N544" s="15">
        <v>0</v>
      </c>
      <c r="O544" s="15">
        <v>0</v>
      </c>
      <c r="P544" s="15">
        <v>0</v>
      </c>
      <c r="Q544" s="15">
        <v>0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</row>
    <row r="545" spans="1:43">
      <c r="A545" s="15" t="s">
        <v>49</v>
      </c>
      <c r="B545" s="15" t="s">
        <v>50</v>
      </c>
      <c r="C545" s="15" t="s">
        <v>61</v>
      </c>
      <c r="D545" s="15" t="s">
        <v>1512</v>
      </c>
      <c r="E545" s="15" t="s">
        <v>1513</v>
      </c>
      <c r="F545" s="16">
        <v>0</v>
      </c>
      <c r="G545" s="15" t="s">
        <v>1513</v>
      </c>
      <c r="H545" s="15" t="s">
        <v>1514</v>
      </c>
      <c r="I545" s="18">
        <v>0</v>
      </c>
      <c r="J545" s="18">
        <v>0</v>
      </c>
      <c r="K545" s="19">
        <v>0</v>
      </c>
      <c r="L545" s="20">
        <v>0</v>
      </c>
      <c r="M545" s="15">
        <v>0</v>
      </c>
      <c r="N545" s="15">
        <v>0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</row>
    <row r="546" spans="1:43">
      <c r="A546" s="15" t="s">
        <v>49</v>
      </c>
      <c r="B546" s="15" t="s">
        <v>50</v>
      </c>
      <c r="C546" s="15" t="s">
        <v>75</v>
      </c>
      <c r="D546" s="15" t="s">
        <v>1515</v>
      </c>
      <c r="E546" s="15" t="s">
        <v>1516</v>
      </c>
      <c r="F546" s="16">
        <v>43459.6035069444</v>
      </c>
      <c r="G546" s="15" t="s">
        <v>1516</v>
      </c>
      <c r="H546" s="15" t="s">
        <v>1517</v>
      </c>
      <c r="I546" s="18">
        <v>0</v>
      </c>
      <c r="J546" s="18">
        <v>0</v>
      </c>
      <c r="K546" s="19">
        <v>0</v>
      </c>
      <c r="L546" s="20">
        <v>0</v>
      </c>
      <c r="M546" s="15">
        <v>0</v>
      </c>
      <c r="N546" s="15">
        <v>0</v>
      </c>
      <c r="O546" s="15">
        <v>0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</row>
    <row r="547" spans="1:43">
      <c r="A547" s="15" t="s">
        <v>49</v>
      </c>
      <c r="B547" s="15" t="s">
        <v>50</v>
      </c>
      <c r="C547" s="15" t="s">
        <v>61</v>
      </c>
      <c r="D547" s="15" t="s">
        <v>1518</v>
      </c>
      <c r="E547" s="15" t="s">
        <v>1519</v>
      </c>
      <c r="F547" s="16">
        <v>44734.6364583333</v>
      </c>
      <c r="G547" s="15" t="s">
        <v>1519</v>
      </c>
      <c r="H547" s="15" t="s">
        <v>54</v>
      </c>
      <c r="I547" s="18">
        <v>0</v>
      </c>
      <c r="J547" s="18">
        <v>0</v>
      </c>
      <c r="K547" s="19">
        <v>0</v>
      </c>
      <c r="L547" s="20">
        <v>0</v>
      </c>
      <c r="M547" s="15">
        <v>0</v>
      </c>
      <c r="N547" s="15">
        <v>0</v>
      </c>
      <c r="O547" s="15">
        <v>0</v>
      </c>
      <c r="P547" s="15">
        <v>0</v>
      </c>
      <c r="Q547" s="15">
        <v>0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</row>
    <row r="548" spans="1:43">
      <c r="A548" s="15" t="s">
        <v>43</v>
      </c>
      <c r="B548" s="15" t="s">
        <v>44</v>
      </c>
      <c r="C548" s="15" t="s">
        <v>45</v>
      </c>
      <c r="D548" s="15" t="s">
        <v>1520</v>
      </c>
      <c r="E548" s="15" t="s">
        <v>1521</v>
      </c>
      <c r="F548" s="16">
        <v>42000.4979050926</v>
      </c>
      <c r="G548" s="15" t="s">
        <v>1521</v>
      </c>
      <c r="H548" s="15" t="s">
        <v>1522</v>
      </c>
      <c r="I548" s="18">
        <v>0</v>
      </c>
      <c r="J548" s="18">
        <v>0</v>
      </c>
      <c r="K548" s="19">
        <v>0</v>
      </c>
      <c r="L548" s="20">
        <v>0</v>
      </c>
      <c r="M548" s="15">
        <v>0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</row>
    <row r="549" spans="1:43">
      <c r="A549" s="15" t="s">
        <v>49</v>
      </c>
      <c r="B549" s="15" t="s">
        <v>50</v>
      </c>
      <c r="C549" s="15" t="s">
        <v>51</v>
      </c>
      <c r="D549" s="15" t="s">
        <v>1523</v>
      </c>
      <c r="E549" s="15" t="s">
        <v>1524</v>
      </c>
      <c r="F549" s="16">
        <v>44988.649525463</v>
      </c>
      <c r="G549" s="15" t="s">
        <v>1524</v>
      </c>
      <c r="H549" s="15" t="s">
        <v>54</v>
      </c>
      <c r="I549" s="18">
        <v>0</v>
      </c>
      <c r="J549" s="18">
        <v>0</v>
      </c>
      <c r="K549" s="19">
        <v>0</v>
      </c>
      <c r="L549" s="20">
        <v>0</v>
      </c>
      <c r="M549" s="15">
        <v>0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</row>
    <row r="550" spans="1:43">
      <c r="A550" s="15" t="s">
        <v>43</v>
      </c>
      <c r="B550" s="15" t="s">
        <v>44</v>
      </c>
      <c r="C550" s="15" t="s">
        <v>45</v>
      </c>
      <c r="D550" s="15" t="s">
        <v>1525</v>
      </c>
      <c r="E550" s="15" t="s">
        <v>1526</v>
      </c>
      <c r="F550" s="16">
        <v>41901.5046412037</v>
      </c>
      <c r="G550" s="15" t="s">
        <v>1526</v>
      </c>
      <c r="H550" s="15" t="s">
        <v>1527</v>
      </c>
      <c r="I550" s="18">
        <v>0</v>
      </c>
      <c r="J550" s="18">
        <v>0</v>
      </c>
      <c r="K550" s="19">
        <v>0</v>
      </c>
      <c r="L550" s="20">
        <v>0</v>
      </c>
      <c r="M550" s="15">
        <v>0</v>
      </c>
      <c r="N550" s="15">
        <v>0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</row>
    <row r="551" spans="1:43">
      <c r="A551" s="15" t="s">
        <v>49</v>
      </c>
      <c r="B551" s="15" t="s">
        <v>50</v>
      </c>
      <c r="C551" s="15" t="s">
        <v>61</v>
      </c>
      <c r="D551" s="15" t="s">
        <v>1528</v>
      </c>
      <c r="E551" s="15" t="s">
        <v>1529</v>
      </c>
      <c r="F551" s="16">
        <v>0</v>
      </c>
      <c r="G551" s="15" t="s">
        <v>1529</v>
      </c>
      <c r="H551" s="15" t="s">
        <v>1530</v>
      </c>
      <c r="I551" s="18">
        <v>0</v>
      </c>
      <c r="J551" s="18">
        <v>0</v>
      </c>
      <c r="K551" s="19">
        <v>0</v>
      </c>
      <c r="L551" s="20">
        <v>0</v>
      </c>
      <c r="M551" s="15">
        <v>0</v>
      </c>
      <c r="N551" s="15">
        <v>0</v>
      </c>
      <c r="O551" s="15">
        <v>0</v>
      </c>
      <c r="P551" s="15">
        <v>0</v>
      </c>
      <c r="Q551" s="15">
        <v>0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</row>
    <row r="552" spans="1:43">
      <c r="A552" s="15" t="s">
        <v>43</v>
      </c>
      <c r="B552" s="15" t="s">
        <v>44</v>
      </c>
      <c r="C552" s="15" t="s">
        <v>45</v>
      </c>
      <c r="D552" s="15" t="s">
        <v>1531</v>
      </c>
      <c r="E552" s="15" t="s">
        <v>1532</v>
      </c>
      <c r="F552" s="16">
        <v>42138.685787037</v>
      </c>
      <c r="G552" s="15" t="s">
        <v>1532</v>
      </c>
      <c r="H552" s="15" t="s">
        <v>1533</v>
      </c>
      <c r="I552" s="18">
        <v>0</v>
      </c>
      <c r="J552" s="18">
        <v>0</v>
      </c>
      <c r="K552" s="19">
        <v>0</v>
      </c>
      <c r="L552" s="20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</row>
    <row r="553" spans="1:43">
      <c r="A553" s="15" t="s">
        <v>49</v>
      </c>
      <c r="B553" s="15" t="s">
        <v>50</v>
      </c>
      <c r="C553" s="15" t="s">
        <v>61</v>
      </c>
      <c r="D553" s="15" t="s">
        <v>1534</v>
      </c>
      <c r="E553" s="15" t="s">
        <v>1535</v>
      </c>
      <c r="F553" s="16">
        <v>44566.6124537037</v>
      </c>
      <c r="G553" s="15" t="s">
        <v>1535</v>
      </c>
      <c r="H553" s="15" t="s">
        <v>54</v>
      </c>
      <c r="I553" s="18">
        <v>0</v>
      </c>
      <c r="J553" s="18">
        <v>0</v>
      </c>
      <c r="K553" s="19">
        <v>0</v>
      </c>
      <c r="L553" s="20">
        <v>0</v>
      </c>
      <c r="M553" s="15">
        <v>0</v>
      </c>
      <c r="N553" s="15">
        <v>0</v>
      </c>
      <c r="O553" s="15">
        <v>0</v>
      </c>
      <c r="P553" s="15">
        <v>0</v>
      </c>
      <c r="Q553" s="15">
        <v>0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</row>
    <row r="554" spans="1:43">
      <c r="A554" s="15" t="s">
        <v>49</v>
      </c>
      <c r="B554" s="15" t="s">
        <v>50</v>
      </c>
      <c r="C554" s="15" t="s">
        <v>61</v>
      </c>
      <c r="D554" s="15" t="s">
        <v>1536</v>
      </c>
      <c r="E554" s="15" t="s">
        <v>1537</v>
      </c>
      <c r="F554" s="16">
        <v>0</v>
      </c>
      <c r="G554" s="15" t="s">
        <v>1537</v>
      </c>
      <c r="H554" s="15" t="s">
        <v>1538</v>
      </c>
      <c r="I554" s="18">
        <v>0</v>
      </c>
      <c r="J554" s="18">
        <v>0</v>
      </c>
      <c r="K554" s="19">
        <v>0</v>
      </c>
      <c r="L554" s="20">
        <v>0</v>
      </c>
      <c r="M554" s="15">
        <v>0</v>
      </c>
      <c r="N554" s="15">
        <v>0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</row>
    <row r="555" spans="1:43">
      <c r="A555" s="15" t="s">
        <v>43</v>
      </c>
      <c r="B555" s="15" t="s">
        <v>44</v>
      </c>
      <c r="C555" s="15" t="s">
        <v>45</v>
      </c>
      <c r="D555" s="15" t="s">
        <v>1539</v>
      </c>
      <c r="E555" s="15" t="s">
        <v>1540</v>
      </c>
      <c r="F555" s="16">
        <v>43495.659224537</v>
      </c>
      <c r="G555" s="15" t="s">
        <v>1540</v>
      </c>
      <c r="H555" s="15" t="s">
        <v>1541</v>
      </c>
      <c r="I555" s="18">
        <v>0</v>
      </c>
      <c r="J555" s="18">
        <v>0</v>
      </c>
      <c r="K555" s="19">
        <v>0</v>
      </c>
      <c r="L555" s="20">
        <v>0</v>
      </c>
      <c r="M555" s="15">
        <v>0</v>
      </c>
      <c r="N555" s="15">
        <v>0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</row>
    <row r="556" spans="1:43">
      <c r="A556" s="15" t="s">
        <v>49</v>
      </c>
      <c r="B556" s="15" t="s">
        <v>50</v>
      </c>
      <c r="C556" s="15" t="s">
        <v>61</v>
      </c>
      <c r="D556" s="15" t="s">
        <v>1542</v>
      </c>
      <c r="E556" s="15" t="s">
        <v>106</v>
      </c>
      <c r="F556" s="16">
        <v>0</v>
      </c>
      <c r="G556" s="15" t="s">
        <v>106</v>
      </c>
      <c r="H556" s="15" t="s">
        <v>1543</v>
      </c>
      <c r="I556" s="18">
        <v>0</v>
      </c>
      <c r="J556" s="18">
        <v>0</v>
      </c>
      <c r="K556" s="19">
        <v>0</v>
      </c>
      <c r="L556" s="20">
        <v>0</v>
      </c>
      <c r="M556" s="15">
        <v>0</v>
      </c>
      <c r="N556" s="15">
        <v>0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</row>
    <row r="557" spans="1:43">
      <c r="A557" s="15" t="s">
        <v>49</v>
      </c>
      <c r="B557" s="15" t="s">
        <v>50</v>
      </c>
      <c r="C557" s="15" t="s">
        <v>61</v>
      </c>
      <c r="D557" s="15" t="s">
        <v>1544</v>
      </c>
      <c r="E557" s="15" t="s">
        <v>1545</v>
      </c>
      <c r="F557" s="16">
        <v>0</v>
      </c>
      <c r="G557" s="15" t="s">
        <v>1545</v>
      </c>
      <c r="H557" s="15" t="s">
        <v>1546</v>
      </c>
      <c r="I557" s="18">
        <v>0</v>
      </c>
      <c r="J557" s="18">
        <v>0</v>
      </c>
      <c r="K557" s="19">
        <v>0</v>
      </c>
      <c r="L557" s="20">
        <v>0</v>
      </c>
      <c r="M557" s="15">
        <v>0</v>
      </c>
      <c r="N557" s="15">
        <v>0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</row>
    <row r="558" spans="1:43">
      <c r="A558" s="15" t="s">
        <v>43</v>
      </c>
      <c r="B558" s="15" t="s">
        <v>44</v>
      </c>
      <c r="C558" s="15" t="s">
        <v>45</v>
      </c>
      <c r="D558" s="15" t="s">
        <v>1547</v>
      </c>
      <c r="E558" s="15" t="s">
        <v>1548</v>
      </c>
      <c r="F558" s="16">
        <v>41254.7023148148</v>
      </c>
      <c r="G558" s="15" t="s">
        <v>1548</v>
      </c>
      <c r="H558" s="15" t="s">
        <v>1549</v>
      </c>
      <c r="I558" s="18">
        <v>0</v>
      </c>
      <c r="J558" s="18">
        <v>0</v>
      </c>
      <c r="K558" s="19">
        <v>0</v>
      </c>
      <c r="L558" s="20">
        <v>0</v>
      </c>
      <c r="M558" s="15">
        <v>0</v>
      </c>
      <c r="N558" s="15">
        <v>0</v>
      </c>
      <c r="O558" s="15">
        <v>0</v>
      </c>
      <c r="P558" s="15">
        <v>0</v>
      </c>
      <c r="Q558" s="15">
        <v>0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</row>
    <row r="559" spans="1:43">
      <c r="A559" s="15" t="s">
        <v>43</v>
      </c>
      <c r="B559" s="15" t="s">
        <v>44</v>
      </c>
      <c r="C559" s="15" t="s">
        <v>45</v>
      </c>
      <c r="D559" s="15" t="s">
        <v>1550</v>
      </c>
      <c r="E559" s="15" t="s">
        <v>1551</v>
      </c>
      <c r="F559" s="16">
        <v>42880.7035763889</v>
      </c>
      <c r="G559" s="15" t="s">
        <v>1551</v>
      </c>
      <c r="H559" s="15" t="s">
        <v>1552</v>
      </c>
      <c r="I559" s="18">
        <v>0</v>
      </c>
      <c r="J559" s="18">
        <v>0</v>
      </c>
      <c r="K559" s="19">
        <v>0</v>
      </c>
      <c r="L559" s="20">
        <v>0</v>
      </c>
      <c r="M559" s="15">
        <v>0</v>
      </c>
      <c r="N559" s="15">
        <v>0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</row>
    <row r="560" spans="1:43">
      <c r="A560" s="15" t="s">
        <v>49</v>
      </c>
      <c r="B560" s="15" t="s">
        <v>50</v>
      </c>
      <c r="C560" s="15" t="s">
        <v>301</v>
      </c>
      <c r="D560" s="15" t="s">
        <v>1553</v>
      </c>
      <c r="E560" s="15" t="s">
        <v>1554</v>
      </c>
      <c r="F560" s="16">
        <v>43678.7272569444</v>
      </c>
      <c r="G560" s="15" t="s">
        <v>1554</v>
      </c>
      <c r="H560" s="15" t="s">
        <v>1555</v>
      </c>
      <c r="I560" s="18">
        <v>0</v>
      </c>
      <c r="J560" s="18">
        <v>0</v>
      </c>
      <c r="K560" s="19">
        <v>0</v>
      </c>
      <c r="L560" s="20">
        <v>0</v>
      </c>
      <c r="M560" s="15">
        <v>0</v>
      </c>
      <c r="N560" s="15">
        <v>0</v>
      </c>
      <c r="O560" s="15">
        <v>0</v>
      </c>
      <c r="P560" s="15">
        <v>0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</row>
    <row r="561" spans="1:43">
      <c r="A561" s="15" t="s">
        <v>64</v>
      </c>
      <c r="B561" s="15" t="s">
        <v>118</v>
      </c>
      <c r="C561" s="15" t="s">
        <v>138</v>
      </c>
      <c r="D561" s="15" t="s">
        <v>1556</v>
      </c>
      <c r="E561" s="15" t="s">
        <v>1557</v>
      </c>
      <c r="F561" s="16">
        <v>45139.4722106481</v>
      </c>
      <c r="G561" s="15" t="s">
        <v>1557</v>
      </c>
      <c r="H561" s="15" t="s">
        <v>1558</v>
      </c>
      <c r="I561" s="18">
        <v>6.63</v>
      </c>
      <c r="J561" s="18">
        <v>1</v>
      </c>
      <c r="K561" s="19">
        <v>6.63</v>
      </c>
      <c r="L561" s="20">
        <v>0.0947142857142857</v>
      </c>
      <c r="M561" s="15">
        <v>0</v>
      </c>
      <c r="N561" s="15">
        <v>0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6.63</v>
      </c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</row>
    <row r="562" spans="1:43">
      <c r="A562" s="15" t="s">
        <v>49</v>
      </c>
      <c r="B562" s="15" t="s">
        <v>50</v>
      </c>
      <c r="C562" s="15" t="s">
        <v>61</v>
      </c>
      <c r="D562" s="15" t="s">
        <v>1559</v>
      </c>
      <c r="E562" s="15" t="s">
        <v>1560</v>
      </c>
      <c r="F562" s="16">
        <v>0</v>
      </c>
      <c r="G562" s="15" t="s">
        <v>1560</v>
      </c>
      <c r="H562" s="15" t="s">
        <v>1561</v>
      </c>
      <c r="I562" s="18">
        <v>0</v>
      </c>
      <c r="J562" s="18">
        <v>0</v>
      </c>
      <c r="K562" s="19">
        <v>0</v>
      </c>
      <c r="L562" s="20">
        <v>0</v>
      </c>
      <c r="M562" s="15">
        <v>0</v>
      </c>
      <c r="N562" s="15">
        <v>0</v>
      </c>
      <c r="O562" s="15">
        <v>0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</row>
    <row r="563" spans="1:43">
      <c r="A563" s="15" t="s">
        <v>49</v>
      </c>
      <c r="B563" s="15" t="s">
        <v>50</v>
      </c>
      <c r="C563" s="15" t="s">
        <v>61</v>
      </c>
      <c r="D563" s="15" t="s">
        <v>1562</v>
      </c>
      <c r="E563" s="15" t="s">
        <v>1563</v>
      </c>
      <c r="F563" s="16">
        <v>0</v>
      </c>
      <c r="G563" s="15" t="s">
        <v>1563</v>
      </c>
      <c r="H563" s="15" t="s">
        <v>54</v>
      </c>
      <c r="I563" s="18">
        <v>0</v>
      </c>
      <c r="J563" s="18">
        <v>0</v>
      </c>
      <c r="K563" s="19">
        <v>0</v>
      </c>
      <c r="L563" s="20">
        <v>0</v>
      </c>
      <c r="M563" s="15">
        <v>0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</row>
    <row r="564" spans="1:43">
      <c r="A564" s="15" t="s">
        <v>43</v>
      </c>
      <c r="B564" s="15" t="s">
        <v>44</v>
      </c>
      <c r="C564" s="15" t="s">
        <v>45</v>
      </c>
      <c r="D564" s="15" t="s">
        <v>1564</v>
      </c>
      <c r="E564" s="15" t="s">
        <v>1565</v>
      </c>
      <c r="F564" s="16">
        <v>43279.3759027778</v>
      </c>
      <c r="G564" s="15" t="s">
        <v>1565</v>
      </c>
      <c r="H564" s="15" t="s">
        <v>1566</v>
      </c>
      <c r="I564" s="18">
        <v>0</v>
      </c>
      <c r="J564" s="18">
        <v>0</v>
      </c>
      <c r="K564" s="19">
        <v>0</v>
      </c>
      <c r="L564" s="20">
        <v>0</v>
      </c>
      <c r="M564" s="15">
        <v>0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</row>
    <row r="565" spans="1:43">
      <c r="A565" s="15" t="s">
        <v>49</v>
      </c>
      <c r="B565" s="15" t="s">
        <v>50</v>
      </c>
      <c r="C565" s="15" t="s">
        <v>61</v>
      </c>
      <c r="D565" s="15" t="s">
        <v>1567</v>
      </c>
      <c r="E565" s="15" t="s">
        <v>1568</v>
      </c>
      <c r="F565" s="16">
        <v>0</v>
      </c>
      <c r="G565" s="15" t="s">
        <v>1568</v>
      </c>
      <c r="H565" s="15" t="s">
        <v>1569</v>
      </c>
      <c r="I565" s="18">
        <v>0</v>
      </c>
      <c r="J565" s="18">
        <v>0</v>
      </c>
      <c r="K565" s="19">
        <v>0</v>
      </c>
      <c r="L565" s="20">
        <v>0</v>
      </c>
      <c r="M565" s="15">
        <v>0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</row>
    <row r="566" spans="1:43">
      <c r="A566" s="15" t="s">
        <v>64</v>
      </c>
      <c r="B566" s="15" t="s">
        <v>65</v>
      </c>
      <c r="C566" s="15" t="s">
        <v>401</v>
      </c>
      <c r="D566" s="15" t="s">
        <v>1570</v>
      </c>
      <c r="E566" s="15" t="s">
        <v>1571</v>
      </c>
      <c r="F566" s="16">
        <v>45043.4784143519</v>
      </c>
      <c r="G566" s="15" t="s">
        <v>1571</v>
      </c>
      <c r="H566" s="15" t="s">
        <v>54</v>
      </c>
      <c r="I566" s="18">
        <v>2769.92</v>
      </c>
      <c r="J566" s="18">
        <v>14</v>
      </c>
      <c r="K566" s="19">
        <v>197.851428571429</v>
      </c>
      <c r="L566" s="20">
        <v>2.82644897959184</v>
      </c>
      <c r="M566" s="15">
        <v>230.8</v>
      </c>
      <c r="N566" s="15">
        <v>183.79</v>
      </c>
      <c r="O566" s="15">
        <v>132.7</v>
      </c>
      <c r="P566" s="15">
        <v>127.24</v>
      </c>
      <c r="Q566" s="15">
        <v>279.87</v>
      </c>
      <c r="R566" s="15">
        <v>118.69</v>
      </c>
      <c r="S566" s="15">
        <v>149.29</v>
      </c>
      <c r="T566" s="15">
        <v>206.46</v>
      </c>
      <c r="U566" s="15">
        <v>143.87</v>
      </c>
      <c r="V566" s="15">
        <v>250.97</v>
      </c>
      <c r="W566" s="15">
        <v>196.04</v>
      </c>
      <c r="X566" s="15">
        <v>311.23</v>
      </c>
      <c r="Y566" s="15">
        <v>167.09</v>
      </c>
      <c r="Z566" s="15">
        <v>271.88</v>
      </c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</row>
    <row r="567" spans="1:43">
      <c r="A567" s="15" t="s">
        <v>43</v>
      </c>
      <c r="B567" s="15" t="s">
        <v>44</v>
      </c>
      <c r="C567" s="15" t="s">
        <v>45</v>
      </c>
      <c r="D567" s="15" t="s">
        <v>1572</v>
      </c>
      <c r="E567" s="15" t="s">
        <v>1573</v>
      </c>
      <c r="F567" s="16">
        <v>43390.7138773148</v>
      </c>
      <c r="G567" s="15" t="s">
        <v>1573</v>
      </c>
      <c r="H567" s="15" t="s">
        <v>1574</v>
      </c>
      <c r="I567" s="18">
        <v>0</v>
      </c>
      <c r="J567" s="18">
        <v>0</v>
      </c>
      <c r="K567" s="19">
        <v>0</v>
      </c>
      <c r="L567" s="20">
        <v>0</v>
      </c>
      <c r="M567" s="15">
        <v>0</v>
      </c>
      <c r="N567" s="15">
        <v>0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</row>
    <row r="568" spans="1:43">
      <c r="A568" s="15" t="s">
        <v>43</v>
      </c>
      <c r="B568" s="15" t="s">
        <v>44</v>
      </c>
      <c r="C568" s="15" t="s">
        <v>45</v>
      </c>
      <c r="D568" s="15" t="s">
        <v>1575</v>
      </c>
      <c r="E568" s="15" t="s">
        <v>1576</v>
      </c>
      <c r="F568" s="16">
        <v>42912.6350925926</v>
      </c>
      <c r="G568" s="15" t="s">
        <v>1576</v>
      </c>
      <c r="H568" s="15" t="s">
        <v>1577</v>
      </c>
      <c r="I568" s="18">
        <v>0</v>
      </c>
      <c r="J568" s="18">
        <v>0</v>
      </c>
      <c r="K568" s="19">
        <v>0</v>
      </c>
      <c r="L568" s="20">
        <v>0</v>
      </c>
      <c r="M568" s="15">
        <v>0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</row>
    <row r="569" spans="1:43">
      <c r="A569" s="15" t="s">
        <v>49</v>
      </c>
      <c r="B569" s="15" t="s">
        <v>50</v>
      </c>
      <c r="C569" s="15" t="s">
        <v>301</v>
      </c>
      <c r="D569" s="15" t="s">
        <v>1578</v>
      </c>
      <c r="E569" s="15" t="s">
        <v>1579</v>
      </c>
      <c r="F569" s="16">
        <v>44902.4820023148</v>
      </c>
      <c r="G569" s="15" t="s">
        <v>1579</v>
      </c>
      <c r="H569" s="15" t="s">
        <v>1580</v>
      </c>
      <c r="I569" s="18">
        <v>2014</v>
      </c>
      <c r="J569" s="18">
        <v>12</v>
      </c>
      <c r="K569" s="19">
        <v>167.833333333333</v>
      </c>
      <c r="L569" s="20">
        <v>3.35666666666667</v>
      </c>
      <c r="M569" s="15">
        <v>143.55</v>
      </c>
      <c r="N569" s="15">
        <v>195.37</v>
      </c>
      <c r="O569" s="15">
        <v>199.63</v>
      </c>
      <c r="P569" s="15">
        <v>102.87</v>
      </c>
      <c r="Q569" s="15">
        <v>123.66</v>
      </c>
      <c r="R569" s="15">
        <v>0</v>
      </c>
      <c r="S569" s="15">
        <v>202.07</v>
      </c>
      <c r="T569" s="15">
        <v>202.53</v>
      </c>
      <c r="U569" s="15">
        <v>201.21</v>
      </c>
      <c r="V569" s="15">
        <v>200.32</v>
      </c>
      <c r="W569" s="15">
        <v>171.48</v>
      </c>
      <c r="X569" s="15">
        <v>114.13</v>
      </c>
      <c r="Y569" s="15">
        <v>0</v>
      </c>
      <c r="Z569" s="15">
        <v>157.18</v>
      </c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</row>
    <row r="570" spans="1:43">
      <c r="A570" s="15" t="s">
        <v>49</v>
      </c>
      <c r="B570" s="15" t="s">
        <v>50</v>
      </c>
      <c r="C570" s="15" t="s">
        <v>61</v>
      </c>
      <c r="D570" s="15" t="s">
        <v>1581</v>
      </c>
      <c r="E570" s="15" t="s">
        <v>1582</v>
      </c>
      <c r="F570" s="16">
        <v>0</v>
      </c>
      <c r="G570" s="15" t="s">
        <v>1582</v>
      </c>
      <c r="H570" s="15" t="s">
        <v>54</v>
      </c>
      <c r="I570" s="18">
        <v>0</v>
      </c>
      <c r="J570" s="18">
        <v>0</v>
      </c>
      <c r="K570" s="19">
        <v>0</v>
      </c>
      <c r="L570" s="20">
        <v>0</v>
      </c>
      <c r="M570" s="15">
        <v>0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</row>
    <row r="571" spans="1:43">
      <c r="A571" s="15" t="s">
        <v>43</v>
      </c>
      <c r="B571" s="15" t="s">
        <v>44</v>
      </c>
      <c r="C571" s="15" t="s">
        <v>45</v>
      </c>
      <c r="D571" s="15" t="s">
        <v>1583</v>
      </c>
      <c r="E571" s="15" t="s">
        <v>1584</v>
      </c>
      <c r="F571" s="16">
        <v>41984.6968634259</v>
      </c>
      <c r="G571" s="15" t="s">
        <v>1584</v>
      </c>
      <c r="H571" s="15" t="s">
        <v>1585</v>
      </c>
      <c r="I571" s="18">
        <v>0</v>
      </c>
      <c r="J571" s="18">
        <v>0</v>
      </c>
      <c r="K571" s="19">
        <v>0</v>
      </c>
      <c r="L571" s="20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</row>
    <row r="572" spans="1:43">
      <c r="A572" s="15" t="s">
        <v>49</v>
      </c>
      <c r="B572" s="15" t="s">
        <v>50</v>
      </c>
      <c r="C572" s="15" t="s">
        <v>61</v>
      </c>
      <c r="D572" s="15" t="s">
        <v>1586</v>
      </c>
      <c r="E572" s="15" t="s">
        <v>1587</v>
      </c>
      <c r="F572" s="16">
        <v>0</v>
      </c>
      <c r="G572" s="15" t="s">
        <v>1587</v>
      </c>
      <c r="H572" s="15" t="s">
        <v>54</v>
      </c>
      <c r="I572" s="18">
        <v>0</v>
      </c>
      <c r="J572" s="18">
        <v>0</v>
      </c>
      <c r="K572" s="19">
        <v>0</v>
      </c>
      <c r="L572" s="20">
        <v>0</v>
      </c>
      <c r="M572" s="15">
        <v>0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</row>
    <row r="573" spans="1:43">
      <c r="A573" s="15" t="s">
        <v>43</v>
      </c>
      <c r="B573" s="15" t="s">
        <v>44</v>
      </c>
      <c r="C573" s="15" t="s">
        <v>45</v>
      </c>
      <c r="D573" s="15" t="s">
        <v>1588</v>
      </c>
      <c r="E573" s="15" t="s">
        <v>1589</v>
      </c>
      <c r="F573" s="16">
        <v>43594.7227430556</v>
      </c>
      <c r="G573" s="15" t="s">
        <v>1589</v>
      </c>
      <c r="H573" s="15" t="s">
        <v>1590</v>
      </c>
      <c r="I573" s="18">
        <v>0</v>
      </c>
      <c r="J573" s="18">
        <v>0</v>
      </c>
      <c r="K573" s="19">
        <v>0</v>
      </c>
      <c r="L573" s="20">
        <v>0</v>
      </c>
      <c r="M573" s="15">
        <v>0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</row>
    <row r="574" spans="1:43">
      <c r="A574" s="15" t="s">
        <v>49</v>
      </c>
      <c r="B574" s="15" t="s">
        <v>50</v>
      </c>
      <c r="C574" s="15" t="s">
        <v>61</v>
      </c>
      <c r="D574" s="15" t="s">
        <v>1591</v>
      </c>
      <c r="E574" s="15" t="s">
        <v>1592</v>
      </c>
      <c r="F574" s="16">
        <v>43612.4067592593</v>
      </c>
      <c r="G574" s="15" t="s">
        <v>1592</v>
      </c>
      <c r="H574" s="15" t="s">
        <v>1593</v>
      </c>
      <c r="I574" s="18">
        <v>0</v>
      </c>
      <c r="J574" s="18">
        <v>0</v>
      </c>
      <c r="K574" s="19">
        <v>0</v>
      </c>
      <c r="L574" s="20">
        <v>0</v>
      </c>
      <c r="M574" s="15">
        <v>0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</row>
    <row r="575" spans="1:43">
      <c r="A575" s="15" t="s">
        <v>43</v>
      </c>
      <c r="B575" s="15" t="s">
        <v>44</v>
      </c>
      <c r="C575" s="15" t="s">
        <v>45</v>
      </c>
      <c r="D575" s="15" t="s">
        <v>1594</v>
      </c>
      <c r="E575" s="15" t="s">
        <v>1595</v>
      </c>
      <c r="F575" s="16">
        <v>42800.7177662037</v>
      </c>
      <c r="G575" s="15" t="s">
        <v>1595</v>
      </c>
      <c r="H575" s="15" t="s">
        <v>1596</v>
      </c>
      <c r="I575" s="18">
        <v>0</v>
      </c>
      <c r="J575" s="18">
        <v>0</v>
      </c>
      <c r="K575" s="19">
        <v>0</v>
      </c>
      <c r="L575" s="20">
        <v>0</v>
      </c>
      <c r="M575" s="15">
        <v>0</v>
      </c>
      <c r="N575" s="15">
        <v>0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</row>
    <row r="576" spans="1:43">
      <c r="A576" s="15" t="s">
        <v>43</v>
      </c>
      <c r="B576" s="15" t="s">
        <v>44</v>
      </c>
      <c r="C576" s="15" t="s">
        <v>45</v>
      </c>
      <c r="D576" s="15" t="s">
        <v>1597</v>
      </c>
      <c r="E576" s="15" t="s">
        <v>1598</v>
      </c>
      <c r="F576" s="16">
        <v>43200.3959837963</v>
      </c>
      <c r="G576" s="15" t="s">
        <v>1598</v>
      </c>
      <c r="H576" s="15" t="s">
        <v>1599</v>
      </c>
      <c r="I576" s="18">
        <v>0</v>
      </c>
      <c r="J576" s="18">
        <v>0</v>
      </c>
      <c r="K576" s="19">
        <v>0</v>
      </c>
      <c r="L576" s="20">
        <v>0</v>
      </c>
      <c r="M576" s="15">
        <v>0</v>
      </c>
      <c r="N576" s="15">
        <v>0</v>
      </c>
      <c r="O576" s="15">
        <v>0</v>
      </c>
      <c r="P576" s="15">
        <v>0</v>
      </c>
      <c r="Q576" s="15">
        <v>0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</row>
    <row r="577" spans="1:43">
      <c r="A577" s="15" t="s">
        <v>43</v>
      </c>
      <c r="B577" s="15" t="s">
        <v>44</v>
      </c>
      <c r="C577" s="15" t="s">
        <v>45</v>
      </c>
      <c r="D577" s="15" t="s">
        <v>1600</v>
      </c>
      <c r="E577" s="15" t="s">
        <v>1601</v>
      </c>
      <c r="F577" s="16">
        <v>43096.6998263889</v>
      </c>
      <c r="G577" s="15" t="s">
        <v>1601</v>
      </c>
      <c r="H577" s="15" t="s">
        <v>1602</v>
      </c>
      <c r="I577" s="18">
        <v>0</v>
      </c>
      <c r="J577" s="18">
        <v>0</v>
      </c>
      <c r="K577" s="19">
        <v>0</v>
      </c>
      <c r="L577" s="20">
        <v>0</v>
      </c>
      <c r="M577" s="15">
        <v>0</v>
      </c>
      <c r="N577" s="15">
        <v>0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</row>
    <row r="578" spans="1:43">
      <c r="A578" s="15" t="s">
        <v>49</v>
      </c>
      <c r="B578" s="15" t="s">
        <v>50</v>
      </c>
      <c r="C578" s="15" t="s">
        <v>61</v>
      </c>
      <c r="D578" s="15" t="s">
        <v>1603</v>
      </c>
      <c r="E578" s="15" t="s">
        <v>1604</v>
      </c>
      <c r="F578" s="16">
        <v>0</v>
      </c>
      <c r="G578" s="15" t="s">
        <v>1604</v>
      </c>
      <c r="H578" s="15" t="s">
        <v>1605</v>
      </c>
      <c r="I578" s="18">
        <v>0</v>
      </c>
      <c r="J578" s="18">
        <v>0</v>
      </c>
      <c r="K578" s="19">
        <v>0</v>
      </c>
      <c r="L578" s="20">
        <v>0</v>
      </c>
      <c r="M578" s="15">
        <v>0</v>
      </c>
      <c r="N578" s="15">
        <v>0</v>
      </c>
      <c r="O578" s="15">
        <v>0</v>
      </c>
      <c r="P578" s="15">
        <v>0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</row>
    <row r="579" spans="1:43">
      <c r="A579" s="15" t="s">
        <v>43</v>
      </c>
      <c r="B579" s="15" t="s">
        <v>44</v>
      </c>
      <c r="C579" s="15" t="s">
        <v>45</v>
      </c>
      <c r="D579" s="15" t="s">
        <v>1606</v>
      </c>
      <c r="E579" s="15" t="s">
        <v>1607</v>
      </c>
      <c r="F579" s="16">
        <v>43908.4861574074</v>
      </c>
      <c r="G579" s="15" t="s">
        <v>1607</v>
      </c>
      <c r="H579" s="15" t="s">
        <v>1608</v>
      </c>
      <c r="I579" s="18">
        <v>0</v>
      </c>
      <c r="J579" s="18">
        <v>0</v>
      </c>
      <c r="K579" s="19">
        <v>0</v>
      </c>
      <c r="L579" s="20">
        <v>0</v>
      </c>
      <c r="M579" s="15">
        <v>0</v>
      </c>
      <c r="N579" s="15">
        <v>0</v>
      </c>
      <c r="O579" s="15">
        <v>0</v>
      </c>
      <c r="P579" s="15">
        <v>0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</row>
    <row r="580" spans="1:43">
      <c r="A580" s="15" t="s">
        <v>49</v>
      </c>
      <c r="B580" s="15" t="s">
        <v>50</v>
      </c>
      <c r="C580" s="15" t="s">
        <v>61</v>
      </c>
      <c r="D580" s="15" t="s">
        <v>1609</v>
      </c>
      <c r="E580" s="15" t="s">
        <v>1610</v>
      </c>
      <c r="F580" s="16">
        <v>0</v>
      </c>
      <c r="G580" s="15" t="s">
        <v>1610</v>
      </c>
      <c r="H580" s="15" t="s">
        <v>54</v>
      </c>
      <c r="I580" s="18">
        <v>0</v>
      </c>
      <c r="J580" s="18">
        <v>0</v>
      </c>
      <c r="K580" s="19">
        <v>0</v>
      </c>
      <c r="L580" s="20">
        <v>0</v>
      </c>
      <c r="M580" s="15">
        <v>0</v>
      </c>
      <c r="N580" s="15">
        <v>0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</row>
    <row r="581" spans="1:43">
      <c r="A581" s="15" t="s">
        <v>43</v>
      </c>
      <c r="B581" s="15" t="s">
        <v>44</v>
      </c>
      <c r="C581" s="15" t="s">
        <v>45</v>
      </c>
      <c r="D581" s="15" t="s">
        <v>1611</v>
      </c>
      <c r="E581" s="15" t="s">
        <v>1612</v>
      </c>
      <c r="F581" s="16">
        <v>43910.7273958333</v>
      </c>
      <c r="G581" s="15" t="s">
        <v>1612</v>
      </c>
      <c r="H581" s="15" t="s">
        <v>1613</v>
      </c>
      <c r="I581" s="18">
        <v>0</v>
      </c>
      <c r="J581" s="18">
        <v>0</v>
      </c>
      <c r="K581" s="19">
        <v>0</v>
      </c>
      <c r="L581" s="20">
        <v>0</v>
      </c>
      <c r="M581" s="15">
        <v>0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</row>
    <row r="582" spans="1:43">
      <c r="A582" s="15" t="s">
        <v>64</v>
      </c>
      <c r="B582" s="15" t="s">
        <v>118</v>
      </c>
      <c r="C582" s="15" t="s">
        <v>131</v>
      </c>
      <c r="D582" s="15" t="s">
        <v>1614</v>
      </c>
      <c r="E582" s="15" t="s">
        <v>1615</v>
      </c>
      <c r="F582" s="16">
        <v>44677.7122800926</v>
      </c>
      <c r="G582" s="15" t="s">
        <v>1615</v>
      </c>
      <c r="H582" s="15" t="s">
        <v>54</v>
      </c>
      <c r="I582" s="18">
        <v>0</v>
      </c>
      <c r="J582" s="18">
        <v>0</v>
      </c>
      <c r="K582" s="19">
        <v>0</v>
      </c>
      <c r="L582" s="20">
        <v>0</v>
      </c>
      <c r="M582" s="15">
        <v>0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</row>
    <row r="583" spans="1:43">
      <c r="A583" s="15" t="s">
        <v>49</v>
      </c>
      <c r="B583" s="15" t="s">
        <v>50</v>
      </c>
      <c r="C583" s="15" t="s">
        <v>75</v>
      </c>
      <c r="D583" s="15" t="s">
        <v>1616</v>
      </c>
      <c r="E583" s="15" t="s">
        <v>1617</v>
      </c>
      <c r="F583" s="16">
        <v>44977.6836574074</v>
      </c>
      <c r="G583" s="15" t="s">
        <v>1617</v>
      </c>
      <c r="H583" s="15" t="s">
        <v>54</v>
      </c>
      <c r="I583" s="18">
        <v>0</v>
      </c>
      <c r="J583" s="18">
        <v>0</v>
      </c>
      <c r="K583" s="19">
        <v>0</v>
      </c>
      <c r="L583" s="20">
        <v>0</v>
      </c>
      <c r="M583" s="15">
        <v>0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</row>
    <row r="584" spans="1:43">
      <c r="A584" s="15" t="s">
        <v>49</v>
      </c>
      <c r="B584" s="15" t="s">
        <v>50</v>
      </c>
      <c r="C584" s="15" t="s">
        <v>75</v>
      </c>
      <c r="D584" s="15" t="s">
        <v>1618</v>
      </c>
      <c r="E584" s="15" t="s">
        <v>1619</v>
      </c>
      <c r="F584" s="16">
        <v>44782.4686342593</v>
      </c>
      <c r="G584" s="15" t="s">
        <v>1619</v>
      </c>
      <c r="H584" s="15" t="s">
        <v>54</v>
      </c>
      <c r="I584" s="18">
        <v>0</v>
      </c>
      <c r="J584" s="18">
        <v>0</v>
      </c>
      <c r="K584" s="19">
        <v>0</v>
      </c>
      <c r="L584" s="20">
        <v>0</v>
      </c>
      <c r="M584" s="15">
        <v>0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</row>
    <row r="585" spans="1:43">
      <c r="A585" s="15" t="s">
        <v>43</v>
      </c>
      <c r="B585" s="15" t="s">
        <v>44</v>
      </c>
      <c r="C585" s="15" t="s">
        <v>45</v>
      </c>
      <c r="D585" s="15" t="s">
        <v>1620</v>
      </c>
      <c r="E585" s="15" t="s">
        <v>1621</v>
      </c>
      <c r="F585" s="16">
        <v>43442.416412037</v>
      </c>
      <c r="G585" s="15" t="s">
        <v>1621</v>
      </c>
      <c r="H585" s="15" t="s">
        <v>1622</v>
      </c>
      <c r="I585" s="18">
        <v>0</v>
      </c>
      <c r="J585" s="18">
        <v>0</v>
      </c>
      <c r="K585" s="19">
        <v>0</v>
      </c>
      <c r="L585" s="20">
        <v>0</v>
      </c>
      <c r="M585" s="15">
        <v>0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</row>
    <row r="586" spans="1:43">
      <c r="A586" s="15" t="s">
        <v>43</v>
      </c>
      <c r="B586" s="15" t="s">
        <v>44</v>
      </c>
      <c r="C586" s="15" t="s">
        <v>45</v>
      </c>
      <c r="D586" s="15" t="s">
        <v>1623</v>
      </c>
      <c r="E586" s="15" t="s">
        <v>1624</v>
      </c>
      <c r="F586" s="16">
        <v>41177.4738310185</v>
      </c>
      <c r="G586" s="15" t="s">
        <v>1624</v>
      </c>
      <c r="H586" s="15" t="s">
        <v>1625</v>
      </c>
      <c r="I586" s="18">
        <v>0</v>
      </c>
      <c r="J586" s="18">
        <v>0</v>
      </c>
      <c r="K586" s="19">
        <v>0</v>
      </c>
      <c r="L586" s="20">
        <v>0</v>
      </c>
      <c r="M586" s="15">
        <v>0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</row>
    <row r="587" spans="1:43">
      <c r="A587" s="15" t="s">
        <v>49</v>
      </c>
      <c r="B587" s="15" t="s">
        <v>50</v>
      </c>
      <c r="C587" s="15" t="s">
        <v>61</v>
      </c>
      <c r="D587" s="15" t="s">
        <v>1626</v>
      </c>
      <c r="E587" s="15" t="s">
        <v>1627</v>
      </c>
      <c r="F587" s="16">
        <v>0</v>
      </c>
      <c r="G587" s="15" t="s">
        <v>1627</v>
      </c>
      <c r="H587" s="15" t="s">
        <v>54</v>
      </c>
      <c r="I587" s="18">
        <v>0</v>
      </c>
      <c r="J587" s="18">
        <v>0</v>
      </c>
      <c r="K587" s="19">
        <v>0</v>
      </c>
      <c r="L587" s="20">
        <v>0</v>
      </c>
      <c r="M587" s="15">
        <v>0</v>
      </c>
      <c r="N587" s="15">
        <v>0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</row>
    <row r="588" spans="1:43">
      <c r="A588" s="15" t="s">
        <v>49</v>
      </c>
      <c r="B588" s="15" t="s">
        <v>50</v>
      </c>
      <c r="C588" s="15" t="s">
        <v>301</v>
      </c>
      <c r="D588" s="15" t="s">
        <v>1628</v>
      </c>
      <c r="E588" s="15" t="s">
        <v>1629</v>
      </c>
      <c r="F588" s="16">
        <v>44515.688599537</v>
      </c>
      <c r="G588" s="15" t="s">
        <v>1629</v>
      </c>
      <c r="H588" s="15" t="s">
        <v>54</v>
      </c>
      <c r="I588" s="18">
        <v>0</v>
      </c>
      <c r="J588" s="18">
        <v>0</v>
      </c>
      <c r="K588" s="19">
        <v>0</v>
      </c>
      <c r="L588" s="20">
        <v>0</v>
      </c>
      <c r="M588" s="15">
        <v>0</v>
      </c>
      <c r="N588" s="15">
        <v>0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</row>
    <row r="589" spans="1:43">
      <c r="A589" s="15" t="s">
        <v>43</v>
      </c>
      <c r="B589" s="15" t="s">
        <v>44</v>
      </c>
      <c r="C589" s="15" t="s">
        <v>45</v>
      </c>
      <c r="D589" s="15" t="s">
        <v>1630</v>
      </c>
      <c r="E589" s="15" t="s">
        <v>1631</v>
      </c>
      <c r="F589" s="16">
        <v>42084.4590625</v>
      </c>
      <c r="G589" s="15" t="s">
        <v>1631</v>
      </c>
      <c r="H589" s="15" t="s">
        <v>1632</v>
      </c>
      <c r="I589" s="18">
        <v>0</v>
      </c>
      <c r="J589" s="18">
        <v>0</v>
      </c>
      <c r="K589" s="19">
        <v>0</v>
      </c>
      <c r="L589" s="20">
        <v>0</v>
      </c>
      <c r="M589" s="15">
        <v>0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</row>
    <row r="590" spans="1:43">
      <c r="A590" s="15" t="s">
        <v>64</v>
      </c>
      <c r="B590" s="15" t="s">
        <v>65</v>
      </c>
      <c r="C590" s="15" t="s">
        <v>522</v>
      </c>
      <c r="D590" s="15" t="s">
        <v>1633</v>
      </c>
      <c r="E590" s="15" t="s">
        <v>1634</v>
      </c>
      <c r="F590" s="16">
        <v>45019.7173611111</v>
      </c>
      <c r="G590" s="15" t="s">
        <v>1634</v>
      </c>
      <c r="H590" s="15" t="s">
        <v>54</v>
      </c>
      <c r="I590" s="18">
        <v>726.95</v>
      </c>
      <c r="J590" s="18">
        <v>14</v>
      </c>
      <c r="K590" s="19">
        <v>51.925</v>
      </c>
      <c r="L590" s="20">
        <v>0.741785714285714</v>
      </c>
      <c r="M590" s="15">
        <v>51.22</v>
      </c>
      <c r="N590" s="15">
        <v>58.01</v>
      </c>
      <c r="O590" s="15">
        <v>50.07</v>
      </c>
      <c r="P590" s="15">
        <v>50.69</v>
      </c>
      <c r="Q590" s="15">
        <v>50.09</v>
      </c>
      <c r="R590" s="15">
        <v>54.46</v>
      </c>
      <c r="S590" s="15">
        <v>50.05</v>
      </c>
      <c r="T590" s="15">
        <v>50.2</v>
      </c>
      <c r="U590" s="15">
        <v>54.02</v>
      </c>
      <c r="V590" s="15">
        <v>51.38</v>
      </c>
      <c r="W590" s="15">
        <v>50.56</v>
      </c>
      <c r="X590" s="15">
        <v>50.69</v>
      </c>
      <c r="Y590" s="15">
        <v>52.98</v>
      </c>
      <c r="Z590" s="15">
        <v>52.53</v>
      </c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</row>
    <row r="591" spans="1:43">
      <c r="A591" s="15" t="s">
        <v>49</v>
      </c>
      <c r="B591" s="15" t="s">
        <v>50</v>
      </c>
      <c r="C591" s="15" t="s">
        <v>61</v>
      </c>
      <c r="D591" s="15" t="s">
        <v>1635</v>
      </c>
      <c r="E591" s="15" t="s">
        <v>1636</v>
      </c>
      <c r="F591" s="16">
        <v>0</v>
      </c>
      <c r="G591" s="15" t="s">
        <v>1636</v>
      </c>
      <c r="H591" s="15" t="s">
        <v>1637</v>
      </c>
      <c r="I591" s="18">
        <v>0</v>
      </c>
      <c r="J591" s="18">
        <v>0</v>
      </c>
      <c r="K591" s="19">
        <v>0</v>
      </c>
      <c r="L591" s="20">
        <v>0</v>
      </c>
      <c r="M591" s="15">
        <v>0</v>
      </c>
      <c r="N591" s="15">
        <v>0</v>
      </c>
      <c r="O591" s="15">
        <v>0</v>
      </c>
      <c r="P591" s="15">
        <v>0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</row>
    <row r="592" spans="1:43">
      <c r="A592" s="15" t="s">
        <v>43</v>
      </c>
      <c r="B592" s="15" t="s">
        <v>44</v>
      </c>
      <c r="C592" s="15" t="s">
        <v>45</v>
      </c>
      <c r="D592" s="15" t="s">
        <v>1638</v>
      </c>
      <c r="E592" s="15" t="s">
        <v>1639</v>
      </c>
      <c r="F592" s="16">
        <v>43080.6772453704</v>
      </c>
      <c r="G592" s="15" t="s">
        <v>1639</v>
      </c>
      <c r="H592" s="15" t="s">
        <v>1640</v>
      </c>
      <c r="I592" s="18">
        <v>0</v>
      </c>
      <c r="J592" s="18">
        <v>0</v>
      </c>
      <c r="K592" s="19">
        <v>0</v>
      </c>
      <c r="L592" s="20">
        <v>0</v>
      </c>
      <c r="M592" s="15">
        <v>0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</row>
    <row r="593" spans="1:43">
      <c r="A593" s="15" t="s">
        <v>49</v>
      </c>
      <c r="B593" s="15" t="s">
        <v>50</v>
      </c>
      <c r="C593" s="15" t="s">
        <v>61</v>
      </c>
      <c r="D593" s="15" t="s">
        <v>1641</v>
      </c>
      <c r="E593" s="15" t="s">
        <v>1642</v>
      </c>
      <c r="F593" s="16">
        <v>0</v>
      </c>
      <c r="G593" s="15" t="s">
        <v>1642</v>
      </c>
      <c r="H593" s="15" t="s">
        <v>54</v>
      </c>
      <c r="I593" s="18">
        <v>0</v>
      </c>
      <c r="J593" s="18">
        <v>0</v>
      </c>
      <c r="K593" s="19">
        <v>0</v>
      </c>
      <c r="L593" s="20">
        <v>0</v>
      </c>
      <c r="M593" s="15">
        <v>0</v>
      </c>
      <c r="N593" s="15">
        <v>0</v>
      </c>
      <c r="O593" s="15">
        <v>0</v>
      </c>
      <c r="P593" s="15">
        <v>0</v>
      </c>
      <c r="Q593" s="15">
        <v>0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</row>
    <row r="594" spans="1:43">
      <c r="A594" s="15" t="s">
        <v>43</v>
      </c>
      <c r="B594" s="15" t="s">
        <v>44</v>
      </c>
      <c r="C594" s="15" t="s">
        <v>45</v>
      </c>
      <c r="D594" s="15" t="s">
        <v>1643</v>
      </c>
      <c r="E594" s="15" t="s">
        <v>1644</v>
      </c>
      <c r="F594" s="16">
        <v>41830.4636342593</v>
      </c>
      <c r="G594" s="15" t="s">
        <v>1644</v>
      </c>
      <c r="H594" s="15" t="s">
        <v>1645</v>
      </c>
      <c r="I594" s="18">
        <v>0</v>
      </c>
      <c r="J594" s="18">
        <v>0</v>
      </c>
      <c r="K594" s="19">
        <v>0</v>
      </c>
      <c r="L594" s="20">
        <v>0</v>
      </c>
      <c r="M594" s="15">
        <v>0</v>
      </c>
      <c r="N594" s="15">
        <v>0</v>
      </c>
      <c r="O594" s="15">
        <v>0</v>
      </c>
      <c r="P594" s="15">
        <v>0</v>
      </c>
      <c r="Q594" s="15">
        <v>0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</row>
    <row r="595" spans="1:43">
      <c r="A595" s="15" t="s">
        <v>64</v>
      </c>
      <c r="B595" s="15" t="s">
        <v>65</v>
      </c>
      <c r="C595" s="15" t="s">
        <v>66</v>
      </c>
      <c r="D595" s="15" t="s">
        <v>1646</v>
      </c>
      <c r="E595" s="15" t="s">
        <v>1647</v>
      </c>
      <c r="F595" s="16">
        <v>44645.4131597222</v>
      </c>
      <c r="G595" s="15" t="s">
        <v>1647</v>
      </c>
      <c r="H595" s="15" t="s">
        <v>1648</v>
      </c>
      <c r="I595" s="18">
        <v>0</v>
      </c>
      <c r="J595" s="18">
        <v>0</v>
      </c>
      <c r="K595" s="19">
        <v>0</v>
      </c>
      <c r="L595" s="20">
        <v>0</v>
      </c>
      <c r="M595" s="15">
        <v>0</v>
      </c>
      <c r="N595" s="15">
        <v>0</v>
      </c>
      <c r="O595" s="15">
        <v>0</v>
      </c>
      <c r="P595" s="15">
        <v>0</v>
      </c>
      <c r="Q595" s="15">
        <v>0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</row>
    <row r="596" spans="1:43">
      <c r="A596" s="15" t="s">
        <v>49</v>
      </c>
      <c r="B596" s="15" t="s">
        <v>50</v>
      </c>
      <c r="C596" s="15" t="s">
        <v>61</v>
      </c>
      <c r="D596" s="15" t="s">
        <v>1649</v>
      </c>
      <c r="E596" s="15" t="s">
        <v>1650</v>
      </c>
      <c r="F596" s="16">
        <v>0</v>
      </c>
      <c r="G596" s="15" t="s">
        <v>1650</v>
      </c>
      <c r="H596" s="15" t="s">
        <v>1651</v>
      </c>
      <c r="I596" s="18">
        <v>0</v>
      </c>
      <c r="J596" s="18">
        <v>0</v>
      </c>
      <c r="K596" s="19">
        <v>0</v>
      </c>
      <c r="L596" s="20">
        <v>0</v>
      </c>
      <c r="M596" s="15">
        <v>0</v>
      </c>
      <c r="N596" s="15">
        <v>0</v>
      </c>
      <c r="O596" s="15">
        <v>0</v>
      </c>
      <c r="P596" s="15">
        <v>0</v>
      </c>
      <c r="Q596" s="15">
        <v>0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</row>
    <row r="597" spans="1:43">
      <c r="A597" s="15" t="s">
        <v>43</v>
      </c>
      <c r="B597" s="15" t="s">
        <v>44</v>
      </c>
      <c r="C597" s="15" t="s">
        <v>45</v>
      </c>
      <c r="D597" s="15" t="s">
        <v>1652</v>
      </c>
      <c r="E597" s="15" t="s">
        <v>1653</v>
      </c>
      <c r="F597" s="16">
        <v>41766.7040972222</v>
      </c>
      <c r="G597" s="15" t="s">
        <v>1653</v>
      </c>
      <c r="H597" s="15" t="s">
        <v>1654</v>
      </c>
      <c r="I597" s="18">
        <v>0</v>
      </c>
      <c r="J597" s="18">
        <v>0</v>
      </c>
      <c r="K597" s="19">
        <v>0</v>
      </c>
      <c r="L597" s="20">
        <v>0</v>
      </c>
      <c r="M597" s="15">
        <v>0</v>
      </c>
      <c r="N597" s="15">
        <v>0</v>
      </c>
      <c r="O597" s="15">
        <v>0</v>
      </c>
      <c r="P597" s="15">
        <v>0</v>
      </c>
      <c r="Q597" s="15">
        <v>0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</row>
    <row r="598" spans="1:43">
      <c r="A598" s="15" t="s">
        <v>43</v>
      </c>
      <c r="B598" s="15" t="s">
        <v>44</v>
      </c>
      <c r="C598" s="15" t="s">
        <v>45</v>
      </c>
      <c r="D598" s="15" t="s">
        <v>1655</v>
      </c>
      <c r="E598" s="15" t="s">
        <v>1656</v>
      </c>
      <c r="F598" s="16">
        <v>41578.4697337963</v>
      </c>
      <c r="G598" s="15" t="s">
        <v>1656</v>
      </c>
      <c r="H598" s="15" t="s">
        <v>1657</v>
      </c>
      <c r="I598" s="18">
        <v>0</v>
      </c>
      <c r="J598" s="18">
        <v>0</v>
      </c>
      <c r="K598" s="19">
        <v>0</v>
      </c>
      <c r="L598" s="20">
        <v>0</v>
      </c>
      <c r="M598" s="15">
        <v>0</v>
      </c>
      <c r="N598" s="15">
        <v>0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</row>
    <row r="599" spans="1:43">
      <c r="A599" s="15" t="s">
        <v>43</v>
      </c>
      <c r="B599" s="15" t="s">
        <v>44</v>
      </c>
      <c r="C599" s="15" t="s">
        <v>45</v>
      </c>
      <c r="D599" s="15" t="s">
        <v>1658</v>
      </c>
      <c r="E599" s="15" t="s">
        <v>1659</v>
      </c>
      <c r="F599" s="16">
        <v>41819.4490162037</v>
      </c>
      <c r="G599" s="15" t="s">
        <v>1659</v>
      </c>
      <c r="H599" s="15" t="s">
        <v>1660</v>
      </c>
      <c r="I599" s="18">
        <v>0</v>
      </c>
      <c r="J599" s="18">
        <v>0</v>
      </c>
      <c r="K599" s="19">
        <v>0</v>
      </c>
      <c r="L599" s="20">
        <v>0</v>
      </c>
      <c r="M599" s="15">
        <v>0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</row>
    <row r="600" spans="1:43">
      <c r="A600" s="15" t="s">
        <v>64</v>
      </c>
      <c r="B600" s="15" t="s">
        <v>65</v>
      </c>
      <c r="C600" s="15" t="s">
        <v>78</v>
      </c>
      <c r="D600" s="15" t="s">
        <v>1661</v>
      </c>
      <c r="E600" s="15" t="s">
        <v>1662</v>
      </c>
      <c r="F600" s="16">
        <v>45016.7021064815</v>
      </c>
      <c r="G600" s="15" t="s">
        <v>1662</v>
      </c>
      <c r="H600" s="15" t="s">
        <v>54</v>
      </c>
      <c r="I600" s="18">
        <v>3.18</v>
      </c>
      <c r="J600" s="18">
        <v>4</v>
      </c>
      <c r="K600" s="19">
        <v>0.795</v>
      </c>
      <c r="L600" s="20">
        <v>0.0113571428571429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0.8</v>
      </c>
      <c r="X600" s="15">
        <v>0.78</v>
      </c>
      <c r="Y600" s="15">
        <v>0.8</v>
      </c>
      <c r="Z600" s="15">
        <v>0.8</v>
      </c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</row>
    <row r="601" spans="1:43">
      <c r="A601" s="15" t="s">
        <v>49</v>
      </c>
      <c r="B601" s="15" t="s">
        <v>50</v>
      </c>
      <c r="C601" s="15" t="s">
        <v>61</v>
      </c>
      <c r="D601" s="15" t="s">
        <v>1663</v>
      </c>
      <c r="E601" s="15" t="s">
        <v>1664</v>
      </c>
      <c r="F601" s="16">
        <v>0</v>
      </c>
      <c r="G601" s="15" t="s">
        <v>1664</v>
      </c>
      <c r="H601" s="15" t="s">
        <v>54</v>
      </c>
      <c r="I601" s="18">
        <v>0</v>
      </c>
      <c r="J601" s="18">
        <v>0</v>
      </c>
      <c r="K601" s="19">
        <v>0</v>
      </c>
      <c r="L601" s="20">
        <v>0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</row>
    <row r="602" spans="1:43">
      <c r="A602" s="15" t="s">
        <v>43</v>
      </c>
      <c r="B602" s="15" t="s">
        <v>44</v>
      </c>
      <c r="C602" s="15" t="s">
        <v>45</v>
      </c>
      <c r="D602" s="15" t="s">
        <v>1665</v>
      </c>
      <c r="E602" s="15" t="s">
        <v>1666</v>
      </c>
      <c r="F602" s="16">
        <v>42724.6236574074</v>
      </c>
      <c r="G602" s="15" t="s">
        <v>1666</v>
      </c>
      <c r="H602" s="15" t="s">
        <v>1667</v>
      </c>
      <c r="I602" s="18">
        <v>0</v>
      </c>
      <c r="J602" s="18">
        <v>0</v>
      </c>
      <c r="K602" s="19">
        <v>0</v>
      </c>
      <c r="L602" s="20">
        <v>0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</row>
    <row r="603" spans="1:43">
      <c r="A603" s="15" t="s">
        <v>43</v>
      </c>
      <c r="B603" s="15" t="s">
        <v>44</v>
      </c>
      <c r="C603" s="15" t="s">
        <v>45</v>
      </c>
      <c r="D603" s="15" t="s">
        <v>1668</v>
      </c>
      <c r="E603" s="15" t="s">
        <v>1669</v>
      </c>
      <c r="F603" s="16">
        <v>42727.6981597222</v>
      </c>
      <c r="G603" s="15" t="s">
        <v>1669</v>
      </c>
      <c r="H603" s="15" t="s">
        <v>1670</v>
      </c>
      <c r="I603" s="18">
        <v>0</v>
      </c>
      <c r="J603" s="18">
        <v>0</v>
      </c>
      <c r="K603" s="19">
        <v>0</v>
      </c>
      <c r="L603" s="20">
        <v>0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</row>
    <row r="604" spans="1:43">
      <c r="A604" s="15" t="s">
        <v>43</v>
      </c>
      <c r="B604" s="15" t="s">
        <v>44</v>
      </c>
      <c r="C604" s="15" t="s">
        <v>45</v>
      </c>
      <c r="D604" s="15" t="s">
        <v>1671</v>
      </c>
      <c r="E604" s="15" t="s">
        <v>1672</v>
      </c>
      <c r="F604" s="16">
        <v>42724.3933333333</v>
      </c>
      <c r="G604" s="15" t="s">
        <v>1672</v>
      </c>
      <c r="H604" s="15" t="s">
        <v>1673</v>
      </c>
      <c r="I604" s="18">
        <v>0</v>
      </c>
      <c r="J604" s="18">
        <v>0</v>
      </c>
      <c r="K604" s="19">
        <v>0</v>
      </c>
      <c r="L604" s="20">
        <v>0</v>
      </c>
      <c r="M604" s="15">
        <v>0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</row>
    <row r="605" spans="1:43">
      <c r="A605" s="15" t="s">
        <v>43</v>
      </c>
      <c r="B605" s="15" t="s">
        <v>44</v>
      </c>
      <c r="C605" s="15" t="s">
        <v>45</v>
      </c>
      <c r="D605" s="15" t="s">
        <v>1674</v>
      </c>
      <c r="E605" s="15" t="s">
        <v>1675</v>
      </c>
      <c r="F605" s="16">
        <v>43083.6721527778</v>
      </c>
      <c r="G605" s="15" t="s">
        <v>1675</v>
      </c>
      <c r="H605" s="15" t="s">
        <v>1676</v>
      </c>
      <c r="I605" s="18">
        <v>0</v>
      </c>
      <c r="J605" s="18">
        <v>0</v>
      </c>
      <c r="K605" s="19">
        <v>0</v>
      </c>
      <c r="L605" s="20">
        <v>0</v>
      </c>
      <c r="M605" s="15">
        <v>0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</row>
    <row r="606" spans="1:43">
      <c r="A606" s="15" t="s">
        <v>49</v>
      </c>
      <c r="B606" s="15" t="s">
        <v>50</v>
      </c>
      <c r="C606" s="15" t="s">
        <v>301</v>
      </c>
      <c r="D606" s="15" t="s">
        <v>1677</v>
      </c>
      <c r="E606" s="15" t="s">
        <v>1678</v>
      </c>
      <c r="F606" s="16">
        <v>44979.3819328704</v>
      </c>
      <c r="G606" s="15" t="s">
        <v>1678</v>
      </c>
      <c r="H606" s="15" t="s">
        <v>54</v>
      </c>
      <c r="I606" s="18">
        <v>0</v>
      </c>
      <c r="J606" s="18">
        <v>0</v>
      </c>
      <c r="K606" s="19">
        <v>0</v>
      </c>
      <c r="L606" s="20">
        <v>0</v>
      </c>
      <c r="M606" s="15">
        <v>0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</row>
    <row r="607" spans="1:43">
      <c r="A607" s="15" t="s">
        <v>43</v>
      </c>
      <c r="B607" s="15" t="s">
        <v>44</v>
      </c>
      <c r="C607" s="15" t="s">
        <v>45</v>
      </c>
      <c r="D607" s="15" t="s">
        <v>1679</v>
      </c>
      <c r="E607" s="15" t="s">
        <v>1680</v>
      </c>
      <c r="F607" s="16">
        <v>42721.4062268518</v>
      </c>
      <c r="G607" s="15" t="s">
        <v>1680</v>
      </c>
      <c r="H607" s="15" t="s">
        <v>1681</v>
      </c>
      <c r="I607" s="18">
        <v>0</v>
      </c>
      <c r="J607" s="18">
        <v>0</v>
      </c>
      <c r="K607" s="19">
        <v>0</v>
      </c>
      <c r="L607" s="20">
        <v>0</v>
      </c>
      <c r="M607" s="15">
        <v>0</v>
      </c>
      <c r="N607" s="15">
        <v>0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</row>
    <row r="608" spans="1:43">
      <c r="A608" s="15" t="s">
        <v>43</v>
      </c>
      <c r="B608" s="15" t="s">
        <v>44</v>
      </c>
      <c r="C608" s="15" t="s">
        <v>45</v>
      </c>
      <c r="D608" s="15" t="s">
        <v>1682</v>
      </c>
      <c r="E608" s="15" t="s">
        <v>1683</v>
      </c>
      <c r="F608" s="16">
        <v>41904.3825694445</v>
      </c>
      <c r="G608" s="15" t="s">
        <v>1683</v>
      </c>
      <c r="H608" s="15" t="s">
        <v>1684</v>
      </c>
      <c r="I608" s="18">
        <v>0</v>
      </c>
      <c r="J608" s="18">
        <v>0</v>
      </c>
      <c r="K608" s="19">
        <v>0</v>
      </c>
      <c r="L608" s="20">
        <v>0</v>
      </c>
      <c r="M608" s="15">
        <v>0</v>
      </c>
      <c r="N608" s="15">
        <v>0</v>
      </c>
      <c r="O608" s="15">
        <v>0</v>
      </c>
      <c r="P608" s="15">
        <v>0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</row>
    <row r="609" spans="1:43">
      <c r="A609" s="15" t="s">
        <v>43</v>
      </c>
      <c r="B609" s="15" t="s">
        <v>44</v>
      </c>
      <c r="C609" s="15" t="s">
        <v>45</v>
      </c>
      <c r="D609" s="15" t="s">
        <v>1685</v>
      </c>
      <c r="E609" s="15" t="s">
        <v>1686</v>
      </c>
      <c r="F609" s="16">
        <v>43088.3826967593</v>
      </c>
      <c r="G609" s="15" t="s">
        <v>1686</v>
      </c>
      <c r="H609" s="15" t="s">
        <v>1687</v>
      </c>
      <c r="I609" s="18">
        <v>0</v>
      </c>
      <c r="J609" s="18">
        <v>0</v>
      </c>
      <c r="K609" s="19">
        <v>0</v>
      </c>
      <c r="L609" s="20">
        <v>0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</row>
    <row r="610" spans="1:43">
      <c r="A610" s="15" t="s">
        <v>43</v>
      </c>
      <c r="B610" s="15" t="s">
        <v>44</v>
      </c>
      <c r="C610" s="15" t="s">
        <v>228</v>
      </c>
      <c r="D610" s="15" t="s">
        <v>1688</v>
      </c>
      <c r="E610" s="15" t="s">
        <v>1689</v>
      </c>
      <c r="F610" s="16">
        <v>45035.6189814815</v>
      </c>
      <c r="G610" s="15" t="s">
        <v>1689</v>
      </c>
      <c r="H610" s="15" t="s">
        <v>54</v>
      </c>
      <c r="I610" s="18">
        <v>0</v>
      </c>
      <c r="J610" s="18">
        <v>0</v>
      </c>
      <c r="K610" s="19">
        <v>0</v>
      </c>
      <c r="L610" s="20">
        <v>0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</row>
    <row r="611" spans="1:43">
      <c r="A611" s="15" t="s">
        <v>43</v>
      </c>
      <c r="B611" s="15" t="s">
        <v>44</v>
      </c>
      <c r="C611" s="15" t="s">
        <v>45</v>
      </c>
      <c r="D611" s="15" t="s">
        <v>1690</v>
      </c>
      <c r="E611" s="15" t="s">
        <v>1691</v>
      </c>
      <c r="F611" s="16">
        <v>41992.728599537</v>
      </c>
      <c r="G611" s="15" t="s">
        <v>1691</v>
      </c>
      <c r="H611" s="15" t="s">
        <v>1692</v>
      </c>
      <c r="I611" s="18">
        <v>0</v>
      </c>
      <c r="J611" s="18">
        <v>0</v>
      </c>
      <c r="K611" s="19">
        <v>0</v>
      </c>
      <c r="L611" s="20">
        <v>0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</row>
    <row r="612" spans="1:43">
      <c r="A612" s="15" t="s">
        <v>64</v>
      </c>
      <c r="B612" s="15" t="s">
        <v>118</v>
      </c>
      <c r="C612" s="15" t="s">
        <v>138</v>
      </c>
      <c r="D612" s="15" t="s">
        <v>1693</v>
      </c>
      <c r="E612" s="15" t="s">
        <v>1694</v>
      </c>
      <c r="F612" s="16">
        <v>45079.5779976852</v>
      </c>
      <c r="G612" s="15" t="s">
        <v>1694</v>
      </c>
      <c r="H612" s="15" t="s">
        <v>1695</v>
      </c>
      <c r="I612" s="18">
        <v>1095.25</v>
      </c>
      <c r="J612" s="18">
        <v>14</v>
      </c>
      <c r="K612" s="19">
        <v>78.2321428571429</v>
      </c>
      <c r="L612" s="20">
        <v>1.11760204081633</v>
      </c>
      <c r="M612" s="15">
        <v>77.22</v>
      </c>
      <c r="N612" s="15">
        <v>65.75</v>
      </c>
      <c r="O612" s="15">
        <v>102.88</v>
      </c>
      <c r="P612" s="15">
        <v>32.39</v>
      </c>
      <c r="Q612" s="15">
        <v>80.32</v>
      </c>
      <c r="R612" s="15">
        <v>82.08</v>
      </c>
      <c r="S612" s="15">
        <v>70.37</v>
      </c>
      <c r="T612" s="15">
        <v>90.21</v>
      </c>
      <c r="U612" s="15">
        <v>58.13</v>
      </c>
      <c r="V612" s="15">
        <v>106.65</v>
      </c>
      <c r="W612" s="15">
        <v>100.2</v>
      </c>
      <c r="X612" s="15">
        <v>102.76</v>
      </c>
      <c r="Y612" s="15">
        <v>51.22</v>
      </c>
      <c r="Z612" s="15">
        <v>75.07</v>
      </c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</row>
    <row r="613" spans="1:43">
      <c r="A613" s="15" t="s">
        <v>49</v>
      </c>
      <c r="B613" s="15" t="s">
        <v>50</v>
      </c>
      <c r="C613" s="15" t="s">
        <v>61</v>
      </c>
      <c r="D613" s="15" t="s">
        <v>1696</v>
      </c>
      <c r="E613" s="15" t="s">
        <v>1697</v>
      </c>
      <c r="F613" s="16">
        <v>0</v>
      </c>
      <c r="G613" s="15" t="s">
        <v>1697</v>
      </c>
      <c r="H613" s="15" t="s">
        <v>1698</v>
      </c>
      <c r="I613" s="18">
        <v>0</v>
      </c>
      <c r="J613" s="18">
        <v>0</v>
      </c>
      <c r="K613" s="19">
        <v>0</v>
      </c>
      <c r="L613" s="20">
        <v>0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</row>
    <row r="614" spans="1:43">
      <c r="A614" s="15" t="s">
        <v>43</v>
      </c>
      <c r="B614" s="15" t="s">
        <v>44</v>
      </c>
      <c r="C614" s="15" t="s">
        <v>45</v>
      </c>
      <c r="D614" s="15" t="s">
        <v>1699</v>
      </c>
      <c r="E614" s="15" t="s">
        <v>1700</v>
      </c>
      <c r="F614" s="16">
        <v>42810.7094907407</v>
      </c>
      <c r="G614" s="15" t="s">
        <v>1700</v>
      </c>
      <c r="H614" s="15" t="s">
        <v>1701</v>
      </c>
      <c r="I614" s="18">
        <v>0</v>
      </c>
      <c r="J614" s="18">
        <v>0</v>
      </c>
      <c r="K614" s="19">
        <v>0</v>
      </c>
      <c r="L614" s="20">
        <v>0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</row>
    <row r="615" spans="1:43">
      <c r="A615" s="15" t="s">
        <v>43</v>
      </c>
      <c r="B615" s="15" t="s">
        <v>44</v>
      </c>
      <c r="C615" s="15" t="s">
        <v>45</v>
      </c>
      <c r="D615" s="15" t="s">
        <v>1702</v>
      </c>
      <c r="E615" s="15" t="s">
        <v>1703</v>
      </c>
      <c r="F615" s="16">
        <v>41376.6271990741</v>
      </c>
      <c r="G615" s="15" t="s">
        <v>1703</v>
      </c>
      <c r="H615" s="15" t="s">
        <v>1704</v>
      </c>
      <c r="I615" s="18">
        <v>0</v>
      </c>
      <c r="J615" s="18">
        <v>0</v>
      </c>
      <c r="K615" s="19">
        <v>0</v>
      </c>
      <c r="L615" s="20">
        <v>0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</row>
    <row r="616" spans="1:43">
      <c r="A616" s="15" t="s">
        <v>49</v>
      </c>
      <c r="B616" s="15" t="s">
        <v>50</v>
      </c>
      <c r="C616" s="15" t="s">
        <v>61</v>
      </c>
      <c r="D616" s="15" t="s">
        <v>1705</v>
      </c>
      <c r="E616" s="15" t="s">
        <v>1706</v>
      </c>
      <c r="F616" s="16">
        <v>0</v>
      </c>
      <c r="G616" s="15" t="s">
        <v>1706</v>
      </c>
      <c r="H616" s="15" t="s">
        <v>1707</v>
      </c>
      <c r="I616" s="18">
        <v>0</v>
      </c>
      <c r="J616" s="18">
        <v>0</v>
      </c>
      <c r="K616" s="19">
        <v>0</v>
      </c>
      <c r="L616" s="20">
        <v>0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</row>
    <row r="617" spans="1:43">
      <c r="A617" s="15" t="s">
        <v>43</v>
      </c>
      <c r="B617" s="15" t="s">
        <v>44</v>
      </c>
      <c r="C617" s="15" t="s">
        <v>45</v>
      </c>
      <c r="D617" s="15" t="s">
        <v>1708</v>
      </c>
      <c r="E617" s="15" t="s">
        <v>1709</v>
      </c>
      <c r="F617" s="16">
        <v>40960.7143287037</v>
      </c>
      <c r="G617" s="15" t="s">
        <v>1709</v>
      </c>
      <c r="H617" s="15" t="s">
        <v>1710</v>
      </c>
      <c r="I617" s="18">
        <v>0</v>
      </c>
      <c r="J617" s="18">
        <v>0</v>
      </c>
      <c r="K617" s="19">
        <v>0</v>
      </c>
      <c r="L617" s="20">
        <v>0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0</v>
      </c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</row>
    <row r="618" spans="1:43">
      <c r="A618" s="15" t="s">
        <v>43</v>
      </c>
      <c r="B618" s="15" t="s">
        <v>44</v>
      </c>
      <c r="C618" s="15" t="s">
        <v>45</v>
      </c>
      <c r="D618" s="15" t="s">
        <v>1711</v>
      </c>
      <c r="E618" s="15" t="s">
        <v>1712</v>
      </c>
      <c r="F618" s="16">
        <v>43130.7276157407</v>
      </c>
      <c r="G618" s="15" t="s">
        <v>1712</v>
      </c>
      <c r="H618" s="15" t="s">
        <v>1713</v>
      </c>
      <c r="I618" s="18">
        <v>0</v>
      </c>
      <c r="J618" s="18">
        <v>0</v>
      </c>
      <c r="K618" s="19">
        <v>0</v>
      </c>
      <c r="L618" s="20">
        <v>0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</row>
    <row r="619" spans="1:43">
      <c r="A619" s="15" t="s">
        <v>43</v>
      </c>
      <c r="B619" s="15" t="s">
        <v>44</v>
      </c>
      <c r="C619" s="15" t="s">
        <v>45</v>
      </c>
      <c r="D619" s="15" t="s">
        <v>1714</v>
      </c>
      <c r="E619" s="15" t="s">
        <v>1715</v>
      </c>
      <c r="F619" s="16">
        <v>41555.7201967593</v>
      </c>
      <c r="G619" s="15" t="s">
        <v>1715</v>
      </c>
      <c r="H619" s="15" t="s">
        <v>1716</v>
      </c>
      <c r="I619" s="18">
        <v>0</v>
      </c>
      <c r="J619" s="18">
        <v>0</v>
      </c>
      <c r="K619" s="19">
        <v>0</v>
      </c>
      <c r="L619" s="20">
        <v>0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</row>
    <row r="620" spans="1:43">
      <c r="A620" s="15" t="s">
        <v>43</v>
      </c>
      <c r="B620" s="15" t="s">
        <v>44</v>
      </c>
      <c r="C620" s="15" t="s">
        <v>45</v>
      </c>
      <c r="D620" s="15" t="s">
        <v>1717</v>
      </c>
      <c r="E620" s="15" t="s">
        <v>1718</v>
      </c>
      <c r="F620" s="16">
        <v>42144.6644097222</v>
      </c>
      <c r="G620" s="15" t="s">
        <v>1718</v>
      </c>
      <c r="H620" s="15" t="s">
        <v>1719</v>
      </c>
      <c r="I620" s="18">
        <v>0</v>
      </c>
      <c r="J620" s="18">
        <v>0</v>
      </c>
      <c r="K620" s="19">
        <v>0</v>
      </c>
      <c r="L620" s="20">
        <v>0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</row>
    <row r="621" spans="1:43">
      <c r="A621" s="15" t="s">
        <v>43</v>
      </c>
      <c r="B621" s="15" t="s">
        <v>44</v>
      </c>
      <c r="C621" s="15" t="s">
        <v>228</v>
      </c>
      <c r="D621" s="15" t="s">
        <v>1720</v>
      </c>
      <c r="E621" s="15" t="s">
        <v>1721</v>
      </c>
      <c r="F621" s="16">
        <v>44923.6831597222</v>
      </c>
      <c r="G621" s="15" t="s">
        <v>1721</v>
      </c>
      <c r="H621" s="15" t="s">
        <v>54</v>
      </c>
      <c r="I621" s="18">
        <v>0</v>
      </c>
      <c r="J621" s="18">
        <v>0</v>
      </c>
      <c r="K621" s="19">
        <v>0</v>
      </c>
      <c r="L621" s="20">
        <v>0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</row>
    <row r="622" spans="1:43">
      <c r="A622" s="15" t="s">
        <v>64</v>
      </c>
      <c r="B622" s="15" t="s">
        <v>65</v>
      </c>
      <c r="C622" s="15" t="s">
        <v>93</v>
      </c>
      <c r="D622" s="15" t="s">
        <v>1722</v>
      </c>
      <c r="E622" s="15" t="s">
        <v>1723</v>
      </c>
      <c r="F622" s="16">
        <v>45141.4121990741</v>
      </c>
      <c r="G622" s="15" t="s">
        <v>1723</v>
      </c>
      <c r="H622" s="15" t="s">
        <v>54</v>
      </c>
      <c r="I622" s="18">
        <v>13873.54</v>
      </c>
      <c r="J622" s="18">
        <v>9</v>
      </c>
      <c r="K622" s="19">
        <v>1541.50444444444</v>
      </c>
      <c r="L622" s="20">
        <v>22.0214920634921</v>
      </c>
      <c r="M622" s="15">
        <v>0</v>
      </c>
      <c r="N622" s="15">
        <v>0</v>
      </c>
      <c r="O622" s="15">
        <v>1918.03</v>
      </c>
      <c r="P622" s="15">
        <v>2127.08</v>
      </c>
      <c r="Q622" s="15">
        <v>2011.3</v>
      </c>
      <c r="R622" s="15">
        <v>2006.07</v>
      </c>
      <c r="S622" s="15">
        <v>1703.11</v>
      </c>
      <c r="T622" s="15">
        <v>2017.66</v>
      </c>
      <c r="U622" s="15">
        <v>2018.35</v>
      </c>
      <c r="V622" s="15">
        <v>16.33</v>
      </c>
      <c r="W622" s="15">
        <v>55.61</v>
      </c>
      <c r="X622" s="15">
        <v>0</v>
      </c>
      <c r="Y622" s="15">
        <v>0</v>
      </c>
      <c r="Z622" s="15">
        <v>0</v>
      </c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</row>
    <row r="623" spans="1:43">
      <c r="A623" s="15" t="s">
        <v>49</v>
      </c>
      <c r="B623" s="15" t="s">
        <v>50</v>
      </c>
      <c r="C623" s="15" t="s">
        <v>61</v>
      </c>
      <c r="D623" s="15" t="s">
        <v>1724</v>
      </c>
      <c r="E623" s="15" t="s">
        <v>1725</v>
      </c>
      <c r="F623" s="16">
        <v>0</v>
      </c>
      <c r="G623" s="15" t="s">
        <v>1725</v>
      </c>
      <c r="H623" s="15" t="s">
        <v>54</v>
      </c>
      <c r="I623" s="18">
        <v>0</v>
      </c>
      <c r="J623" s="18">
        <v>0</v>
      </c>
      <c r="K623" s="19">
        <v>0</v>
      </c>
      <c r="L623" s="20">
        <v>0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</row>
    <row r="624" spans="1:43">
      <c r="A624" s="15" t="s">
        <v>49</v>
      </c>
      <c r="B624" s="15" t="s">
        <v>50</v>
      </c>
      <c r="C624" s="15" t="s">
        <v>301</v>
      </c>
      <c r="D624" s="15" t="s">
        <v>1726</v>
      </c>
      <c r="E624" s="15" t="s">
        <v>1727</v>
      </c>
      <c r="F624" s="16">
        <v>45000.4810069444</v>
      </c>
      <c r="G624" s="15" t="s">
        <v>1727</v>
      </c>
      <c r="H624" s="15" t="s">
        <v>1728</v>
      </c>
      <c r="I624" s="18">
        <v>0</v>
      </c>
      <c r="J624" s="18">
        <v>0</v>
      </c>
      <c r="K624" s="19">
        <v>0</v>
      </c>
      <c r="L624" s="20">
        <v>0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</row>
    <row r="625" spans="1:43">
      <c r="A625" s="15" t="s">
        <v>43</v>
      </c>
      <c r="B625" s="15" t="s">
        <v>44</v>
      </c>
      <c r="C625" s="15" t="s">
        <v>45</v>
      </c>
      <c r="D625" s="15" t="s">
        <v>1729</v>
      </c>
      <c r="E625" s="15" t="s">
        <v>1730</v>
      </c>
      <c r="F625" s="16">
        <v>43311.6731944444</v>
      </c>
      <c r="G625" s="15" t="s">
        <v>1730</v>
      </c>
      <c r="H625" s="15" t="s">
        <v>1731</v>
      </c>
      <c r="I625" s="18">
        <v>0</v>
      </c>
      <c r="J625" s="18">
        <v>0</v>
      </c>
      <c r="K625" s="19">
        <v>0</v>
      </c>
      <c r="L625" s="20">
        <v>0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</row>
    <row r="626" spans="1:43">
      <c r="A626" s="15" t="s">
        <v>49</v>
      </c>
      <c r="B626" s="15" t="s">
        <v>50</v>
      </c>
      <c r="C626" s="15" t="s">
        <v>61</v>
      </c>
      <c r="D626" s="15" t="s">
        <v>1732</v>
      </c>
      <c r="E626" s="15" t="s">
        <v>1733</v>
      </c>
      <c r="F626" s="16">
        <v>0</v>
      </c>
      <c r="G626" s="15" t="s">
        <v>1733</v>
      </c>
      <c r="H626" s="15" t="s">
        <v>1734</v>
      </c>
      <c r="I626" s="18">
        <v>0</v>
      </c>
      <c r="J626" s="18">
        <v>0</v>
      </c>
      <c r="K626" s="19">
        <v>0</v>
      </c>
      <c r="L626" s="20">
        <v>0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</row>
    <row r="627" spans="1:43">
      <c r="A627" s="15" t="s">
        <v>49</v>
      </c>
      <c r="B627" s="15" t="s">
        <v>50</v>
      </c>
      <c r="C627" s="15" t="s">
        <v>61</v>
      </c>
      <c r="D627" s="15" t="s">
        <v>1735</v>
      </c>
      <c r="E627" s="15" t="s">
        <v>1736</v>
      </c>
      <c r="F627" s="16">
        <v>0</v>
      </c>
      <c r="G627" s="15" t="s">
        <v>1736</v>
      </c>
      <c r="H627" s="15" t="s">
        <v>1737</v>
      </c>
      <c r="I627" s="18">
        <v>0</v>
      </c>
      <c r="J627" s="18">
        <v>0</v>
      </c>
      <c r="K627" s="19">
        <v>0</v>
      </c>
      <c r="L627" s="20">
        <v>0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</row>
    <row r="628" spans="1:43">
      <c r="A628" s="15" t="s">
        <v>49</v>
      </c>
      <c r="B628" s="15" t="s">
        <v>50</v>
      </c>
      <c r="C628" s="15" t="s">
        <v>61</v>
      </c>
      <c r="D628" s="15" t="s">
        <v>1738</v>
      </c>
      <c r="E628" s="15" t="s">
        <v>1739</v>
      </c>
      <c r="F628" s="16">
        <v>0</v>
      </c>
      <c r="G628" s="15" t="s">
        <v>1739</v>
      </c>
      <c r="H628" s="15" t="s">
        <v>1740</v>
      </c>
      <c r="I628" s="18">
        <v>0</v>
      </c>
      <c r="J628" s="18">
        <v>0</v>
      </c>
      <c r="K628" s="19">
        <v>0</v>
      </c>
      <c r="L628" s="20">
        <v>0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</row>
    <row r="629" spans="1:43">
      <c r="A629" s="15" t="s">
        <v>43</v>
      </c>
      <c r="B629" s="15" t="s">
        <v>44</v>
      </c>
      <c r="C629" s="15" t="s">
        <v>45</v>
      </c>
      <c r="D629" s="15" t="s">
        <v>1741</v>
      </c>
      <c r="E629" s="15" t="s">
        <v>1742</v>
      </c>
      <c r="F629" s="16">
        <v>43322.4465393518</v>
      </c>
      <c r="G629" s="15" t="s">
        <v>1742</v>
      </c>
      <c r="H629" s="15" t="s">
        <v>1743</v>
      </c>
      <c r="I629" s="18">
        <v>0</v>
      </c>
      <c r="J629" s="18">
        <v>0</v>
      </c>
      <c r="K629" s="19">
        <v>0</v>
      </c>
      <c r="L629" s="20">
        <v>0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</row>
    <row r="630" spans="1:43">
      <c r="A630" s="15" t="s">
        <v>43</v>
      </c>
      <c r="B630" s="15" t="s">
        <v>44</v>
      </c>
      <c r="C630" s="15" t="s">
        <v>45</v>
      </c>
      <c r="D630" s="15" t="s">
        <v>1744</v>
      </c>
      <c r="E630" s="15" t="s">
        <v>1745</v>
      </c>
      <c r="F630" s="16">
        <v>43811.6353935185</v>
      </c>
      <c r="G630" s="15" t="s">
        <v>1745</v>
      </c>
      <c r="H630" s="15" t="s">
        <v>1746</v>
      </c>
      <c r="I630" s="18">
        <v>0</v>
      </c>
      <c r="J630" s="18">
        <v>0</v>
      </c>
      <c r="K630" s="19">
        <v>0</v>
      </c>
      <c r="L630" s="20">
        <v>0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</row>
    <row r="631" spans="1:43">
      <c r="A631" s="15" t="s">
        <v>49</v>
      </c>
      <c r="B631" s="15" t="s">
        <v>50</v>
      </c>
      <c r="C631" s="15" t="s">
        <v>61</v>
      </c>
      <c r="D631" s="15" t="s">
        <v>1747</v>
      </c>
      <c r="E631" s="15" t="s">
        <v>1748</v>
      </c>
      <c r="F631" s="16">
        <v>0</v>
      </c>
      <c r="G631" s="15" t="s">
        <v>1748</v>
      </c>
      <c r="H631" s="15" t="s">
        <v>54</v>
      </c>
      <c r="I631" s="18">
        <v>0</v>
      </c>
      <c r="J631" s="18">
        <v>0</v>
      </c>
      <c r="K631" s="19">
        <v>0</v>
      </c>
      <c r="L631" s="20">
        <v>0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</row>
    <row r="632" spans="1:43">
      <c r="A632" s="15" t="s">
        <v>49</v>
      </c>
      <c r="B632" s="15" t="s">
        <v>50</v>
      </c>
      <c r="C632" s="15" t="s">
        <v>61</v>
      </c>
      <c r="D632" s="15" t="s">
        <v>1749</v>
      </c>
      <c r="E632" s="15" t="s">
        <v>1750</v>
      </c>
      <c r="F632" s="16">
        <v>0</v>
      </c>
      <c r="G632" s="15" t="s">
        <v>1750</v>
      </c>
      <c r="H632" s="15" t="s">
        <v>1751</v>
      </c>
      <c r="I632" s="18">
        <v>0</v>
      </c>
      <c r="J632" s="18">
        <v>0</v>
      </c>
      <c r="K632" s="19">
        <v>0</v>
      </c>
      <c r="L632" s="20">
        <v>0</v>
      </c>
      <c r="M632" s="15">
        <v>0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</row>
    <row r="633" spans="1:43">
      <c r="A633" s="15" t="s">
        <v>43</v>
      </c>
      <c r="B633" s="15" t="s">
        <v>44</v>
      </c>
      <c r="C633" s="15" t="s">
        <v>45</v>
      </c>
      <c r="D633" s="15" t="s">
        <v>1752</v>
      </c>
      <c r="E633" s="15" t="s">
        <v>1753</v>
      </c>
      <c r="F633" s="16">
        <v>41499.6867013889</v>
      </c>
      <c r="G633" s="15" t="s">
        <v>1753</v>
      </c>
      <c r="H633" s="15" t="s">
        <v>1754</v>
      </c>
      <c r="I633" s="18">
        <v>0</v>
      </c>
      <c r="J633" s="18">
        <v>0</v>
      </c>
      <c r="K633" s="19">
        <v>0</v>
      </c>
      <c r="L633" s="20">
        <v>0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</row>
    <row r="634" spans="1:43">
      <c r="A634" s="15" t="s">
        <v>43</v>
      </c>
      <c r="B634" s="15" t="s">
        <v>44</v>
      </c>
      <c r="C634" s="15" t="s">
        <v>45</v>
      </c>
      <c r="D634" s="15" t="s">
        <v>1755</v>
      </c>
      <c r="E634" s="15" t="s">
        <v>1756</v>
      </c>
      <c r="F634" s="16">
        <v>42726.5782407407</v>
      </c>
      <c r="G634" s="15" t="s">
        <v>1756</v>
      </c>
      <c r="H634" s="15" t="s">
        <v>1757</v>
      </c>
      <c r="I634" s="18">
        <v>0</v>
      </c>
      <c r="J634" s="18">
        <v>0</v>
      </c>
      <c r="K634" s="19">
        <v>0</v>
      </c>
      <c r="L634" s="20">
        <v>0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</row>
    <row r="635" spans="1:43">
      <c r="A635" s="15" t="s">
        <v>43</v>
      </c>
      <c r="B635" s="15" t="s">
        <v>44</v>
      </c>
      <c r="C635" s="15" t="s">
        <v>45</v>
      </c>
      <c r="D635" s="15" t="s">
        <v>1758</v>
      </c>
      <c r="E635" s="15" t="s">
        <v>1759</v>
      </c>
      <c r="F635" s="16">
        <v>43518.693287037</v>
      </c>
      <c r="G635" s="15" t="s">
        <v>1759</v>
      </c>
      <c r="H635" s="15" t="s">
        <v>1760</v>
      </c>
      <c r="I635" s="18">
        <v>0</v>
      </c>
      <c r="J635" s="18">
        <v>0</v>
      </c>
      <c r="K635" s="19">
        <v>0</v>
      </c>
      <c r="L635" s="20">
        <v>0</v>
      </c>
      <c r="M635" s="15">
        <v>0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</row>
    <row r="636" spans="1:43">
      <c r="A636" s="15" t="s">
        <v>49</v>
      </c>
      <c r="B636" s="15" t="s">
        <v>50</v>
      </c>
      <c r="C636" s="15" t="s">
        <v>61</v>
      </c>
      <c r="D636" s="15" t="s">
        <v>1761</v>
      </c>
      <c r="E636" s="15" t="s">
        <v>1762</v>
      </c>
      <c r="F636" s="16">
        <v>0</v>
      </c>
      <c r="G636" s="15" t="s">
        <v>1762</v>
      </c>
      <c r="H636" s="15" t="s">
        <v>1763</v>
      </c>
      <c r="I636" s="18">
        <v>0</v>
      </c>
      <c r="J636" s="18">
        <v>0</v>
      </c>
      <c r="K636" s="19">
        <v>0</v>
      </c>
      <c r="L636" s="20">
        <v>0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</row>
    <row r="637" spans="1:43">
      <c r="A637" s="15" t="s">
        <v>49</v>
      </c>
      <c r="B637" s="15" t="s">
        <v>50</v>
      </c>
      <c r="C637" s="15" t="s">
        <v>301</v>
      </c>
      <c r="D637" s="15" t="s">
        <v>1764</v>
      </c>
      <c r="E637" s="15" t="s">
        <v>1765</v>
      </c>
      <c r="F637" s="16">
        <v>43096.4040509259</v>
      </c>
      <c r="G637" s="15" t="s">
        <v>1765</v>
      </c>
      <c r="H637" s="15" t="s">
        <v>1766</v>
      </c>
      <c r="I637" s="18">
        <v>0</v>
      </c>
      <c r="J637" s="18">
        <v>0</v>
      </c>
      <c r="K637" s="19">
        <v>0</v>
      </c>
      <c r="L637" s="20">
        <v>0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</row>
    <row r="638" spans="1:43">
      <c r="A638" s="15" t="s">
        <v>49</v>
      </c>
      <c r="B638" s="15" t="s">
        <v>50</v>
      </c>
      <c r="C638" s="15" t="s">
        <v>61</v>
      </c>
      <c r="D638" s="15" t="s">
        <v>1767</v>
      </c>
      <c r="E638" s="15" t="s">
        <v>1768</v>
      </c>
      <c r="F638" s="16">
        <v>0</v>
      </c>
      <c r="G638" s="15" t="s">
        <v>1768</v>
      </c>
      <c r="H638" s="15" t="s">
        <v>1769</v>
      </c>
      <c r="I638" s="18">
        <v>0</v>
      </c>
      <c r="J638" s="18">
        <v>0</v>
      </c>
      <c r="K638" s="19">
        <v>0</v>
      </c>
      <c r="L638" s="20">
        <v>0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</row>
    <row r="639" spans="1:43">
      <c r="A639" s="15" t="s">
        <v>43</v>
      </c>
      <c r="B639" s="15" t="s">
        <v>44</v>
      </c>
      <c r="C639" s="15" t="s">
        <v>45</v>
      </c>
      <c r="D639" s="15" t="s">
        <v>1770</v>
      </c>
      <c r="E639" s="15" t="s">
        <v>1771</v>
      </c>
      <c r="F639" s="16">
        <v>41765.6573726852</v>
      </c>
      <c r="G639" s="15" t="s">
        <v>1771</v>
      </c>
      <c r="H639" s="15" t="s">
        <v>1772</v>
      </c>
      <c r="I639" s="18">
        <v>0</v>
      </c>
      <c r="J639" s="18">
        <v>0</v>
      </c>
      <c r="K639" s="19">
        <v>0</v>
      </c>
      <c r="L639" s="20">
        <v>0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</row>
    <row r="640" spans="1:43">
      <c r="A640" s="15" t="s">
        <v>43</v>
      </c>
      <c r="B640" s="15" t="s">
        <v>44</v>
      </c>
      <c r="C640" s="15" t="s">
        <v>45</v>
      </c>
      <c r="D640" s="15" t="s">
        <v>1773</v>
      </c>
      <c r="E640" s="15" t="s">
        <v>1774</v>
      </c>
      <c r="F640" s="16">
        <v>41193.4770138889</v>
      </c>
      <c r="G640" s="15" t="s">
        <v>1774</v>
      </c>
      <c r="H640" s="15" t="s">
        <v>1775</v>
      </c>
      <c r="I640" s="18">
        <v>0</v>
      </c>
      <c r="J640" s="18">
        <v>0</v>
      </c>
      <c r="K640" s="19">
        <v>0</v>
      </c>
      <c r="L640" s="20">
        <v>0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</row>
    <row r="641" spans="1:43">
      <c r="A641" s="15" t="s">
        <v>43</v>
      </c>
      <c r="B641" s="15" t="s">
        <v>44</v>
      </c>
      <c r="C641" s="15" t="s">
        <v>45</v>
      </c>
      <c r="D641" s="15" t="s">
        <v>1776</v>
      </c>
      <c r="E641" s="15" t="s">
        <v>760</v>
      </c>
      <c r="F641" s="16">
        <v>42354.3943287037</v>
      </c>
      <c r="G641" s="15" t="s">
        <v>760</v>
      </c>
      <c r="H641" s="15" t="s">
        <v>1777</v>
      </c>
      <c r="I641" s="18">
        <v>0</v>
      </c>
      <c r="J641" s="18">
        <v>0</v>
      </c>
      <c r="K641" s="19">
        <v>0</v>
      </c>
      <c r="L641" s="20">
        <v>0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</row>
    <row r="642" spans="1:43">
      <c r="A642" s="15" t="s">
        <v>43</v>
      </c>
      <c r="B642" s="15" t="s">
        <v>44</v>
      </c>
      <c r="C642" s="15" t="s">
        <v>45</v>
      </c>
      <c r="D642" s="15" t="s">
        <v>1778</v>
      </c>
      <c r="E642" s="15" t="s">
        <v>1779</v>
      </c>
      <c r="F642" s="16">
        <v>43924.4759606482</v>
      </c>
      <c r="G642" s="15" t="s">
        <v>1779</v>
      </c>
      <c r="H642" s="15" t="s">
        <v>1780</v>
      </c>
      <c r="I642" s="18">
        <v>0</v>
      </c>
      <c r="J642" s="18">
        <v>0</v>
      </c>
      <c r="K642" s="19">
        <v>0</v>
      </c>
      <c r="L642" s="20">
        <v>0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</row>
    <row r="643" spans="1:43">
      <c r="A643" s="15" t="s">
        <v>43</v>
      </c>
      <c r="B643" s="15" t="s">
        <v>44</v>
      </c>
      <c r="C643" s="15" t="s">
        <v>45</v>
      </c>
      <c r="D643" s="15" t="s">
        <v>1781</v>
      </c>
      <c r="E643" s="15" t="s">
        <v>1782</v>
      </c>
      <c r="F643" s="16">
        <v>42348.6121412037</v>
      </c>
      <c r="G643" s="15" t="s">
        <v>1782</v>
      </c>
      <c r="H643" s="15" t="s">
        <v>1783</v>
      </c>
      <c r="I643" s="18">
        <v>0</v>
      </c>
      <c r="J643" s="18">
        <v>0</v>
      </c>
      <c r="K643" s="19">
        <v>0</v>
      </c>
      <c r="L643" s="20">
        <v>0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</row>
    <row r="644" spans="1:43">
      <c r="A644" s="15" t="s">
        <v>49</v>
      </c>
      <c r="B644" s="15" t="s">
        <v>50</v>
      </c>
      <c r="C644" s="15" t="s">
        <v>61</v>
      </c>
      <c r="D644" s="15" t="s">
        <v>1784</v>
      </c>
      <c r="E644" s="15" t="s">
        <v>1785</v>
      </c>
      <c r="F644" s="16">
        <v>0</v>
      </c>
      <c r="G644" s="15" t="s">
        <v>1785</v>
      </c>
      <c r="H644" s="15" t="s">
        <v>54</v>
      </c>
      <c r="I644" s="18">
        <v>0</v>
      </c>
      <c r="J644" s="18">
        <v>0</v>
      </c>
      <c r="K644" s="19">
        <v>0</v>
      </c>
      <c r="L644" s="20">
        <v>0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</row>
    <row r="645" spans="1:43">
      <c r="A645" s="15" t="s">
        <v>43</v>
      </c>
      <c r="B645" s="15" t="s">
        <v>44</v>
      </c>
      <c r="C645" s="15" t="s">
        <v>45</v>
      </c>
      <c r="D645" s="15" t="s">
        <v>1786</v>
      </c>
      <c r="E645" s="15" t="s">
        <v>1787</v>
      </c>
      <c r="F645" s="16">
        <v>43273.7264467593</v>
      </c>
      <c r="G645" s="15" t="s">
        <v>1787</v>
      </c>
      <c r="H645" s="15" t="s">
        <v>1788</v>
      </c>
      <c r="I645" s="18">
        <v>0</v>
      </c>
      <c r="J645" s="18">
        <v>0</v>
      </c>
      <c r="K645" s="19">
        <v>0</v>
      </c>
      <c r="L645" s="20">
        <v>0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</row>
    <row r="646" spans="1:43">
      <c r="A646" s="15" t="s">
        <v>43</v>
      </c>
      <c r="B646" s="15" t="s">
        <v>44</v>
      </c>
      <c r="C646" s="15" t="s">
        <v>45</v>
      </c>
      <c r="D646" s="15" t="s">
        <v>1789</v>
      </c>
      <c r="E646" s="15" t="s">
        <v>1790</v>
      </c>
      <c r="F646" s="16">
        <v>43168.6015625</v>
      </c>
      <c r="G646" s="15" t="s">
        <v>1790</v>
      </c>
      <c r="H646" s="15" t="s">
        <v>1791</v>
      </c>
      <c r="I646" s="18">
        <v>0</v>
      </c>
      <c r="J646" s="18">
        <v>0</v>
      </c>
      <c r="K646" s="19">
        <v>0</v>
      </c>
      <c r="L646" s="20">
        <v>0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</row>
    <row r="647" spans="1:43">
      <c r="A647" s="15" t="s">
        <v>49</v>
      </c>
      <c r="B647" s="15" t="s">
        <v>50</v>
      </c>
      <c r="C647" s="15" t="s">
        <v>61</v>
      </c>
      <c r="D647" s="15" t="s">
        <v>1792</v>
      </c>
      <c r="E647" s="15" t="s">
        <v>1793</v>
      </c>
      <c r="F647" s="16">
        <v>0</v>
      </c>
      <c r="G647" s="15" t="s">
        <v>1793</v>
      </c>
      <c r="H647" s="15" t="s">
        <v>1794</v>
      </c>
      <c r="I647" s="18">
        <v>0</v>
      </c>
      <c r="J647" s="18">
        <v>0</v>
      </c>
      <c r="K647" s="19">
        <v>0</v>
      </c>
      <c r="L647" s="20">
        <v>0</v>
      </c>
      <c r="M647" s="15">
        <v>0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</row>
    <row r="648" spans="1:43">
      <c r="A648" s="15" t="s">
        <v>43</v>
      </c>
      <c r="B648" s="15" t="s">
        <v>44</v>
      </c>
      <c r="C648" s="15" t="s">
        <v>45</v>
      </c>
      <c r="D648" s="15" t="s">
        <v>1795</v>
      </c>
      <c r="E648" s="15" t="s">
        <v>1796</v>
      </c>
      <c r="F648" s="16">
        <v>41508.3977199074</v>
      </c>
      <c r="G648" s="15" t="s">
        <v>1796</v>
      </c>
      <c r="H648" s="15" t="s">
        <v>1797</v>
      </c>
      <c r="I648" s="18">
        <v>0</v>
      </c>
      <c r="J648" s="18">
        <v>0</v>
      </c>
      <c r="K648" s="19">
        <v>0</v>
      </c>
      <c r="L648" s="20">
        <v>0</v>
      </c>
      <c r="M648" s="15">
        <v>0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</row>
    <row r="649" spans="1:43">
      <c r="A649" s="15" t="s">
        <v>43</v>
      </c>
      <c r="B649" s="15" t="s">
        <v>44</v>
      </c>
      <c r="C649" s="15" t="s">
        <v>45</v>
      </c>
      <c r="D649" s="15" t="s">
        <v>1798</v>
      </c>
      <c r="E649" s="15" t="s">
        <v>1799</v>
      </c>
      <c r="F649" s="16">
        <v>43539.4604398148</v>
      </c>
      <c r="G649" s="15" t="s">
        <v>1799</v>
      </c>
      <c r="H649" s="15" t="s">
        <v>1800</v>
      </c>
      <c r="I649" s="18">
        <v>0</v>
      </c>
      <c r="J649" s="18">
        <v>0</v>
      </c>
      <c r="K649" s="19">
        <v>0</v>
      </c>
      <c r="L649" s="20">
        <v>0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</row>
    <row r="650" spans="1:43">
      <c r="A650" s="15" t="s">
        <v>43</v>
      </c>
      <c r="B650" s="15" t="s">
        <v>44</v>
      </c>
      <c r="C650" s="15" t="s">
        <v>45</v>
      </c>
      <c r="D650" s="15" t="s">
        <v>1801</v>
      </c>
      <c r="E650" s="15" t="s">
        <v>1802</v>
      </c>
      <c r="F650" s="16">
        <v>41816.4562384259</v>
      </c>
      <c r="G650" s="15" t="s">
        <v>1802</v>
      </c>
      <c r="H650" s="15" t="s">
        <v>1803</v>
      </c>
      <c r="I650" s="18">
        <v>0</v>
      </c>
      <c r="J650" s="18">
        <v>0</v>
      </c>
      <c r="K650" s="19">
        <v>0</v>
      </c>
      <c r="L650" s="20">
        <v>0</v>
      </c>
      <c r="M650" s="15">
        <v>0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</row>
    <row r="651" spans="1:43">
      <c r="A651" s="15" t="s">
        <v>43</v>
      </c>
      <c r="B651" s="15" t="s">
        <v>44</v>
      </c>
      <c r="C651" s="15" t="s">
        <v>45</v>
      </c>
      <c r="D651" s="15" t="s">
        <v>1804</v>
      </c>
      <c r="E651" s="15" t="s">
        <v>1805</v>
      </c>
      <c r="F651" s="16">
        <v>43494.4442476852</v>
      </c>
      <c r="G651" s="15" t="s">
        <v>1805</v>
      </c>
      <c r="H651" s="15" t="s">
        <v>1806</v>
      </c>
      <c r="I651" s="18">
        <v>0</v>
      </c>
      <c r="J651" s="18">
        <v>0</v>
      </c>
      <c r="K651" s="19">
        <v>0</v>
      </c>
      <c r="L651" s="20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</row>
    <row r="652" spans="1:43">
      <c r="A652" s="15" t="s">
        <v>49</v>
      </c>
      <c r="B652" s="15" t="s">
        <v>50</v>
      </c>
      <c r="C652" s="15" t="s">
        <v>51</v>
      </c>
      <c r="D652" s="15" t="s">
        <v>1807</v>
      </c>
      <c r="E652" s="15" t="s">
        <v>1808</v>
      </c>
      <c r="F652" s="16">
        <v>45020.5874768519</v>
      </c>
      <c r="G652" s="15" t="s">
        <v>1808</v>
      </c>
      <c r="H652" s="15" t="s">
        <v>54</v>
      </c>
      <c r="I652" s="18">
        <v>0</v>
      </c>
      <c r="J652" s="18">
        <v>0</v>
      </c>
      <c r="K652" s="19">
        <v>0</v>
      </c>
      <c r="L652" s="20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</row>
    <row r="653" spans="1:43">
      <c r="A653" s="15" t="s">
        <v>49</v>
      </c>
      <c r="B653" s="15" t="s">
        <v>50</v>
      </c>
      <c r="C653" s="15" t="s">
        <v>61</v>
      </c>
      <c r="D653" s="15" t="s">
        <v>1809</v>
      </c>
      <c r="E653" s="15" t="s">
        <v>1810</v>
      </c>
      <c r="F653" s="16">
        <v>0</v>
      </c>
      <c r="G653" s="15" t="s">
        <v>1810</v>
      </c>
      <c r="H653" s="15" t="s">
        <v>1811</v>
      </c>
      <c r="I653" s="18">
        <v>0</v>
      </c>
      <c r="J653" s="18">
        <v>0</v>
      </c>
      <c r="K653" s="19">
        <v>0</v>
      </c>
      <c r="L653" s="20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</row>
    <row r="654" spans="1:43">
      <c r="A654" s="15" t="s">
        <v>64</v>
      </c>
      <c r="B654" s="15" t="s">
        <v>65</v>
      </c>
      <c r="C654" s="15" t="s">
        <v>78</v>
      </c>
      <c r="D654" s="15" t="s">
        <v>1812</v>
      </c>
      <c r="E654" s="15" t="s">
        <v>1813</v>
      </c>
      <c r="F654" s="16">
        <v>45110.4256365741</v>
      </c>
      <c r="G654" s="15" t="s">
        <v>1813</v>
      </c>
      <c r="H654" s="15" t="s">
        <v>1814</v>
      </c>
      <c r="I654" s="18">
        <v>2533.96</v>
      </c>
      <c r="J654" s="18">
        <v>14</v>
      </c>
      <c r="K654" s="19">
        <v>180.997142857143</v>
      </c>
      <c r="L654" s="20">
        <v>2.58567346938776</v>
      </c>
      <c r="M654" s="15">
        <v>137.03</v>
      </c>
      <c r="N654" s="15">
        <v>124.73</v>
      </c>
      <c r="O654" s="15">
        <v>128.65</v>
      </c>
      <c r="P654" s="15">
        <v>209.97</v>
      </c>
      <c r="Q654" s="15">
        <v>140.91</v>
      </c>
      <c r="R654" s="15">
        <v>230.97</v>
      </c>
      <c r="S654" s="15">
        <v>254.1</v>
      </c>
      <c r="T654" s="15">
        <v>179.22</v>
      </c>
      <c r="U654" s="15">
        <v>170.89</v>
      </c>
      <c r="V654" s="15">
        <v>187.85</v>
      </c>
      <c r="W654" s="15">
        <v>208.11</v>
      </c>
      <c r="X654" s="15">
        <v>170.57</v>
      </c>
      <c r="Y654" s="15">
        <v>174.24</v>
      </c>
      <c r="Z654" s="15">
        <v>216.72</v>
      </c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</row>
    <row r="655" spans="1:43">
      <c r="A655" s="15" t="s">
        <v>64</v>
      </c>
      <c r="B655" s="15" t="s">
        <v>118</v>
      </c>
      <c r="C655" s="15" t="s">
        <v>119</v>
      </c>
      <c r="D655" s="15" t="s">
        <v>1815</v>
      </c>
      <c r="E655" s="15" t="s">
        <v>1816</v>
      </c>
      <c r="F655" s="16">
        <v>45050.7144791667</v>
      </c>
      <c r="G655" s="15" t="s">
        <v>1816</v>
      </c>
      <c r="H655" s="15" t="s">
        <v>54</v>
      </c>
      <c r="I655" s="18">
        <v>2290.02</v>
      </c>
      <c r="J655" s="18">
        <v>14</v>
      </c>
      <c r="K655" s="19">
        <v>163.572857142857</v>
      </c>
      <c r="L655" s="20">
        <v>2.33675510204082</v>
      </c>
      <c r="M655" s="15">
        <v>202.17</v>
      </c>
      <c r="N655" s="15">
        <v>258.76</v>
      </c>
      <c r="O655" s="15">
        <v>244.94</v>
      </c>
      <c r="P655" s="15">
        <v>203.35</v>
      </c>
      <c r="Q655" s="15">
        <v>200.75</v>
      </c>
      <c r="R655" s="15">
        <v>204.23</v>
      </c>
      <c r="S655" s="15">
        <v>203.73</v>
      </c>
      <c r="T655" s="15">
        <v>200.83</v>
      </c>
      <c r="U655" s="15">
        <v>201.99</v>
      </c>
      <c r="V655" s="15">
        <v>102.29</v>
      </c>
      <c r="W655" s="15">
        <v>107.2</v>
      </c>
      <c r="X655" s="15">
        <v>56.55</v>
      </c>
      <c r="Y655" s="15">
        <v>51.83</v>
      </c>
      <c r="Z655" s="15">
        <v>51.4</v>
      </c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</row>
    <row r="656" spans="1:43">
      <c r="A656" s="15" t="s">
        <v>43</v>
      </c>
      <c r="B656" s="15" t="s">
        <v>44</v>
      </c>
      <c r="C656" s="15" t="s">
        <v>45</v>
      </c>
      <c r="D656" s="15" t="s">
        <v>1817</v>
      </c>
      <c r="E656" s="15" t="s">
        <v>1818</v>
      </c>
      <c r="F656" s="16">
        <v>42268.7208217593</v>
      </c>
      <c r="G656" s="15" t="s">
        <v>1818</v>
      </c>
      <c r="H656" s="15" t="s">
        <v>1819</v>
      </c>
      <c r="I656" s="18">
        <v>0</v>
      </c>
      <c r="J656" s="18">
        <v>0</v>
      </c>
      <c r="K656" s="19">
        <v>0</v>
      </c>
      <c r="L656" s="20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</row>
    <row r="657" spans="1:43">
      <c r="A657" s="15" t="s">
        <v>43</v>
      </c>
      <c r="B657" s="15" t="s">
        <v>44</v>
      </c>
      <c r="C657" s="15" t="s">
        <v>45</v>
      </c>
      <c r="D657" s="15" t="s">
        <v>1820</v>
      </c>
      <c r="E657" s="15" t="s">
        <v>1821</v>
      </c>
      <c r="F657" s="16">
        <v>42962.685787037</v>
      </c>
      <c r="G657" s="15" t="s">
        <v>1821</v>
      </c>
      <c r="H657" s="15" t="s">
        <v>1822</v>
      </c>
      <c r="I657" s="18">
        <v>0</v>
      </c>
      <c r="J657" s="18">
        <v>0</v>
      </c>
      <c r="K657" s="19">
        <v>0</v>
      </c>
      <c r="L657" s="20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</row>
    <row r="658" spans="1:43">
      <c r="A658" s="15" t="s">
        <v>49</v>
      </c>
      <c r="B658" s="15" t="s">
        <v>50</v>
      </c>
      <c r="C658" s="15" t="s">
        <v>61</v>
      </c>
      <c r="D658" s="15" t="s">
        <v>1823</v>
      </c>
      <c r="E658" s="15" t="s">
        <v>1824</v>
      </c>
      <c r="F658" s="16">
        <v>0</v>
      </c>
      <c r="G658" s="15" t="s">
        <v>1824</v>
      </c>
      <c r="H658" s="15" t="s">
        <v>1825</v>
      </c>
      <c r="I658" s="18">
        <v>0</v>
      </c>
      <c r="J658" s="18">
        <v>0</v>
      </c>
      <c r="K658" s="19">
        <v>0</v>
      </c>
      <c r="L658" s="20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</row>
    <row r="659" spans="1:43">
      <c r="A659" s="15" t="s">
        <v>43</v>
      </c>
      <c r="B659" s="15" t="s">
        <v>44</v>
      </c>
      <c r="C659" s="15" t="s">
        <v>45</v>
      </c>
      <c r="D659" s="15" t="s">
        <v>1826</v>
      </c>
      <c r="E659" s="15" t="s">
        <v>1827</v>
      </c>
      <c r="F659" s="16">
        <v>42892.6426967593</v>
      </c>
      <c r="G659" s="15" t="s">
        <v>1827</v>
      </c>
      <c r="H659" s="15" t="s">
        <v>1828</v>
      </c>
      <c r="I659" s="18">
        <v>0</v>
      </c>
      <c r="J659" s="18">
        <v>0</v>
      </c>
      <c r="K659" s="19">
        <v>0</v>
      </c>
      <c r="L659" s="20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</row>
    <row r="660" spans="1:43">
      <c r="A660" s="15" t="s">
        <v>49</v>
      </c>
      <c r="B660" s="15" t="s">
        <v>50</v>
      </c>
      <c r="C660" s="15" t="s">
        <v>61</v>
      </c>
      <c r="D660" s="15" t="s">
        <v>1829</v>
      </c>
      <c r="E660" s="15" t="s">
        <v>1830</v>
      </c>
      <c r="F660" s="16">
        <v>0</v>
      </c>
      <c r="G660" s="15" t="s">
        <v>1830</v>
      </c>
      <c r="H660" s="15" t="s">
        <v>1831</v>
      </c>
      <c r="I660" s="18">
        <v>0</v>
      </c>
      <c r="J660" s="18">
        <v>0</v>
      </c>
      <c r="K660" s="19">
        <v>0</v>
      </c>
      <c r="L660" s="20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</row>
    <row r="661" spans="1:43">
      <c r="A661" s="15" t="s">
        <v>43</v>
      </c>
      <c r="B661" s="15" t="s">
        <v>44</v>
      </c>
      <c r="C661" s="15" t="s">
        <v>45</v>
      </c>
      <c r="D661" s="15" t="s">
        <v>1832</v>
      </c>
      <c r="E661" s="15" t="s">
        <v>1833</v>
      </c>
      <c r="F661" s="16">
        <v>42431.6096412037</v>
      </c>
      <c r="G661" s="15" t="s">
        <v>1833</v>
      </c>
      <c r="H661" s="15" t="s">
        <v>1834</v>
      </c>
      <c r="I661" s="18">
        <v>0</v>
      </c>
      <c r="J661" s="18">
        <v>0</v>
      </c>
      <c r="K661" s="19">
        <v>0</v>
      </c>
      <c r="L661" s="20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</row>
    <row r="662" spans="1:43">
      <c r="A662" s="15" t="s">
        <v>43</v>
      </c>
      <c r="B662" s="15" t="s">
        <v>44</v>
      </c>
      <c r="C662" s="15" t="s">
        <v>45</v>
      </c>
      <c r="D662" s="15" t="s">
        <v>1835</v>
      </c>
      <c r="E662" s="15" t="s">
        <v>1836</v>
      </c>
      <c r="F662" s="16">
        <v>41817.46125</v>
      </c>
      <c r="G662" s="15" t="s">
        <v>1836</v>
      </c>
      <c r="H662" s="15" t="s">
        <v>1837</v>
      </c>
      <c r="I662" s="18">
        <v>0</v>
      </c>
      <c r="J662" s="18">
        <v>0</v>
      </c>
      <c r="K662" s="19">
        <v>0</v>
      </c>
      <c r="L662" s="20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</row>
    <row r="663" spans="1:43">
      <c r="A663" s="15" t="s">
        <v>49</v>
      </c>
      <c r="B663" s="15" t="s">
        <v>50</v>
      </c>
      <c r="C663" s="15" t="s">
        <v>61</v>
      </c>
      <c r="D663" s="15" t="s">
        <v>1838</v>
      </c>
      <c r="E663" s="15" t="s">
        <v>1839</v>
      </c>
      <c r="F663" s="16">
        <v>0</v>
      </c>
      <c r="G663" s="15" t="s">
        <v>1839</v>
      </c>
      <c r="H663" s="15" t="s">
        <v>1840</v>
      </c>
      <c r="I663" s="18">
        <v>0</v>
      </c>
      <c r="J663" s="18">
        <v>0</v>
      </c>
      <c r="K663" s="19">
        <v>0</v>
      </c>
      <c r="L663" s="20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</row>
    <row r="664" spans="1:43">
      <c r="A664" s="15" t="s">
        <v>43</v>
      </c>
      <c r="B664" s="15" t="s">
        <v>44</v>
      </c>
      <c r="C664" s="15" t="s">
        <v>45</v>
      </c>
      <c r="D664" s="15" t="s">
        <v>1841</v>
      </c>
      <c r="E664" s="15" t="s">
        <v>1842</v>
      </c>
      <c r="F664" s="16">
        <v>43066.6503935185</v>
      </c>
      <c r="G664" s="15" t="s">
        <v>1842</v>
      </c>
      <c r="H664" s="15" t="s">
        <v>1843</v>
      </c>
      <c r="I664" s="18">
        <v>0</v>
      </c>
      <c r="J664" s="18">
        <v>0</v>
      </c>
      <c r="K664" s="19">
        <v>0</v>
      </c>
      <c r="L664" s="20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</row>
    <row r="665" spans="1:43">
      <c r="A665" s="15" t="s">
        <v>49</v>
      </c>
      <c r="B665" s="15" t="s">
        <v>50</v>
      </c>
      <c r="C665" s="15" t="s">
        <v>61</v>
      </c>
      <c r="D665" s="15" t="s">
        <v>1844</v>
      </c>
      <c r="E665" s="15" t="s">
        <v>1845</v>
      </c>
      <c r="F665" s="16">
        <v>0</v>
      </c>
      <c r="G665" s="15" t="s">
        <v>1845</v>
      </c>
      <c r="H665" s="15" t="s">
        <v>1846</v>
      </c>
      <c r="I665" s="18">
        <v>0</v>
      </c>
      <c r="J665" s="18">
        <v>0</v>
      </c>
      <c r="K665" s="19">
        <v>0</v>
      </c>
      <c r="L665" s="20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</row>
    <row r="666" spans="1:43">
      <c r="A666" s="15" t="s">
        <v>43</v>
      </c>
      <c r="B666" s="15" t="s">
        <v>44</v>
      </c>
      <c r="C666" s="15" t="s">
        <v>45</v>
      </c>
      <c r="D666" s="15" t="s">
        <v>1847</v>
      </c>
      <c r="E666" s="15" t="s">
        <v>1848</v>
      </c>
      <c r="F666" s="16">
        <v>43530.6829050926</v>
      </c>
      <c r="G666" s="15" t="s">
        <v>1848</v>
      </c>
      <c r="H666" s="15" t="s">
        <v>1849</v>
      </c>
      <c r="I666" s="18">
        <v>0</v>
      </c>
      <c r="J666" s="18">
        <v>0</v>
      </c>
      <c r="K666" s="19">
        <v>0</v>
      </c>
      <c r="L666" s="20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</row>
    <row r="667" spans="1:43">
      <c r="A667" s="15" t="s">
        <v>49</v>
      </c>
      <c r="B667" s="15" t="s">
        <v>50</v>
      </c>
      <c r="C667" s="15" t="s">
        <v>61</v>
      </c>
      <c r="D667" s="15" t="s">
        <v>1850</v>
      </c>
      <c r="E667" s="15" t="s">
        <v>1851</v>
      </c>
      <c r="F667" s="16">
        <v>0</v>
      </c>
      <c r="G667" s="15" t="s">
        <v>1851</v>
      </c>
      <c r="H667" s="15" t="s">
        <v>1852</v>
      </c>
      <c r="I667" s="18">
        <v>0</v>
      </c>
      <c r="J667" s="18">
        <v>0</v>
      </c>
      <c r="K667" s="19">
        <v>0</v>
      </c>
      <c r="L667" s="20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0</v>
      </c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</row>
    <row r="668" spans="1:43">
      <c r="A668" s="15" t="s">
        <v>43</v>
      </c>
      <c r="B668" s="15" t="s">
        <v>44</v>
      </c>
      <c r="C668" s="15" t="s">
        <v>45</v>
      </c>
      <c r="D668" s="15" t="s">
        <v>1853</v>
      </c>
      <c r="E668" s="15" t="s">
        <v>1854</v>
      </c>
      <c r="F668" s="16">
        <v>43684.4591087963</v>
      </c>
      <c r="G668" s="15" t="s">
        <v>1854</v>
      </c>
      <c r="H668" s="15" t="s">
        <v>1855</v>
      </c>
      <c r="I668" s="18">
        <v>0</v>
      </c>
      <c r="J668" s="18">
        <v>0</v>
      </c>
      <c r="K668" s="19">
        <v>0</v>
      </c>
      <c r="L668" s="20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</row>
    <row r="669" spans="1:43">
      <c r="A669" s="15" t="s">
        <v>64</v>
      </c>
      <c r="B669" s="15" t="s">
        <v>65</v>
      </c>
      <c r="C669" s="15" t="s">
        <v>66</v>
      </c>
      <c r="D669" s="15" t="s">
        <v>1856</v>
      </c>
      <c r="E669" s="15" t="s">
        <v>1857</v>
      </c>
      <c r="F669" s="16">
        <v>45106.4579050926</v>
      </c>
      <c r="G669" s="15" t="s">
        <v>1857</v>
      </c>
      <c r="H669" s="15" t="s">
        <v>54</v>
      </c>
      <c r="I669" s="18">
        <v>2275</v>
      </c>
      <c r="J669" s="18">
        <v>10</v>
      </c>
      <c r="K669" s="19">
        <v>227.5</v>
      </c>
      <c r="L669" s="20">
        <v>3.25</v>
      </c>
      <c r="M669" s="15">
        <v>298.9</v>
      </c>
      <c r="N669" s="15">
        <v>200.55</v>
      </c>
      <c r="O669" s="15">
        <v>330.16</v>
      </c>
      <c r="P669" s="15">
        <v>98.26</v>
      </c>
      <c r="Q669" s="15">
        <v>0</v>
      </c>
      <c r="R669" s="15">
        <v>0</v>
      </c>
      <c r="S669" s="15">
        <v>289.75</v>
      </c>
      <c r="T669" s="15">
        <v>264.2</v>
      </c>
      <c r="U669" s="15">
        <v>172.59</v>
      </c>
      <c r="V669" s="15">
        <v>308.18</v>
      </c>
      <c r="W669" s="15">
        <v>160.67</v>
      </c>
      <c r="X669" s="15">
        <v>0</v>
      </c>
      <c r="Y669" s="15">
        <v>0</v>
      </c>
      <c r="Z669" s="15">
        <v>151.74</v>
      </c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</row>
    <row r="670" spans="1:43">
      <c r="A670" s="15" t="s">
        <v>43</v>
      </c>
      <c r="B670" s="15" t="s">
        <v>44</v>
      </c>
      <c r="C670" s="15" t="s">
        <v>45</v>
      </c>
      <c r="D670" s="15" t="s">
        <v>1858</v>
      </c>
      <c r="E670" s="15" t="s">
        <v>1859</v>
      </c>
      <c r="F670" s="16">
        <v>43089.6859953704</v>
      </c>
      <c r="G670" s="15" t="s">
        <v>1859</v>
      </c>
      <c r="H670" s="15" t="s">
        <v>1860</v>
      </c>
      <c r="I670" s="18">
        <v>0</v>
      </c>
      <c r="J670" s="18">
        <v>0</v>
      </c>
      <c r="K670" s="19">
        <v>0</v>
      </c>
      <c r="L670" s="20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</row>
    <row r="671" spans="1:43">
      <c r="A671" s="15" t="s">
        <v>43</v>
      </c>
      <c r="B671" s="15" t="s">
        <v>44</v>
      </c>
      <c r="C671" s="15" t="s">
        <v>45</v>
      </c>
      <c r="D671" s="15" t="s">
        <v>1861</v>
      </c>
      <c r="E671" s="15" t="s">
        <v>1862</v>
      </c>
      <c r="F671" s="16">
        <v>42825.7158680556</v>
      </c>
      <c r="G671" s="15" t="s">
        <v>1862</v>
      </c>
      <c r="H671" s="15" t="s">
        <v>1863</v>
      </c>
      <c r="I671" s="18">
        <v>0</v>
      </c>
      <c r="J671" s="18">
        <v>0</v>
      </c>
      <c r="K671" s="19">
        <v>0</v>
      </c>
      <c r="L671" s="20">
        <v>0</v>
      </c>
      <c r="M671" s="15">
        <v>0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</row>
    <row r="672" spans="1:43">
      <c r="A672" s="15" t="s">
        <v>49</v>
      </c>
      <c r="B672" s="15" t="s">
        <v>50</v>
      </c>
      <c r="C672" s="15" t="s">
        <v>61</v>
      </c>
      <c r="D672" s="15" t="s">
        <v>1864</v>
      </c>
      <c r="E672" s="15" t="s">
        <v>1865</v>
      </c>
      <c r="F672" s="16">
        <v>0</v>
      </c>
      <c r="G672" s="15" t="s">
        <v>1865</v>
      </c>
      <c r="H672" s="15" t="s">
        <v>54</v>
      </c>
      <c r="I672" s="18">
        <v>0</v>
      </c>
      <c r="J672" s="18">
        <v>0</v>
      </c>
      <c r="K672" s="19">
        <v>0</v>
      </c>
      <c r="L672" s="20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</row>
    <row r="673" spans="1:43">
      <c r="A673" s="15" t="s">
        <v>64</v>
      </c>
      <c r="B673" s="15" t="s">
        <v>118</v>
      </c>
      <c r="C673" s="15" t="s">
        <v>119</v>
      </c>
      <c r="D673" s="15" t="s">
        <v>1866</v>
      </c>
      <c r="E673" s="15" t="s">
        <v>1867</v>
      </c>
      <c r="F673" s="16">
        <v>45113.4628935185</v>
      </c>
      <c r="G673" s="15" t="s">
        <v>1867</v>
      </c>
      <c r="H673" s="15" t="s">
        <v>54</v>
      </c>
      <c r="I673" s="18">
        <v>2633.97</v>
      </c>
      <c r="J673" s="18">
        <v>14</v>
      </c>
      <c r="K673" s="19">
        <v>188.140714285714</v>
      </c>
      <c r="L673" s="20">
        <v>2.68772448979592</v>
      </c>
      <c r="M673" s="15">
        <v>164.46</v>
      </c>
      <c r="N673" s="15">
        <v>77.98</v>
      </c>
      <c r="O673" s="15">
        <v>66.12</v>
      </c>
      <c r="P673" s="15">
        <v>63.01</v>
      </c>
      <c r="Q673" s="15">
        <v>72.1</v>
      </c>
      <c r="R673" s="15">
        <v>35.9</v>
      </c>
      <c r="S673" s="15">
        <v>42.03</v>
      </c>
      <c r="T673" s="15">
        <v>73.18</v>
      </c>
      <c r="U673" s="15">
        <v>968.95</v>
      </c>
      <c r="V673" s="15">
        <v>389.11</v>
      </c>
      <c r="W673" s="15">
        <v>228.97</v>
      </c>
      <c r="X673" s="15">
        <v>185.32</v>
      </c>
      <c r="Y673" s="15">
        <v>177.04</v>
      </c>
      <c r="Z673" s="15">
        <v>89.8</v>
      </c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</row>
    <row r="674" spans="1:43">
      <c r="A674" s="15" t="s">
        <v>43</v>
      </c>
      <c r="B674" s="15" t="s">
        <v>44</v>
      </c>
      <c r="C674" s="15" t="s">
        <v>45</v>
      </c>
      <c r="D674" s="15" t="s">
        <v>1868</v>
      </c>
      <c r="E674" s="15" t="s">
        <v>1869</v>
      </c>
      <c r="F674" s="16">
        <v>42328.4142361111</v>
      </c>
      <c r="G674" s="15" t="s">
        <v>1869</v>
      </c>
      <c r="H674" s="15" t="s">
        <v>1870</v>
      </c>
      <c r="I674" s="18">
        <v>0</v>
      </c>
      <c r="J674" s="18">
        <v>0</v>
      </c>
      <c r="K674" s="19">
        <v>0</v>
      </c>
      <c r="L674" s="20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</row>
    <row r="675" spans="1:43">
      <c r="A675" s="15" t="s">
        <v>49</v>
      </c>
      <c r="B675" s="15" t="s">
        <v>50</v>
      </c>
      <c r="C675" s="15" t="s">
        <v>61</v>
      </c>
      <c r="D675" s="15" t="s">
        <v>1871</v>
      </c>
      <c r="E675" s="15" t="s">
        <v>506</v>
      </c>
      <c r="F675" s="16">
        <v>0</v>
      </c>
      <c r="G675" s="15" t="s">
        <v>506</v>
      </c>
      <c r="H675" s="15" t="s">
        <v>54</v>
      </c>
      <c r="I675" s="18">
        <v>0</v>
      </c>
      <c r="J675" s="18">
        <v>0</v>
      </c>
      <c r="K675" s="19">
        <v>0</v>
      </c>
      <c r="L675" s="20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</row>
    <row r="676" spans="1:43">
      <c r="A676" s="15" t="s">
        <v>49</v>
      </c>
      <c r="B676" s="15" t="s">
        <v>50</v>
      </c>
      <c r="C676" s="15" t="s">
        <v>61</v>
      </c>
      <c r="D676" s="15" t="s">
        <v>1872</v>
      </c>
      <c r="E676" s="15" t="s">
        <v>1873</v>
      </c>
      <c r="F676" s="16">
        <v>0</v>
      </c>
      <c r="G676" s="15" t="s">
        <v>1873</v>
      </c>
      <c r="H676" s="15" t="s">
        <v>1874</v>
      </c>
      <c r="I676" s="18">
        <v>0</v>
      </c>
      <c r="J676" s="18">
        <v>0</v>
      </c>
      <c r="K676" s="19">
        <v>0</v>
      </c>
      <c r="L676" s="20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</row>
    <row r="677" spans="1:43">
      <c r="A677" s="15" t="s">
        <v>43</v>
      </c>
      <c r="B677" s="15" t="s">
        <v>44</v>
      </c>
      <c r="C677" s="15" t="s">
        <v>45</v>
      </c>
      <c r="D677" s="15" t="s">
        <v>1875</v>
      </c>
      <c r="E677" s="15" t="s">
        <v>1876</v>
      </c>
      <c r="F677" s="16">
        <v>41688.4467013889</v>
      </c>
      <c r="G677" s="15" t="s">
        <v>1876</v>
      </c>
      <c r="H677" s="15" t="s">
        <v>1877</v>
      </c>
      <c r="I677" s="18">
        <v>0</v>
      </c>
      <c r="J677" s="18">
        <v>0</v>
      </c>
      <c r="K677" s="19">
        <v>0</v>
      </c>
      <c r="L677" s="20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</row>
    <row r="678" spans="1:43">
      <c r="A678" s="15" t="s">
        <v>49</v>
      </c>
      <c r="B678" s="15" t="s">
        <v>50</v>
      </c>
      <c r="C678" s="15" t="s">
        <v>75</v>
      </c>
      <c r="D678" s="15" t="s">
        <v>1878</v>
      </c>
      <c r="E678" s="15" t="s">
        <v>1879</v>
      </c>
      <c r="F678" s="16">
        <v>44132.6287384259</v>
      </c>
      <c r="G678" s="15" t="s">
        <v>1879</v>
      </c>
      <c r="H678" s="15" t="s">
        <v>1880</v>
      </c>
      <c r="I678" s="18">
        <v>0</v>
      </c>
      <c r="J678" s="18">
        <v>0</v>
      </c>
      <c r="K678" s="19">
        <v>0</v>
      </c>
      <c r="L678" s="20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</row>
    <row r="679" spans="1:43">
      <c r="A679" s="15" t="s">
        <v>49</v>
      </c>
      <c r="B679" s="15" t="s">
        <v>50</v>
      </c>
      <c r="C679" s="15" t="s">
        <v>301</v>
      </c>
      <c r="D679" s="15" t="s">
        <v>1881</v>
      </c>
      <c r="E679" s="15" t="s">
        <v>1882</v>
      </c>
      <c r="F679" s="16">
        <v>45019.4698263889</v>
      </c>
      <c r="G679" s="15" t="s">
        <v>1882</v>
      </c>
      <c r="H679" s="15" t="s">
        <v>54</v>
      </c>
      <c r="I679" s="18">
        <v>1476.36</v>
      </c>
      <c r="J679" s="18">
        <v>14</v>
      </c>
      <c r="K679" s="19">
        <v>105.454285714286</v>
      </c>
      <c r="L679" s="20">
        <v>2.10908571428571</v>
      </c>
      <c r="M679" s="15">
        <v>36.35</v>
      </c>
      <c r="N679" s="15">
        <v>86.08</v>
      </c>
      <c r="O679" s="15">
        <v>44.87</v>
      </c>
      <c r="P679" s="15">
        <v>178.74</v>
      </c>
      <c r="Q679" s="15">
        <v>77.37</v>
      </c>
      <c r="R679" s="15">
        <v>152.92</v>
      </c>
      <c r="S679" s="15">
        <v>131.4</v>
      </c>
      <c r="T679" s="15">
        <v>203.17</v>
      </c>
      <c r="U679" s="15">
        <v>80.45</v>
      </c>
      <c r="V679" s="15">
        <v>38.97</v>
      </c>
      <c r="W679" s="15">
        <v>59.88</v>
      </c>
      <c r="X679" s="15">
        <v>68.6</v>
      </c>
      <c r="Y679" s="15">
        <v>204.08</v>
      </c>
      <c r="Z679" s="15">
        <v>113.48</v>
      </c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</row>
    <row r="680" spans="1:43">
      <c r="A680" s="15" t="s">
        <v>49</v>
      </c>
      <c r="B680" s="15" t="s">
        <v>50</v>
      </c>
      <c r="C680" s="15" t="s">
        <v>61</v>
      </c>
      <c r="D680" s="15" t="s">
        <v>1883</v>
      </c>
      <c r="E680" s="15" t="s">
        <v>1884</v>
      </c>
      <c r="F680" s="16">
        <v>0</v>
      </c>
      <c r="G680" s="15" t="s">
        <v>1884</v>
      </c>
      <c r="H680" s="15" t="s">
        <v>1885</v>
      </c>
      <c r="I680" s="18">
        <v>0</v>
      </c>
      <c r="J680" s="18">
        <v>0</v>
      </c>
      <c r="K680" s="19">
        <v>0</v>
      </c>
      <c r="L680" s="20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</row>
    <row r="681" spans="1:43">
      <c r="A681" s="15" t="s">
        <v>64</v>
      </c>
      <c r="B681" s="15" t="s">
        <v>65</v>
      </c>
      <c r="C681" s="15" t="s">
        <v>93</v>
      </c>
      <c r="D681" s="15" t="s">
        <v>1886</v>
      </c>
      <c r="E681" s="15" t="s">
        <v>1887</v>
      </c>
      <c r="F681" s="16">
        <v>45033.7095833333</v>
      </c>
      <c r="G681" s="15" t="s">
        <v>1887</v>
      </c>
      <c r="H681" s="15" t="s">
        <v>1888</v>
      </c>
      <c r="I681" s="18">
        <v>1987.22</v>
      </c>
      <c r="J681" s="18">
        <v>14</v>
      </c>
      <c r="K681" s="19">
        <v>141.944285714286</v>
      </c>
      <c r="L681" s="20">
        <v>2.02777551020408</v>
      </c>
      <c r="M681" s="15">
        <v>165.67</v>
      </c>
      <c r="N681" s="15">
        <v>173.87</v>
      </c>
      <c r="O681" s="15">
        <v>134.22</v>
      </c>
      <c r="P681" s="15">
        <v>171.93</v>
      </c>
      <c r="Q681" s="15">
        <v>99.11</v>
      </c>
      <c r="R681" s="15">
        <v>110.29</v>
      </c>
      <c r="S681" s="15">
        <v>168.86</v>
      </c>
      <c r="T681" s="15">
        <v>185.63</v>
      </c>
      <c r="U681" s="15">
        <v>101.5</v>
      </c>
      <c r="V681" s="15">
        <v>115.36</v>
      </c>
      <c r="W681" s="15">
        <v>202.85</v>
      </c>
      <c r="X681" s="15">
        <v>138.44</v>
      </c>
      <c r="Y681" s="15">
        <v>137.53</v>
      </c>
      <c r="Z681" s="15">
        <v>81.96</v>
      </c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</row>
    <row r="682" spans="1:43">
      <c r="A682" s="15" t="s">
        <v>49</v>
      </c>
      <c r="B682" s="15" t="s">
        <v>50</v>
      </c>
      <c r="C682" s="15" t="s">
        <v>61</v>
      </c>
      <c r="D682" s="15" t="s">
        <v>1889</v>
      </c>
      <c r="E682" s="15" t="s">
        <v>1890</v>
      </c>
      <c r="F682" s="16">
        <v>0</v>
      </c>
      <c r="G682" s="15" t="s">
        <v>1890</v>
      </c>
      <c r="H682" s="15" t="s">
        <v>1891</v>
      </c>
      <c r="I682" s="18">
        <v>0</v>
      </c>
      <c r="J682" s="18">
        <v>0</v>
      </c>
      <c r="K682" s="19">
        <v>0</v>
      </c>
      <c r="L682" s="20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</row>
    <row r="683" spans="1:43">
      <c r="A683" s="15" t="s">
        <v>64</v>
      </c>
      <c r="B683" s="15" t="s">
        <v>65</v>
      </c>
      <c r="C683" s="15" t="s">
        <v>66</v>
      </c>
      <c r="D683" s="15" t="s">
        <v>1892</v>
      </c>
      <c r="E683" s="15" t="s">
        <v>1893</v>
      </c>
      <c r="F683" s="16">
        <v>45070.6127083333</v>
      </c>
      <c r="G683" s="15" t="s">
        <v>1893</v>
      </c>
      <c r="H683" s="15" t="s">
        <v>1894</v>
      </c>
      <c r="I683" s="18">
        <v>995.56</v>
      </c>
      <c r="J683" s="18">
        <v>14</v>
      </c>
      <c r="K683" s="19">
        <v>71.1114285714286</v>
      </c>
      <c r="L683" s="20">
        <v>1.01587755102041</v>
      </c>
      <c r="M683" s="15">
        <v>101.92</v>
      </c>
      <c r="N683" s="15">
        <v>21.44</v>
      </c>
      <c r="O683" s="15">
        <v>56.86</v>
      </c>
      <c r="P683" s="15">
        <v>43.5</v>
      </c>
      <c r="Q683" s="15">
        <v>23.45</v>
      </c>
      <c r="R683" s="15">
        <v>17.27</v>
      </c>
      <c r="S683" s="15">
        <v>14.74</v>
      </c>
      <c r="T683" s="15">
        <v>100.08</v>
      </c>
      <c r="U683" s="15">
        <v>103.76</v>
      </c>
      <c r="V683" s="15">
        <v>104.41</v>
      </c>
      <c r="W683" s="15">
        <v>100.55</v>
      </c>
      <c r="X683" s="15">
        <v>100.29</v>
      </c>
      <c r="Y683" s="15">
        <v>104.75</v>
      </c>
      <c r="Z683" s="15">
        <v>102.54</v>
      </c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</row>
    <row r="684" spans="1:43">
      <c r="A684" s="15" t="s">
        <v>43</v>
      </c>
      <c r="B684" s="15" t="s">
        <v>44</v>
      </c>
      <c r="C684" s="15" t="s">
        <v>45</v>
      </c>
      <c r="D684" s="15" t="s">
        <v>1895</v>
      </c>
      <c r="E684" s="15" t="s">
        <v>1896</v>
      </c>
      <c r="F684" s="16">
        <v>42198.4022800926</v>
      </c>
      <c r="G684" s="15" t="s">
        <v>1896</v>
      </c>
      <c r="H684" s="15" t="s">
        <v>1897</v>
      </c>
      <c r="I684" s="18">
        <v>0</v>
      </c>
      <c r="J684" s="18">
        <v>0</v>
      </c>
      <c r="K684" s="19">
        <v>0</v>
      </c>
      <c r="L684" s="20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</row>
    <row r="685" spans="1:43">
      <c r="A685" s="15" t="s">
        <v>49</v>
      </c>
      <c r="B685" s="15" t="s">
        <v>50</v>
      </c>
      <c r="C685" s="15" t="s">
        <v>61</v>
      </c>
      <c r="D685" s="15" t="s">
        <v>1898</v>
      </c>
      <c r="E685" s="15" t="s">
        <v>1899</v>
      </c>
      <c r="F685" s="16">
        <v>0</v>
      </c>
      <c r="G685" s="15" t="s">
        <v>1899</v>
      </c>
      <c r="H685" s="15" t="s">
        <v>54</v>
      </c>
      <c r="I685" s="18">
        <v>0</v>
      </c>
      <c r="J685" s="18">
        <v>0</v>
      </c>
      <c r="K685" s="19">
        <v>0</v>
      </c>
      <c r="L685" s="20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</row>
    <row r="686" spans="1:43">
      <c r="A686" s="15" t="s">
        <v>49</v>
      </c>
      <c r="B686" s="15" t="s">
        <v>50</v>
      </c>
      <c r="C686" s="15" t="s">
        <v>61</v>
      </c>
      <c r="D686" s="15" t="s">
        <v>1900</v>
      </c>
      <c r="E686" s="15" t="s">
        <v>1901</v>
      </c>
      <c r="F686" s="16">
        <v>0</v>
      </c>
      <c r="G686" s="15" t="s">
        <v>1901</v>
      </c>
      <c r="H686" s="15" t="s">
        <v>54</v>
      </c>
      <c r="I686" s="18">
        <v>0</v>
      </c>
      <c r="J686" s="18">
        <v>0</v>
      </c>
      <c r="K686" s="19">
        <v>0</v>
      </c>
      <c r="L686" s="20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</row>
    <row r="687" spans="1:43">
      <c r="A687" s="15" t="s">
        <v>43</v>
      </c>
      <c r="B687" s="15" t="s">
        <v>44</v>
      </c>
      <c r="C687" s="15" t="s">
        <v>45</v>
      </c>
      <c r="D687" s="15" t="s">
        <v>1902</v>
      </c>
      <c r="E687" s="15" t="s">
        <v>1903</v>
      </c>
      <c r="F687" s="16">
        <v>42152.70375</v>
      </c>
      <c r="G687" s="15" t="s">
        <v>1903</v>
      </c>
      <c r="H687" s="15" t="s">
        <v>1904</v>
      </c>
      <c r="I687" s="18">
        <v>0</v>
      </c>
      <c r="J687" s="18">
        <v>0</v>
      </c>
      <c r="K687" s="19">
        <v>0</v>
      </c>
      <c r="L687" s="20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15">
        <v>0</v>
      </c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</row>
    <row r="688" spans="1:43">
      <c r="A688" s="15" t="s">
        <v>64</v>
      </c>
      <c r="B688" s="15" t="s">
        <v>65</v>
      </c>
      <c r="C688" s="15" t="s">
        <v>522</v>
      </c>
      <c r="D688" s="15" t="s">
        <v>1905</v>
      </c>
      <c r="E688" s="15" t="s">
        <v>1906</v>
      </c>
      <c r="F688" s="16">
        <v>44917.6340972222</v>
      </c>
      <c r="G688" s="15" t="s">
        <v>1906</v>
      </c>
      <c r="H688" s="15" t="s">
        <v>54</v>
      </c>
      <c r="I688" s="18">
        <v>859.62</v>
      </c>
      <c r="J688" s="18">
        <v>14</v>
      </c>
      <c r="K688" s="19">
        <v>61.4014285714286</v>
      </c>
      <c r="L688" s="20">
        <v>0.877163265306123</v>
      </c>
      <c r="M688" s="15">
        <v>60.71</v>
      </c>
      <c r="N688" s="15">
        <v>105.09</v>
      </c>
      <c r="O688" s="15">
        <v>73.63</v>
      </c>
      <c r="P688" s="15">
        <v>115.05</v>
      </c>
      <c r="Q688" s="15">
        <v>104.42</v>
      </c>
      <c r="R688" s="15">
        <v>77.3</v>
      </c>
      <c r="S688" s="15">
        <v>100.5</v>
      </c>
      <c r="T688" s="15">
        <v>101.1</v>
      </c>
      <c r="U688" s="15">
        <v>39.79</v>
      </c>
      <c r="V688" s="15">
        <v>26.45</v>
      </c>
      <c r="W688" s="15">
        <v>7.86</v>
      </c>
      <c r="X688" s="15">
        <v>20.57</v>
      </c>
      <c r="Y688" s="15">
        <v>8.31</v>
      </c>
      <c r="Z688" s="15">
        <v>18.84</v>
      </c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</row>
    <row r="689" spans="1:43">
      <c r="A689" s="15" t="s">
        <v>43</v>
      </c>
      <c r="B689" s="15" t="s">
        <v>44</v>
      </c>
      <c r="C689" s="15" t="s">
        <v>45</v>
      </c>
      <c r="D689" s="15" t="s">
        <v>1907</v>
      </c>
      <c r="E689" s="15" t="s">
        <v>1908</v>
      </c>
      <c r="F689" s="16">
        <v>42907.5827430556</v>
      </c>
      <c r="G689" s="15" t="s">
        <v>1908</v>
      </c>
      <c r="H689" s="15" t="s">
        <v>1909</v>
      </c>
      <c r="I689" s="18">
        <v>0</v>
      </c>
      <c r="J689" s="18">
        <v>0</v>
      </c>
      <c r="K689" s="19">
        <v>0</v>
      </c>
      <c r="L689" s="20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</row>
    <row r="690" spans="1:43">
      <c r="A690" s="15" t="s">
        <v>43</v>
      </c>
      <c r="B690" s="15" t="s">
        <v>44</v>
      </c>
      <c r="C690" s="15" t="s">
        <v>45</v>
      </c>
      <c r="D690" s="15" t="s">
        <v>1910</v>
      </c>
      <c r="E690" s="15" t="s">
        <v>1911</v>
      </c>
      <c r="F690" s="16">
        <v>41634.6587037037</v>
      </c>
      <c r="G690" s="15" t="s">
        <v>1911</v>
      </c>
      <c r="H690" s="15" t="s">
        <v>1912</v>
      </c>
      <c r="I690" s="18">
        <v>0</v>
      </c>
      <c r="J690" s="18">
        <v>0</v>
      </c>
      <c r="K690" s="19">
        <v>0</v>
      </c>
      <c r="L690" s="20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</row>
    <row r="691" spans="1:43">
      <c r="A691" s="15" t="s">
        <v>43</v>
      </c>
      <c r="B691" s="15" t="s">
        <v>44</v>
      </c>
      <c r="C691" s="15" t="s">
        <v>45</v>
      </c>
      <c r="D691" s="15" t="s">
        <v>1913</v>
      </c>
      <c r="E691" s="15" t="s">
        <v>1914</v>
      </c>
      <c r="F691" s="16">
        <v>41824.6696296296</v>
      </c>
      <c r="G691" s="15" t="s">
        <v>1914</v>
      </c>
      <c r="H691" s="15" t="s">
        <v>1915</v>
      </c>
      <c r="I691" s="18">
        <v>0</v>
      </c>
      <c r="J691" s="18">
        <v>0</v>
      </c>
      <c r="K691" s="19">
        <v>0</v>
      </c>
      <c r="L691" s="20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</row>
    <row r="692" spans="1:43">
      <c r="A692" s="15" t="s">
        <v>64</v>
      </c>
      <c r="B692" s="15" t="s">
        <v>65</v>
      </c>
      <c r="C692" s="15" t="s">
        <v>78</v>
      </c>
      <c r="D692" s="15" t="s">
        <v>1916</v>
      </c>
      <c r="E692" s="15" t="s">
        <v>1917</v>
      </c>
      <c r="F692" s="16">
        <v>45140.6886921296</v>
      </c>
      <c r="G692" s="15" t="s">
        <v>1917</v>
      </c>
      <c r="H692" s="15" t="s">
        <v>54</v>
      </c>
      <c r="I692" s="18">
        <v>158.55</v>
      </c>
      <c r="J692" s="18">
        <v>7</v>
      </c>
      <c r="K692" s="19">
        <v>22.65</v>
      </c>
      <c r="L692" s="20">
        <v>0.323571428571429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1.29</v>
      </c>
      <c r="T692" s="15">
        <v>0</v>
      </c>
      <c r="U692" s="15">
        <v>22.41</v>
      </c>
      <c r="V692" s="15">
        <v>9.15</v>
      </c>
      <c r="W692" s="15">
        <v>49.29</v>
      </c>
      <c r="X692" s="15">
        <v>17.26</v>
      </c>
      <c r="Y692" s="15">
        <v>18.97</v>
      </c>
      <c r="Z692" s="15">
        <v>40.18</v>
      </c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</row>
    <row r="693" spans="1:43">
      <c r="A693" s="15" t="s">
        <v>64</v>
      </c>
      <c r="B693" s="15" t="s">
        <v>65</v>
      </c>
      <c r="C693" s="15" t="s">
        <v>401</v>
      </c>
      <c r="D693" s="15" t="s">
        <v>1918</v>
      </c>
      <c r="E693" s="15" t="s">
        <v>1918</v>
      </c>
      <c r="F693" s="16">
        <v>44783.4858449074</v>
      </c>
      <c r="G693" s="15" t="s">
        <v>1918</v>
      </c>
      <c r="H693" s="15" t="s">
        <v>54</v>
      </c>
      <c r="I693" s="18">
        <v>0</v>
      </c>
      <c r="J693" s="18">
        <v>0</v>
      </c>
      <c r="K693" s="19">
        <v>0</v>
      </c>
      <c r="L693" s="20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</row>
    <row r="694" spans="1:43">
      <c r="A694" s="15" t="s">
        <v>49</v>
      </c>
      <c r="B694" s="15" t="s">
        <v>50</v>
      </c>
      <c r="C694" s="15" t="s">
        <v>61</v>
      </c>
      <c r="D694" s="15" t="s">
        <v>1919</v>
      </c>
      <c r="E694" s="15" t="s">
        <v>1920</v>
      </c>
      <c r="F694" s="16">
        <v>0</v>
      </c>
      <c r="G694" s="15" t="s">
        <v>1920</v>
      </c>
      <c r="H694" s="15" t="s">
        <v>1921</v>
      </c>
      <c r="I694" s="18">
        <v>0</v>
      </c>
      <c r="J694" s="18">
        <v>0</v>
      </c>
      <c r="K694" s="19">
        <v>0</v>
      </c>
      <c r="L694" s="20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</row>
    <row r="695" spans="1:43">
      <c r="A695" s="15" t="s">
        <v>43</v>
      </c>
      <c r="B695" s="15" t="s">
        <v>44</v>
      </c>
      <c r="C695" s="15" t="s">
        <v>45</v>
      </c>
      <c r="D695" s="15" t="s">
        <v>1922</v>
      </c>
      <c r="E695" s="15" t="s">
        <v>1923</v>
      </c>
      <c r="F695" s="16">
        <v>43054.3888773148</v>
      </c>
      <c r="G695" s="15" t="s">
        <v>1923</v>
      </c>
      <c r="H695" s="15" t="s">
        <v>1924</v>
      </c>
      <c r="I695" s="18">
        <v>0</v>
      </c>
      <c r="J695" s="18">
        <v>0</v>
      </c>
      <c r="K695" s="19">
        <v>0</v>
      </c>
      <c r="L695" s="20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</row>
    <row r="696" spans="1:43">
      <c r="A696" s="15" t="s">
        <v>49</v>
      </c>
      <c r="B696" s="15" t="s">
        <v>50</v>
      </c>
      <c r="C696" s="15" t="s">
        <v>51</v>
      </c>
      <c r="D696" s="15" t="s">
        <v>1925</v>
      </c>
      <c r="E696" s="15" t="s">
        <v>1926</v>
      </c>
      <c r="F696" s="16">
        <v>45000.5794097222</v>
      </c>
      <c r="G696" s="15" t="s">
        <v>1926</v>
      </c>
      <c r="H696" s="15" t="s">
        <v>54</v>
      </c>
      <c r="I696" s="18">
        <v>0</v>
      </c>
      <c r="J696" s="18">
        <v>0</v>
      </c>
      <c r="K696" s="19">
        <v>0</v>
      </c>
      <c r="L696" s="20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</row>
    <row r="697" spans="1:43">
      <c r="A697" s="15" t="s">
        <v>43</v>
      </c>
      <c r="B697" s="15" t="s">
        <v>44</v>
      </c>
      <c r="C697" s="15" t="s">
        <v>45</v>
      </c>
      <c r="D697" s="15" t="s">
        <v>1927</v>
      </c>
      <c r="E697" s="15" t="s">
        <v>1928</v>
      </c>
      <c r="F697" s="16">
        <v>40890.4947106481</v>
      </c>
      <c r="G697" s="15" t="s">
        <v>1928</v>
      </c>
      <c r="H697" s="15" t="s">
        <v>1929</v>
      </c>
      <c r="I697" s="18">
        <v>0</v>
      </c>
      <c r="J697" s="18">
        <v>0</v>
      </c>
      <c r="K697" s="19">
        <v>0</v>
      </c>
      <c r="L697" s="20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0</v>
      </c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</row>
    <row r="698" spans="1:43">
      <c r="A698" s="15" t="s">
        <v>43</v>
      </c>
      <c r="B698" s="15" t="s">
        <v>44</v>
      </c>
      <c r="C698" s="15" t="s">
        <v>45</v>
      </c>
      <c r="D698" s="15" t="s">
        <v>1930</v>
      </c>
      <c r="E698" s="15" t="s">
        <v>1931</v>
      </c>
      <c r="F698" s="16">
        <v>43566.6468865741</v>
      </c>
      <c r="G698" s="15" t="s">
        <v>1931</v>
      </c>
      <c r="H698" s="15" t="s">
        <v>1932</v>
      </c>
      <c r="I698" s="18">
        <v>0</v>
      </c>
      <c r="J698" s="18">
        <v>0</v>
      </c>
      <c r="K698" s="19">
        <v>0</v>
      </c>
      <c r="L698" s="20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</row>
    <row r="699" spans="1:43">
      <c r="A699" s="15" t="s">
        <v>43</v>
      </c>
      <c r="B699" s="15" t="s">
        <v>44</v>
      </c>
      <c r="C699" s="15" t="s">
        <v>45</v>
      </c>
      <c r="D699" s="15" t="s">
        <v>1933</v>
      </c>
      <c r="E699" s="15" t="s">
        <v>1934</v>
      </c>
      <c r="F699" s="16">
        <v>41899.6145486111</v>
      </c>
      <c r="G699" s="15" t="s">
        <v>1934</v>
      </c>
      <c r="H699" s="15" t="s">
        <v>1935</v>
      </c>
      <c r="I699" s="18">
        <v>0</v>
      </c>
      <c r="J699" s="18">
        <v>0</v>
      </c>
      <c r="K699" s="19">
        <v>0</v>
      </c>
      <c r="L699" s="20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</row>
    <row r="700" spans="1:43">
      <c r="A700" s="15" t="s">
        <v>43</v>
      </c>
      <c r="B700" s="15" t="s">
        <v>44</v>
      </c>
      <c r="C700" s="15" t="s">
        <v>45</v>
      </c>
      <c r="D700" s="15" t="s">
        <v>1936</v>
      </c>
      <c r="E700" s="15" t="s">
        <v>1937</v>
      </c>
      <c r="F700" s="16">
        <v>40764.409375</v>
      </c>
      <c r="G700" s="15" t="s">
        <v>1937</v>
      </c>
      <c r="H700" s="15" t="s">
        <v>1938</v>
      </c>
      <c r="I700" s="18">
        <v>0</v>
      </c>
      <c r="J700" s="18">
        <v>0</v>
      </c>
      <c r="K700" s="19">
        <v>0</v>
      </c>
      <c r="L700" s="20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</row>
    <row r="701" spans="1:43">
      <c r="A701" s="15" t="s">
        <v>64</v>
      </c>
      <c r="B701" s="15" t="s">
        <v>118</v>
      </c>
      <c r="C701" s="15" t="s">
        <v>131</v>
      </c>
      <c r="D701" s="15" t="s">
        <v>1939</v>
      </c>
      <c r="E701" s="15" t="s">
        <v>1939</v>
      </c>
      <c r="F701" s="16">
        <v>45133.6664814815</v>
      </c>
      <c r="G701" s="15" t="s">
        <v>1939</v>
      </c>
      <c r="H701" s="15" t="s">
        <v>54</v>
      </c>
      <c r="I701" s="18">
        <v>1431.12</v>
      </c>
      <c r="J701" s="18">
        <v>11</v>
      </c>
      <c r="K701" s="19">
        <v>130.101818181818</v>
      </c>
      <c r="L701" s="20">
        <v>1.8585974025974</v>
      </c>
      <c r="M701" s="15">
        <v>0</v>
      </c>
      <c r="N701" s="15">
        <v>0</v>
      </c>
      <c r="O701" s="15">
        <v>121.8</v>
      </c>
      <c r="P701" s="15">
        <v>303.8</v>
      </c>
      <c r="Q701" s="15">
        <v>170.33</v>
      </c>
      <c r="R701" s="15">
        <v>0</v>
      </c>
      <c r="S701" s="15">
        <v>81.93</v>
      </c>
      <c r="T701" s="15">
        <v>177.62</v>
      </c>
      <c r="U701" s="15">
        <v>103.88</v>
      </c>
      <c r="V701" s="15">
        <v>155.99</v>
      </c>
      <c r="W701" s="15">
        <v>80.81</v>
      </c>
      <c r="X701" s="15">
        <v>58.82</v>
      </c>
      <c r="Y701" s="15">
        <v>53.61</v>
      </c>
      <c r="Z701" s="15">
        <v>122.53</v>
      </c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</row>
    <row r="702" spans="1:43">
      <c r="A702" s="15" t="s">
        <v>49</v>
      </c>
      <c r="B702" s="15" t="s">
        <v>50</v>
      </c>
      <c r="C702" s="15" t="s">
        <v>61</v>
      </c>
      <c r="D702" s="15" t="s">
        <v>1940</v>
      </c>
      <c r="E702" s="15" t="s">
        <v>1941</v>
      </c>
      <c r="F702" s="16">
        <v>0</v>
      </c>
      <c r="G702" s="15" t="s">
        <v>1941</v>
      </c>
      <c r="H702" s="15" t="s">
        <v>1942</v>
      </c>
      <c r="I702" s="18">
        <v>0</v>
      </c>
      <c r="J702" s="18">
        <v>0</v>
      </c>
      <c r="K702" s="19">
        <v>0</v>
      </c>
      <c r="L702" s="20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</row>
    <row r="703" spans="1:43">
      <c r="A703" s="15" t="s">
        <v>49</v>
      </c>
      <c r="B703" s="15" t="s">
        <v>50</v>
      </c>
      <c r="C703" s="15" t="s">
        <v>61</v>
      </c>
      <c r="D703" s="15" t="s">
        <v>1943</v>
      </c>
      <c r="E703" s="15" t="s">
        <v>1944</v>
      </c>
      <c r="F703" s="16">
        <v>0</v>
      </c>
      <c r="G703" s="15" t="s">
        <v>1944</v>
      </c>
      <c r="H703" s="15" t="s">
        <v>1945</v>
      </c>
      <c r="I703" s="18">
        <v>0</v>
      </c>
      <c r="J703" s="18">
        <v>0</v>
      </c>
      <c r="K703" s="19">
        <v>0</v>
      </c>
      <c r="L703" s="20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</row>
    <row r="704" spans="1:43">
      <c r="A704" s="15" t="s">
        <v>49</v>
      </c>
      <c r="B704" s="15" t="s">
        <v>50</v>
      </c>
      <c r="C704" s="15" t="s">
        <v>61</v>
      </c>
      <c r="D704" s="15" t="s">
        <v>1946</v>
      </c>
      <c r="E704" s="15" t="s">
        <v>1947</v>
      </c>
      <c r="F704" s="16">
        <v>0</v>
      </c>
      <c r="G704" s="15" t="s">
        <v>1947</v>
      </c>
      <c r="H704" s="15" t="s">
        <v>1948</v>
      </c>
      <c r="I704" s="18">
        <v>0</v>
      </c>
      <c r="J704" s="18">
        <v>0</v>
      </c>
      <c r="K704" s="19">
        <v>0</v>
      </c>
      <c r="L704" s="20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</row>
    <row r="705" spans="1:43">
      <c r="A705" s="15" t="s">
        <v>49</v>
      </c>
      <c r="B705" s="15" t="s">
        <v>50</v>
      </c>
      <c r="C705" s="15" t="s">
        <v>1300</v>
      </c>
      <c r="D705" s="15" t="s">
        <v>1949</v>
      </c>
      <c r="E705" s="15" t="s">
        <v>1950</v>
      </c>
      <c r="F705" s="16">
        <v>45112.6972453704</v>
      </c>
      <c r="G705" s="15" t="s">
        <v>1950</v>
      </c>
      <c r="H705" s="15" t="s">
        <v>54</v>
      </c>
      <c r="I705" s="18">
        <v>0</v>
      </c>
      <c r="J705" s="18">
        <v>0</v>
      </c>
      <c r="K705" s="19">
        <v>0</v>
      </c>
      <c r="L705" s="20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</row>
    <row r="706" spans="1:43">
      <c r="A706" s="15" t="s">
        <v>43</v>
      </c>
      <c r="B706" s="15" t="s">
        <v>44</v>
      </c>
      <c r="C706" s="15" t="s">
        <v>45</v>
      </c>
      <c r="D706" s="15" t="s">
        <v>1951</v>
      </c>
      <c r="E706" s="15" t="s">
        <v>1952</v>
      </c>
      <c r="F706" s="16">
        <v>42202.6952430555</v>
      </c>
      <c r="G706" s="15" t="s">
        <v>1952</v>
      </c>
      <c r="H706" s="15" t="s">
        <v>1953</v>
      </c>
      <c r="I706" s="18">
        <v>0</v>
      </c>
      <c r="J706" s="18">
        <v>0</v>
      </c>
      <c r="K706" s="19">
        <v>0</v>
      </c>
      <c r="L706" s="20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</row>
    <row r="707" spans="1:43">
      <c r="A707" s="15" t="s">
        <v>64</v>
      </c>
      <c r="B707" s="15" t="s">
        <v>118</v>
      </c>
      <c r="C707" s="15" t="s">
        <v>131</v>
      </c>
      <c r="D707" s="15" t="s">
        <v>1954</v>
      </c>
      <c r="E707" s="15" t="s">
        <v>1955</v>
      </c>
      <c r="F707" s="16">
        <v>45114.5813657407</v>
      </c>
      <c r="G707" s="15" t="s">
        <v>1955</v>
      </c>
      <c r="H707" s="15" t="s">
        <v>54</v>
      </c>
      <c r="I707" s="18">
        <v>1234.36</v>
      </c>
      <c r="J707" s="18">
        <v>14</v>
      </c>
      <c r="K707" s="19">
        <v>88.1685714285714</v>
      </c>
      <c r="L707" s="20">
        <v>1.25955102040816</v>
      </c>
      <c r="M707" s="15">
        <v>58.02</v>
      </c>
      <c r="N707" s="15">
        <v>84.58</v>
      </c>
      <c r="O707" s="15">
        <v>93.16</v>
      </c>
      <c r="P707" s="15">
        <v>77.63</v>
      </c>
      <c r="Q707" s="15">
        <v>84.2</v>
      </c>
      <c r="R707" s="15">
        <v>69.65</v>
      </c>
      <c r="S707" s="15">
        <v>134.98</v>
      </c>
      <c r="T707" s="15">
        <v>11.39</v>
      </c>
      <c r="U707" s="15">
        <v>50.35</v>
      </c>
      <c r="V707" s="15">
        <v>113.1</v>
      </c>
      <c r="W707" s="15">
        <v>63.55</v>
      </c>
      <c r="X707" s="15">
        <v>71.79</v>
      </c>
      <c r="Y707" s="15">
        <v>151.57</v>
      </c>
      <c r="Z707" s="15">
        <v>170.39</v>
      </c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</row>
    <row r="708" spans="1:43">
      <c r="A708" s="15" t="s">
        <v>49</v>
      </c>
      <c r="B708" s="15" t="s">
        <v>50</v>
      </c>
      <c r="C708" s="15" t="s">
        <v>61</v>
      </c>
      <c r="D708" s="15" t="s">
        <v>1956</v>
      </c>
      <c r="E708" s="15" t="s">
        <v>1957</v>
      </c>
      <c r="F708" s="16">
        <v>0</v>
      </c>
      <c r="G708" s="15" t="s">
        <v>1957</v>
      </c>
      <c r="H708" s="15" t="s">
        <v>1958</v>
      </c>
      <c r="I708" s="18">
        <v>0</v>
      </c>
      <c r="J708" s="18">
        <v>0</v>
      </c>
      <c r="K708" s="19">
        <v>0</v>
      </c>
      <c r="L708" s="20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</row>
    <row r="709" spans="1:43">
      <c r="A709" s="15" t="s">
        <v>43</v>
      </c>
      <c r="B709" s="15" t="s">
        <v>44</v>
      </c>
      <c r="C709" s="15" t="s">
        <v>45</v>
      </c>
      <c r="D709" s="15" t="s">
        <v>1959</v>
      </c>
      <c r="E709" s="15" t="s">
        <v>1587</v>
      </c>
      <c r="F709" s="16">
        <v>44544.4213310185</v>
      </c>
      <c r="G709" s="15" t="s">
        <v>1587</v>
      </c>
      <c r="H709" s="15" t="s">
        <v>54</v>
      </c>
      <c r="I709" s="18">
        <v>0</v>
      </c>
      <c r="J709" s="18">
        <v>0</v>
      </c>
      <c r="K709" s="19">
        <v>0</v>
      </c>
      <c r="L709" s="20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</row>
    <row r="710" spans="1:43">
      <c r="A710" s="15" t="s">
        <v>43</v>
      </c>
      <c r="B710" s="15" t="s">
        <v>44</v>
      </c>
      <c r="C710" s="15" t="s">
        <v>45</v>
      </c>
      <c r="D710" s="15" t="s">
        <v>1960</v>
      </c>
      <c r="E710" s="15" t="s">
        <v>1961</v>
      </c>
      <c r="F710" s="16">
        <v>43990.4839236111</v>
      </c>
      <c r="G710" s="15" t="s">
        <v>1961</v>
      </c>
      <c r="H710" s="15" t="s">
        <v>1962</v>
      </c>
      <c r="I710" s="18">
        <v>0</v>
      </c>
      <c r="J710" s="18">
        <v>0</v>
      </c>
      <c r="K710" s="19">
        <v>0</v>
      </c>
      <c r="L710" s="20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</row>
    <row r="711" spans="1:43">
      <c r="A711" s="15" t="s">
        <v>49</v>
      </c>
      <c r="B711" s="15" t="s">
        <v>50</v>
      </c>
      <c r="C711" s="15" t="s">
        <v>61</v>
      </c>
      <c r="D711" s="15" t="s">
        <v>1963</v>
      </c>
      <c r="E711" s="15" t="s">
        <v>575</v>
      </c>
      <c r="F711" s="16">
        <v>0</v>
      </c>
      <c r="G711" s="15" t="s">
        <v>575</v>
      </c>
      <c r="H711" s="15" t="s">
        <v>54</v>
      </c>
      <c r="I711" s="18">
        <v>0</v>
      </c>
      <c r="J711" s="18">
        <v>0</v>
      </c>
      <c r="K711" s="19">
        <v>0</v>
      </c>
      <c r="L711" s="20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</row>
    <row r="712" spans="1:43">
      <c r="A712" s="15" t="s">
        <v>43</v>
      </c>
      <c r="B712" s="15" t="s">
        <v>44</v>
      </c>
      <c r="C712" s="15" t="s">
        <v>228</v>
      </c>
      <c r="D712" s="15" t="s">
        <v>1964</v>
      </c>
      <c r="E712" s="15" t="s">
        <v>1965</v>
      </c>
      <c r="F712" s="16">
        <v>44872.6137152778</v>
      </c>
      <c r="G712" s="15" t="s">
        <v>1965</v>
      </c>
      <c r="H712" s="15" t="s">
        <v>54</v>
      </c>
      <c r="I712" s="18">
        <v>0</v>
      </c>
      <c r="J712" s="18">
        <v>0</v>
      </c>
      <c r="K712" s="19">
        <v>0</v>
      </c>
      <c r="L712" s="20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</row>
    <row r="713" spans="1:43">
      <c r="A713" s="15" t="s">
        <v>49</v>
      </c>
      <c r="B713" s="15" t="s">
        <v>50</v>
      </c>
      <c r="C713" s="15" t="s">
        <v>61</v>
      </c>
      <c r="D713" s="15" t="s">
        <v>1966</v>
      </c>
      <c r="E713" s="15" t="s">
        <v>1967</v>
      </c>
      <c r="F713" s="16">
        <v>0</v>
      </c>
      <c r="G713" s="15" t="s">
        <v>1967</v>
      </c>
      <c r="H713" s="15" t="s">
        <v>54</v>
      </c>
      <c r="I713" s="18">
        <v>0</v>
      </c>
      <c r="J713" s="18">
        <v>0</v>
      </c>
      <c r="K713" s="19">
        <v>0</v>
      </c>
      <c r="L713" s="20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</row>
    <row r="714" spans="1:43">
      <c r="A714" s="15" t="s">
        <v>43</v>
      </c>
      <c r="B714" s="15" t="s">
        <v>44</v>
      </c>
      <c r="C714" s="15" t="s">
        <v>45</v>
      </c>
      <c r="D714" s="15" t="s">
        <v>1968</v>
      </c>
      <c r="E714" s="15" t="s">
        <v>1969</v>
      </c>
      <c r="F714" s="16">
        <v>43279.4137962963</v>
      </c>
      <c r="G714" s="15" t="s">
        <v>1969</v>
      </c>
      <c r="H714" s="15" t="s">
        <v>1970</v>
      </c>
      <c r="I714" s="18">
        <v>0</v>
      </c>
      <c r="J714" s="18">
        <v>0</v>
      </c>
      <c r="K714" s="19">
        <v>0</v>
      </c>
      <c r="L714" s="20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</row>
    <row r="715" spans="1:43">
      <c r="A715" s="15" t="s">
        <v>43</v>
      </c>
      <c r="B715" s="15" t="s">
        <v>44</v>
      </c>
      <c r="C715" s="15" t="s">
        <v>45</v>
      </c>
      <c r="D715" s="15" t="s">
        <v>1971</v>
      </c>
      <c r="E715" s="15" t="s">
        <v>1972</v>
      </c>
      <c r="F715" s="16">
        <v>42875.4210185185</v>
      </c>
      <c r="G715" s="15" t="s">
        <v>1972</v>
      </c>
      <c r="H715" s="15" t="s">
        <v>1973</v>
      </c>
      <c r="I715" s="18">
        <v>0</v>
      </c>
      <c r="J715" s="18">
        <v>0</v>
      </c>
      <c r="K715" s="19">
        <v>0</v>
      </c>
      <c r="L715" s="20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</row>
    <row r="716" spans="1:43">
      <c r="A716" s="15" t="s">
        <v>43</v>
      </c>
      <c r="B716" s="15" t="s">
        <v>44</v>
      </c>
      <c r="C716" s="15" t="s">
        <v>45</v>
      </c>
      <c r="D716" s="15" t="s">
        <v>1974</v>
      </c>
      <c r="E716" s="15" t="s">
        <v>1975</v>
      </c>
      <c r="F716" s="16">
        <v>43608.6941435185</v>
      </c>
      <c r="G716" s="15" t="s">
        <v>1975</v>
      </c>
      <c r="H716" s="15" t="s">
        <v>1976</v>
      </c>
      <c r="I716" s="18">
        <v>0</v>
      </c>
      <c r="J716" s="18">
        <v>0</v>
      </c>
      <c r="K716" s="19">
        <v>0</v>
      </c>
      <c r="L716" s="20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</row>
    <row r="717" spans="1:43">
      <c r="A717" s="15" t="s">
        <v>43</v>
      </c>
      <c r="B717" s="15" t="s">
        <v>44</v>
      </c>
      <c r="C717" s="15" t="s">
        <v>228</v>
      </c>
      <c r="D717" s="15" t="s">
        <v>1977</v>
      </c>
      <c r="E717" s="15" t="s">
        <v>1978</v>
      </c>
      <c r="F717" s="16">
        <v>44687.7023726852</v>
      </c>
      <c r="G717" s="15" t="s">
        <v>1978</v>
      </c>
      <c r="H717" s="15" t="s">
        <v>1979</v>
      </c>
      <c r="I717" s="18">
        <v>0</v>
      </c>
      <c r="J717" s="18">
        <v>0</v>
      </c>
      <c r="K717" s="19">
        <v>0</v>
      </c>
      <c r="L717" s="20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</row>
    <row r="718" spans="1:43">
      <c r="A718" s="15" t="s">
        <v>49</v>
      </c>
      <c r="B718" s="15" t="s">
        <v>50</v>
      </c>
      <c r="C718" s="15" t="s">
        <v>61</v>
      </c>
      <c r="D718" s="15" t="s">
        <v>1980</v>
      </c>
      <c r="E718" s="15" t="s">
        <v>1981</v>
      </c>
      <c r="F718" s="16">
        <v>0</v>
      </c>
      <c r="G718" s="15" t="s">
        <v>1981</v>
      </c>
      <c r="H718" s="15" t="s">
        <v>1982</v>
      </c>
      <c r="I718" s="18">
        <v>0</v>
      </c>
      <c r="J718" s="18">
        <v>0</v>
      </c>
      <c r="K718" s="19">
        <v>0</v>
      </c>
      <c r="L718" s="20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</row>
    <row r="719" spans="1:43">
      <c r="A719" s="15" t="s">
        <v>43</v>
      </c>
      <c r="B719" s="15" t="s">
        <v>44</v>
      </c>
      <c r="C719" s="15" t="s">
        <v>45</v>
      </c>
      <c r="D719" s="15" t="s">
        <v>1983</v>
      </c>
      <c r="E719" s="15" t="s">
        <v>1984</v>
      </c>
      <c r="F719" s="16">
        <v>42297.6355555556</v>
      </c>
      <c r="G719" s="15" t="s">
        <v>1984</v>
      </c>
      <c r="H719" s="15" t="s">
        <v>1985</v>
      </c>
      <c r="I719" s="18">
        <v>0</v>
      </c>
      <c r="J719" s="18">
        <v>0</v>
      </c>
      <c r="K719" s="19">
        <v>0</v>
      </c>
      <c r="L719" s="20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</row>
    <row r="720" spans="1:43">
      <c r="A720" s="15" t="s">
        <v>43</v>
      </c>
      <c r="B720" s="15" t="s">
        <v>44</v>
      </c>
      <c r="C720" s="15" t="s">
        <v>45</v>
      </c>
      <c r="D720" s="15" t="s">
        <v>1986</v>
      </c>
      <c r="E720" s="15" t="s">
        <v>1987</v>
      </c>
      <c r="F720" s="16">
        <v>43523.3818287037</v>
      </c>
      <c r="G720" s="15" t="s">
        <v>1987</v>
      </c>
      <c r="H720" s="15" t="s">
        <v>1988</v>
      </c>
      <c r="I720" s="18">
        <v>0</v>
      </c>
      <c r="J720" s="18">
        <v>0</v>
      </c>
      <c r="K720" s="19">
        <v>0</v>
      </c>
      <c r="L720" s="20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</row>
    <row r="721" spans="1:43">
      <c r="A721" s="15" t="s">
        <v>49</v>
      </c>
      <c r="B721" s="15" t="s">
        <v>50</v>
      </c>
      <c r="C721" s="15" t="s">
        <v>75</v>
      </c>
      <c r="D721" s="15" t="s">
        <v>1989</v>
      </c>
      <c r="E721" s="15" t="s">
        <v>1990</v>
      </c>
      <c r="F721" s="16">
        <v>43794.4802314815</v>
      </c>
      <c r="G721" s="15" t="s">
        <v>1990</v>
      </c>
      <c r="H721" s="15" t="s">
        <v>54</v>
      </c>
      <c r="I721" s="18">
        <v>0</v>
      </c>
      <c r="J721" s="18">
        <v>0</v>
      </c>
      <c r="K721" s="19">
        <v>0</v>
      </c>
      <c r="L721" s="20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</row>
    <row r="722" spans="1:43">
      <c r="A722" s="15" t="s">
        <v>43</v>
      </c>
      <c r="B722" s="15" t="s">
        <v>44</v>
      </c>
      <c r="C722" s="15" t="s">
        <v>228</v>
      </c>
      <c r="D722" s="15" t="s">
        <v>1991</v>
      </c>
      <c r="E722" s="15" t="s">
        <v>1992</v>
      </c>
      <c r="F722" s="16">
        <v>45035.3813194444</v>
      </c>
      <c r="G722" s="15" t="s">
        <v>1992</v>
      </c>
      <c r="H722" s="15" t="s">
        <v>54</v>
      </c>
      <c r="I722" s="18">
        <v>503.66</v>
      </c>
      <c r="J722" s="18">
        <v>14</v>
      </c>
      <c r="K722" s="19">
        <v>35.9757142857143</v>
      </c>
      <c r="L722" s="20">
        <v>0.719514285714286</v>
      </c>
      <c r="M722" s="15">
        <v>67.03</v>
      </c>
      <c r="N722" s="15">
        <v>19.05</v>
      </c>
      <c r="O722" s="15">
        <v>68.02</v>
      </c>
      <c r="P722" s="15">
        <v>53.68</v>
      </c>
      <c r="Q722" s="15">
        <v>33.9</v>
      </c>
      <c r="R722" s="15">
        <v>21.22</v>
      </c>
      <c r="S722" s="15">
        <v>32.9</v>
      </c>
      <c r="T722" s="15">
        <v>11.34</v>
      </c>
      <c r="U722" s="15">
        <v>60.95</v>
      </c>
      <c r="V722" s="15">
        <v>22.45</v>
      </c>
      <c r="W722" s="15">
        <v>33.13</v>
      </c>
      <c r="X722" s="15">
        <v>9.5</v>
      </c>
      <c r="Y722" s="15">
        <v>24.34</v>
      </c>
      <c r="Z722" s="15">
        <v>46.15</v>
      </c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</row>
    <row r="723" spans="1:43">
      <c r="A723" s="15" t="s">
        <v>43</v>
      </c>
      <c r="B723" s="15" t="s">
        <v>44</v>
      </c>
      <c r="C723" s="15" t="s">
        <v>45</v>
      </c>
      <c r="D723" s="15" t="s">
        <v>1993</v>
      </c>
      <c r="E723" s="15" t="s">
        <v>1994</v>
      </c>
      <c r="F723" s="16">
        <v>40505.5915625</v>
      </c>
      <c r="G723" s="15" t="s">
        <v>1994</v>
      </c>
      <c r="H723" s="15" t="s">
        <v>1995</v>
      </c>
      <c r="I723" s="18">
        <v>0</v>
      </c>
      <c r="J723" s="18">
        <v>0</v>
      </c>
      <c r="K723" s="19">
        <v>0</v>
      </c>
      <c r="L723" s="20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</row>
    <row r="724" spans="1:43">
      <c r="A724" s="15" t="s">
        <v>43</v>
      </c>
      <c r="B724" s="15" t="s">
        <v>44</v>
      </c>
      <c r="C724" s="15" t="s">
        <v>45</v>
      </c>
      <c r="D724" s="15" t="s">
        <v>1996</v>
      </c>
      <c r="E724" s="15" t="s">
        <v>1997</v>
      </c>
      <c r="F724" s="16">
        <v>41744.62875</v>
      </c>
      <c r="G724" s="15" t="s">
        <v>1997</v>
      </c>
      <c r="H724" s="15" t="s">
        <v>1998</v>
      </c>
      <c r="I724" s="18">
        <v>0</v>
      </c>
      <c r="J724" s="18">
        <v>0</v>
      </c>
      <c r="K724" s="19">
        <v>0</v>
      </c>
      <c r="L724" s="20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</row>
    <row r="725" spans="1:43">
      <c r="A725" s="15" t="s">
        <v>49</v>
      </c>
      <c r="B725" s="15" t="s">
        <v>50</v>
      </c>
      <c r="C725" s="15" t="s">
        <v>61</v>
      </c>
      <c r="D725" s="15" t="s">
        <v>1999</v>
      </c>
      <c r="E725" s="15" t="s">
        <v>2000</v>
      </c>
      <c r="F725" s="16">
        <v>0</v>
      </c>
      <c r="G725" s="15" t="s">
        <v>2000</v>
      </c>
      <c r="H725" s="15" t="s">
        <v>54</v>
      </c>
      <c r="I725" s="18">
        <v>0</v>
      </c>
      <c r="J725" s="18">
        <v>0</v>
      </c>
      <c r="K725" s="19">
        <v>0</v>
      </c>
      <c r="L725" s="20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</row>
    <row r="726" spans="1:43">
      <c r="A726" s="15" t="s">
        <v>64</v>
      </c>
      <c r="B726" s="15" t="s">
        <v>65</v>
      </c>
      <c r="C726" s="15" t="s">
        <v>78</v>
      </c>
      <c r="D726" s="15" t="s">
        <v>2001</v>
      </c>
      <c r="E726" s="15" t="s">
        <v>2002</v>
      </c>
      <c r="F726" s="16">
        <v>44966.6998842593</v>
      </c>
      <c r="G726" s="15" t="s">
        <v>2002</v>
      </c>
      <c r="H726" s="15" t="s">
        <v>2003</v>
      </c>
      <c r="I726" s="18">
        <v>0</v>
      </c>
      <c r="J726" s="18">
        <v>0</v>
      </c>
      <c r="K726" s="19">
        <v>0</v>
      </c>
      <c r="L726" s="20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</row>
    <row r="727" spans="1:43">
      <c r="A727" s="15" t="s">
        <v>43</v>
      </c>
      <c r="B727" s="15" t="s">
        <v>44</v>
      </c>
      <c r="C727" s="15" t="s">
        <v>45</v>
      </c>
      <c r="D727" s="15" t="s">
        <v>2004</v>
      </c>
      <c r="E727" s="15" t="s">
        <v>2005</v>
      </c>
      <c r="F727" s="16">
        <v>43224.6164814815</v>
      </c>
      <c r="G727" s="15" t="s">
        <v>2005</v>
      </c>
      <c r="H727" s="15" t="s">
        <v>2006</v>
      </c>
      <c r="I727" s="18">
        <v>0</v>
      </c>
      <c r="J727" s="18">
        <v>0</v>
      </c>
      <c r="K727" s="19">
        <v>0</v>
      </c>
      <c r="L727" s="20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</row>
    <row r="728" spans="1:43">
      <c r="A728" s="15" t="s">
        <v>43</v>
      </c>
      <c r="B728" s="15" t="s">
        <v>44</v>
      </c>
      <c r="C728" s="15" t="s">
        <v>45</v>
      </c>
      <c r="D728" s="15" t="s">
        <v>2007</v>
      </c>
      <c r="E728" s="15" t="s">
        <v>2008</v>
      </c>
      <c r="F728" s="16">
        <v>42270.7230439815</v>
      </c>
      <c r="G728" s="15" t="s">
        <v>2008</v>
      </c>
      <c r="H728" s="15" t="s">
        <v>2009</v>
      </c>
      <c r="I728" s="18">
        <v>0</v>
      </c>
      <c r="J728" s="18">
        <v>0</v>
      </c>
      <c r="K728" s="19">
        <v>0</v>
      </c>
      <c r="L728" s="20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</row>
    <row r="729" spans="1:43">
      <c r="A729" s="15" t="s">
        <v>64</v>
      </c>
      <c r="B729" s="15" t="s">
        <v>65</v>
      </c>
      <c r="C729" s="15" t="s">
        <v>93</v>
      </c>
      <c r="D729" s="15" t="s">
        <v>2010</v>
      </c>
      <c r="E729" s="15" t="s">
        <v>2011</v>
      </c>
      <c r="F729" s="16">
        <v>45097.4379282407</v>
      </c>
      <c r="G729" s="15" t="s">
        <v>2011</v>
      </c>
      <c r="H729" s="15" t="s">
        <v>2012</v>
      </c>
      <c r="I729" s="18">
        <v>5624.74</v>
      </c>
      <c r="J729" s="18">
        <v>14</v>
      </c>
      <c r="K729" s="19">
        <v>401.767142857143</v>
      </c>
      <c r="L729" s="20">
        <v>5.7395306122449</v>
      </c>
      <c r="M729" s="15">
        <v>698.92</v>
      </c>
      <c r="N729" s="15">
        <v>707.16</v>
      </c>
      <c r="O729" s="15">
        <v>674.48</v>
      </c>
      <c r="P729" s="15">
        <v>266.53</v>
      </c>
      <c r="Q729" s="15">
        <v>263.23</v>
      </c>
      <c r="R729" s="15">
        <v>300.42</v>
      </c>
      <c r="S729" s="15">
        <v>317.3</v>
      </c>
      <c r="T729" s="15">
        <v>366.7</v>
      </c>
      <c r="U729" s="15">
        <v>473.05</v>
      </c>
      <c r="V729" s="15">
        <v>545.96</v>
      </c>
      <c r="W729" s="15">
        <v>568.18</v>
      </c>
      <c r="X729" s="15">
        <v>187.73</v>
      </c>
      <c r="Y729" s="15">
        <v>126.8</v>
      </c>
      <c r="Z729" s="15">
        <v>128.28</v>
      </c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</row>
    <row r="730" spans="1:43">
      <c r="A730" s="15" t="s">
        <v>43</v>
      </c>
      <c r="B730" s="15" t="s">
        <v>44</v>
      </c>
      <c r="C730" s="15" t="s">
        <v>45</v>
      </c>
      <c r="D730" s="15" t="s">
        <v>2013</v>
      </c>
      <c r="E730" s="15" t="s">
        <v>2014</v>
      </c>
      <c r="F730" s="16">
        <v>43801.3980208333</v>
      </c>
      <c r="G730" s="15" t="s">
        <v>2014</v>
      </c>
      <c r="H730" s="15" t="s">
        <v>54</v>
      </c>
      <c r="I730" s="18">
        <v>0</v>
      </c>
      <c r="J730" s="18">
        <v>0</v>
      </c>
      <c r="K730" s="19">
        <v>0</v>
      </c>
      <c r="L730" s="20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</row>
    <row r="731" spans="1:43">
      <c r="A731" s="15" t="s">
        <v>43</v>
      </c>
      <c r="B731" s="15" t="s">
        <v>44</v>
      </c>
      <c r="C731" s="15" t="s">
        <v>45</v>
      </c>
      <c r="D731" s="15" t="s">
        <v>2015</v>
      </c>
      <c r="E731" s="15" t="s">
        <v>2016</v>
      </c>
      <c r="F731" s="16">
        <v>41096.7305787037</v>
      </c>
      <c r="G731" s="15" t="s">
        <v>2016</v>
      </c>
      <c r="H731" s="15" t="s">
        <v>2017</v>
      </c>
      <c r="I731" s="18">
        <v>0</v>
      </c>
      <c r="J731" s="18">
        <v>0</v>
      </c>
      <c r="K731" s="19">
        <v>0</v>
      </c>
      <c r="L731" s="20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</row>
    <row r="732" spans="1:43">
      <c r="A732" s="15" t="s">
        <v>43</v>
      </c>
      <c r="B732" s="15" t="s">
        <v>44</v>
      </c>
      <c r="C732" s="15" t="s">
        <v>228</v>
      </c>
      <c r="D732" s="15" t="s">
        <v>2018</v>
      </c>
      <c r="E732" s="15" t="s">
        <v>2019</v>
      </c>
      <c r="F732" s="16">
        <v>44775.4757175926</v>
      </c>
      <c r="G732" s="15" t="s">
        <v>2019</v>
      </c>
      <c r="H732" s="15" t="s">
        <v>54</v>
      </c>
      <c r="I732" s="18">
        <v>0</v>
      </c>
      <c r="J732" s="18">
        <v>0</v>
      </c>
      <c r="K732" s="19">
        <v>0</v>
      </c>
      <c r="L732" s="20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</row>
    <row r="733" spans="1:43">
      <c r="A733" s="15" t="s">
        <v>49</v>
      </c>
      <c r="B733" s="15" t="s">
        <v>50</v>
      </c>
      <c r="C733" s="15" t="s">
        <v>61</v>
      </c>
      <c r="D733" s="15" t="s">
        <v>2020</v>
      </c>
      <c r="E733" s="15" t="s">
        <v>2021</v>
      </c>
      <c r="F733" s="16">
        <v>0</v>
      </c>
      <c r="G733" s="15" t="s">
        <v>2021</v>
      </c>
      <c r="H733" s="15" t="s">
        <v>2022</v>
      </c>
      <c r="I733" s="18">
        <v>0</v>
      </c>
      <c r="J733" s="18">
        <v>0</v>
      </c>
      <c r="K733" s="19">
        <v>0</v>
      </c>
      <c r="L733" s="20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</row>
    <row r="734" spans="1:43">
      <c r="A734" s="15" t="s">
        <v>49</v>
      </c>
      <c r="B734" s="15" t="s">
        <v>50</v>
      </c>
      <c r="C734" s="15" t="s">
        <v>61</v>
      </c>
      <c r="D734" s="15" t="s">
        <v>2023</v>
      </c>
      <c r="E734" s="15" t="s">
        <v>2024</v>
      </c>
      <c r="F734" s="16">
        <v>0</v>
      </c>
      <c r="G734" s="15" t="s">
        <v>2024</v>
      </c>
      <c r="H734" s="15" t="s">
        <v>2025</v>
      </c>
      <c r="I734" s="18">
        <v>0</v>
      </c>
      <c r="J734" s="18">
        <v>0</v>
      </c>
      <c r="K734" s="19">
        <v>0</v>
      </c>
      <c r="L734" s="20">
        <v>0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</row>
    <row r="735" spans="1:43">
      <c r="A735" s="15" t="s">
        <v>43</v>
      </c>
      <c r="B735" s="15" t="s">
        <v>44</v>
      </c>
      <c r="C735" s="15" t="s">
        <v>45</v>
      </c>
      <c r="D735" s="15" t="s">
        <v>2026</v>
      </c>
      <c r="E735" s="15" t="s">
        <v>2027</v>
      </c>
      <c r="F735" s="16">
        <v>41120.6761574074</v>
      </c>
      <c r="G735" s="15" t="s">
        <v>2027</v>
      </c>
      <c r="H735" s="15" t="s">
        <v>2028</v>
      </c>
      <c r="I735" s="18">
        <v>0</v>
      </c>
      <c r="J735" s="18">
        <v>0</v>
      </c>
      <c r="K735" s="19">
        <v>0</v>
      </c>
      <c r="L735" s="20">
        <v>0</v>
      </c>
      <c r="M735" s="15">
        <v>0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</row>
    <row r="736" spans="1:43">
      <c r="A736" s="15" t="s">
        <v>43</v>
      </c>
      <c r="B736" s="15" t="s">
        <v>44</v>
      </c>
      <c r="C736" s="15" t="s">
        <v>45</v>
      </c>
      <c r="D736" s="15" t="s">
        <v>2029</v>
      </c>
      <c r="E736" s="15" t="s">
        <v>2030</v>
      </c>
      <c r="F736" s="16">
        <v>43748.4844675926</v>
      </c>
      <c r="G736" s="15" t="s">
        <v>2030</v>
      </c>
      <c r="H736" s="15" t="s">
        <v>2031</v>
      </c>
      <c r="I736" s="18">
        <v>0</v>
      </c>
      <c r="J736" s="18">
        <v>0</v>
      </c>
      <c r="K736" s="19">
        <v>0</v>
      </c>
      <c r="L736" s="20">
        <v>0</v>
      </c>
      <c r="M736" s="15">
        <v>0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</row>
    <row r="737" spans="1:43">
      <c r="A737" s="15" t="s">
        <v>49</v>
      </c>
      <c r="B737" s="15" t="s">
        <v>50</v>
      </c>
      <c r="C737" s="15" t="s">
        <v>75</v>
      </c>
      <c r="D737" s="15" t="s">
        <v>2032</v>
      </c>
      <c r="E737" s="15" t="s">
        <v>2033</v>
      </c>
      <c r="F737" s="16">
        <v>44741.6530439815</v>
      </c>
      <c r="G737" s="15" t="s">
        <v>2033</v>
      </c>
      <c r="H737" s="15" t="s">
        <v>2034</v>
      </c>
      <c r="I737" s="18">
        <v>0</v>
      </c>
      <c r="J737" s="18">
        <v>0</v>
      </c>
      <c r="K737" s="19">
        <v>0</v>
      </c>
      <c r="L737" s="20">
        <v>0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</row>
    <row r="738" spans="1:43">
      <c r="A738" s="15" t="s">
        <v>43</v>
      </c>
      <c r="B738" s="15" t="s">
        <v>44</v>
      </c>
      <c r="C738" s="15" t="s">
        <v>45</v>
      </c>
      <c r="D738" s="15" t="s">
        <v>2035</v>
      </c>
      <c r="E738" s="15" t="s">
        <v>2036</v>
      </c>
      <c r="F738" s="16">
        <v>41600.698287037</v>
      </c>
      <c r="G738" s="15" t="s">
        <v>2036</v>
      </c>
      <c r="H738" s="15" t="s">
        <v>2037</v>
      </c>
      <c r="I738" s="18">
        <v>0</v>
      </c>
      <c r="J738" s="18">
        <v>0</v>
      </c>
      <c r="K738" s="19">
        <v>0</v>
      </c>
      <c r="L738" s="20">
        <v>0</v>
      </c>
      <c r="M738" s="15">
        <v>0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</row>
    <row r="739" spans="1:43">
      <c r="A739" s="15" t="s">
        <v>43</v>
      </c>
      <c r="B739" s="15" t="s">
        <v>44</v>
      </c>
      <c r="C739" s="15" t="s">
        <v>45</v>
      </c>
      <c r="D739" s="15" t="s">
        <v>2038</v>
      </c>
      <c r="E739" s="15" t="s">
        <v>2039</v>
      </c>
      <c r="F739" s="16">
        <v>41620.476400463</v>
      </c>
      <c r="G739" s="15" t="s">
        <v>2039</v>
      </c>
      <c r="H739" s="15" t="s">
        <v>2040</v>
      </c>
      <c r="I739" s="18">
        <v>0</v>
      </c>
      <c r="J739" s="18">
        <v>0</v>
      </c>
      <c r="K739" s="19">
        <v>0</v>
      </c>
      <c r="L739" s="20">
        <v>0</v>
      </c>
      <c r="M739" s="15">
        <v>0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</row>
    <row r="740" spans="1:43">
      <c r="A740" s="15" t="s">
        <v>49</v>
      </c>
      <c r="B740" s="15" t="s">
        <v>50</v>
      </c>
      <c r="C740" s="15" t="s">
        <v>61</v>
      </c>
      <c r="D740" s="15" t="s">
        <v>2041</v>
      </c>
      <c r="E740" s="15" t="s">
        <v>2042</v>
      </c>
      <c r="F740" s="16">
        <v>0</v>
      </c>
      <c r="G740" s="15" t="s">
        <v>2042</v>
      </c>
      <c r="H740" s="15" t="s">
        <v>2043</v>
      </c>
      <c r="I740" s="18">
        <v>0</v>
      </c>
      <c r="J740" s="18">
        <v>0</v>
      </c>
      <c r="K740" s="19">
        <v>0</v>
      </c>
      <c r="L740" s="20">
        <v>0</v>
      </c>
      <c r="M740" s="15">
        <v>0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</row>
    <row r="741" spans="1:43">
      <c r="A741" s="15" t="s">
        <v>43</v>
      </c>
      <c r="B741" s="15" t="s">
        <v>44</v>
      </c>
      <c r="C741" s="15" t="s">
        <v>228</v>
      </c>
      <c r="D741" s="15" t="s">
        <v>2044</v>
      </c>
      <c r="E741" s="15" t="s">
        <v>2045</v>
      </c>
      <c r="F741" s="16">
        <v>44705.5779050926</v>
      </c>
      <c r="G741" s="15" t="s">
        <v>2045</v>
      </c>
      <c r="H741" s="15" t="s">
        <v>54</v>
      </c>
      <c r="I741" s="18">
        <v>0</v>
      </c>
      <c r="J741" s="18">
        <v>0</v>
      </c>
      <c r="K741" s="19">
        <v>0</v>
      </c>
      <c r="L741" s="20">
        <v>0</v>
      </c>
      <c r="M741" s="15">
        <v>0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</row>
    <row r="742" spans="1:43">
      <c r="A742" s="15" t="s">
        <v>49</v>
      </c>
      <c r="B742" s="15" t="s">
        <v>50</v>
      </c>
      <c r="C742" s="15" t="s">
        <v>301</v>
      </c>
      <c r="D742" s="15" t="s">
        <v>2046</v>
      </c>
      <c r="E742" s="15" t="s">
        <v>2047</v>
      </c>
      <c r="F742" s="16">
        <v>44993.6122916667</v>
      </c>
      <c r="G742" s="15" t="s">
        <v>2047</v>
      </c>
      <c r="H742" s="15" t="s">
        <v>2048</v>
      </c>
      <c r="I742" s="18">
        <v>758.83</v>
      </c>
      <c r="J742" s="18">
        <v>14</v>
      </c>
      <c r="K742" s="19">
        <v>54.2021428571429</v>
      </c>
      <c r="L742" s="20">
        <v>1.08404285714286</v>
      </c>
      <c r="M742" s="15">
        <v>51.65</v>
      </c>
      <c r="N742" s="15">
        <v>44.74</v>
      </c>
      <c r="O742" s="15">
        <v>58.25</v>
      </c>
      <c r="P742" s="15">
        <v>57.82</v>
      </c>
      <c r="Q742" s="15">
        <v>54.08</v>
      </c>
      <c r="R742" s="15">
        <v>44.55</v>
      </c>
      <c r="S742" s="15">
        <v>61.01</v>
      </c>
      <c r="T742" s="15">
        <v>51.67</v>
      </c>
      <c r="U742" s="15">
        <v>58.24</v>
      </c>
      <c r="V742" s="15">
        <v>55.12</v>
      </c>
      <c r="W742" s="15">
        <v>53.89</v>
      </c>
      <c r="X742" s="15">
        <v>62.48</v>
      </c>
      <c r="Y742" s="15">
        <v>50.06</v>
      </c>
      <c r="Z742" s="15">
        <v>55.27</v>
      </c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</row>
    <row r="743" spans="1:43">
      <c r="A743" s="15" t="s">
        <v>43</v>
      </c>
      <c r="B743" s="15" t="s">
        <v>44</v>
      </c>
      <c r="C743" s="15" t="s">
        <v>45</v>
      </c>
      <c r="D743" s="15" t="s">
        <v>2049</v>
      </c>
      <c r="E743" s="15" t="s">
        <v>2050</v>
      </c>
      <c r="F743" s="16">
        <v>40863.6397106482</v>
      </c>
      <c r="G743" s="15" t="s">
        <v>2050</v>
      </c>
      <c r="H743" s="15" t="s">
        <v>2051</v>
      </c>
      <c r="I743" s="18">
        <v>0</v>
      </c>
      <c r="J743" s="18">
        <v>0</v>
      </c>
      <c r="K743" s="19">
        <v>0</v>
      </c>
      <c r="L743" s="20">
        <v>0</v>
      </c>
      <c r="M743" s="15">
        <v>0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</row>
    <row r="744" spans="1:43">
      <c r="A744" s="15" t="s">
        <v>49</v>
      </c>
      <c r="B744" s="15" t="s">
        <v>50</v>
      </c>
      <c r="C744" s="15" t="s">
        <v>51</v>
      </c>
      <c r="D744" s="15" t="s">
        <v>2052</v>
      </c>
      <c r="E744" s="15" t="s">
        <v>2053</v>
      </c>
      <c r="F744" s="16">
        <v>45071.3984027778</v>
      </c>
      <c r="G744" s="15" t="s">
        <v>2053</v>
      </c>
      <c r="H744" s="15" t="s">
        <v>54</v>
      </c>
      <c r="I744" s="18">
        <v>817.1</v>
      </c>
      <c r="J744" s="18">
        <v>14</v>
      </c>
      <c r="K744" s="19">
        <v>58.3642857142857</v>
      </c>
      <c r="L744" s="20">
        <v>1.16728571428571</v>
      </c>
      <c r="M744" s="15">
        <v>105.98</v>
      </c>
      <c r="N744" s="15">
        <v>72.51</v>
      </c>
      <c r="O744" s="15">
        <v>101.41</v>
      </c>
      <c r="P744" s="15">
        <v>41.31</v>
      </c>
      <c r="Q744" s="15">
        <v>36.13</v>
      </c>
      <c r="R744" s="15">
        <v>73.96</v>
      </c>
      <c r="S744" s="15">
        <v>52.79</v>
      </c>
      <c r="T744" s="15">
        <v>27.48</v>
      </c>
      <c r="U744" s="15">
        <v>61.88</v>
      </c>
      <c r="V744" s="15">
        <v>55.66</v>
      </c>
      <c r="W744" s="15">
        <v>55.3</v>
      </c>
      <c r="X744" s="15">
        <v>64.64</v>
      </c>
      <c r="Y744" s="15">
        <v>45.68</v>
      </c>
      <c r="Z744" s="15">
        <v>22.37</v>
      </c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</row>
    <row r="745" spans="1:43">
      <c r="A745" s="15" t="s">
        <v>43</v>
      </c>
      <c r="B745" s="15" t="s">
        <v>44</v>
      </c>
      <c r="C745" s="15" t="s">
        <v>45</v>
      </c>
      <c r="D745" s="15" t="s">
        <v>2054</v>
      </c>
      <c r="E745" s="15" t="s">
        <v>2055</v>
      </c>
      <c r="F745" s="16">
        <v>42742.492650463</v>
      </c>
      <c r="G745" s="15" t="s">
        <v>2055</v>
      </c>
      <c r="H745" s="15" t="s">
        <v>2056</v>
      </c>
      <c r="I745" s="18">
        <v>0</v>
      </c>
      <c r="J745" s="18">
        <v>0</v>
      </c>
      <c r="K745" s="19">
        <v>0</v>
      </c>
      <c r="L745" s="20">
        <v>0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</row>
    <row r="746" spans="1:43">
      <c r="A746" s="15" t="s">
        <v>43</v>
      </c>
      <c r="B746" s="15" t="s">
        <v>44</v>
      </c>
      <c r="C746" s="15" t="s">
        <v>45</v>
      </c>
      <c r="D746" s="15" t="s">
        <v>2057</v>
      </c>
      <c r="E746" s="15" t="s">
        <v>2058</v>
      </c>
      <c r="F746" s="16">
        <v>44495.7066898148</v>
      </c>
      <c r="G746" s="15" t="s">
        <v>2058</v>
      </c>
      <c r="H746" s="15" t="s">
        <v>54</v>
      </c>
      <c r="I746" s="18">
        <v>0</v>
      </c>
      <c r="J746" s="18">
        <v>0</v>
      </c>
      <c r="K746" s="19">
        <v>0</v>
      </c>
      <c r="L746" s="20">
        <v>0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</row>
    <row r="747" spans="1:43">
      <c r="A747" s="15" t="s">
        <v>43</v>
      </c>
      <c r="B747" s="15" t="s">
        <v>44</v>
      </c>
      <c r="C747" s="15" t="s">
        <v>45</v>
      </c>
      <c r="D747" s="15" t="s">
        <v>2059</v>
      </c>
      <c r="E747" s="15" t="s">
        <v>2060</v>
      </c>
      <c r="F747" s="16">
        <v>42892.6705092593</v>
      </c>
      <c r="G747" s="15" t="s">
        <v>2060</v>
      </c>
      <c r="H747" s="15" t="s">
        <v>2061</v>
      </c>
      <c r="I747" s="18">
        <v>0</v>
      </c>
      <c r="J747" s="18">
        <v>0</v>
      </c>
      <c r="K747" s="19">
        <v>0</v>
      </c>
      <c r="L747" s="20">
        <v>0</v>
      </c>
      <c r="M747" s="15">
        <v>0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</row>
    <row r="748" spans="1:43">
      <c r="A748" s="15" t="s">
        <v>64</v>
      </c>
      <c r="B748" s="15" t="s">
        <v>118</v>
      </c>
      <c r="C748" s="15" t="s">
        <v>119</v>
      </c>
      <c r="D748" s="15" t="s">
        <v>2062</v>
      </c>
      <c r="E748" s="15" t="s">
        <v>2063</v>
      </c>
      <c r="F748" s="16">
        <v>45071.4729282407</v>
      </c>
      <c r="G748" s="15" t="s">
        <v>2063</v>
      </c>
      <c r="H748" s="15" t="s">
        <v>54</v>
      </c>
      <c r="I748" s="18">
        <v>0</v>
      </c>
      <c r="J748" s="18">
        <v>0</v>
      </c>
      <c r="K748" s="19">
        <v>0</v>
      </c>
      <c r="L748" s="20">
        <v>0</v>
      </c>
      <c r="M748" s="15">
        <v>0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</row>
    <row r="749" spans="1:43">
      <c r="A749" s="15" t="s">
        <v>43</v>
      </c>
      <c r="B749" s="15" t="s">
        <v>44</v>
      </c>
      <c r="C749" s="15" t="s">
        <v>45</v>
      </c>
      <c r="D749" s="15" t="s">
        <v>2064</v>
      </c>
      <c r="E749" s="15" t="s">
        <v>2065</v>
      </c>
      <c r="F749" s="16">
        <v>41744.4669097222</v>
      </c>
      <c r="G749" s="15" t="s">
        <v>2065</v>
      </c>
      <c r="H749" s="15" t="s">
        <v>2066</v>
      </c>
      <c r="I749" s="18">
        <v>0</v>
      </c>
      <c r="J749" s="18">
        <v>0</v>
      </c>
      <c r="K749" s="19">
        <v>0</v>
      </c>
      <c r="L749" s="20">
        <v>0</v>
      </c>
      <c r="M749" s="15">
        <v>0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</row>
    <row r="750" spans="1:43">
      <c r="A750" s="15" t="s">
        <v>43</v>
      </c>
      <c r="B750" s="15" t="s">
        <v>44</v>
      </c>
      <c r="C750" s="15" t="s">
        <v>45</v>
      </c>
      <c r="D750" s="15" t="s">
        <v>2067</v>
      </c>
      <c r="E750" s="15" t="s">
        <v>2068</v>
      </c>
      <c r="F750" s="16">
        <v>43657.4746643519</v>
      </c>
      <c r="G750" s="15" t="s">
        <v>2068</v>
      </c>
      <c r="H750" s="15" t="s">
        <v>2069</v>
      </c>
      <c r="I750" s="18">
        <v>0</v>
      </c>
      <c r="J750" s="18">
        <v>0</v>
      </c>
      <c r="K750" s="19">
        <v>0</v>
      </c>
      <c r="L750" s="20">
        <v>0</v>
      </c>
      <c r="M750" s="15">
        <v>0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</row>
    <row r="751" spans="1:43">
      <c r="A751" s="15" t="s">
        <v>43</v>
      </c>
      <c r="B751" s="15" t="s">
        <v>44</v>
      </c>
      <c r="C751" s="15" t="s">
        <v>45</v>
      </c>
      <c r="D751" s="15" t="s">
        <v>2070</v>
      </c>
      <c r="E751" s="15" t="s">
        <v>2071</v>
      </c>
      <c r="F751" s="16">
        <v>43829.6389814815</v>
      </c>
      <c r="G751" s="15" t="s">
        <v>2071</v>
      </c>
      <c r="H751" s="15" t="s">
        <v>2072</v>
      </c>
      <c r="I751" s="18">
        <v>0</v>
      </c>
      <c r="J751" s="18">
        <v>0</v>
      </c>
      <c r="K751" s="19">
        <v>0</v>
      </c>
      <c r="L751" s="20">
        <v>0</v>
      </c>
      <c r="M751" s="15">
        <v>0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</row>
    <row r="752" spans="1:43">
      <c r="A752" s="15" t="s">
        <v>43</v>
      </c>
      <c r="B752" s="15" t="s">
        <v>44</v>
      </c>
      <c r="C752" s="15" t="s">
        <v>45</v>
      </c>
      <c r="D752" s="15" t="s">
        <v>2073</v>
      </c>
      <c r="E752" s="15" t="s">
        <v>2074</v>
      </c>
      <c r="F752" s="16">
        <v>41819.4292361111</v>
      </c>
      <c r="G752" s="15" t="s">
        <v>2074</v>
      </c>
      <c r="H752" s="15" t="s">
        <v>2075</v>
      </c>
      <c r="I752" s="18">
        <v>0</v>
      </c>
      <c r="J752" s="18">
        <v>0</v>
      </c>
      <c r="K752" s="19">
        <v>0</v>
      </c>
      <c r="L752" s="20">
        <v>0</v>
      </c>
      <c r="M752" s="15">
        <v>0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</row>
    <row r="753" spans="1:43">
      <c r="A753" s="15" t="s">
        <v>49</v>
      </c>
      <c r="B753" s="15" t="s">
        <v>50</v>
      </c>
      <c r="C753" s="15" t="s">
        <v>61</v>
      </c>
      <c r="D753" s="15" t="s">
        <v>2076</v>
      </c>
      <c r="E753" s="15" t="s">
        <v>2077</v>
      </c>
      <c r="F753" s="16">
        <v>0</v>
      </c>
      <c r="G753" s="15" t="s">
        <v>2077</v>
      </c>
      <c r="H753" s="15" t="s">
        <v>2078</v>
      </c>
      <c r="I753" s="18">
        <v>0</v>
      </c>
      <c r="J753" s="18">
        <v>0</v>
      </c>
      <c r="K753" s="19">
        <v>0</v>
      </c>
      <c r="L753" s="20">
        <v>0</v>
      </c>
      <c r="M753" s="15">
        <v>0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</row>
    <row r="754" spans="1:43">
      <c r="A754" s="15" t="s">
        <v>49</v>
      </c>
      <c r="B754" s="15" t="s">
        <v>50</v>
      </c>
      <c r="C754" s="15" t="s">
        <v>61</v>
      </c>
      <c r="D754" s="15" t="s">
        <v>2079</v>
      </c>
      <c r="E754" s="15" t="s">
        <v>2080</v>
      </c>
      <c r="F754" s="16">
        <v>0</v>
      </c>
      <c r="G754" s="15" t="s">
        <v>2080</v>
      </c>
      <c r="H754" s="15" t="s">
        <v>2081</v>
      </c>
      <c r="I754" s="18">
        <v>0</v>
      </c>
      <c r="J754" s="18">
        <v>0</v>
      </c>
      <c r="K754" s="19">
        <v>0</v>
      </c>
      <c r="L754" s="20">
        <v>0</v>
      </c>
      <c r="M754" s="15">
        <v>0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</row>
    <row r="755" spans="1:43">
      <c r="A755" s="15" t="s">
        <v>43</v>
      </c>
      <c r="B755" s="15" t="s">
        <v>44</v>
      </c>
      <c r="C755" s="15" t="s">
        <v>45</v>
      </c>
      <c r="D755" s="15" t="s">
        <v>2082</v>
      </c>
      <c r="E755" s="15" t="s">
        <v>2083</v>
      </c>
      <c r="F755" s="16">
        <v>43390.6816666667</v>
      </c>
      <c r="G755" s="15" t="s">
        <v>2083</v>
      </c>
      <c r="H755" s="15" t="s">
        <v>2084</v>
      </c>
      <c r="I755" s="18">
        <v>0</v>
      </c>
      <c r="J755" s="18">
        <v>0</v>
      </c>
      <c r="K755" s="19">
        <v>0</v>
      </c>
      <c r="L755" s="20">
        <v>0</v>
      </c>
      <c r="M755" s="15">
        <v>0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</row>
    <row r="756" spans="1:43">
      <c r="A756" s="15" t="s">
        <v>43</v>
      </c>
      <c r="B756" s="15" t="s">
        <v>44</v>
      </c>
      <c r="C756" s="15" t="s">
        <v>45</v>
      </c>
      <c r="D756" s="15" t="s">
        <v>2085</v>
      </c>
      <c r="E756" s="15" t="s">
        <v>2086</v>
      </c>
      <c r="F756" s="16">
        <v>43900.5879398148</v>
      </c>
      <c r="G756" s="15" t="s">
        <v>2086</v>
      </c>
      <c r="H756" s="15" t="s">
        <v>2087</v>
      </c>
      <c r="I756" s="18">
        <v>0</v>
      </c>
      <c r="J756" s="18">
        <v>0</v>
      </c>
      <c r="K756" s="19">
        <v>0</v>
      </c>
      <c r="L756" s="20">
        <v>0</v>
      </c>
      <c r="M756" s="15">
        <v>0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</row>
    <row r="757" spans="1:43">
      <c r="A757" s="15" t="s">
        <v>43</v>
      </c>
      <c r="B757" s="15" t="s">
        <v>44</v>
      </c>
      <c r="C757" s="15" t="s">
        <v>45</v>
      </c>
      <c r="D757" s="15" t="s">
        <v>2088</v>
      </c>
      <c r="E757" s="15" t="s">
        <v>2089</v>
      </c>
      <c r="F757" s="16">
        <v>42359.6038773148</v>
      </c>
      <c r="G757" s="15" t="s">
        <v>2089</v>
      </c>
      <c r="H757" s="15" t="s">
        <v>2090</v>
      </c>
      <c r="I757" s="18">
        <v>0</v>
      </c>
      <c r="J757" s="18">
        <v>0</v>
      </c>
      <c r="K757" s="19">
        <v>0</v>
      </c>
      <c r="L757" s="20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</row>
    <row r="758" spans="1:43">
      <c r="A758" s="15" t="s">
        <v>49</v>
      </c>
      <c r="B758" s="15" t="s">
        <v>50</v>
      </c>
      <c r="C758" s="15" t="s">
        <v>61</v>
      </c>
      <c r="D758" s="15" t="s">
        <v>2091</v>
      </c>
      <c r="E758" s="15" t="s">
        <v>2092</v>
      </c>
      <c r="F758" s="16">
        <v>0</v>
      </c>
      <c r="G758" s="15" t="s">
        <v>2092</v>
      </c>
      <c r="H758" s="15" t="s">
        <v>2093</v>
      </c>
      <c r="I758" s="18">
        <v>0</v>
      </c>
      <c r="J758" s="18">
        <v>0</v>
      </c>
      <c r="K758" s="19">
        <v>0</v>
      </c>
      <c r="L758" s="20">
        <v>0</v>
      </c>
      <c r="M758" s="15">
        <v>0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</row>
    <row r="759" spans="1:43">
      <c r="A759" s="15" t="s">
        <v>43</v>
      </c>
      <c r="B759" s="15" t="s">
        <v>44</v>
      </c>
      <c r="C759" s="15" t="s">
        <v>45</v>
      </c>
      <c r="D759" s="15" t="s">
        <v>2094</v>
      </c>
      <c r="E759" s="15" t="s">
        <v>2095</v>
      </c>
      <c r="F759" s="16">
        <v>41071.6058449074</v>
      </c>
      <c r="G759" s="15" t="s">
        <v>2095</v>
      </c>
      <c r="H759" s="15" t="s">
        <v>2096</v>
      </c>
      <c r="I759" s="18">
        <v>0</v>
      </c>
      <c r="J759" s="18">
        <v>0</v>
      </c>
      <c r="K759" s="19">
        <v>0</v>
      </c>
      <c r="L759" s="20">
        <v>0</v>
      </c>
      <c r="M759" s="15">
        <v>0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</row>
    <row r="760" spans="1:43">
      <c r="A760" s="15" t="s">
        <v>43</v>
      </c>
      <c r="B760" s="15" t="s">
        <v>44</v>
      </c>
      <c r="C760" s="15" t="s">
        <v>45</v>
      </c>
      <c r="D760" s="15" t="s">
        <v>2097</v>
      </c>
      <c r="E760" s="15" t="s">
        <v>2098</v>
      </c>
      <c r="F760" s="16">
        <v>42499.386099537</v>
      </c>
      <c r="G760" s="15" t="s">
        <v>2098</v>
      </c>
      <c r="H760" s="15" t="s">
        <v>2099</v>
      </c>
      <c r="I760" s="18">
        <v>0</v>
      </c>
      <c r="J760" s="18">
        <v>0</v>
      </c>
      <c r="K760" s="19">
        <v>0</v>
      </c>
      <c r="L760" s="20">
        <v>0</v>
      </c>
      <c r="M760" s="15">
        <v>0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</row>
    <row r="761" spans="1:43">
      <c r="A761" s="15" t="s">
        <v>43</v>
      </c>
      <c r="B761" s="15" t="s">
        <v>44</v>
      </c>
      <c r="C761" s="15" t="s">
        <v>45</v>
      </c>
      <c r="D761" s="15" t="s">
        <v>2100</v>
      </c>
      <c r="E761" s="15" t="s">
        <v>2101</v>
      </c>
      <c r="F761" s="16">
        <v>41463.6647685185</v>
      </c>
      <c r="G761" s="15" t="s">
        <v>2101</v>
      </c>
      <c r="H761" s="15" t="s">
        <v>2102</v>
      </c>
      <c r="I761" s="18">
        <v>0</v>
      </c>
      <c r="J761" s="18">
        <v>0</v>
      </c>
      <c r="K761" s="19">
        <v>0</v>
      </c>
      <c r="L761" s="20">
        <v>0</v>
      </c>
      <c r="M761" s="15">
        <v>0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</row>
    <row r="762" spans="1:43">
      <c r="A762" s="15" t="s">
        <v>43</v>
      </c>
      <c r="B762" s="15" t="s">
        <v>44</v>
      </c>
      <c r="C762" s="15" t="s">
        <v>45</v>
      </c>
      <c r="D762" s="15" t="s">
        <v>2103</v>
      </c>
      <c r="E762" s="15" t="s">
        <v>2104</v>
      </c>
      <c r="F762" s="16">
        <v>43696.7246875</v>
      </c>
      <c r="G762" s="15" t="s">
        <v>2104</v>
      </c>
      <c r="H762" s="15" t="s">
        <v>2105</v>
      </c>
      <c r="I762" s="18">
        <v>0</v>
      </c>
      <c r="J762" s="18">
        <v>0</v>
      </c>
      <c r="K762" s="19">
        <v>0</v>
      </c>
      <c r="L762" s="20">
        <v>0</v>
      </c>
      <c r="M762" s="15">
        <v>0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</row>
    <row r="763" spans="1:43">
      <c r="A763" s="15" t="s">
        <v>43</v>
      </c>
      <c r="B763" s="15" t="s">
        <v>44</v>
      </c>
      <c r="C763" s="15" t="s">
        <v>45</v>
      </c>
      <c r="D763" s="15" t="s">
        <v>2106</v>
      </c>
      <c r="E763" s="15" t="s">
        <v>2107</v>
      </c>
      <c r="F763" s="16">
        <v>41904.6098148148</v>
      </c>
      <c r="G763" s="15" t="s">
        <v>2107</v>
      </c>
      <c r="H763" s="15" t="s">
        <v>2108</v>
      </c>
      <c r="I763" s="18">
        <v>0</v>
      </c>
      <c r="J763" s="18">
        <v>0</v>
      </c>
      <c r="K763" s="19">
        <v>0</v>
      </c>
      <c r="L763" s="20">
        <v>0</v>
      </c>
      <c r="M763" s="15">
        <v>0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</row>
    <row r="764" spans="1:43">
      <c r="A764" s="15" t="s">
        <v>43</v>
      </c>
      <c r="B764" s="15" t="s">
        <v>44</v>
      </c>
      <c r="C764" s="15" t="s">
        <v>45</v>
      </c>
      <c r="D764" s="15" t="s">
        <v>2109</v>
      </c>
      <c r="E764" s="15" t="s">
        <v>2110</v>
      </c>
      <c r="F764" s="16">
        <v>40711.6217361111</v>
      </c>
      <c r="G764" s="15" t="s">
        <v>2110</v>
      </c>
      <c r="H764" s="15" t="s">
        <v>2111</v>
      </c>
      <c r="I764" s="18">
        <v>0</v>
      </c>
      <c r="J764" s="18">
        <v>0</v>
      </c>
      <c r="K764" s="19">
        <v>0</v>
      </c>
      <c r="L764" s="20">
        <v>0</v>
      </c>
      <c r="M764" s="15">
        <v>0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</row>
    <row r="765" spans="1:43">
      <c r="A765" s="15" t="s">
        <v>49</v>
      </c>
      <c r="B765" s="15" t="s">
        <v>50</v>
      </c>
      <c r="C765" s="15" t="s">
        <v>61</v>
      </c>
      <c r="D765" s="15" t="s">
        <v>2112</v>
      </c>
      <c r="E765" s="15" t="s">
        <v>2113</v>
      </c>
      <c r="F765" s="16">
        <v>0</v>
      </c>
      <c r="G765" s="15" t="s">
        <v>2113</v>
      </c>
      <c r="H765" s="15" t="s">
        <v>2114</v>
      </c>
      <c r="I765" s="18">
        <v>0</v>
      </c>
      <c r="J765" s="18">
        <v>0</v>
      </c>
      <c r="K765" s="19">
        <v>0</v>
      </c>
      <c r="L765" s="20">
        <v>0</v>
      </c>
      <c r="M765" s="15">
        <v>0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</row>
    <row r="766" spans="1:43">
      <c r="A766" s="15" t="s">
        <v>43</v>
      </c>
      <c r="B766" s="15" t="s">
        <v>44</v>
      </c>
      <c r="C766" s="15" t="s">
        <v>228</v>
      </c>
      <c r="D766" s="15" t="s">
        <v>2115</v>
      </c>
      <c r="E766" s="15" t="s">
        <v>2116</v>
      </c>
      <c r="F766" s="16">
        <v>44964.4707638889</v>
      </c>
      <c r="G766" s="15" t="s">
        <v>2116</v>
      </c>
      <c r="H766" s="15" t="s">
        <v>54</v>
      </c>
      <c r="I766" s="18">
        <v>0</v>
      </c>
      <c r="J766" s="18">
        <v>0</v>
      </c>
      <c r="K766" s="19">
        <v>0</v>
      </c>
      <c r="L766" s="20">
        <v>0</v>
      </c>
      <c r="M766" s="15">
        <v>0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</row>
    <row r="767" spans="1:43">
      <c r="A767" s="15" t="s">
        <v>43</v>
      </c>
      <c r="B767" s="15" t="s">
        <v>44</v>
      </c>
      <c r="C767" s="15" t="s">
        <v>45</v>
      </c>
      <c r="D767" s="15" t="s">
        <v>2117</v>
      </c>
      <c r="E767" s="15" t="s">
        <v>2118</v>
      </c>
      <c r="F767" s="16">
        <v>41996.4331597222</v>
      </c>
      <c r="G767" s="15" t="s">
        <v>2118</v>
      </c>
      <c r="H767" s="15" t="s">
        <v>2119</v>
      </c>
      <c r="I767" s="18">
        <v>0</v>
      </c>
      <c r="J767" s="18">
        <v>0</v>
      </c>
      <c r="K767" s="19">
        <v>0</v>
      </c>
      <c r="L767" s="20">
        <v>0</v>
      </c>
      <c r="M767" s="15">
        <v>0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</row>
    <row r="768" spans="1:43">
      <c r="A768" s="15" t="s">
        <v>43</v>
      </c>
      <c r="B768" s="15" t="s">
        <v>44</v>
      </c>
      <c r="C768" s="15" t="s">
        <v>45</v>
      </c>
      <c r="D768" s="15" t="s">
        <v>2120</v>
      </c>
      <c r="E768" s="15" t="s">
        <v>2121</v>
      </c>
      <c r="F768" s="16">
        <v>41843.7135069444</v>
      </c>
      <c r="G768" s="15" t="s">
        <v>2121</v>
      </c>
      <c r="H768" s="15" t="s">
        <v>2122</v>
      </c>
      <c r="I768" s="18">
        <v>0</v>
      </c>
      <c r="J768" s="18">
        <v>0</v>
      </c>
      <c r="K768" s="19">
        <v>0</v>
      </c>
      <c r="L768" s="20">
        <v>0</v>
      </c>
      <c r="M768" s="15">
        <v>0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15">
        <v>0</v>
      </c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</row>
    <row r="769" spans="1:43">
      <c r="A769" s="15" t="s">
        <v>49</v>
      </c>
      <c r="B769" s="15" t="s">
        <v>50</v>
      </c>
      <c r="C769" s="15" t="s">
        <v>1300</v>
      </c>
      <c r="D769" s="15" t="s">
        <v>2123</v>
      </c>
      <c r="E769" s="15" t="s">
        <v>2124</v>
      </c>
      <c r="F769" s="16">
        <v>45142.6219675926</v>
      </c>
      <c r="G769" s="15" t="s">
        <v>2124</v>
      </c>
      <c r="H769" s="15" t="s">
        <v>54</v>
      </c>
      <c r="I769" s="18">
        <v>0</v>
      </c>
      <c r="J769" s="18">
        <v>0</v>
      </c>
      <c r="K769" s="19">
        <v>0</v>
      </c>
      <c r="L769" s="20">
        <v>0</v>
      </c>
      <c r="M769" s="15">
        <v>0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</row>
    <row r="770" spans="1:43">
      <c r="A770" s="15" t="s">
        <v>49</v>
      </c>
      <c r="B770" s="15" t="s">
        <v>50</v>
      </c>
      <c r="C770" s="15" t="s">
        <v>61</v>
      </c>
      <c r="D770" s="15" t="s">
        <v>2125</v>
      </c>
      <c r="E770" s="15" t="s">
        <v>2126</v>
      </c>
      <c r="F770" s="16">
        <v>0</v>
      </c>
      <c r="G770" s="15" t="s">
        <v>2126</v>
      </c>
      <c r="H770" s="15" t="s">
        <v>54</v>
      </c>
      <c r="I770" s="18">
        <v>0</v>
      </c>
      <c r="J770" s="18">
        <v>0</v>
      </c>
      <c r="K770" s="19">
        <v>0</v>
      </c>
      <c r="L770" s="20">
        <v>0</v>
      </c>
      <c r="M770" s="15">
        <v>0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</row>
    <row r="771" spans="1:43">
      <c r="A771" s="15" t="s">
        <v>43</v>
      </c>
      <c r="B771" s="15" t="s">
        <v>44</v>
      </c>
      <c r="C771" s="15" t="s">
        <v>45</v>
      </c>
      <c r="D771" s="15" t="s">
        <v>2127</v>
      </c>
      <c r="E771" s="15" t="s">
        <v>2128</v>
      </c>
      <c r="F771" s="16">
        <v>41519.7015046296</v>
      </c>
      <c r="G771" s="15" t="s">
        <v>2128</v>
      </c>
      <c r="H771" s="15" t="s">
        <v>2129</v>
      </c>
      <c r="I771" s="18">
        <v>0</v>
      </c>
      <c r="J771" s="18">
        <v>0</v>
      </c>
      <c r="K771" s="19">
        <v>0</v>
      </c>
      <c r="L771" s="20">
        <v>0</v>
      </c>
      <c r="M771" s="15">
        <v>0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</row>
    <row r="772" spans="1:43">
      <c r="A772" s="15" t="s">
        <v>43</v>
      </c>
      <c r="B772" s="15" t="s">
        <v>44</v>
      </c>
      <c r="C772" s="15" t="s">
        <v>45</v>
      </c>
      <c r="D772" s="15" t="s">
        <v>2130</v>
      </c>
      <c r="E772" s="15" t="s">
        <v>2131</v>
      </c>
      <c r="F772" s="16">
        <v>43424.6285763889</v>
      </c>
      <c r="G772" s="15" t="s">
        <v>2131</v>
      </c>
      <c r="H772" s="15" t="s">
        <v>2132</v>
      </c>
      <c r="I772" s="18">
        <v>0</v>
      </c>
      <c r="J772" s="18">
        <v>0</v>
      </c>
      <c r="K772" s="19">
        <v>0</v>
      </c>
      <c r="L772" s="20">
        <v>0</v>
      </c>
      <c r="M772" s="15">
        <v>0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</row>
    <row r="773" spans="1:43">
      <c r="A773" s="15" t="s">
        <v>43</v>
      </c>
      <c r="B773" s="15" t="s">
        <v>44</v>
      </c>
      <c r="C773" s="15" t="s">
        <v>45</v>
      </c>
      <c r="D773" s="15" t="s">
        <v>2133</v>
      </c>
      <c r="E773" s="15" t="s">
        <v>2134</v>
      </c>
      <c r="F773" s="16">
        <v>41382.6461226852</v>
      </c>
      <c r="G773" s="15" t="s">
        <v>2134</v>
      </c>
      <c r="H773" s="15" t="s">
        <v>2135</v>
      </c>
      <c r="I773" s="18">
        <v>0</v>
      </c>
      <c r="J773" s="18">
        <v>0</v>
      </c>
      <c r="K773" s="19">
        <v>0</v>
      </c>
      <c r="L773" s="20">
        <v>0</v>
      </c>
      <c r="M773" s="15">
        <v>0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</row>
    <row r="774" spans="1:43">
      <c r="A774" s="15" t="s">
        <v>49</v>
      </c>
      <c r="B774" s="15" t="s">
        <v>50</v>
      </c>
      <c r="C774" s="15" t="s">
        <v>61</v>
      </c>
      <c r="D774" s="15" t="s">
        <v>2136</v>
      </c>
      <c r="E774" s="15" t="s">
        <v>2137</v>
      </c>
      <c r="F774" s="16">
        <v>0</v>
      </c>
      <c r="G774" s="15" t="s">
        <v>2137</v>
      </c>
      <c r="H774" s="15" t="s">
        <v>2138</v>
      </c>
      <c r="I774" s="18">
        <v>0</v>
      </c>
      <c r="J774" s="18">
        <v>0</v>
      </c>
      <c r="K774" s="19">
        <v>0</v>
      </c>
      <c r="L774" s="20">
        <v>0</v>
      </c>
      <c r="M774" s="15">
        <v>0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</row>
    <row r="775" spans="1:43">
      <c r="A775" s="15" t="s">
        <v>49</v>
      </c>
      <c r="B775" s="15" t="s">
        <v>50</v>
      </c>
      <c r="C775" s="15" t="s">
        <v>61</v>
      </c>
      <c r="D775" s="15" t="s">
        <v>2139</v>
      </c>
      <c r="E775" s="15" t="s">
        <v>2140</v>
      </c>
      <c r="F775" s="16">
        <v>0</v>
      </c>
      <c r="G775" s="15" t="s">
        <v>2140</v>
      </c>
      <c r="H775" s="15" t="s">
        <v>2141</v>
      </c>
      <c r="I775" s="18">
        <v>0</v>
      </c>
      <c r="J775" s="18">
        <v>0</v>
      </c>
      <c r="K775" s="19">
        <v>0</v>
      </c>
      <c r="L775" s="20">
        <v>0</v>
      </c>
      <c r="M775" s="15">
        <v>0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</row>
    <row r="776" spans="1:43">
      <c r="A776" s="15" t="s">
        <v>49</v>
      </c>
      <c r="B776" s="15" t="s">
        <v>50</v>
      </c>
      <c r="C776" s="15" t="s">
        <v>61</v>
      </c>
      <c r="D776" s="15" t="s">
        <v>2142</v>
      </c>
      <c r="E776" s="15" t="s">
        <v>2143</v>
      </c>
      <c r="F776" s="16">
        <v>0</v>
      </c>
      <c r="G776" s="15" t="s">
        <v>2143</v>
      </c>
      <c r="H776" s="15" t="s">
        <v>2144</v>
      </c>
      <c r="I776" s="18">
        <v>0</v>
      </c>
      <c r="J776" s="18">
        <v>0</v>
      </c>
      <c r="K776" s="19">
        <v>0</v>
      </c>
      <c r="L776" s="20">
        <v>0</v>
      </c>
      <c r="M776" s="15">
        <v>0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</row>
    <row r="777" spans="1:43">
      <c r="A777" s="15" t="s">
        <v>49</v>
      </c>
      <c r="B777" s="15" t="s">
        <v>50</v>
      </c>
      <c r="C777" s="15" t="s">
        <v>61</v>
      </c>
      <c r="D777" s="15" t="s">
        <v>2145</v>
      </c>
      <c r="E777" s="15" t="s">
        <v>2146</v>
      </c>
      <c r="F777" s="16">
        <v>0</v>
      </c>
      <c r="G777" s="15" t="s">
        <v>2146</v>
      </c>
      <c r="H777" s="15" t="s">
        <v>2147</v>
      </c>
      <c r="I777" s="18">
        <v>0</v>
      </c>
      <c r="J777" s="18">
        <v>0</v>
      </c>
      <c r="K777" s="19">
        <v>0</v>
      </c>
      <c r="L777" s="20">
        <v>0</v>
      </c>
      <c r="M777" s="15">
        <v>0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</row>
    <row r="778" spans="1:43">
      <c r="A778" s="15" t="s">
        <v>49</v>
      </c>
      <c r="B778" s="15" t="s">
        <v>50</v>
      </c>
      <c r="C778" s="15" t="s">
        <v>61</v>
      </c>
      <c r="D778" s="15" t="s">
        <v>2148</v>
      </c>
      <c r="E778" s="15" t="s">
        <v>2149</v>
      </c>
      <c r="F778" s="16">
        <v>0</v>
      </c>
      <c r="G778" s="15" t="s">
        <v>2149</v>
      </c>
      <c r="H778" s="15" t="s">
        <v>2150</v>
      </c>
      <c r="I778" s="18">
        <v>0</v>
      </c>
      <c r="J778" s="18">
        <v>0</v>
      </c>
      <c r="K778" s="19">
        <v>0</v>
      </c>
      <c r="L778" s="20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</row>
    <row r="779" spans="1:43">
      <c r="A779" s="15" t="s">
        <v>49</v>
      </c>
      <c r="B779" s="15" t="s">
        <v>50</v>
      </c>
      <c r="C779" s="15" t="s">
        <v>61</v>
      </c>
      <c r="D779" s="15" t="s">
        <v>2151</v>
      </c>
      <c r="E779" s="15" t="s">
        <v>2152</v>
      </c>
      <c r="F779" s="16">
        <v>0</v>
      </c>
      <c r="G779" s="15" t="s">
        <v>2152</v>
      </c>
      <c r="H779" s="15" t="s">
        <v>54</v>
      </c>
      <c r="I779" s="18">
        <v>0</v>
      </c>
      <c r="J779" s="18">
        <v>0</v>
      </c>
      <c r="K779" s="19">
        <v>0</v>
      </c>
      <c r="L779" s="20">
        <v>0</v>
      </c>
      <c r="M779" s="15">
        <v>0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</row>
    <row r="780" spans="1:43">
      <c r="A780" s="15" t="s">
        <v>43</v>
      </c>
      <c r="B780" s="15" t="s">
        <v>44</v>
      </c>
      <c r="C780" s="15" t="s">
        <v>45</v>
      </c>
      <c r="D780" s="15" t="s">
        <v>2153</v>
      </c>
      <c r="E780" s="15" t="s">
        <v>2154</v>
      </c>
      <c r="F780" s="16">
        <v>44134.6491435185</v>
      </c>
      <c r="G780" s="15" t="s">
        <v>2154</v>
      </c>
      <c r="H780" s="15" t="s">
        <v>54</v>
      </c>
      <c r="I780" s="18">
        <v>0</v>
      </c>
      <c r="J780" s="18">
        <v>0</v>
      </c>
      <c r="K780" s="19">
        <v>0</v>
      </c>
      <c r="L780" s="20">
        <v>0</v>
      </c>
      <c r="M780" s="15">
        <v>0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</row>
    <row r="781" spans="1:43">
      <c r="A781" s="15" t="s">
        <v>43</v>
      </c>
      <c r="B781" s="15" t="s">
        <v>44</v>
      </c>
      <c r="C781" s="15" t="s">
        <v>228</v>
      </c>
      <c r="D781" s="15" t="s">
        <v>2155</v>
      </c>
      <c r="E781" s="15" t="s">
        <v>2156</v>
      </c>
      <c r="F781" s="16">
        <v>44859.4563773148</v>
      </c>
      <c r="G781" s="15" t="s">
        <v>2156</v>
      </c>
      <c r="H781" s="15" t="s">
        <v>2157</v>
      </c>
      <c r="I781" s="18">
        <v>0</v>
      </c>
      <c r="J781" s="18">
        <v>0</v>
      </c>
      <c r="K781" s="19">
        <v>0</v>
      </c>
      <c r="L781" s="20">
        <v>0</v>
      </c>
      <c r="M781" s="15">
        <v>0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</row>
    <row r="782" spans="1:43">
      <c r="A782" s="15" t="s">
        <v>49</v>
      </c>
      <c r="B782" s="15" t="s">
        <v>50</v>
      </c>
      <c r="C782" s="15" t="s">
        <v>61</v>
      </c>
      <c r="D782" s="15" t="s">
        <v>2158</v>
      </c>
      <c r="E782" s="15" t="s">
        <v>2159</v>
      </c>
      <c r="F782" s="16">
        <v>0</v>
      </c>
      <c r="G782" s="15" t="s">
        <v>2159</v>
      </c>
      <c r="H782" s="15" t="s">
        <v>2160</v>
      </c>
      <c r="I782" s="18">
        <v>0</v>
      </c>
      <c r="J782" s="18">
        <v>0</v>
      </c>
      <c r="K782" s="19">
        <v>0</v>
      </c>
      <c r="L782" s="20">
        <v>0</v>
      </c>
      <c r="M782" s="15">
        <v>0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</row>
    <row r="783" spans="1:43">
      <c r="A783" s="15" t="s">
        <v>49</v>
      </c>
      <c r="B783" s="15" t="s">
        <v>50</v>
      </c>
      <c r="C783" s="15" t="s">
        <v>61</v>
      </c>
      <c r="D783" s="15" t="s">
        <v>2161</v>
      </c>
      <c r="E783" s="15" t="s">
        <v>2162</v>
      </c>
      <c r="F783" s="16">
        <v>0</v>
      </c>
      <c r="G783" s="15" t="s">
        <v>2162</v>
      </c>
      <c r="H783" s="15" t="s">
        <v>2163</v>
      </c>
      <c r="I783" s="18">
        <v>0</v>
      </c>
      <c r="J783" s="18">
        <v>0</v>
      </c>
      <c r="K783" s="19">
        <v>0</v>
      </c>
      <c r="L783" s="20">
        <v>0</v>
      </c>
      <c r="M783" s="15">
        <v>0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</row>
    <row r="784" spans="1:43">
      <c r="A784" s="15" t="s">
        <v>43</v>
      </c>
      <c r="B784" s="15" t="s">
        <v>44</v>
      </c>
      <c r="C784" s="15" t="s">
        <v>45</v>
      </c>
      <c r="D784" s="15" t="s">
        <v>2164</v>
      </c>
      <c r="E784" s="15" t="s">
        <v>2165</v>
      </c>
      <c r="F784" s="16">
        <v>42093.6978819444</v>
      </c>
      <c r="G784" s="15" t="s">
        <v>2165</v>
      </c>
      <c r="H784" s="15" t="s">
        <v>2166</v>
      </c>
      <c r="I784" s="18">
        <v>0</v>
      </c>
      <c r="J784" s="18">
        <v>0</v>
      </c>
      <c r="K784" s="19">
        <v>0</v>
      </c>
      <c r="L784" s="20">
        <v>0</v>
      </c>
      <c r="M784" s="15">
        <v>0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</row>
    <row r="785" spans="1:43">
      <c r="A785" s="15" t="s">
        <v>43</v>
      </c>
      <c r="B785" s="15" t="s">
        <v>44</v>
      </c>
      <c r="C785" s="15" t="s">
        <v>45</v>
      </c>
      <c r="D785" s="15" t="s">
        <v>2167</v>
      </c>
      <c r="E785" s="15" t="s">
        <v>2168</v>
      </c>
      <c r="F785" s="16">
        <v>42908.3631365741</v>
      </c>
      <c r="G785" s="15" t="s">
        <v>2168</v>
      </c>
      <c r="H785" s="15" t="s">
        <v>2169</v>
      </c>
      <c r="I785" s="18">
        <v>0</v>
      </c>
      <c r="J785" s="18">
        <v>0</v>
      </c>
      <c r="K785" s="19">
        <v>0</v>
      </c>
      <c r="L785" s="20">
        <v>0</v>
      </c>
      <c r="M785" s="15">
        <v>0</v>
      </c>
      <c r="N785" s="15">
        <v>0</v>
      </c>
      <c r="O785" s="15">
        <v>0</v>
      </c>
      <c r="P785" s="15">
        <v>0</v>
      </c>
      <c r="Q785" s="15">
        <v>0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</row>
    <row r="786" spans="1:43">
      <c r="A786" s="15" t="s">
        <v>49</v>
      </c>
      <c r="B786" s="15" t="s">
        <v>50</v>
      </c>
      <c r="C786" s="15" t="s">
        <v>61</v>
      </c>
      <c r="D786" s="15" t="s">
        <v>2170</v>
      </c>
      <c r="E786" s="15" t="s">
        <v>2171</v>
      </c>
      <c r="F786" s="16">
        <v>0</v>
      </c>
      <c r="G786" s="15" t="s">
        <v>2171</v>
      </c>
      <c r="H786" s="15" t="s">
        <v>2172</v>
      </c>
      <c r="I786" s="18">
        <v>0</v>
      </c>
      <c r="J786" s="18">
        <v>0</v>
      </c>
      <c r="K786" s="19">
        <v>0</v>
      </c>
      <c r="L786" s="20">
        <v>0</v>
      </c>
      <c r="M786" s="15">
        <v>0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</row>
    <row r="787" spans="1:43">
      <c r="A787" s="15" t="s">
        <v>49</v>
      </c>
      <c r="B787" s="15" t="s">
        <v>50</v>
      </c>
      <c r="C787" s="15" t="s">
        <v>61</v>
      </c>
      <c r="D787" s="15" t="s">
        <v>2173</v>
      </c>
      <c r="E787" s="15" t="s">
        <v>2174</v>
      </c>
      <c r="F787" s="16">
        <v>0</v>
      </c>
      <c r="G787" s="15" t="s">
        <v>2174</v>
      </c>
      <c r="H787" s="15" t="s">
        <v>54</v>
      </c>
      <c r="I787" s="18">
        <v>0</v>
      </c>
      <c r="J787" s="18">
        <v>0</v>
      </c>
      <c r="K787" s="19">
        <v>0</v>
      </c>
      <c r="L787" s="20">
        <v>0</v>
      </c>
      <c r="M787" s="15">
        <v>0</v>
      </c>
      <c r="N787" s="15">
        <v>0</v>
      </c>
      <c r="O787" s="15">
        <v>0</v>
      </c>
      <c r="P787" s="15">
        <v>0</v>
      </c>
      <c r="Q787" s="15">
        <v>0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</row>
    <row r="788" spans="1:43">
      <c r="A788" s="15" t="s">
        <v>43</v>
      </c>
      <c r="B788" s="15" t="s">
        <v>44</v>
      </c>
      <c r="C788" s="15" t="s">
        <v>45</v>
      </c>
      <c r="D788" s="15" t="s">
        <v>2175</v>
      </c>
      <c r="E788" s="15" t="s">
        <v>2176</v>
      </c>
      <c r="F788" s="16">
        <v>44271.615150463</v>
      </c>
      <c r="G788" s="15" t="s">
        <v>2176</v>
      </c>
      <c r="H788" s="15" t="s">
        <v>2177</v>
      </c>
      <c r="I788" s="18">
        <v>0</v>
      </c>
      <c r="J788" s="18">
        <v>0</v>
      </c>
      <c r="K788" s="19">
        <v>0</v>
      </c>
      <c r="L788" s="20">
        <v>0</v>
      </c>
      <c r="M788" s="15">
        <v>0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</row>
    <row r="789" spans="1:43">
      <c r="A789" s="15" t="s">
        <v>49</v>
      </c>
      <c r="B789" s="15" t="s">
        <v>50</v>
      </c>
      <c r="C789" s="15" t="s">
        <v>61</v>
      </c>
      <c r="D789" s="15" t="s">
        <v>2178</v>
      </c>
      <c r="E789" s="15" t="s">
        <v>2179</v>
      </c>
      <c r="F789" s="16">
        <v>0</v>
      </c>
      <c r="G789" s="15" t="s">
        <v>2179</v>
      </c>
      <c r="H789" s="15" t="s">
        <v>2180</v>
      </c>
      <c r="I789" s="18">
        <v>0</v>
      </c>
      <c r="J789" s="18">
        <v>0</v>
      </c>
      <c r="K789" s="19">
        <v>0</v>
      </c>
      <c r="L789" s="20">
        <v>0</v>
      </c>
      <c r="M789" s="15">
        <v>0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</row>
    <row r="790" spans="1:43">
      <c r="A790" s="15" t="s">
        <v>64</v>
      </c>
      <c r="B790" s="15" t="s">
        <v>65</v>
      </c>
      <c r="C790" s="15" t="s">
        <v>93</v>
      </c>
      <c r="D790" s="15" t="s">
        <v>2181</v>
      </c>
      <c r="E790" s="15" t="s">
        <v>2182</v>
      </c>
      <c r="F790" s="16">
        <v>45039.5828935185</v>
      </c>
      <c r="G790" s="15" t="s">
        <v>2182</v>
      </c>
      <c r="H790" s="15" t="s">
        <v>54</v>
      </c>
      <c r="I790" s="18">
        <v>1237.15</v>
      </c>
      <c r="J790" s="18">
        <v>14</v>
      </c>
      <c r="K790" s="19">
        <v>88.3678571428571</v>
      </c>
      <c r="L790" s="20">
        <v>1.26239795918367</v>
      </c>
      <c r="M790" s="15">
        <v>67.08</v>
      </c>
      <c r="N790" s="15">
        <v>101.29</v>
      </c>
      <c r="O790" s="15">
        <v>65.94</v>
      </c>
      <c r="P790" s="15">
        <v>100.6</v>
      </c>
      <c r="Q790" s="15">
        <v>103</v>
      </c>
      <c r="R790" s="15">
        <v>53.79</v>
      </c>
      <c r="S790" s="15">
        <v>102.81</v>
      </c>
      <c r="T790" s="15">
        <v>110.74</v>
      </c>
      <c r="U790" s="15">
        <v>116.3</v>
      </c>
      <c r="V790" s="15">
        <v>89.64</v>
      </c>
      <c r="W790" s="15">
        <v>105.5</v>
      </c>
      <c r="X790" s="15">
        <v>44.86</v>
      </c>
      <c r="Y790" s="15">
        <v>72.78</v>
      </c>
      <c r="Z790" s="15">
        <v>102.82</v>
      </c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</row>
    <row r="791" spans="1:43">
      <c r="A791" s="15" t="s">
        <v>49</v>
      </c>
      <c r="B791" s="15" t="s">
        <v>50</v>
      </c>
      <c r="C791" s="15" t="s">
        <v>61</v>
      </c>
      <c r="D791" s="15" t="s">
        <v>2183</v>
      </c>
      <c r="E791" s="15" t="s">
        <v>2184</v>
      </c>
      <c r="F791" s="16">
        <v>0</v>
      </c>
      <c r="G791" s="15" t="s">
        <v>2184</v>
      </c>
      <c r="H791" s="15" t="s">
        <v>2185</v>
      </c>
      <c r="I791" s="18">
        <v>0</v>
      </c>
      <c r="J791" s="18">
        <v>0</v>
      </c>
      <c r="K791" s="19">
        <v>0</v>
      </c>
      <c r="L791" s="20">
        <v>0</v>
      </c>
      <c r="M791" s="15">
        <v>0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0</v>
      </c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</row>
    <row r="792" spans="1:43">
      <c r="A792" s="15" t="s">
        <v>43</v>
      </c>
      <c r="B792" s="15" t="s">
        <v>44</v>
      </c>
      <c r="C792" s="15" t="s">
        <v>45</v>
      </c>
      <c r="D792" s="15" t="s">
        <v>2186</v>
      </c>
      <c r="E792" s="15" t="s">
        <v>2187</v>
      </c>
      <c r="F792" s="16">
        <v>42027.625162037</v>
      </c>
      <c r="G792" s="15" t="s">
        <v>2187</v>
      </c>
      <c r="H792" s="15" t="s">
        <v>2188</v>
      </c>
      <c r="I792" s="18">
        <v>0</v>
      </c>
      <c r="J792" s="18">
        <v>0</v>
      </c>
      <c r="K792" s="19">
        <v>0</v>
      </c>
      <c r="L792" s="20">
        <v>0</v>
      </c>
      <c r="M792" s="15">
        <v>0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15">
        <v>0</v>
      </c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</row>
    <row r="793" spans="1:43">
      <c r="A793" s="15" t="s">
        <v>49</v>
      </c>
      <c r="B793" s="15" t="s">
        <v>50</v>
      </c>
      <c r="C793" s="15" t="s">
        <v>61</v>
      </c>
      <c r="D793" s="15" t="s">
        <v>2189</v>
      </c>
      <c r="E793" s="15" t="s">
        <v>2190</v>
      </c>
      <c r="F793" s="16">
        <v>0</v>
      </c>
      <c r="G793" s="15" t="s">
        <v>2190</v>
      </c>
      <c r="H793" s="15" t="s">
        <v>54</v>
      </c>
      <c r="I793" s="18">
        <v>0</v>
      </c>
      <c r="J793" s="18">
        <v>0</v>
      </c>
      <c r="K793" s="19">
        <v>0</v>
      </c>
      <c r="L793" s="20">
        <v>0</v>
      </c>
      <c r="M793" s="15">
        <v>0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</row>
    <row r="794" spans="1:43">
      <c r="A794" s="15" t="s">
        <v>49</v>
      </c>
      <c r="B794" s="15" t="s">
        <v>50</v>
      </c>
      <c r="C794" s="15" t="s">
        <v>75</v>
      </c>
      <c r="D794" s="15" t="s">
        <v>2191</v>
      </c>
      <c r="E794" s="15" t="s">
        <v>2192</v>
      </c>
      <c r="F794" s="16">
        <v>45076.6603587963</v>
      </c>
      <c r="G794" s="15" t="s">
        <v>2192</v>
      </c>
      <c r="H794" s="15" t="s">
        <v>54</v>
      </c>
      <c r="I794" s="18">
        <v>2090.48</v>
      </c>
      <c r="J794" s="18">
        <v>14</v>
      </c>
      <c r="K794" s="19">
        <v>149.32</v>
      </c>
      <c r="L794" s="20">
        <v>2.9864</v>
      </c>
      <c r="M794" s="15">
        <v>192.65</v>
      </c>
      <c r="N794" s="15">
        <v>167.56</v>
      </c>
      <c r="O794" s="15">
        <v>119.77</v>
      </c>
      <c r="P794" s="15">
        <v>271.45</v>
      </c>
      <c r="Q794" s="15">
        <v>187.58</v>
      </c>
      <c r="R794" s="15">
        <v>126.01</v>
      </c>
      <c r="S794" s="15">
        <v>160.16</v>
      </c>
      <c r="T794" s="15">
        <v>403.79</v>
      </c>
      <c r="U794" s="15">
        <v>36.13</v>
      </c>
      <c r="V794" s="15">
        <v>69.96</v>
      </c>
      <c r="W794" s="15">
        <v>80.54</v>
      </c>
      <c r="X794" s="15">
        <v>116.1</v>
      </c>
      <c r="Y794" s="15">
        <v>23.67</v>
      </c>
      <c r="Z794" s="15">
        <v>135.11</v>
      </c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</row>
    <row r="795" spans="1:43">
      <c r="A795" s="15" t="s">
        <v>49</v>
      </c>
      <c r="B795" s="15" t="s">
        <v>50</v>
      </c>
      <c r="C795" s="15" t="s">
        <v>61</v>
      </c>
      <c r="D795" s="15" t="s">
        <v>2193</v>
      </c>
      <c r="E795" s="15" t="s">
        <v>153</v>
      </c>
      <c r="F795" s="16">
        <v>0</v>
      </c>
      <c r="G795" s="15" t="s">
        <v>153</v>
      </c>
      <c r="H795" s="15" t="s">
        <v>154</v>
      </c>
      <c r="I795" s="18">
        <v>0</v>
      </c>
      <c r="J795" s="18">
        <v>0</v>
      </c>
      <c r="K795" s="19">
        <v>0</v>
      </c>
      <c r="L795" s="20">
        <v>0</v>
      </c>
      <c r="M795" s="15">
        <v>0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</row>
    <row r="796" spans="1:43">
      <c r="A796" s="15" t="s">
        <v>49</v>
      </c>
      <c r="B796" s="15" t="s">
        <v>50</v>
      </c>
      <c r="C796" s="15" t="s">
        <v>61</v>
      </c>
      <c r="D796" s="15" t="s">
        <v>2194</v>
      </c>
      <c r="E796" s="15" t="s">
        <v>2195</v>
      </c>
      <c r="F796" s="16">
        <v>0</v>
      </c>
      <c r="G796" s="15" t="s">
        <v>2195</v>
      </c>
      <c r="H796" s="15" t="s">
        <v>2196</v>
      </c>
      <c r="I796" s="18">
        <v>0</v>
      </c>
      <c r="J796" s="18">
        <v>0</v>
      </c>
      <c r="K796" s="19">
        <v>0</v>
      </c>
      <c r="L796" s="20">
        <v>0</v>
      </c>
      <c r="M796" s="15">
        <v>0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</row>
    <row r="797" spans="1:43">
      <c r="A797" s="15" t="s">
        <v>49</v>
      </c>
      <c r="B797" s="15" t="s">
        <v>50</v>
      </c>
      <c r="C797" s="15" t="s">
        <v>61</v>
      </c>
      <c r="D797" s="15" t="s">
        <v>2197</v>
      </c>
      <c r="E797" s="15" t="s">
        <v>2198</v>
      </c>
      <c r="F797" s="16">
        <v>0</v>
      </c>
      <c r="G797" s="15" t="s">
        <v>2198</v>
      </c>
      <c r="H797" s="15" t="s">
        <v>54</v>
      </c>
      <c r="I797" s="18">
        <v>0</v>
      </c>
      <c r="J797" s="18">
        <v>0</v>
      </c>
      <c r="K797" s="19">
        <v>0</v>
      </c>
      <c r="L797" s="20">
        <v>0</v>
      </c>
      <c r="M797" s="15">
        <v>0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</row>
    <row r="798" spans="1:43">
      <c r="A798" s="15" t="s">
        <v>49</v>
      </c>
      <c r="B798" s="15" t="s">
        <v>50</v>
      </c>
      <c r="C798" s="15" t="s">
        <v>61</v>
      </c>
      <c r="D798" s="15" t="s">
        <v>2199</v>
      </c>
      <c r="E798" s="15" t="s">
        <v>2200</v>
      </c>
      <c r="F798" s="16">
        <v>0</v>
      </c>
      <c r="G798" s="15" t="s">
        <v>2200</v>
      </c>
      <c r="H798" s="15" t="s">
        <v>54</v>
      </c>
      <c r="I798" s="18">
        <v>0</v>
      </c>
      <c r="J798" s="18">
        <v>0</v>
      </c>
      <c r="K798" s="19">
        <v>0</v>
      </c>
      <c r="L798" s="20">
        <v>0</v>
      </c>
      <c r="M798" s="15">
        <v>0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</row>
    <row r="799" spans="1:43">
      <c r="A799" s="15" t="s">
        <v>43</v>
      </c>
      <c r="B799" s="15" t="s">
        <v>44</v>
      </c>
      <c r="C799" s="15" t="s">
        <v>45</v>
      </c>
      <c r="D799" s="15" t="s">
        <v>2201</v>
      </c>
      <c r="E799" s="15" t="s">
        <v>2202</v>
      </c>
      <c r="F799" s="16">
        <v>44602.7209143518</v>
      </c>
      <c r="G799" s="15" t="s">
        <v>2202</v>
      </c>
      <c r="H799" s="15" t="s">
        <v>54</v>
      </c>
      <c r="I799" s="18">
        <v>0</v>
      </c>
      <c r="J799" s="18">
        <v>0</v>
      </c>
      <c r="K799" s="19">
        <v>0</v>
      </c>
      <c r="L799" s="20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0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</row>
    <row r="800" spans="1:43">
      <c r="A800" s="15" t="s">
        <v>49</v>
      </c>
      <c r="B800" s="15" t="s">
        <v>50</v>
      </c>
      <c r="C800" s="15" t="s">
        <v>1300</v>
      </c>
      <c r="D800" s="15" t="s">
        <v>2203</v>
      </c>
      <c r="E800" s="15" t="s">
        <v>1302</v>
      </c>
      <c r="F800" s="16">
        <v>45093.49</v>
      </c>
      <c r="G800" s="15" t="s">
        <v>1302</v>
      </c>
      <c r="H800" s="15" t="s">
        <v>54</v>
      </c>
      <c r="I800" s="18">
        <v>0</v>
      </c>
      <c r="J800" s="18">
        <v>0</v>
      </c>
      <c r="K800" s="19">
        <v>0</v>
      </c>
      <c r="L800" s="20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0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</row>
    <row r="801" spans="1:43">
      <c r="A801" s="15" t="s">
        <v>43</v>
      </c>
      <c r="B801" s="15" t="s">
        <v>44</v>
      </c>
      <c r="C801" s="15" t="s">
        <v>45</v>
      </c>
      <c r="D801" s="15" t="s">
        <v>2204</v>
      </c>
      <c r="E801" s="15" t="s">
        <v>2205</v>
      </c>
      <c r="F801" s="16">
        <v>41179.633275463</v>
      </c>
      <c r="G801" s="15" t="s">
        <v>2205</v>
      </c>
      <c r="H801" s="15" t="s">
        <v>2206</v>
      </c>
      <c r="I801" s="18">
        <v>0</v>
      </c>
      <c r="J801" s="18">
        <v>0</v>
      </c>
      <c r="K801" s="19">
        <v>0</v>
      </c>
      <c r="L801" s="20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0</v>
      </c>
      <c r="R801" s="15">
        <v>0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</row>
    <row r="802" spans="1:43">
      <c r="A802" s="15" t="s">
        <v>49</v>
      </c>
      <c r="B802" s="15" t="s">
        <v>50</v>
      </c>
      <c r="C802" s="15" t="s">
        <v>61</v>
      </c>
      <c r="D802" s="15" t="s">
        <v>2207</v>
      </c>
      <c r="E802" s="15" t="s">
        <v>2208</v>
      </c>
      <c r="F802" s="16">
        <v>0</v>
      </c>
      <c r="G802" s="15" t="s">
        <v>2208</v>
      </c>
      <c r="H802" s="15" t="s">
        <v>2209</v>
      </c>
      <c r="I802" s="18">
        <v>0</v>
      </c>
      <c r="J802" s="18">
        <v>0</v>
      </c>
      <c r="K802" s="19">
        <v>0</v>
      </c>
      <c r="L802" s="20">
        <v>0</v>
      </c>
      <c r="M802" s="15">
        <v>0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</row>
    <row r="803" spans="1:43">
      <c r="A803" s="15" t="s">
        <v>49</v>
      </c>
      <c r="B803" s="15" t="s">
        <v>50</v>
      </c>
      <c r="C803" s="15" t="s">
        <v>51</v>
      </c>
      <c r="D803" s="15" t="s">
        <v>2210</v>
      </c>
      <c r="E803" s="15" t="s">
        <v>2211</v>
      </c>
      <c r="F803" s="16">
        <v>44965.6056828704</v>
      </c>
      <c r="G803" s="15" t="s">
        <v>2211</v>
      </c>
      <c r="H803" s="15" t="s">
        <v>54</v>
      </c>
      <c r="I803" s="18">
        <v>217.63</v>
      </c>
      <c r="J803" s="18">
        <v>5</v>
      </c>
      <c r="K803" s="19">
        <v>43.526</v>
      </c>
      <c r="L803" s="20">
        <v>0.87052</v>
      </c>
      <c r="M803" s="15">
        <v>0</v>
      </c>
      <c r="N803" s="15">
        <v>0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54.98</v>
      </c>
      <c r="W803" s="15">
        <v>50.88</v>
      </c>
      <c r="X803" s="15">
        <v>52.54</v>
      </c>
      <c r="Y803" s="15">
        <v>50.79</v>
      </c>
      <c r="Z803" s="15">
        <v>8.44</v>
      </c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</row>
    <row r="804" spans="1:43">
      <c r="A804" s="15" t="s">
        <v>43</v>
      </c>
      <c r="B804" s="15" t="s">
        <v>44</v>
      </c>
      <c r="C804" s="15" t="s">
        <v>45</v>
      </c>
      <c r="D804" s="15" t="s">
        <v>2212</v>
      </c>
      <c r="E804" s="15" t="s">
        <v>2213</v>
      </c>
      <c r="F804" s="16">
        <v>41124.7144675926</v>
      </c>
      <c r="G804" s="15" t="s">
        <v>2213</v>
      </c>
      <c r="H804" s="15" t="s">
        <v>2214</v>
      </c>
      <c r="I804" s="18">
        <v>0</v>
      </c>
      <c r="J804" s="18">
        <v>0</v>
      </c>
      <c r="K804" s="19">
        <v>0</v>
      </c>
      <c r="L804" s="20">
        <v>0</v>
      </c>
      <c r="M804" s="15">
        <v>0</v>
      </c>
      <c r="N804" s="15">
        <v>0</v>
      </c>
      <c r="O804" s="15">
        <v>0</v>
      </c>
      <c r="P804" s="15">
        <v>0</v>
      </c>
      <c r="Q804" s="15">
        <v>0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</row>
    <row r="805" spans="1:43">
      <c r="A805" s="15" t="s">
        <v>49</v>
      </c>
      <c r="B805" s="15" t="s">
        <v>50</v>
      </c>
      <c r="C805" s="15" t="s">
        <v>61</v>
      </c>
      <c r="D805" s="15" t="s">
        <v>2215</v>
      </c>
      <c r="E805" s="15" t="s">
        <v>2216</v>
      </c>
      <c r="F805" s="16">
        <v>0</v>
      </c>
      <c r="G805" s="15" t="s">
        <v>2216</v>
      </c>
      <c r="H805" s="15" t="s">
        <v>54</v>
      </c>
      <c r="I805" s="18">
        <v>0</v>
      </c>
      <c r="J805" s="18">
        <v>0</v>
      </c>
      <c r="K805" s="19">
        <v>0</v>
      </c>
      <c r="L805" s="20">
        <v>0</v>
      </c>
      <c r="M805" s="15">
        <v>0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</row>
    <row r="806" spans="1:43">
      <c r="A806" s="15" t="s">
        <v>49</v>
      </c>
      <c r="B806" s="15" t="s">
        <v>50</v>
      </c>
      <c r="C806" s="15" t="s">
        <v>61</v>
      </c>
      <c r="D806" s="15" t="s">
        <v>2217</v>
      </c>
      <c r="E806" s="15" t="s">
        <v>2218</v>
      </c>
      <c r="F806" s="16">
        <v>0</v>
      </c>
      <c r="G806" s="15" t="s">
        <v>2218</v>
      </c>
      <c r="H806" s="15" t="s">
        <v>2219</v>
      </c>
      <c r="I806" s="18">
        <v>0</v>
      </c>
      <c r="J806" s="18">
        <v>0</v>
      </c>
      <c r="K806" s="19">
        <v>0</v>
      </c>
      <c r="L806" s="20">
        <v>0</v>
      </c>
      <c r="M806" s="15">
        <v>0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</row>
    <row r="807" spans="1:43">
      <c r="A807" s="15" t="s">
        <v>43</v>
      </c>
      <c r="B807" s="15" t="s">
        <v>44</v>
      </c>
      <c r="C807" s="15" t="s">
        <v>45</v>
      </c>
      <c r="D807" s="15" t="s">
        <v>2220</v>
      </c>
      <c r="E807" s="15" t="s">
        <v>2221</v>
      </c>
      <c r="F807" s="16">
        <v>42632.3766435185</v>
      </c>
      <c r="G807" s="15" t="s">
        <v>2221</v>
      </c>
      <c r="H807" s="15" t="s">
        <v>2222</v>
      </c>
      <c r="I807" s="18">
        <v>0</v>
      </c>
      <c r="J807" s="18">
        <v>0</v>
      </c>
      <c r="K807" s="19">
        <v>0</v>
      </c>
      <c r="L807" s="20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</row>
    <row r="808" spans="1:43">
      <c r="A808" s="15" t="s">
        <v>64</v>
      </c>
      <c r="B808" s="15" t="s">
        <v>65</v>
      </c>
      <c r="C808" s="15" t="s">
        <v>522</v>
      </c>
      <c r="D808" s="15" t="s">
        <v>2223</v>
      </c>
      <c r="E808" s="15" t="s">
        <v>2224</v>
      </c>
      <c r="F808" s="16">
        <v>44767.4608796296</v>
      </c>
      <c r="G808" s="15" t="s">
        <v>2224</v>
      </c>
      <c r="H808" s="15" t="s">
        <v>2225</v>
      </c>
      <c r="I808" s="18">
        <v>0</v>
      </c>
      <c r="J808" s="18">
        <v>0</v>
      </c>
      <c r="K808" s="19">
        <v>0</v>
      </c>
      <c r="L808" s="20">
        <v>0</v>
      </c>
      <c r="M808" s="15">
        <v>0</v>
      </c>
      <c r="N808" s="15">
        <v>0</v>
      </c>
      <c r="O808" s="15">
        <v>0</v>
      </c>
      <c r="P808" s="15">
        <v>0</v>
      </c>
      <c r="Q808" s="15">
        <v>0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</row>
    <row r="809" spans="1:43">
      <c r="A809" s="15" t="s">
        <v>43</v>
      </c>
      <c r="B809" s="15" t="s">
        <v>44</v>
      </c>
      <c r="C809" s="15" t="s">
        <v>45</v>
      </c>
      <c r="D809" s="15" t="s">
        <v>2226</v>
      </c>
      <c r="E809" s="15" t="s">
        <v>2227</v>
      </c>
      <c r="F809" s="16">
        <v>42185.4180208333</v>
      </c>
      <c r="G809" s="15" t="s">
        <v>2227</v>
      </c>
      <c r="H809" s="15" t="s">
        <v>2228</v>
      </c>
      <c r="I809" s="18">
        <v>0</v>
      </c>
      <c r="J809" s="18">
        <v>0</v>
      </c>
      <c r="K809" s="19">
        <v>0</v>
      </c>
      <c r="L809" s="20">
        <v>0</v>
      </c>
      <c r="M809" s="15">
        <v>0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</row>
    <row r="810" spans="1:43">
      <c r="A810" s="15" t="s">
        <v>43</v>
      </c>
      <c r="B810" s="15" t="s">
        <v>44</v>
      </c>
      <c r="C810" s="15" t="s">
        <v>45</v>
      </c>
      <c r="D810" s="15" t="s">
        <v>2229</v>
      </c>
      <c r="E810" s="15" t="s">
        <v>2230</v>
      </c>
      <c r="F810" s="16">
        <v>43734.4746527778</v>
      </c>
      <c r="G810" s="15" t="s">
        <v>2230</v>
      </c>
      <c r="H810" s="15" t="s">
        <v>2231</v>
      </c>
      <c r="I810" s="18">
        <v>0</v>
      </c>
      <c r="J810" s="18">
        <v>0</v>
      </c>
      <c r="K810" s="19">
        <v>0</v>
      </c>
      <c r="L810" s="20">
        <v>0</v>
      </c>
      <c r="M810" s="15">
        <v>0</v>
      </c>
      <c r="N810" s="15">
        <v>0</v>
      </c>
      <c r="O810" s="15">
        <v>0</v>
      </c>
      <c r="P810" s="15">
        <v>0</v>
      </c>
      <c r="Q810" s="15">
        <v>0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</row>
    <row r="811" spans="1:43">
      <c r="A811" s="15" t="s">
        <v>49</v>
      </c>
      <c r="B811" s="15" t="s">
        <v>50</v>
      </c>
      <c r="C811" s="15" t="s">
        <v>61</v>
      </c>
      <c r="D811" s="15" t="s">
        <v>2232</v>
      </c>
      <c r="E811" s="15" t="s">
        <v>2233</v>
      </c>
      <c r="F811" s="16">
        <v>0</v>
      </c>
      <c r="G811" s="15" t="s">
        <v>2233</v>
      </c>
      <c r="H811" s="15" t="s">
        <v>2234</v>
      </c>
      <c r="I811" s="18">
        <v>0</v>
      </c>
      <c r="J811" s="18">
        <v>0</v>
      </c>
      <c r="K811" s="19">
        <v>0</v>
      </c>
      <c r="L811" s="20">
        <v>0</v>
      </c>
      <c r="M811" s="15">
        <v>0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</row>
    <row r="812" spans="1:43">
      <c r="A812" s="15" t="s">
        <v>49</v>
      </c>
      <c r="B812" s="15" t="s">
        <v>50</v>
      </c>
      <c r="C812" s="15" t="s">
        <v>61</v>
      </c>
      <c r="D812" s="15" t="s">
        <v>2235</v>
      </c>
      <c r="E812" s="15" t="s">
        <v>2236</v>
      </c>
      <c r="F812" s="16">
        <v>0</v>
      </c>
      <c r="G812" s="15" t="s">
        <v>2236</v>
      </c>
      <c r="H812" s="15" t="s">
        <v>2237</v>
      </c>
      <c r="I812" s="18">
        <v>0</v>
      </c>
      <c r="J812" s="18">
        <v>0</v>
      </c>
      <c r="K812" s="19">
        <v>0</v>
      </c>
      <c r="L812" s="20">
        <v>0</v>
      </c>
      <c r="M812" s="15">
        <v>0</v>
      </c>
      <c r="N812" s="15">
        <v>0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</row>
    <row r="813" spans="1:43">
      <c r="A813" s="15" t="s">
        <v>43</v>
      </c>
      <c r="B813" s="15" t="s">
        <v>44</v>
      </c>
      <c r="C813" s="15" t="s">
        <v>228</v>
      </c>
      <c r="D813" s="15" t="s">
        <v>2238</v>
      </c>
      <c r="E813" s="15" t="s">
        <v>2239</v>
      </c>
      <c r="F813" s="16">
        <v>45043.6730439815</v>
      </c>
      <c r="G813" s="15" t="s">
        <v>2239</v>
      </c>
      <c r="H813" s="15" t="s">
        <v>54</v>
      </c>
      <c r="I813" s="18">
        <v>0</v>
      </c>
      <c r="J813" s="18">
        <v>0</v>
      </c>
      <c r="K813" s="19">
        <v>0</v>
      </c>
      <c r="L813" s="20">
        <v>0</v>
      </c>
      <c r="M813" s="15">
        <v>0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</row>
    <row r="814" spans="1:43">
      <c r="A814" s="15" t="s">
        <v>43</v>
      </c>
      <c r="B814" s="15" t="s">
        <v>44</v>
      </c>
      <c r="C814" s="15" t="s">
        <v>45</v>
      </c>
      <c r="D814" s="15" t="s">
        <v>2240</v>
      </c>
      <c r="E814" s="15" t="s">
        <v>2241</v>
      </c>
      <c r="F814" s="16">
        <v>44784.5976851852</v>
      </c>
      <c r="G814" s="15" t="s">
        <v>2241</v>
      </c>
      <c r="H814" s="15" t="s">
        <v>2242</v>
      </c>
      <c r="I814" s="18">
        <v>0</v>
      </c>
      <c r="J814" s="18">
        <v>0</v>
      </c>
      <c r="K814" s="19">
        <v>0</v>
      </c>
      <c r="L814" s="20">
        <v>0</v>
      </c>
      <c r="M814" s="15">
        <v>0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</row>
    <row r="815" spans="1:43">
      <c r="A815" s="15" t="s">
        <v>43</v>
      </c>
      <c r="B815" s="15" t="s">
        <v>44</v>
      </c>
      <c r="C815" s="15" t="s">
        <v>45</v>
      </c>
      <c r="D815" s="15" t="s">
        <v>2243</v>
      </c>
      <c r="E815" s="15" t="s">
        <v>2244</v>
      </c>
      <c r="F815" s="16">
        <v>42367.4013310185</v>
      </c>
      <c r="G815" s="15" t="s">
        <v>2244</v>
      </c>
      <c r="H815" s="15" t="s">
        <v>2245</v>
      </c>
      <c r="I815" s="18">
        <v>0</v>
      </c>
      <c r="J815" s="18">
        <v>0</v>
      </c>
      <c r="K815" s="19">
        <v>0</v>
      </c>
      <c r="L815" s="20">
        <v>0</v>
      </c>
      <c r="M815" s="15">
        <v>0</v>
      </c>
      <c r="N815" s="15">
        <v>0</v>
      </c>
      <c r="O815" s="15">
        <v>0</v>
      </c>
      <c r="P815" s="15">
        <v>0</v>
      </c>
      <c r="Q815" s="15">
        <v>0</v>
      </c>
      <c r="R815" s="15">
        <v>0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</row>
    <row r="816" spans="1:43">
      <c r="A816" s="15" t="s">
        <v>43</v>
      </c>
      <c r="B816" s="15" t="s">
        <v>44</v>
      </c>
      <c r="C816" s="15" t="s">
        <v>45</v>
      </c>
      <c r="D816" s="15" t="s">
        <v>2246</v>
      </c>
      <c r="E816" s="15" t="s">
        <v>2247</v>
      </c>
      <c r="F816" s="16">
        <v>40396.6291782407</v>
      </c>
      <c r="G816" s="15" t="s">
        <v>2247</v>
      </c>
      <c r="H816" s="15" t="s">
        <v>2248</v>
      </c>
      <c r="I816" s="18">
        <v>0</v>
      </c>
      <c r="J816" s="18">
        <v>0</v>
      </c>
      <c r="K816" s="19">
        <v>0</v>
      </c>
      <c r="L816" s="20">
        <v>0</v>
      </c>
      <c r="M816" s="15">
        <v>0</v>
      </c>
      <c r="N816" s="15">
        <v>0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</row>
    <row r="817" spans="1:43">
      <c r="A817" s="15" t="s">
        <v>49</v>
      </c>
      <c r="B817" s="15" t="s">
        <v>50</v>
      </c>
      <c r="C817" s="15" t="s">
        <v>61</v>
      </c>
      <c r="D817" s="15" t="s">
        <v>2249</v>
      </c>
      <c r="E817" s="15" t="s">
        <v>2250</v>
      </c>
      <c r="F817" s="16">
        <v>0</v>
      </c>
      <c r="G817" s="15" t="s">
        <v>2250</v>
      </c>
      <c r="H817" s="15" t="s">
        <v>54</v>
      </c>
      <c r="I817" s="18">
        <v>0</v>
      </c>
      <c r="J817" s="18">
        <v>0</v>
      </c>
      <c r="K817" s="19">
        <v>0</v>
      </c>
      <c r="L817" s="20">
        <v>0</v>
      </c>
      <c r="M817" s="15">
        <v>0</v>
      </c>
      <c r="N817" s="15">
        <v>0</v>
      </c>
      <c r="O817" s="15">
        <v>0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</row>
    <row r="818" spans="1:43">
      <c r="A818" s="15" t="s">
        <v>43</v>
      </c>
      <c r="B818" s="15" t="s">
        <v>44</v>
      </c>
      <c r="C818" s="15" t="s">
        <v>45</v>
      </c>
      <c r="D818" s="15" t="s">
        <v>2251</v>
      </c>
      <c r="E818" s="15" t="s">
        <v>2252</v>
      </c>
      <c r="F818" s="16">
        <v>44403.6101736111</v>
      </c>
      <c r="G818" s="15" t="s">
        <v>2252</v>
      </c>
      <c r="H818" s="15" t="s">
        <v>54</v>
      </c>
      <c r="I818" s="18">
        <v>0</v>
      </c>
      <c r="J818" s="18">
        <v>0</v>
      </c>
      <c r="K818" s="19">
        <v>0</v>
      </c>
      <c r="L818" s="20">
        <v>0</v>
      </c>
      <c r="M818" s="15">
        <v>0</v>
      </c>
      <c r="N818" s="15">
        <v>0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</row>
    <row r="819" spans="1:43">
      <c r="A819" s="15" t="s">
        <v>64</v>
      </c>
      <c r="B819" s="15" t="s">
        <v>118</v>
      </c>
      <c r="C819" s="15" t="s">
        <v>119</v>
      </c>
      <c r="D819" s="15" t="s">
        <v>2253</v>
      </c>
      <c r="E819" s="15" t="s">
        <v>2254</v>
      </c>
      <c r="F819" s="16">
        <v>44932.6230902778</v>
      </c>
      <c r="G819" s="15" t="s">
        <v>2254</v>
      </c>
      <c r="H819" s="15" t="s">
        <v>54</v>
      </c>
      <c r="I819" s="18">
        <v>327.75</v>
      </c>
      <c r="J819" s="18">
        <v>4</v>
      </c>
      <c r="K819" s="19">
        <v>81.9375</v>
      </c>
      <c r="L819" s="20">
        <v>1.17053571428571</v>
      </c>
      <c r="M819" s="15">
        <v>105.59</v>
      </c>
      <c r="N819" s="15">
        <v>100.92</v>
      </c>
      <c r="O819" s="15">
        <v>103.48</v>
      </c>
      <c r="P819" s="15">
        <v>17.76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</row>
    <row r="820" spans="1:43">
      <c r="A820" s="15" t="s">
        <v>49</v>
      </c>
      <c r="B820" s="15" t="s">
        <v>50</v>
      </c>
      <c r="C820" s="15" t="s">
        <v>1300</v>
      </c>
      <c r="D820" s="15" t="s">
        <v>2255</v>
      </c>
      <c r="E820" s="15" t="s">
        <v>1302</v>
      </c>
      <c r="F820" s="16">
        <v>45093.4896064815</v>
      </c>
      <c r="G820" s="15" t="s">
        <v>1302</v>
      </c>
      <c r="H820" s="15" t="s">
        <v>54</v>
      </c>
      <c r="I820" s="18">
        <v>0</v>
      </c>
      <c r="J820" s="18">
        <v>0</v>
      </c>
      <c r="K820" s="19">
        <v>0</v>
      </c>
      <c r="L820" s="20">
        <v>0</v>
      </c>
      <c r="M820" s="15">
        <v>0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</row>
    <row r="821" spans="1:43">
      <c r="A821" s="15" t="s">
        <v>43</v>
      </c>
      <c r="B821" s="15" t="s">
        <v>44</v>
      </c>
      <c r="C821" s="15" t="s">
        <v>45</v>
      </c>
      <c r="D821" s="15" t="s">
        <v>2256</v>
      </c>
      <c r="E821" s="15" t="s">
        <v>2257</v>
      </c>
      <c r="F821" s="16">
        <v>41912.6586226852</v>
      </c>
      <c r="G821" s="15" t="s">
        <v>2257</v>
      </c>
      <c r="H821" s="15" t="s">
        <v>2258</v>
      </c>
      <c r="I821" s="18">
        <v>0</v>
      </c>
      <c r="J821" s="18">
        <v>0</v>
      </c>
      <c r="K821" s="19">
        <v>0</v>
      </c>
      <c r="L821" s="20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</row>
    <row r="822" spans="1:43">
      <c r="A822" s="15" t="s">
        <v>49</v>
      </c>
      <c r="B822" s="15" t="s">
        <v>50</v>
      </c>
      <c r="C822" s="15" t="s">
        <v>61</v>
      </c>
      <c r="D822" s="15" t="s">
        <v>2259</v>
      </c>
      <c r="E822" s="15" t="s">
        <v>2260</v>
      </c>
      <c r="F822" s="16">
        <v>0</v>
      </c>
      <c r="G822" s="15" t="s">
        <v>2260</v>
      </c>
      <c r="H822" s="15" t="s">
        <v>2261</v>
      </c>
      <c r="I822" s="18">
        <v>0</v>
      </c>
      <c r="J822" s="18">
        <v>0</v>
      </c>
      <c r="K822" s="19">
        <v>0</v>
      </c>
      <c r="L822" s="20">
        <v>0</v>
      </c>
      <c r="M822" s="15">
        <v>0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</row>
    <row r="823" spans="1:43">
      <c r="A823" s="15" t="s">
        <v>43</v>
      </c>
      <c r="B823" s="15" t="s">
        <v>44</v>
      </c>
      <c r="C823" s="15" t="s">
        <v>45</v>
      </c>
      <c r="D823" s="15" t="s">
        <v>2262</v>
      </c>
      <c r="E823" s="15" t="s">
        <v>2263</v>
      </c>
      <c r="F823" s="16">
        <v>43997.6360532407</v>
      </c>
      <c r="G823" s="15" t="s">
        <v>2263</v>
      </c>
      <c r="H823" s="15" t="s">
        <v>54</v>
      </c>
      <c r="I823" s="18">
        <v>0</v>
      </c>
      <c r="J823" s="18">
        <v>0</v>
      </c>
      <c r="K823" s="19">
        <v>0</v>
      </c>
      <c r="L823" s="20">
        <v>0</v>
      </c>
      <c r="M823" s="15">
        <v>0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</row>
    <row r="824" spans="1:43">
      <c r="A824" s="15" t="s">
        <v>49</v>
      </c>
      <c r="B824" s="15" t="s">
        <v>50</v>
      </c>
      <c r="C824" s="15" t="s">
        <v>61</v>
      </c>
      <c r="D824" s="15" t="s">
        <v>2264</v>
      </c>
      <c r="E824" s="15" t="s">
        <v>2265</v>
      </c>
      <c r="F824" s="16">
        <v>0</v>
      </c>
      <c r="G824" s="15" t="s">
        <v>2265</v>
      </c>
      <c r="H824" s="15" t="s">
        <v>54</v>
      </c>
      <c r="I824" s="18">
        <v>0</v>
      </c>
      <c r="J824" s="18">
        <v>0</v>
      </c>
      <c r="K824" s="19">
        <v>0</v>
      </c>
      <c r="L824" s="20">
        <v>0</v>
      </c>
      <c r="M824" s="15">
        <v>0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</row>
    <row r="825" spans="1:43">
      <c r="A825" s="15" t="s">
        <v>49</v>
      </c>
      <c r="B825" s="15" t="s">
        <v>50</v>
      </c>
      <c r="C825" s="15" t="s">
        <v>301</v>
      </c>
      <c r="D825" s="15" t="s">
        <v>2266</v>
      </c>
      <c r="E825" s="15" t="s">
        <v>2267</v>
      </c>
      <c r="F825" s="16">
        <v>44691.4144791667</v>
      </c>
      <c r="G825" s="15" t="s">
        <v>2267</v>
      </c>
      <c r="H825" s="15" t="s">
        <v>54</v>
      </c>
      <c r="I825" s="18">
        <v>0</v>
      </c>
      <c r="J825" s="18">
        <v>0</v>
      </c>
      <c r="K825" s="19">
        <v>0</v>
      </c>
      <c r="L825" s="20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</row>
    <row r="826" spans="1:43">
      <c r="A826" s="15" t="s">
        <v>49</v>
      </c>
      <c r="B826" s="15" t="s">
        <v>50</v>
      </c>
      <c r="C826" s="15" t="s">
        <v>61</v>
      </c>
      <c r="D826" s="15" t="s">
        <v>2268</v>
      </c>
      <c r="E826" s="15" t="s">
        <v>2269</v>
      </c>
      <c r="F826" s="16">
        <v>0</v>
      </c>
      <c r="G826" s="15" t="s">
        <v>2269</v>
      </c>
      <c r="H826" s="15" t="s">
        <v>54</v>
      </c>
      <c r="I826" s="18">
        <v>0</v>
      </c>
      <c r="J826" s="18">
        <v>0</v>
      </c>
      <c r="K826" s="19">
        <v>0</v>
      </c>
      <c r="L826" s="20">
        <v>0</v>
      </c>
      <c r="M826" s="15">
        <v>0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</row>
    <row r="827" spans="1:43">
      <c r="A827" s="15" t="s">
        <v>49</v>
      </c>
      <c r="B827" s="15" t="s">
        <v>50</v>
      </c>
      <c r="C827" s="15" t="s">
        <v>61</v>
      </c>
      <c r="D827" s="15" t="s">
        <v>2270</v>
      </c>
      <c r="E827" s="15" t="s">
        <v>2271</v>
      </c>
      <c r="F827" s="16">
        <v>0</v>
      </c>
      <c r="G827" s="15" t="s">
        <v>2271</v>
      </c>
      <c r="H827" s="15" t="s">
        <v>2272</v>
      </c>
      <c r="I827" s="18">
        <v>0</v>
      </c>
      <c r="J827" s="18">
        <v>0</v>
      </c>
      <c r="K827" s="19">
        <v>0</v>
      </c>
      <c r="L827" s="20">
        <v>0</v>
      </c>
      <c r="M827" s="15">
        <v>0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</row>
    <row r="828" spans="1:43">
      <c r="A828" s="15" t="s">
        <v>64</v>
      </c>
      <c r="B828" s="15" t="s">
        <v>65</v>
      </c>
      <c r="C828" s="15" t="s">
        <v>66</v>
      </c>
      <c r="D828" s="15" t="s">
        <v>2273</v>
      </c>
      <c r="E828" s="15" t="s">
        <v>2274</v>
      </c>
      <c r="F828" s="16">
        <v>44915.4449884259</v>
      </c>
      <c r="G828" s="15" t="s">
        <v>2274</v>
      </c>
      <c r="H828" s="15" t="s">
        <v>2275</v>
      </c>
      <c r="I828" s="18">
        <v>0</v>
      </c>
      <c r="J828" s="18">
        <v>0</v>
      </c>
      <c r="K828" s="19">
        <v>0</v>
      </c>
      <c r="L828" s="20">
        <v>0</v>
      </c>
      <c r="M828" s="15">
        <v>0</v>
      </c>
      <c r="N828" s="15">
        <v>0</v>
      </c>
      <c r="O828" s="15">
        <v>0</v>
      </c>
      <c r="P828" s="15">
        <v>0</v>
      </c>
      <c r="Q828" s="15">
        <v>0</v>
      </c>
      <c r="R828" s="15">
        <v>0</v>
      </c>
      <c r="S828" s="15">
        <v>0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</row>
    <row r="829" spans="1:43">
      <c r="A829" s="15" t="s">
        <v>49</v>
      </c>
      <c r="B829" s="15" t="s">
        <v>50</v>
      </c>
      <c r="C829" s="15" t="s">
        <v>61</v>
      </c>
      <c r="D829" s="15" t="s">
        <v>2276</v>
      </c>
      <c r="E829" s="15" t="s">
        <v>2277</v>
      </c>
      <c r="F829" s="16">
        <v>0</v>
      </c>
      <c r="G829" s="15" t="s">
        <v>2277</v>
      </c>
      <c r="H829" s="15" t="s">
        <v>2278</v>
      </c>
      <c r="I829" s="18">
        <v>0</v>
      </c>
      <c r="J829" s="18">
        <v>0</v>
      </c>
      <c r="K829" s="19">
        <v>0</v>
      </c>
      <c r="L829" s="20">
        <v>0</v>
      </c>
      <c r="M829" s="15">
        <v>0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</row>
    <row r="830" spans="1:43">
      <c r="A830" s="15" t="s">
        <v>43</v>
      </c>
      <c r="B830" s="15" t="s">
        <v>44</v>
      </c>
      <c r="C830" s="15" t="s">
        <v>45</v>
      </c>
      <c r="D830" s="15" t="s">
        <v>2279</v>
      </c>
      <c r="E830" s="15" t="s">
        <v>2280</v>
      </c>
      <c r="F830" s="16">
        <v>40731.6802662037</v>
      </c>
      <c r="G830" s="15" t="s">
        <v>2280</v>
      </c>
      <c r="H830" s="15" t="s">
        <v>2281</v>
      </c>
      <c r="I830" s="18">
        <v>0</v>
      </c>
      <c r="J830" s="18">
        <v>0</v>
      </c>
      <c r="K830" s="19">
        <v>0</v>
      </c>
      <c r="L830" s="20">
        <v>0</v>
      </c>
      <c r="M830" s="15">
        <v>0</v>
      </c>
      <c r="N830" s="15">
        <v>0</v>
      </c>
      <c r="O830" s="15">
        <v>0</v>
      </c>
      <c r="P830" s="15">
        <v>0</v>
      </c>
      <c r="Q830" s="15">
        <v>0</v>
      </c>
      <c r="R830" s="15">
        <v>0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</row>
    <row r="831" spans="1:43">
      <c r="A831" s="15" t="s">
        <v>49</v>
      </c>
      <c r="B831" s="15" t="s">
        <v>50</v>
      </c>
      <c r="C831" s="15" t="s">
        <v>61</v>
      </c>
      <c r="D831" s="15" t="s">
        <v>2282</v>
      </c>
      <c r="E831" s="15" t="s">
        <v>2283</v>
      </c>
      <c r="F831" s="16">
        <v>0</v>
      </c>
      <c r="G831" s="15" t="s">
        <v>2283</v>
      </c>
      <c r="H831" s="15" t="s">
        <v>2284</v>
      </c>
      <c r="I831" s="18">
        <v>0</v>
      </c>
      <c r="J831" s="18">
        <v>0</v>
      </c>
      <c r="K831" s="19">
        <v>0</v>
      </c>
      <c r="L831" s="20">
        <v>0</v>
      </c>
      <c r="M831" s="15">
        <v>0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</row>
    <row r="832" spans="1:43">
      <c r="A832" s="15" t="s">
        <v>43</v>
      </c>
      <c r="B832" s="15" t="s">
        <v>44</v>
      </c>
      <c r="C832" s="15" t="s">
        <v>45</v>
      </c>
      <c r="D832" s="15" t="s">
        <v>2285</v>
      </c>
      <c r="E832" s="15" t="s">
        <v>2286</v>
      </c>
      <c r="F832" s="16">
        <v>43373.709537037</v>
      </c>
      <c r="G832" s="15" t="s">
        <v>2286</v>
      </c>
      <c r="H832" s="15" t="s">
        <v>2287</v>
      </c>
      <c r="I832" s="18">
        <v>0</v>
      </c>
      <c r="J832" s="18">
        <v>0</v>
      </c>
      <c r="K832" s="19">
        <v>0</v>
      </c>
      <c r="L832" s="20">
        <v>0</v>
      </c>
      <c r="M832" s="15">
        <v>0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</row>
    <row r="833" spans="1:43">
      <c r="A833" s="15" t="s">
        <v>43</v>
      </c>
      <c r="B833" s="15" t="s">
        <v>44</v>
      </c>
      <c r="C833" s="15" t="s">
        <v>45</v>
      </c>
      <c r="D833" s="15" t="s">
        <v>2288</v>
      </c>
      <c r="E833" s="15" t="s">
        <v>2289</v>
      </c>
      <c r="F833" s="16">
        <v>43675.6226967593</v>
      </c>
      <c r="G833" s="15" t="s">
        <v>2289</v>
      </c>
      <c r="H833" s="15" t="s">
        <v>107</v>
      </c>
      <c r="I833" s="18">
        <v>0</v>
      </c>
      <c r="J833" s="18">
        <v>0</v>
      </c>
      <c r="K833" s="19">
        <v>0</v>
      </c>
      <c r="L833" s="20">
        <v>0</v>
      </c>
      <c r="M833" s="15">
        <v>0</v>
      </c>
      <c r="N833" s="15">
        <v>0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</row>
    <row r="834" spans="1:43">
      <c r="A834" s="15" t="s">
        <v>49</v>
      </c>
      <c r="B834" s="15" t="s">
        <v>50</v>
      </c>
      <c r="C834" s="15" t="s">
        <v>61</v>
      </c>
      <c r="D834" s="15" t="s">
        <v>2290</v>
      </c>
      <c r="E834" s="15" t="s">
        <v>2021</v>
      </c>
      <c r="F834" s="16">
        <v>0</v>
      </c>
      <c r="G834" s="15" t="s">
        <v>2021</v>
      </c>
      <c r="H834" s="15" t="s">
        <v>2291</v>
      </c>
      <c r="I834" s="18">
        <v>0</v>
      </c>
      <c r="J834" s="18">
        <v>0</v>
      </c>
      <c r="K834" s="19">
        <v>0</v>
      </c>
      <c r="L834" s="20">
        <v>0</v>
      </c>
      <c r="M834" s="15">
        <v>0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</row>
    <row r="835" spans="1:43">
      <c r="A835" s="15" t="s">
        <v>43</v>
      </c>
      <c r="B835" s="15" t="s">
        <v>44</v>
      </c>
      <c r="C835" s="15" t="s">
        <v>45</v>
      </c>
      <c r="D835" s="15" t="s">
        <v>2292</v>
      </c>
      <c r="E835" s="15" t="s">
        <v>2293</v>
      </c>
      <c r="F835" s="16">
        <v>42816.6972337963</v>
      </c>
      <c r="G835" s="15" t="s">
        <v>2293</v>
      </c>
      <c r="H835" s="15" t="s">
        <v>2294</v>
      </c>
      <c r="I835" s="18">
        <v>0</v>
      </c>
      <c r="J835" s="18">
        <v>0</v>
      </c>
      <c r="K835" s="19">
        <v>0</v>
      </c>
      <c r="L835" s="20">
        <v>0</v>
      </c>
      <c r="M835" s="15">
        <v>0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</row>
    <row r="836" spans="1:43">
      <c r="A836" s="15" t="s">
        <v>43</v>
      </c>
      <c r="B836" s="15" t="s">
        <v>44</v>
      </c>
      <c r="C836" s="15" t="s">
        <v>45</v>
      </c>
      <c r="D836" s="15" t="s">
        <v>2295</v>
      </c>
      <c r="E836" s="15" t="s">
        <v>2296</v>
      </c>
      <c r="F836" s="16">
        <v>41907.3721643519</v>
      </c>
      <c r="G836" s="15" t="s">
        <v>2296</v>
      </c>
      <c r="H836" s="15" t="s">
        <v>2297</v>
      </c>
      <c r="I836" s="18">
        <v>0</v>
      </c>
      <c r="J836" s="18">
        <v>0</v>
      </c>
      <c r="K836" s="19">
        <v>0</v>
      </c>
      <c r="L836" s="20">
        <v>0</v>
      </c>
      <c r="M836" s="15">
        <v>0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</row>
    <row r="837" spans="1:43">
      <c r="A837" s="15" t="s">
        <v>64</v>
      </c>
      <c r="B837" s="15" t="s">
        <v>118</v>
      </c>
      <c r="C837" s="15" t="s">
        <v>131</v>
      </c>
      <c r="D837" s="15" t="s">
        <v>2298</v>
      </c>
      <c r="E837" s="15" t="s">
        <v>2299</v>
      </c>
      <c r="F837" s="16">
        <v>44614.3998032407</v>
      </c>
      <c r="G837" s="15" t="s">
        <v>2299</v>
      </c>
      <c r="H837" s="15" t="s">
        <v>54</v>
      </c>
      <c r="I837" s="18">
        <v>0</v>
      </c>
      <c r="J837" s="18">
        <v>0</v>
      </c>
      <c r="K837" s="19">
        <v>0</v>
      </c>
      <c r="L837" s="20">
        <v>0</v>
      </c>
      <c r="M837" s="15">
        <v>0</v>
      </c>
      <c r="N837" s="15">
        <v>0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15">
        <v>0</v>
      </c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</row>
    <row r="838" spans="1:43">
      <c r="A838" s="15" t="s">
        <v>43</v>
      </c>
      <c r="B838" s="15" t="s">
        <v>44</v>
      </c>
      <c r="C838" s="15" t="s">
        <v>45</v>
      </c>
      <c r="D838" s="15" t="s">
        <v>2300</v>
      </c>
      <c r="E838" s="15" t="s">
        <v>2301</v>
      </c>
      <c r="F838" s="16">
        <v>41475.5068171296</v>
      </c>
      <c r="G838" s="15" t="s">
        <v>2301</v>
      </c>
      <c r="H838" s="15" t="s">
        <v>2302</v>
      </c>
      <c r="I838" s="18">
        <v>0</v>
      </c>
      <c r="J838" s="18">
        <v>0</v>
      </c>
      <c r="K838" s="19">
        <v>0</v>
      </c>
      <c r="L838" s="20">
        <v>0</v>
      </c>
      <c r="M838" s="15">
        <v>0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</row>
    <row r="839" spans="1:43">
      <c r="A839" s="15" t="s">
        <v>64</v>
      </c>
      <c r="B839" s="15" t="s">
        <v>65</v>
      </c>
      <c r="C839" s="15" t="s">
        <v>78</v>
      </c>
      <c r="D839" s="15" t="s">
        <v>2303</v>
      </c>
      <c r="E839" s="15" t="s">
        <v>2304</v>
      </c>
      <c r="F839" s="16">
        <v>44984.6835763889</v>
      </c>
      <c r="G839" s="15" t="s">
        <v>2304</v>
      </c>
      <c r="H839" s="15" t="s">
        <v>2305</v>
      </c>
      <c r="I839" s="18">
        <v>482.6</v>
      </c>
      <c r="J839" s="18">
        <v>12</v>
      </c>
      <c r="K839" s="19">
        <v>40.2166666666667</v>
      </c>
      <c r="L839" s="20">
        <v>0.574523809523809</v>
      </c>
      <c r="M839" s="15">
        <v>271.63</v>
      </c>
      <c r="N839" s="15">
        <v>156.91</v>
      </c>
      <c r="O839" s="15">
        <v>0.91</v>
      </c>
      <c r="P839" s="15">
        <v>1.24</v>
      </c>
      <c r="Q839" s="15">
        <v>1.36</v>
      </c>
      <c r="R839" s="15">
        <v>0</v>
      </c>
      <c r="S839" s="15">
        <v>0.96</v>
      </c>
      <c r="T839" s="15">
        <v>0.45</v>
      </c>
      <c r="U839" s="15">
        <v>11.38</v>
      </c>
      <c r="V839" s="15">
        <v>22.57</v>
      </c>
      <c r="W839" s="15">
        <v>0.5</v>
      </c>
      <c r="X839" s="15">
        <v>0.44</v>
      </c>
      <c r="Y839" s="15">
        <v>0</v>
      </c>
      <c r="Z839" s="15">
        <v>14.25</v>
      </c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</row>
    <row r="840" spans="1:43">
      <c r="A840" s="15" t="s">
        <v>43</v>
      </c>
      <c r="B840" s="15" t="s">
        <v>44</v>
      </c>
      <c r="C840" s="15" t="s">
        <v>45</v>
      </c>
      <c r="D840" s="15" t="s">
        <v>2306</v>
      </c>
      <c r="E840" s="15" t="s">
        <v>2307</v>
      </c>
      <c r="F840" s="16">
        <v>43432.6676388889</v>
      </c>
      <c r="G840" s="15" t="s">
        <v>2307</v>
      </c>
      <c r="H840" s="15" t="s">
        <v>2308</v>
      </c>
      <c r="I840" s="18">
        <v>0</v>
      </c>
      <c r="J840" s="18">
        <v>0</v>
      </c>
      <c r="K840" s="19">
        <v>0</v>
      </c>
      <c r="L840" s="20">
        <v>0</v>
      </c>
      <c r="M840" s="15">
        <v>0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</row>
    <row r="841" spans="1:43">
      <c r="A841" s="15" t="s">
        <v>49</v>
      </c>
      <c r="B841" s="15" t="s">
        <v>50</v>
      </c>
      <c r="C841" s="15" t="s">
        <v>61</v>
      </c>
      <c r="D841" s="15" t="s">
        <v>2309</v>
      </c>
      <c r="E841" s="15" t="s">
        <v>2310</v>
      </c>
      <c r="F841" s="16">
        <v>0</v>
      </c>
      <c r="G841" s="15" t="s">
        <v>2310</v>
      </c>
      <c r="H841" s="15" t="s">
        <v>2311</v>
      </c>
      <c r="I841" s="18">
        <v>0</v>
      </c>
      <c r="J841" s="18">
        <v>0</v>
      </c>
      <c r="K841" s="19">
        <v>0</v>
      </c>
      <c r="L841" s="20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</v>
      </c>
      <c r="R841" s="15">
        <v>0</v>
      </c>
      <c r="S841" s="15">
        <v>0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</row>
    <row r="842" spans="1:43">
      <c r="A842" s="15" t="s">
        <v>43</v>
      </c>
      <c r="B842" s="15" t="s">
        <v>44</v>
      </c>
      <c r="C842" s="15" t="s">
        <v>45</v>
      </c>
      <c r="D842" s="15" t="s">
        <v>2312</v>
      </c>
      <c r="E842" s="15" t="s">
        <v>2313</v>
      </c>
      <c r="F842" s="16">
        <v>41431.44125</v>
      </c>
      <c r="G842" s="15" t="s">
        <v>2313</v>
      </c>
      <c r="H842" s="15" t="s">
        <v>2314</v>
      </c>
      <c r="I842" s="18">
        <v>0</v>
      </c>
      <c r="J842" s="18">
        <v>0</v>
      </c>
      <c r="K842" s="19">
        <v>0</v>
      </c>
      <c r="L842" s="20">
        <v>0</v>
      </c>
      <c r="M842" s="15">
        <v>0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</row>
    <row r="843" spans="1:43">
      <c r="A843" s="15" t="s">
        <v>49</v>
      </c>
      <c r="B843" s="15" t="s">
        <v>50</v>
      </c>
      <c r="C843" s="15" t="s">
        <v>51</v>
      </c>
      <c r="D843" s="15" t="s">
        <v>2315</v>
      </c>
      <c r="E843" s="15" t="s">
        <v>622</v>
      </c>
      <c r="F843" s="16">
        <v>45057.7073032407</v>
      </c>
      <c r="G843" s="15" t="s">
        <v>622</v>
      </c>
      <c r="H843" s="15" t="s">
        <v>2316</v>
      </c>
      <c r="I843" s="18">
        <v>2205.8</v>
      </c>
      <c r="J843" s="18">
        <v>14</v>
      </c>
      <c r="K843" s="19">
        <v>157.557142857143</v>
      </c>
      <c r="L843" s="20">
        <v>3.15114285714286</v>
      </c>
      <c r="M843" s="15">
        <v>185.06</v>
      </c>
      <c r="N843" s="15">
        <v>150.73</v>
      </c>
      <c r="O843" s="15">
        <v>174.73</v>
      </c>
      <c r="P843" s="15">
        <v>198.05</v>
      </c>
      <c r="Q843" s="15">
        <v>197.68</v>
      </c>
      <c r="R843" s="15">
        <v>267.82</v>
      </c>
      <c r="S843" s="15">
        <v>150.1</v>
      </c>
      <c r="T843" s="15">
        <v>153.07</v>
      </c>
      <c r="U843" s="15">
        <v>167.65</v>
      </c>
      <c r="V843" s="15">
        <v>150.06</v>
      </c>
      <c r="W843" s="15">
        <v>152.22</v>
      </c>
      <c r="X843" s="15">
        <v>145.25</v>
      </c>
      <c r="Y843" s="15">
        <v>104.38</v>
      </c>
      <c r="Z843" s="15">
        <v>9</v>
      </c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</row>
    <row r="844" spans="1:43">
      <c r="A844" s="15" t="s">
        <v>49</v>
      </c>
      <c r="B844" s="15" t="s">
        <v>50</v>
      </c>
      <c r="C844" s="15" t="s">
        <v>61</v>
      </c>
      <c r="D844" s="15" t="s">
        <v>2317</v>
      </c>
      <c r="E844" s="15" t="s">
        <v>2318</v>
      </c>
      <c r="F844" s="16">
        <v>0</v>
      </c>
      <c r="G844" s="15" t="s">
        <v>2318</v>
      </c>
      <c r="H844" s="15" t="s">
        <v>2319</v>
      </c>
      <c r="I844" s="18">
        <v>0</v>
      </c>
      <c r="J844" s="18">
        <v>0</v>
      </c>
      <c r="K844" s="19">
        <v>0</v>
      </c>
      <c r="L844" s="20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</row>
    <row r="845" spans="1:43">
      <c r="A845" s="15" t="s">
        <v>49</v>
      </c>
      <c r="B845" s="15" t="s">
        <v>50</v>
      </c>
      <c r="C845" s="15" t="s">
        <v>61</v>
      </c>
      <c r="D845" s="15" t="s">
        <v>2320</v>
      </c>
      <c r="E845" s="15" t="s">
        <v>2321</v>
      </c>
      <c r="F845" s="16">
        <v>0</v>
      </c>
      <c r="G845" s="15" t="s">
        <v>2321</v>
      </c>
      <c r="H845" s="15" t="s">
        <v>2322</v>
      </c>
      <c r="I845" s="18">
        <v>0</v>
      </c>
      <c r="J845" s="18">
        <v>0</v>
      </c>
      <c r="K845" s="19">
        <v>0</v>
      </c>
      <c r="L845" s="20">
        <v>0</v>
      </c>
      <c r="M845" s="15">
        <v>0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0</v>
      </c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</row>
    <row r="846" spans="1:43">
      <c r="A846" s="15" t="s">
        <v>43</v>
      </c>
      <c r="B846" s="15" t="s">
        <v>44</v>
      </c>
      <c r="C846" s="15" t="s">
        <v>45</v>
      </c>
      <c r="D846" s="15" t="s">
        <v>2323</v>
      </c>
      <c r="E846" s="15" t="s">
        <v>2324</v>
      </c>
      <c r="F846" s="16">
        <v>44135.4640856481</v>
      </c>
      <c r="G846" s="15" t="s">
        <v>2324</v>
      </c>
      <c r="H846" s="15" t="s">
        <v>54</v>
      </c>
      <c r="I846" s="18">
        <v>0</v>
      </c>
      <c r="J846" s="18">
        <v>0</v>
      </c>
      <c r="K846" s="19">
        <v>0</v>
      </c>
      <c r="L846" s="20">
        <v>0</v>
      </c>
      <c r="M846" s="15">
        <v>0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0</v>
      </c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</row>
    <row r="847" spans="1:43">
      <c r="A847" s="15" t="s">
        <v>43</v>
      </c>
      <c r="B847" s="15" t="s">
        <v>44</v>
      </c>
      <c r="C847" s="15" t="s">
        <v>228</v>
      </c>
      <c r="D847" s="15" t="s">
        <v>2325</v>
      </c>
      <c r="E847" s="15" t="s">
        <v>2326</v>
      </c>
      <c r="F847" s="16">
        <v>44872.6142361111</v>
      </c>
      <c r="G847" s="15" t="s">
        <v>2326</v>
      </c>
      <c r="H847" s="15" t="s">
        <v>54</v>
      </c>
      <c r="I847" s="18">
        <v>0</v>
      </c>
      <c r="J847" s="18">
        <v>0</v>
      </c>
      <c r="K847" s="19">
        <v>0</v>
      </c>
      <c r="L847" s="20">
        <v>0</v>
      </c>
      <c r="M847" s="15">
        <v>0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</row>
    <row r="848" spans="1:43">
      <c r="A848" s="15" t="s">
        <v>43</v>
      </c>
      <c r="B848" s="15" t="s">
        <v>44</v>
      </c>
      <c r="C848" s="15" t="s">
        <v>45</v>
      </c>
      <c r="D848" s="15" t="s">
        <v>2327</v>
      </c>
      <c r="E848" s="15" t="s">
        <v>2328</v>
      </c>
      <c r="F848" s="16">
        <v>43035.6026967593</v>
      </c>
      <c r="G848" s="15" t="s">
        <v>2328</v>
      </c>
      <c r="H848" s="15" t="s">
        <v>2329</v>
      </c>
      <c r="I848" s="18">
        <v>0</v>
      </c>
      <c r="J848" s="18">
        <v>0</v>
      </c>
      <c r="K848" s="19">
        <v>0</v>
      </c>
      <c r="L848" s="20">
        <v>0</v>
      </c>
      <c r="M848" s="15">
        <v>0</v>
      </c>
      <c r="N848" s="15">
        <v>0</v>
      </c>
      <c r="O848" s="15">
        <v>0</v>
      </c>
      <c r="P848" s="15">
        <v>0</v>
      </c>
      <c r="Q848" s="15">
        <v>0</v>
      </c>
      <c r="R848" s="15">
        <v>0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</row>
    <row r="849" spans="1:43">
      <c r="A849" s="15" t="s">
        <v>43</v>
      </c>
      <c r="B849" s="15" t="s">
        <v>44</v>
      </c>
      <c r="C849" s="15" t="s">
        <v>45</v>
      </c>
      <c r="D849" s="15" t="s">
        <v>2330</v>
      </c>
      <c r="E849" s="15" t="s">
        <v>2331</v>
      </c>
      <c r="F849" s="16">
        <v>44217.6656365741</v>
      </c>
      <c r="G849" s="15" t="s">
        <v>2331</v>
      </c>
      <c r="H849" s="15" t="s">
        <v>54</v>
      </c>
      <c r="I849" s="18">
        <v>0</v>
      </c>
      <c r="J849" s="18">
        <v>0</v>
      </c>
      <c r="K849" s="19">
        <v>0</v>
      </c>
      <c r="L849" s="20">
        <v>0</v>
      </c>
      <c r="M849" s="15">
        <v>0</v>
      </c>
      <c r="N849" s="15">
        <v>0</v>
      </c>
      <c r="O849" s="15">
        <v>0</v>
      </c>
      <c r="P849" s="15">
        <v>0</v>
      </c>
      <c r="Q849" s="15">
        <v>0</v>
      </c>
      <c r="R849" s="15">
        <v>0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</row>
    <row r="850" spans="1:43">
      <c r="A850" s="15" t="s">
        <v>49</v>
      </c>
      <c r="B850" s="15" t="s">
        <v>50</v>
      </c>
      <c r="C850" s="15" t="s">
        <v>61</v>
      </c>
      <c r="D850" s="15" t="s">
        <v>2332</v>
      </c>
      <c r="E850" s="15" t="s">
        <v>2333</v>
      </c>
      <c r="F850" s="16">
        <v>0</v>
      </c>
      <c r="G850" s="15" t="s">
        <v>2333</v>
      </c>
      <c r="H850" s="15" t="s">
        <v>2334</v>
      </c>
      <c r="I850" s="18">
        <v>0</v>
      </c>
      <c r="J850" s="18">
        <v>0</v>
      </c>
      <c r="K850" s="19">
        <v>0</v>
      </c>
      <c r="L850" s="20">
        <v>0</v>
      </c>
      <c r="M850" s="15">
        <v>0</v>
      </c>
      <c r="N850" s="15">
        <v>0</v>
      </c>
      <c r="O850" s="15">
        <v>0</v>
      </c>
      <c r="P850" s="15">
        <v>0</v>
      </c>
      <c r="Q850" s="15">
        <v>0</v>
      </c>
      <c r="R850" s="15">
        <v>0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</row>
    <row r="851" spans="1:43">
      <c r="A851" s="15" t="s">
        <v>49</v>
      </c>
      <c r="B851" s="15" t="s">
        <v>50</v>
      </c>
      <c r="C851" s="15" t="s">
        <v>61</v>
      </c>
      <c r="D851" s="15" t="s">
        <v>2335</v>
      </c>
      <c r="E851" s="15" t="s">
        <v>2336</v>
      </c>
      <c r="F851" s="16">
        <v>0</v>
      </c>
      <c r="G851" s="15" t="s">
        <v>2336</v>
      </c>
      <c r="H851" s="15" t="s">
        <v>54</v>
      </c>
      <c r="I851" s="18">
        <v>0</v>
      </c>
      <c r="J851" s="18">
        <v>0</v>
      </c>
      <c r="K851" s="19">
        <v>0</v>
      </c>
      <c r="L851" s="20">
        <v>0</v>
      </c>
      <c r="M851" s="15">
        <v>0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15">
        <v>0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</row>
    <row r="852" spans="1:43">
      <c r="A852" s="15" t="s">
        <v>49</v>
      </c>
      <c r="B852" s="15" t="s">
        <v>50</v>
      </c>
      <c r="C852" s="15" t="s">
        <v>75</v>
      </c>
      <c r="D852" s="15" t="s">
        <v>2337</v>
      </c>
      <c r="E852" s="15" t="s">
        <v>2338</v>
      </c>
      <c r="F852" s="16">
        <v>44627.3669907407</v>
      </c>
      <c r="G852" s="15" t="s">
        <v>2338</v>
      </c>
      <c r="H852" s="15" t="s">
        <v>54</v>
      </c>
      <c r="I852" s="18">
        <v>0</v>
      </c>
      <c r="J852" s="18">
        <v>0</v>
      </c>
      <c r="K852" s="19">
        <v>0</v>
      </c>
      <c r="L852" s="20">
        <v>0</v>
      </c>
      <c r="M852" s="15">
        <v>0</v>
      </c>
      <c r="N852" s="15">
        <v>0</v>
      </c>
      <c r="O852" s="15">
        <v>0</v>
      </c>
      <c r="P852" s="15">
        <v>0</v>
      </c>
      <c r="Q852" s="15">
        <v>0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</row>
    <row r="853" spans="1:43">
      <c r="A853" s="15" t="s">
        <v>43</v>
      </c>
      <c r="B853" s="15" t="s">
        <v>44</v>
      </c>
      <c r="C853" s="15" t="s">
        <v>45</v>
      </c>
      <c r="D853" s="15" t="s">
        <v>2339</v>
      </c>
      <c r="E853" s="15" t="s">
        <v>2340</v>
      </c>
      <c r="F853" s="16">
        <v>43997.6721990741</v>
      </c>
      <c r="G853" s="15" t="s">
        <v>2340</v>
      </c>
      <c r="H853" s="15" t="s">
        <v>54</v>
      </c>
      <c r="I853" s="18">
        <v>0</v>
      </c>
      <c r="J853" s="18">
        <v>0</v>
      </c>
      <c r="K853" s="19">
        <v>0</v>
      </c>
      <c r="L853" s="20">
        <v>0</v>
      </c>
      <c r="M853" s="15">
        <v>0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</row>
    <row r="854" spans="1:43">
      <c r="A854" s="15" t="s">
        <v>43</v>
      </c>
      <c r="B854" s="15" t="s">
        <v>44</v>
      </c>
      <c r="C854" s="15" t="s">
        <v>45</v>
      </c>
      <c r="D854" s="15" t="s">
        <v>2341</v>
      </c>
      <c r="E854" s="15" t="s">
        <v>2342</v>
      </c>
      <c r="F854" s="16">
        <v>42751.718287037</v>
      </c>
      <c r="G854" s="15" t="s">
        <v>2342</v>
      </c>
      <c r="H854" s="15" t="s">
        <v>2343</v>
      </c>
      <c r="I854" s="18">
        <v>0</v>
      </c>
      <c r="J854" s="18">
        <v>0</v>
      </c>
      <c r="K854" s="19">
        <v>0</v>
      </c>
      <c r="L854" s="20">
        <v>0</v>
      </c>
      <c r="M854" s="15">
        <v>0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</row>
    <row r="855" spans="1:43">
      <c r="A855" s="15" t="s">
        <v>43</v>
      </c>
      <c r="B855" s="15" t="s">
        <v>44</v>
      </c>
      <c r="C855" s="15" t="s">
        <v>228</v>
      </c>
      <c r="D855" s="15" t="s">
        <v>2344</v>
      </c>
      <c r="E855" s="15" t="s">
        <v>2345</v>
      </c>
      <c r="F855" s="16">
        <v>44791.4628587963</v>
      </c>
      <c r="G855" s="15" t="s">
        <v>2345</v>
      </c>
      <c r="H855" s="15" t="s">
        <v>54</v>
      </c>
      <c r="I855" s="18">
        <v>0</v>
      </c>
      <c r="J855" s="18">
        <v>0</v>
      </c>
      <c r="K855" s="19">
        <v>0</v>
      </c>
      <c r="L855" s="20">
        <v>0</v>
      </c>
      <c r="M855" s="15">
        <v>0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15">
        <v>0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0</v>
      </c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</row>
    <row r="856" spans="1:43">
      <c r="A856" s="15" t="s">
        <v>43</v>
      </c>
      <c r="B856" s="15" t="s">
        <v>44</v>
      </c>
      <c r="C856" s="15" t="s">
        <v>45</v>
      </c>
      <c r="D856" s="15" t="s">
        <v>2346</v>
      </c>
      <c r="E856" s="15" t="s">
        <v>2347</v>
      </c>
      <c r="F856" s="16">
        <v>42216.4591550926</v>
      </c>
      <c r="G856" s="15" t="s">
        <v>2347</v>
      </c>
      <c r="H856" s="15" t="s">
        <v>2348</v>
      </c>
      <c r="I856" s="18">
        <v>0</v>
      </c>
      <c r="J856" s="18">
        <v>0</v>
      </c>
      <c r="K856" s="19">
        <v>0</v>
      </c>
      <c r="L856" s="20">
        <v>0</v>
      </c>
      <c r="M856" s="15">
        <v>0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</row>
    <row r="857" spans="1:43">
      <c r="A857" s="15" t="s">
        <v>49</v>
      </c>
      <c r="B857" s="15" t="s">
        <v>50</v>
      </c>
      <c r="C857" s="15" t="s">
        <v>61</v>
      </c>
      <c r="D857" s="15" t="s">
        <v>2349</v>
      </c>
      <c r="E857" s="15" t="s">
        <v>2350</v>
      </c>
      <c r="F857" s="16">
        <v>0</v>
      </c>
      <c r="G857" s="15" t="s">
        <v>2350</v>
      </c>
      <c r="H857" s="15" t="s">
        <v>2351</v>
      </c>
      <c r="I857" s="18">
        <v>0</v>
      </c>
      <c r="J857" s="18">
        <v>0</v>
      </c>
      <c r="K857" s="19">
        <v>0</v>
      </c>
      <c r="L857" s="20">
        <v>0</v>
      </c>
      <c r="M857" s="15">
        <v>0</v>
      </c>
      <c r="N857" s="15">
        <v>0</v>
      </c>
      <c r="O857" s="15">
        <v>0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</row>
    <row r="858" spans="1:43">
      <c r="A858" s="15" t="s">
        <v>49</v>
      </c>
      <c r="B858" s="15" t="s">
        <v>50</v>
      </c>
      <c r="C858" s="15" t="s">
        <v>61</v>
      </c>
      <c r="D858" s="15" t="s">
        <v>2352</v>
      </c>
      <c r="E858" s="15" t="s">
        <v>2353</v>
      </c>
      <c r="F858" s="16">
        <v>0</v>
      </c>
      <c r="G858" s="15" t="s">
        <v>2353</v>
      </c>
      <c r="H858" s="15" t="s">
        <v>2354</v>
      </c>
      <c r="I858" s="18">
        <v>0</v>
      </c>
      <c r="J858" s="18">
        <v>0</v>
      </c>
      <c r="K858" s="19">
        <v>0</v>
      </c>
      <c r="L858" s="20">
        <v>0</v>
      </c>
      <c r="M858" s="15">
        <v>0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</row>
    <row r="859" spans="1:43">
      <c r="A859" s="15" t="s">
        <v>49</v>
      </c>
      <c r="B859" s="15" t="s">
        <v>50</v>
      </c>
      <c r="C859" s="15" t="s">
        <v>61</v>
      </c>
      <c r="D859" s="15" t="s">
        <v>2355</v>
      </c>
      <c r="E859" s="15" t="s">
        <v>2356</v>
      </c>
      <c r="F859" s="16">
        <v>0</v>
      </c>
      <c r="G859" s="15" t="s">
        <v>2356</v>
      </c>
      <c r="H859" s="15" t="s">
        <v>54</v>
      </c>
      <c r="I859" s="18">
        <v>0</v>
      </c>
      <c r="J859" s="18">
        <v>0</v>
      </c>
      <c r="K859" s="19">
        <v>0</v>
      </c>
      <c r="L859" s="20">
        <v>0</v>
      </c>
      <c r="M859" s="15">
        <v>0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</row>
    <row r="860" spans="1:43">
      <c r="A860" s="15" t="s">
        <v>43</v>
      </c>
      <c r="B860" s="15" t="s">
        <v>44</v>
      </c>
      <c r="C860" s="15" t="s">
        <v>45</v>
      </c>
      <c r="D860" s="15" t="s">
        <v>2357</v>
      </c>
      <c r="E860" s="15" t="s">
        <v>2358</v>
      </c>
      <c r="F860" s="16">
        <v>41535.4457407407</v>
      </c>
      <c r="G860" s="15" t="s">
        <v>2358</v>
      </c>
      <c r="H860" s="15" t="s">
        <v>2359</v>
      </c>
      <c r="I860" s="18">
        <v>0</v>
      </c>
      <c r="J860" s="18">
        <v>0</v>
      </c>
      <c r="K860" s="19">
        <v>0</v>
      </c>
      <c r="L860" s="20">
        <v>0</v>
      </c>
      <c r="M860" s="15">
        <v>0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</row>
    <row r="861" spans="1:43">
      <c r="A861" s="15" t="s">
        <v>49</v>
      </c>
      <c r="B861" s="15" t="s">
        <v>50</v>
      </c>
      <c r="C861" s="15" t="s">
        <v>61</v>
      </c>
      <c r="D861" s="15" t="s">
        <v>2360</v>
      </c>
      <c r="E861" s="15" t="s">
        <v>2361</v>
      </c>
      <c r="F861" s="16">
        <v>0</v>
      </c>
      <c r="G861" s="15" t="s">
        <v>2361</v>
      </c>
      <c r="H861" s="15" t="s">
        <v>2362</v>
      </c>
      <c r="I861" s="18">
        <v>0</v>
      </c>
      <c r="J861" s="18">
        <v>0</v>
      </c>
      <c r="K861" s="19">
        <v>0</v>
      </c>
      <c r="L861" s="20">
        <v>0</v>
      </c>
      <c r="M861" s="15">
        <v>0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</row>
    <row r="862" spans="1:43">
      <c r="A862" s="15" t="s">
        <v>43</v>
      </c>
      <c r="B862" s="15" t="s">
        <v>44</v>
      </c>
      <c r="C862" s="15" t="s">
        <v>45</v>
      </c>
      <c r="D862" s="15" t="s">
        <v>2363</v>
      </c>
      <c r="E862" s="15" t="s">
        <v>2364</v>
      </c>
      <c r="F862" s="16">
        <v>42908.6873032407</v>
      </c>
      <c r="G862" s="15" t="s">
        <v>2364</v>
      </c>
      <c r="H862" s="15" t="s">
        <v>2365</v>
      </c>
      <c r="I862" s="18">
        <v>0</v>
      </c>
      <c r="J862" s="18">
        <v>0</v>
      </c>
      <c r="K862" s="19">
        <v>0</v>
      </c>
      <c r="L862" s="20">
        <v>0</v>
      </c>
      <c r="M862" s="15">
        <v>0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</row>
    <row r="863" spans="1:43">
      <c r="A863" s="15" t="s">
        <v>43</v>
      </c>
      <c r="B863" s="15" t="s">
        <v>44</v>
      </c>
      <c r="C863" s="15" t="s">
        <v>228</v>
      </c>
      <c r="D863" s="15" t="s">
        <v>2366</v>
      </c>
      <c r="E863" s="15" t="s">
        <v>2367</v>
      </c>
      <c r="F863" s="16">
        <v>44672.6484490741</v>
      </c>
      <c r="G863" s="15" t="s">
        <v>2367</v>
      </c>
      <c r="H863" s="15" t="s">
        <v>2368</v>
      </c>
      <c r="I863" s="18">
        <v>0</v>
      </c>
      <c r="J863" s="18">
        <v>0</v>
      </c>
      <c r="K863" s="19">
        <v>0</v>
      </c>
      <c r="L863" s="20">
        <v>0</v>
      </c>
      <c r="M863" s="15">
        <v>0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</row>
    <row r="864" spans="1:43">
      <c r="A864" s="15" t="s">
        <v>49</v>
      </c>
      <c r="B864" s="15" t="s">
        <v>50</v>
      </c>
      <c r="C864" s="15" t="s">
        <v>61</v>
      </c>
      <c r="D864" s="15" t="s">
        <v>2369</v>
      </c>
      <c r="E864" s="15" t="s">
        <v>2370</v>
      </c>
      <c r="F864" s="16">
        <v>0</v>
      </c>
      <c r="G864" s="15" t="s">
        <v>2370</v>
      </c>
      <c r="H864" s="15" t="s">
        <v>2371</v>
      </c>
      <c r="I864" s="18">
        <v>0</v>
      </c>
      <c r="J864" s="18">
        <v>0</v>
      </c>
      <c r="K864" s="19">
        <v>0</v>
      </c>
      <c r="L864" s="20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</row>
    <row r="865" spans="1:43">
      <c r="A865" s="15" t="s">
        <v>49</v>
      </c>
      <c r="B865" s="15" t="s">
        <v>50</v>
      </c>
      <c r="C865" s="15" t="s">
        <v>61</v>
      </c>
      <c r="D865" s="15" t="s">
        <v>2372</v>
      </c>
      <c r="E865" s="15" t="s">
        <v>649</v>
      </c>
      <c r="F865" s="16">
        <v>0</v>
      </c>
      <c r="G865" s="15" t="s">
        <v>649</v>
      </c>
      <c r="H865" s="15" t="s">
        <v>54</v>
      </c>
      <c r="I865" s="18">
        <v>0</v>
      </c>
      <c r="J865" s="18">
        <v>0</v>
      </c>
      <c r="K865" s="19">
        <v>0</v>
      </c>
      <c r="L865" s="20">
        <v>0</v>
      </c>
      <c r="M865" s="15">
        <v>0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</row>
    <row r="866" spans="1:43">
      <c r="A866" s="15" t="s">
        <v>43</v>
      </c>
      <c r="B866" s="15" t="s">
        <v>44</v>
      </c>
      <c r="C866" s="15" t="s">
        <v>45</v>
      </c>
      <c r="D866" s="15" t="s">
        <v>2373</v>
      </c>
      <c r="E866" s="15" t="s">
        <v>2374</v>
      </c>
      <c r="F866" s="16">
        <v>44386.7065162037</v>
      </c>
      <c r="G866" s="15" t="s">
        <v>2374</v>
      </c>
      <c r="H866" s="15" t="s">
        <v>54</v>
      </c>
      <c r="I866" s="18">
        <v>0</v>
      </c>
      <c r="J866" s="18">
        <v>0</v>
      </c>
      <c r="K866" s="19">
        <v>0</v>
      </c>
      <c r="L866" s="20">
        <v>0</v>
      </c>
      <c r="M866" s="15">
        <v>0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0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</row>
    <row r="867" spans="1:43">
      <c r="A867" s="15" t="s">
        <v>49</v>
      </c>
      <c r="B867" s="15" t="s">
        <v>50</v>
      </c>
      <c r="C867" s="15" t="s">
        <v>61</v>
      </c>
      <c r="D867" s="15" t="s">
        <v>2375</v>
      </c>
      <c r="E867" s="15" t="s">
        <v>2376</v>
      </c>
      <c r="F867" s="16">
        <v>0</v>
      </c>
      <c r="G867" s="15" t="s">
        <v>2376</v>
      </c>
      <c r="H867" s="15" t="s">
        <v>2377</v>
      </c>
      <c r="I867" s="18">
        <v>0</v>
      </c>
      <c r="J867" s="18">
        <v>0</v>
      </c>
      <c r="K867" s="19">
        <v>0</v>
      </c>
      <c r="L867" s="20">
        <v>0</v>
      </c>
      <c r="M867" s="15">
        <v>0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0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</row>
    <row r="868" spans="1:43">
      <c r="A868" s="15" t="s">
        <v>49</v>
      </c>
      <c r="B868" s="15" t="s">
        <v>50</v>
      </c>
      <c r="C868" s="15" t="s">
        <v>301</v>
      </c>
      <c r="D868" s="15" t="s">
        <v>2378</v>
      </c>
      <c r="E868" s="15" t="s">
        <v>2379</v>
      </c>
      <c r="F868" s="16">
        <v>45147.7129282407</v>
      </c>
      <c r="G868" s="15" t="s">
        <v>2379</v>
      </c>
      <c r="H868" s="15" t="s">
        <v>2380</v>
      </c>
      <c r="I868" s="18">
        <v>6.29</v>
      </c>
      <c r="J868" s="18">
        <v>3</v>
      </c>
      <c r="K868" s="19">
        <v>2.09666666666667</v>
      </c>
      <c r="L868" s="20">
        <v>0.0419333333333333</v>
      </c>
      <c r="M868" s="15">
        <v>0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0</v>
      </c>
      <c r="V868" s="15">
        <v>0</v>
      </c>
      <c r="W868" s="15">
        <v>0</v>
      </c>
      <c r="X868" s="15">
        <v>0.09</v>
      </c>
      <c r="Y868" s="15">
        <v>0.34</v>
      </c>
      <c r="Z868" s="15">
        <v>5.86</v>
      </c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</row>
    <row r="869" spans="1:43">
      <c r="A869" s="15" t="s">
        <v>43</v>
      </c>
      <c r="B869" s="15" t="s">
        <v>44</v>
      </c>
      <c r="C869" s="15" t="s">
        <v>45</v>
      </c>
      <c r="D869" s="15" t="s">
        <v>2381</v>
      </c>
      <c r="E869" s="15" t="s">
        <v>2382</v>
      </c>
      <c r="F869" s="16">
        <v>41997.4047569444</v>
      </c>
      <c r="G869" s="15" t="s">
        <v>2382</v>
      </c>
      <c r="H869" s="15" t="s">
        <v>2383</v>
      </c>
      <c r="I869" s="18">
        <v>0</v>
      </c>
      <c r="J869" s="18">
        <v>0</v>
      </c>
      <c r="K869" s="19">
        <v>0</v>
      </c>
      <c r="L869" s="20">
        <v>0</v>
      </c>
      <c r="M869" s="15">
        <v>0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</row>
    <row r="870" spans="1:43">
      <c r="A870" s="15" t="s">
        <v>49</v>
      </c>
      <c r="B870" s="15" t="s">
        <v>50</v>
      </c>
      <c r="C870" s="15" t="s">
        <v>61</v>
      </c>
      <c r="D870" s="15" t="s">
        <v>2384</v>
      </c>
      <c r="E870" s="15" t="s">
        <v>2385</v>
      </c>
      <c r="F870" s="16">
        <v>0</v>
      </c>
      <c r="G870" s="15" t="s">
        <v>2385</v>
      </c>
      <c r="H870" s="15" t="s">
        <v>54</v>
      </c>
      <c r="I870" s="18">
        <v>0</v>
      </c>
      <c r="J870" s="18">
        <v>0</v>
      </c>
      <c r="K870" s="19">
        <v>0</v>
      </c>
      <c r="L870" s="20">
        <v>0</v>
      </c>
      <c r="M870" s="15">
        <v>0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</row>
    <row r="871" spans="1:43">
      <c r="A871" s="15" t="s">
        <v>64</v>
      </c>
      <c r="B871" s="15" t="s">
        <v>65</v>
      </c>
      <c r="C871" s="15" t="s">
        <v>401</v>
      </c>
      <c r="D871" s="15" t="s">
        <v>2386</v>
      </c>
      <c r="E871" s="15" t="s">
        <v>2387</v>
      </c>
      <c r="F871" s="16">
        <v>45112.4697337963</v>
      </c>
      <c r="G871" s="15" t="s">
        <v>2387</v>
      </c>
      <c r="H871" s="15" t="s">
        <v>2388</v>
      </c>
      <c r="I871" s="18">
        <v>1057.98</v>
      </c>
      <c r="J871" s="18">
        <v>12</v>
      </c>
      <c r="K871" s="19">
        <v>88.165</v>
      </c>
      <c r="L871" s="20">
        <v>1.2595</v>
      </c>
      <c r="M871" s="15">
        <v>6.91</v>
      </c>
      <c r="N871" s="15">
        <v>77.52</v>
      </c>
      <c r="O871" s="15">
        <v>95.13</v>
      </c>
      <c r="P871" s="15">
        <v>168.17</v>
      </c>
      <c r="Q871" s="15">
        <v>103.64</v>
      </c>
      <c r="R871" s="15">
        <v>0</v>
      </c>
      <c r="S871" s="15">
        <v>46.39</v>
      </c>
      <c r="T871" s="15">
        <v>208.14</v>
      </c>
      <c r="U871" s="15">
        <v>119.36</v>
      </c>
      <c r="V871" s="15">
        <v>31.77</v>
      </c>
      <c r="W871" s="15">
        <v>47.97</v>
      </c>
      <c r="X871" s="15">
        <v>2.59</v>
      </c>
      <c r="Y871" s="15">
        <v>0</v>
      </c>
      <c r="Z871" s="15">
        <v>150.39</v>
      </c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</row>
    <row r="872" spans="1:43">
      <c r="A872" s="15" t="s">
        <v>64</v>
      </c>
      <c r="B872" s="15" t="s">
        <v>65</v>
      </c>
      <c r="C872" s="15" t="s">
        <v>66</v>
      </c>
      <c r="D872" s="15" t="s">
        <v>2389</v>
      </c>
      <c r="E872" s="15" t="s">
        <v>2390</v>
      </c>
      <c r="F872" s="16">
        <v>44964.4543865741</v>
      </c>
      <c r="G872" s="15" t="s">
        <v>2390</v>
      </c>
      <c r="H872" s="15" t="s">
        <v>2391</v>
      </c>
      <c r="I872" s="18">
        <v>1026.55</v>
      </c>
      <c r="J872" s="18">
        <v>12</v>
      </c>
      <c r="K872" s="19">
        <v>85.5458333333333</v>
      </c>
      <c r="L872" s="20">
        <v>1.22208333333333</v>
      </c>
      <c r="M872" s="15">
        <v>111.77</v>
      </c>
      <c r="N872" s="15">
        <v>60.53</v>
      </c>
      <c r="O872" s="15">
        <v>84.3</v>
      </c>
      <c r="P872" s="15">
        <v>107.86</v>
      </c>
      <c r="Q872" s="15">
        <v>61.94</v>
      </c>
      <c r="R872" s="15">
        <v>0</v>
      </c>
      <c r="S872" s="15">
        <v>85.19</v>
      </c>
      <c r="T872" s="15">
        <v>80.99</v>
      </c>
      <c r="U872" s="15">
        <v>82.56</v>
      </c>
      <c r="V872" s="15">
        <v>88.29</v>
      </c>
      <c r="W872" s="15">
        <v>96.82</v>
      </c>
      <c r="X872" s="15">
        <v>76.95</v>
      </c>
      <c r="Y872" s="15">
        <v>0</v>
      </c>
      <c r="Z872" s="15">
        <v>89.35</v>
      </c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</row>
    <row r="873" spans="1:43">
      <c r="A873" s="15" t="s">
        <v>64</v>
      </c>
      <c r="B873" s="15" t="s">
        <v>65</v>
      </c>
      <c r="C873" s="15" t="s">
        <v>522</v>
      </c>
      <c r="D873" s="15" t="s">
        <v>2392</v>
      </c>
      <c r="E873" s="15" t="s">
        <v>2393</v>
      </c>
      <c r="F873" s="16">
        <v>45001.4142824074</v>
      </c>
      <c r="G873" s="15" t="s">
        <v>2393</v>
      </c>
      <c r="H873" s="15" t="s">
        <v>54</v>
      </c>
      <c r="I873" s="18">
        <v>0</v>
      </c>
      <c r="J873" s="18">
        <v>0</v>
      </c>
      <c r="K873" s="19">
        <v>0</v>
      </c>
      <c r="L873" s="20">
        <v>0</v>
      </c>
      <c r="M873" s="15">
        <v>0</v>
      </c>
      <c r="N873" s="15">
        <v>0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</row>
    <row r="874" spans="1:43">
      <c r="A874" s="15" t="s">
        <v>49</v>
      </c>
      <c r="B874" s="15" t="s">
        <v>50</v>
      </c>
      <c r="C874" s="15" t="s">
        <v>61</v>
      </c>
      <c r="D874" s="15" t="s">
        <v>2394</v>
      </c>
      <c r="E874" s="15" t="s">
        <v>1498</v>
      </c>
      <c r="F874" s="16">
        <v>0</v>
      </c>
      <c r="G874" s="15" t="s">
        <v>1498</v>
      </c>
      <c r="H874" s="15" t="s">
        <v>54</v>
      </c>
      <c r="I874" s="18">
        <v>0</v>
      </c>
      <c r="J874" s="18">
        <v>0</v>
      </c>
      <c r="K874" s="19">
        <v>0</v>
      </c>
      <c r="L874" s="20">
        <v>0</v>
      </c>
      <c r="M874" s="15">
        <v>0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</row>
    <row r="875" spans="1:43">
      <c r="A875" s="15" t="s">
        <v>49</v>
      </c>
      <c r="B875" s="15" t="s">
        <v>50</v>
      </c>
      <c r="C875" s="15" t="s">
        <v>61</v>
      </c>
      <c r="D875" s="15" t="s">
        <v>2395</v>
      </c>
      <c r="E875" s="15" t="s">
        <v>2396</v>
      </c>
      <c r="F875" s="16">
        <v>0</v>
      </c>
      <c r="G875" s="15" t="s">
        <v>2396</v>
      </c>
      <c r="H875" s="15" t="s">
        <v>107</v>
      </c>
      <c r="I875" s="18">
        <v>0</v>
      </c>
      <c r="J875" s="18">
        <v>0</v>
      </c>
      <c r="K875" s="19">
        <v>0</v>
      </c>
      <c r="L875" s="20">
        <v>0</v>
      </c>
      <c r="M875" s="15">
        <v>0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</row>
    <row r="876" spans="1:43">
      <c r="A876" s="15" t="s">
        <v>49</v>
      </c>
      <c r="B876" s="15" t="s">
        <v>50</v>
      </c>
      <c r="C876" s="15" t="s">
        <v>51</v>
      </c>
      <c r="D876" s="15" t="s">
        <v>2397</v>
      </c>
      <c r="E876" s="15" t="s">
        <v>2398</v>
      </c>
      <c r="F876" s="16">
        <v>44922.6942824074</v>
      </c>
      <c r="G876" s="15" t="s">
        <v>2398</v>
      </c>
      <c r="H876" s="15" t="s">
        <v>54</v>
      </c>
      <c r="I876" s="18">
        <v>0</v>
      </c>
      <c r="J876" s="18">
        <v>0</v>
      </c>
      <c r="K876" s="19">
        <v>0</v>
      </c>
      <c r="L876" s="20">
        <v>0</v>
      </c>
      <c r="M876" s="15">
        <v>0</v>
      </c>
      <c r="N876" s="15">
        <v>0</v>
      </c>
      <c r="O876" s="15">
        <v>0</v>
      </c>
      <c r="P876" s="15">
        <v>0</v>
      </c>
      <c r="Q876" s="15">
        <v>0</v>
      </c>
      <c r="R876" s="15">
        <v>0</v>
      </c>
      <c r="S876" s="15">
        <v>0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</row>
    <row r="877" spans="1:43">
      <c r="A877" s="15" t="s">
        <v>43</v>
      </c>
      <c r="B877" s="15" t="s">
        <v>44</v>
      </c>
      <c r="C877" s="15" t="s">
        <v>45</v>
      </c>
      <c r="D877" s="15" t="s">
        <v>2399</v>
      </c>
      <c r="E877" s="15" t="s">
        <v>2400</v>
      </c>
      <c r="F877" s="16">
        <v>42396.4798958333</v>
      </c>
      <c r="G877" s="15" t="s">
        <v>2400</v>
      </c>
      <c r="H877" s="15" t="s">
        <v>2401</v>
      </c>
      <c r="I877" s="18">
        <v>0</v>
      </c>
      <c r="J877" s="18">
        <v>0</v>
      </c>
      <c r="K877" s="19">
        <v>0</v>
      </c>
      <c r="L877" s="20">
        <v>0</v>
      </c>
      <c r="M877" s="15">
        <v>0</v>
      </c>
      <c r="N877" s="15">
        <v>0</v>
      </c>
      <c r="O877" s="15">
        <v>0</v>
      </c>
      <c r="P877" s="15">
        <v>0</v>
      </c>
      <c r="Q877" s="15">
        <v>0</v>
      </c>
      <c r="R877" s="15">
        <v>0</v>
      </c>
      <c r="S877" s="15">
        <v>0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</row>
    <row r="878" spans="1:43">
      <c r="A878" s="15" t="s">
        <v>43</v>
      </c>
      <c r="B878" s="15" t="s">
        <v>44</v>
      </c>
      <c r="C878" s="15" t="s">
        <v>45</v>
      </c>
      <c r="D878" s="15" t="s">
        <v>2402</v>
      </c>
      <c r="E878" s="15" t="s">
        <v>2403</v>
      </c>
      <c r="F878" s="16">
        <v>43081.6747222222</v>
      </c>
      <c r="G878" s="15" t="s">
        <v>2403</v>
      </c>
      <c r="H878" s="15" t="s">
        <v>2404</v>
      </c>
      <c r="I878" s="18">
        <v>0</v>
      </c>
      <c r="J878" s="18">
        <v>0</v>
      </c>
      <c r="K878" s="19">
        <v>0</v>
      </c>
      <c r="L878" s="20">
        <v>0</v>
      </c>
      <c r="M878" s="15">
        <v>0</v>
      </c>
      <c r="N878" s="15">
        <v>0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</row>
    <row r="879" spans="1:43">
      <c r="A879" s="15" t="s">
        <v>43</v>
      </c>
      <c r="B879" s="15" t="s">
        <v>44</v>
      </c>
      <c r="C879" s="15" t="s">
        <v>45</v>
      </c>
      <c r="D879" s="15" t="s">
        <v>2405</v>
      </c>
      <c r="E879" s="15" t="s">
        <v>2406</v>
      </c>
      <c r="F879" s="16">
        <v>42000.4935763889</v>
      </c>
      <c r="G879" s="15" t="s">
        <v>2406</v>
      </c>
      <c r="H879" s="15" t="s">
        <v>2407</v>
      </c>
      <c r="I879" s="18">
        <v>0</v>
      </c>
      <c r="J879" s="18">
        <v>0</v>
      </c>
      <c r="K879" s="19">
        <v>0</v>
      </c>
      <c r="L879" s="20">
        <v>0</v>
      </c>
      <c r="M879" s="15">
        <v>0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</row>
    <row r="880" spans="1:43">
      <c r="A880" s="15" t="s">
        <v>64</v>
      </c>
      <c r="B880" s="15" t="s">
        <v>118</v>
      </c>
      <c r="C880" s="15" t="s">
        <v>119</v>
      </c>
      <c r="D880" s="15" t="s">
        <v>2408</v>
      </c>
      <c r="E880" s="15" t="s">
        <v>2409</v>
      </c>
      <c r="F880" s="16">
        <v>45097.5784490741</v>
      </c>
      <c r="G880" s="15" t="s">
        <v>2409</v>
      </c>
      <c r="H880" s="15" t="s">
        <v>2410</v>
      </c>
      <c r="I880" s="18">
        <v>2296.42</v>
      </c>
      <c r="J880" s="18">
        <v>14</v>
      </c>
      <c r="K880" s="19">
        <v>164.03</v>
      </c>
      <c r="L880" s="20">
        <v>2.34328571428571</v>
      </c>
      <c r="M880" s="15">
        <v>114.9</v>
      </c>
      <c r="N880" s="15">
        <v>135.24</v>
      </c>
      <c r="O880" s="15">
        <v>94.74</v>
      </c>
      <c r="P880" s="15">
        <v>208.83</v>
      </c>
      <c r="Q880" s="15">
        <v>113.13</v>
      </c>
      <c r="R880" s="15">
        <v>59.38</v>
      </c>
      <c r="S880" s="15">
        <v>280.59</v>
      </c>
      <c r="T880" s="15">
        <v>231.67</v>
      </c>
      <c r="U880" s="15">
        <v>187.4</v>
      </c>
      <c r="V880" s="15">
        <v>239.79</v>
      </c>
      <c r="W880" s="15">
        <v>186.04</v>
      </c>
      <c r="X880" s="15">
        <v>94.58</v>
      </c>
      <c r="Y880" s="15">
        <v>121.09</v>
      </c>
      <c r="Z880" s="15">
        <v>229.04</v>
      </c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</row>
    <row r="881" spans="1:43">
      <c r="A881" s="15" t="s">
        <v>43</v>
      </c>
      <c r="B881" s="15" t="s">
        <v>44</v>
      </c>
      <c r="C881" s="15" t="s">
        <v>45</v>
      </c>
      <c r="D881" s="15" t="s">
        <v>2411</v>
      </c>
      <c r="E881" s="15" t="s">
        <v>2412</v>
      </c>
      <c r="F881" s="16">
        <v>43782.6436805556</v>
      </c>
      <c r="G881" s="15" t="s">
        <v>2412</v>
      </c>
      <c r="H881" s="15" t="s">
        <v>2413</v>
      </c>
      <c r="I881" s="18">
        <v>0</v>
      </c>
      <c r="J881" s="18">
        <v>0</v>
      </c>
      <c r="K881" s="19">
        <v>0</v>
      </c>
      <c r="L881" s="20">
        <v>0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</row>
    <row r="882" spans="1:43">
      <c r="A882" s="15" t="s">
        <v>43</v>
      </c>
      <c r="B882" s="15" t="s">
        <v>44</v>
      </c>
      <c r="C882" s="15" t="s">
        <v>45</v>
      </c>
      <c r="D882" s="15" t="s">
        <v>2414</v>
      </c>
      <c r="E882" s="15" t="s">
        <v>2415</v>
      </c>
      <c r="F882" s="16">
        <v>44389.4504861111</v>
      </c>
      <c r="G882" s="15" t="s">
        <v>2415</v>
      </c>
      <c r="H882" s="15" t="s">
        <v>54</v>
      </c>
      <c r="I882" s="18">
        <v>0</v>
      </c>
      <c r="J882" s="18">
        <v>0</v>
      </c>
      <c r="K882" s="19">
        <v>0</v>
      </c>
      <c r="L882" s="20">
        <v>0</v>
      </c>
      <c r="M882" s="15">
        <v>0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</row>
    <row r="883" spans="1:43">
      <c r="A883" s="15" t="s">
        <v>49</v>
      </c>
      <c r="B883" s="15" t="s">
        <v>50</v>
      </c>
      <c r="C883" s="15" t="s">
        <v>61</v>
      </c>
      <c r="D883" s="15" t="s">
        <v>2416</v>
      </c>
      <c r="E883" s="15" t="s">
        <v>2417</v>
      </c>
      <c r="F883" s="16">
        <v>0</v>
      </c>
      <c r="G883" s="15" t="s">
        <v>2417</v>
      </c>
      <c r="H883" s="15" t="s">
        <v>54</v>
      </c>
      <c r="I883" s="18">
        <v>0</v>
      </c>
      <c r="J883" s="18">
        <v>0</v>
      </c>
      <c r="K883" s="19">
        <v>0</v>
      </c>
      <c r="L883" s="20">
        <v>0</v>
      </c>
      <c r="M883" s="15">
        <v>0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</row>
    <row r="884" spans="1:43">
      <c r="A884" s="15" t="s">
        <v>43</v>
      </c>
      <c r="B884" s="15" t="s">
        <v>44</v>
      </c>
      <c r="C884" s="15" t="s">
        <v>45</v>
      </c>
      <c r="D884" s="15" t="s">
        <v>2418</v>
      </c>
      <c r="E884" s="15" t="s">
        <v>2419</v>
      </c>
      <c r="F884" s="16">
        <v>42450.6621875</v>
      </c>
      <c r="G884" s="15" t="s">
        <v>2419</v>
      </c>
      <c r="H884" s="15" t="s">
        <v>2420</v>
      </c>
      <c r="I884" s="18">
        <v>0</v>
      </c>
      <c r="J884" s="18">
        <v>0</v>
      </c>
      <c r="K884" s="19">
        <v>0</v>
      </c>
      <c r="L884" s="20">
        <v>0</v>
      </c>
      <c r="M884" s="15">
        <v>0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</row>
    <row r="885" spans="1:43">
      <c r="A885" s="15" t="s">
        <v>49</v>
      </c>
      <c r="B885" s="15" t="s">
        <v>50</v>
      </c>
      <c r="C885" s="15" t="s">
        <v>61</v>
      </c>
      <c r="D885" s="15" t="s">
        <v>2421</v>
      </c>
      <c r="E885" s="15" t="s">
        <v>2422</v>
      </c>
      <c r="F885" s="16">
        <v>0</v>
      </c>
      <c r="G885" s="15" t="s">
        <v>2422</v>
      </c>
      <c r="H885" s="15" t="s">
        <v>2423</v>
      </c>
      <c r="I885" s="18">
        <v>0</v>
      </c>
      <c r="J885" s="18">
        <v>0</v>
      </c>
      <c r="K885" s="19">
        <v>0</v>
      </c>
      <c r="L885" s="20">
        <v>0</v>
      </c>
      <c r="M885" s="15">
        <v>0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</row>
    <row r="886" spans="1:43">
      <c r="A886" s="15" t="s">
        <v>64</v>
      </c>
      <c r="B886" s="15" t="s">
        <v>118</v>
      </c>
      <c r="C886" s="15" t="s">
        <v>138</v>
      </c>
      <c r="D886" s="15" t="s">
        <v>2424</v>
      </c>
      <c r="E886" s="15" t="s">
        <v>2425</v>
      </c>
      <c r="F886" s="16">
        <v>45020.7183796296</v>
      </c>
      <c r="G886" s="15" t="s">
        <v>2425</v>
      </c>
      <c r="H886" s="15" t="s">
        <v>2426</v>
      </c>
      <c r="I886" s="18">
        <v>2897.76</v>
      </c>
      <c r="J886" s="18">
        <v>14</v>
      </c>
      <c r="K886" s="19">
        <v>206.982857142857</v>
      </c>
      <c r="L886" s="20">
        <v>2.95689795918367</v>
      </c>
      <c r="M886" s="15">
        <v>320.57</v>
      </c>
      <c r="N886" s="15">
        <v>112.88</v>
      </c>
      <c r="O886" s="15">
        <v>219.32</v>
      </c>
      <c r="P886" s="15">
        <v>269.54</v>
      </c>
      <c r="Q886" s="15">
        <v>57.96</v>
      </c>
      <c r="R886" s="15">
        <v>76.27</v>
      </c>
      <c r="S886" s="15">
        <v>146.22</v>
      </c>
      <c r="T886" s="15">
        <v>302.95</v>
      </c>
      <c r="U886" s="15">
        <v>304.9</v>
      </c>
      <c r="V886" s="15">
        <v>305.26</v>
      </c>
      <c r="W886" s="15">
        <v>270.4</v>
      </c>
      <c r="X886" s="15">
        <v>105.14</v>
      </c>
      <c r="Y886" s="15">
        <v>154.5</v>
      </c>
      <c r="Z886" s="15">
        <v>251.85</v>
      </c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</row>
    <row r="887" spans="1:43">
      <c r="A887" s="15" t="s">
        <v>49</v>
      </c>
      <c r="B887" s="15" t="s">
        <v>50</v>
      </c>
      <c r="C887" s="15" t="s">
        <v>61</v>
      </c>
      <c r="D887" s="15" t="s">
        <v>2427</v>
      </c>
      <c r="E887" s="15" t="s">
        <v>2428</v>
      </c>
      <c r="F887" s="16">
        <v>0</v>
      </c>
      <c r="G887" s="15" t="s">
        <v>2428</v>
      </c>
      <c r="H887" s="15" t="s">
        <v>54</v>
      </c>
      <c r="I887" s="18">
        <v>0</v>
      </c>
      <c r="J887" s="18">
        <v>0</v>
      </c>
      <c r="K887" s="19">
        <v>0</v>
      </c>
      <c r="L887" s="20">
        <v>0</v>
      </c>
      <c r="M887" s="15">
        <v>0</v>
      </c>
      <c r="N887" s="15">
        <v>0</v>
      </c>
      <c r="O887" s="15">
        <v>0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</row>
    <row r="888" spans="1:43">
      <c r="A888" s="15" t="s">
        <v>49</v>
      </c>
      <c r="B888" s="15" t="s">
        <v>50</v>
      </c>
      <c r="C888" s="15" t="s">
        <v>61</v>
      </c>
      <c r="D888" s="15" t="s">
        <v>2429</v>
      </c>
      <c r="E888" s="15" t="s">
        <v>2430</v>
      </c>
      <c r="F888" s="16">
        <v>0</v>
      </c>
      <c r="G888" s="15" t="s">
        <v>2430</v>
      </c>
      <c r="H888" s="15" t="s">
        <v>2431</v>
      </c>
      <c r="I888" s="18">
        <v>0</v>
      </c>
      <c r="J888" s="18">
        <v>0</v>
      </c>
      <c r="K888" s="19">
        <v>0</v>
      </c>
      <c r="L888" s="20">
        <v>0</v>
      </c>
      <c r="M888" s="15">
        <v>0</v>
      </c>
      <c r="N888" s="15">
        <v>0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</row>
    <row r="889" spans="1:43">
      <c r="A889" s="15" t="s">
        <v>43</v>
      </c>
      <c r="B889" s="15" t="s">
        <v>44</v>
      </c>
      <c r="C889" s="15" t="s">
        <v>45</v>
      </c>
      <c r="D889" s="15" t="s">
        <v>2432</v>
      </c>
      <c r="E889" s="15" t="s">
        <v>2433</v>
      </c>
      <c r="F889" s="16">
        <v>40674.4172916667</v>
      </c>
      <c r="G889" s="15" t="s">
        <v>2433</v>
      </c>
      <c r="H889" s="15" t="s">
        <v>2434</v>
      </c>
      <c r="I889" s="18">
        <v>0</v>
      </c>
      <c r="J889" s="18">
        <v>0</v>
      </c>
      <c r="K889" s="19">
        <v>0</v>
      </c>
      <c r="L889" s="20">
        <v>0</v>
      </c>
      <c r="M889" s="15">
        <v>0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</row>
    <row r="890" spans="1:43">
      <c r="A890" s="15" t="s">
        <v>49</v>
      </c>
      <c r="B890" s="15" t="s">
        <v>50</v>
      </c>
      <c r="C890" s="15" t="s">
        <v>61</v>
      </c>
      <c r="D890" s="15" t="s">
        <v>2435</v>
      </c>
      <c r="E890" s="15" t="s">
        <v>2436</v>
      </c>
      <c r="F890" s="16">
        <v>0</v>
      </c>
      <c r="G890" s="15" t="s">
        <v>2436</v>
      </c>
      <c r="H890" s="15" t="s">
        <v>2437</v>
      </c>
      <c r="I890" s="18">
        <v>0</v>
      </c>
      <c r="J890" s="18">
        <v>0</v>
      </c>
      <c r="K890" s="19">
        <v>0</v>
      </c>
      <c r="L890" s="20">
        <v>0</v>
      </c>
      <c r="M890" s="15">
        <v>0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</row>
    <row r="891" spans="1:43">
      <c r="A891" s="15" t="s">
        <v>43</v>
      </c>
      <c r="B891" s="15" t="s">
        <v>44</v>
      </c>
      <c r="C891" s="15" t="s">
        <v>45</v>
      </c>
      <c r="D891" s="15" t="s">
        <v>2438</v>
      </c>
      <c r="E891" s="15" t="s">
        <v>2439</v>
      </c>
      <c r="F891" s="16">
        <v>41515.6495138889</v>
      </c>
      <c r="G891" s="15" t="s">
        <v>2439</v>
      </c>
      <c r="H891" s="15" t="s">
        <v>2440</v>
      </c>
      <c r="I891" s="18">
        <v>0</v>
      </c>
      <c r="J891" s="18">
        <v>0</v>
      </c>
      <c r="K891" s="19">
        <v>0</v>
      </c>
      <c r="L891" s="20">
        <v>0</v>
      </c>
      <c r="M891" s="15">
        <v>0</v>
      </c>
      <c r="N891" s="15">
        <v>0</v>
      </c>
      <c r="O891" s="15">
        <v>0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</row>
    <row r="892" spans="1:43">
      <c r="A892" s="15" t="s">
        <v>49</v>
      </c>
      <c r="B892" s="15" t="s">
        <v>50</v>
      </c>
      <c r="C892" s="15" t="s">
        <v>301</v>
      </c>
      <c r="D892" s="15" t="s">
        <v>2441</v>
      </c>
      <c r="E892" s="15" t="s">
        <v>2442</v>
      </c>
      <c r="F892" s="16">
        <v>44987.6954166667</v>
      </c>
      <c r="G892" s="15" t="s">
        <v>2442</v>
      </c>
      <c r="H892" s="15" t="s">
        <v>54</v>
      </c>
      <c r="I892" s="18">
        <v>0</v>
      </c>
      <c r="J892" s="18">
        <v>0</v>
      </c>
      <c r="K892" s="19">
        <v>0</v>
      </c>
      <c r="L892" s="20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</row>
    <row r="893" spans="1:43">
      <c r="A893" s="15" t="s">
        <v>43</v>
      </c>
      <c r="B893" s="15" t="s">
        <v>44</v>
      </c>
      <c r="C893" s="15" t="s">
        <v>45</v>
      </c>
      <c r="D893" s="15" t="s">
        <v>2443</v>
      </c>
      <c r="E893" s="15" t="s">
        <v>2444</v>
      </c>
      <c r="F893" s="16">
        <v>41431.6748726852</v>
      </c>
      <c r="G893" s="15" t="s">
        <v>2444</v>
      </c>
      <c r="H893" s="15" t="s">
        <v>2445</v>
      </c>
      <c r="I893" s="18">
        <v>0</v>
      </c>
      <c r="J893" s="18">
        <v>0</v>
      </c>
      <c r="K893" s="19">
        <v>0</v>
      </c>
      <c r="L893" s="20">
        <v>0</v>
      </c>
      <c r="M893" s="15">
        <v>0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</row>
    <row r="894" spans="1:43">
      <c r="A894" s="15" t="s">
        <v>49</v>
      </c>
      <c r="B894" s="15" t="s">
        <v>50</v>
      </c>
      <c r="C894" s="15" t="s">
        <v>61</v>
      </c>
      <c r="D894" s="15" t="s">
        <v>2446</v>
      </c>
      <c r="E894" s="15" t="s">
        <v>2447</v>
      </c>
      <c r="F894" s="16">
        <v>0</v>
      </c>
      <c r="G894" s="15" t="s">
        <v>2447</v>
      </c>
      <c r="H894" s="15" t="s">
        <v>54</v>
      </c>
      <c r="I894" s="18">
        <v>0</v>
      </c>
      <c r="J894" s="18">
        <v>0</v>
      </c>
      <c r="K894" s="19">
        <v>0</v>
      </c>
      <c r="L894" s="20">
        <v>0</v>
      </c>
      <c r="M894" s="15">
        <v>0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</row>
    <row r="895" spans="1:43">
      <c r="A895" s="15" t="s">
        <v>43</v>
      </c>
      <c r="B895" s="15" t="s">
        <v>44</v>
      </c>
      <c r="C895" s="15" t="s">
        <v>45</v>
      </c>
      <c r="D895" s="15" t="s">
        <v>2448</v>
      </c>
      <c r="E895" s="15" t="s">
        <v>2449</v>
      </c>
      <c r="F895" s="16">
        <v>43581.7240162037</v>
      </c>
      <c r="G895" s="15" t="s">
        <v>2449</v>
      </c>
      <c r="H895" s="15" t="s">
        <v>2450</v>
      </c>
      <c r="I895" s="18">
        <v>0</v>
      </c>
      <c r="J895" s="18">
        <v>0</v>
      </c>
      <c r="K895" s="19">
        <v>0</v>
      </c>
      <c r="L895" s="20">
        <v>0</v>
      </c>
      <c r="M895" s="15">
        <v>0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</row>
    <row r="896" spans="1:43">
      <c r="A896" s="15" t="s">
        <v>64</v>
      </c>
      <c r="B896" s="15" t="s">
        <v>118</v>
      </c>
      <c r="C896" s="15" t="s">
        <v>119</v>
      </c>
      <c r="D896" s="15" t="s">
        <v>2451</v>
      </c>
      <c r="E896" s="15" t="s">
        <v>2452</v>
      </c>
      <c r="F896" s="16">
        <v>44893.4431365741</v>
      </c>
      <c r="G896" s="15" t="s">
        <v>2452</v>
      </c>
      <c r="H896" s="15" t="s">
        <v>54</v>
      </c>
      <c r="I896" s="18">
        <v>890.78</v>
      </c>
      <c r="J896" s="18">
        <v>10</v>
      </c>
      <c r="K896" s="19">
        <v>89.078</v>
      </c>
      <c r="L896" s="20">
        <v>1.27254285714286</v>
      </c>
      <c r="M896" s="15">
        <v>100.24</v>
      </c>
      <c r="N896" s="15">
        <v>107.6</v>
      </c>
      <c r="O896" s="15">
        <v>106.01</v>
      </c>
      <c r="P896" s="15">
        <v>104.27</v>
      </c>
      <c r="Q896" s="15">
        <v>0</v>
      </c>
      <c r="R896" s="15">
        <v>0</v>
      </c>
      <c r="S896" s="15">
        <v>102.93</v>
      </c>
      <c r="T896" s="15">
        <v>104.52</v>
      </c>
      <c r="U896" s="15">
        <v>115.54</v>
      </c>
      <c r="V896" s="15">
        <v>100.79</v>
      </c>
      <c r="W896" s="15">
        <v>24.46</v>
      </c>
      <c r="X896" s="15">
        <v>0</v>
      </c>
      <c r="Y896" s="15">
        <v>0</v>
      </c>
      <c r="Z896" s="15">
        <v>24.42</v>
      </c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</row>
    <row r="897" spans="1:43">
      <c r="A897" s="15" t="s">
        <v>43</v>
      </c>
      <c r="B897" s="15" t="s">
        <v>44</v>
      </c>
      <c r="C897" s="15" t="s">
        <v>45</v>
      </c>
      <c r="D897" s="15" t="s">
        <v>2453</v>
      </c>
      <c r="E897" s="15" t="s">
        <v>2454</v>
      </c>
      <c r="F897" s="16">
        <v>40331.6310069444</v>
      </c>
      <c r="G897" s="15" t="s">
        <v>2454</v>
      </c>
      <c r="H897" s="15" t="s">
        <v>2455</v>
      </c>
      <c r="I897" s="18">
        <v>0</v>
      </c>
      <c r="J897" s="18">
        <v>0</v>
      </c>
      <c r="K897" s="19">
        <v>0</v>
      </c>
      <c r="L897" s="20">
        <v>0</v>
      </c>
      <c r="M897" s="15">
        <v>0</v>
      </c>
      <c r="N897" s="15">
        <v>0</v>
      </c>
      <c r="O897" s="15">
        <v>0</v>
      </c>
      <c r="P897" s="15">
        <v>0</v>
      </c>
      <c r="Q897" s="15">
        <v>0</v>
      </c>
      <c r="R897" s="15">
        <v>0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</row>
    <row r="898" spans="1:43">
      <c r="A898" s="15" t="s">
        <v>43</v>
      </c>
      <c r="B898" s="15" t="s">
        <v>44</v>
      </c>
      <c r="C898" s="15" t="s">
        <v>45</v>
      </c>
      <c r="D898" s="15" t="s">
        <v>2456</v>
      </c>
      <c r="E898" s="15" t="s">
        <v>2457</v>
      </c>
      <c r="F898" s="16">
        <v>42258.4287847222</v>
      </c>
      <c r="G898" s="15" t="s">
        <v>2457</v>
      </c>
      <c r="H898" s="15" t="s">
        <v>2458</v>
      </c>
      <c r="I898" s="18">
        <v>0</v>
      </c>
      <c r="J898" s="18">
        <v>0</v>
      </c>
      <c r="K898" s="19">
        <v>0</v>
      </c>
      <c r="L898" s="20">
        <v>0</v>
      </c>
      <c r="M898" s="15">
        <v>0</v>
      </c>
      <c r="N898" s="15">
        <v>0</v>
      </c>
      <c r="O898" s="15">
        <v>0</v>
      </c>
      <c r="P898" s="15">
        <v>0</v>
      </c>
      <c r="Q898" s="15">
        <v>0</v>
      </c>
      <c r="R898" s="15">
        <v>0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</row>
    <row r="899" spans="1:43">
      <c r="A899" s="15" t="s">
        <v>49</v>
      </c>
      <c r="B899" s="15" t="s">
        <v>50</v>
      </c>
      <c r="C899" s="15" t="s">
        <v>61</v>
      </c>
      <c r="D899" s="15" t="s">
        <v>2459</v>
      </c>
      <c r="E899" s="15" t="s">
        <v>2460</v>
      </c>
      <c r="F899" s="16">
        <v>0</v>
      </c>
      <c r="G899" s="15" t="s">
        <v>2460</v>
      </c>
      <c r="H899" s="15" t="s">
        <v>2461</v>
      </c>
      <c r="I899" s="18">
        <v>0</v>
      </c>
      <c r="J899" s="18">
        <v>0</v>
      </c>
      <c r="K899" s="19">
        <v>0</v>
      </c>
      <c r="L899" s="20">
        <v>0</v>
      </c>
      <c r="M899" s="15">
        <v>0</v>
      </c>
      <c r="N899" s="15">
        <v>0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</row>
    <row r="900" spans="1:43">
      <c r="A900" s="15" t="s">
        <v>49</v>
      </c>
      <c r="B900" s="15" t="s">
        <v>50</v>
      </c>
      <c r="C900" s="15" t="s">
        <v>61</v>
      </c>
      <c r="D900" s="15" t="s">
        <v>2462</v>
      </c>
      <c r="E900" s="15" t="s">
        <v>2463</v>
      </c>
      <c r="F900" s="16">
        <v>0</v>
      </c>
      <c r="G900" s="15" t="s">
        <v>2463</v>
      </c>
      <c r="H900" s="15" t="s">
        <v>2464</v>
      </c>
      <c r="I900" s="18">
        <v>0</v>
      </c>
      <c r="J900" s="18">
        <v>0</v>
      </c>
      <c r="K900" s="19">
        <v>0</v>
      </c>
      <c r="L900" s="20">
        <v>0</v>
      </c>
      <c r="M900" s="15">
        <v>0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</row>
    <row r="901" spans="1:43">
      <c r="A901" s="15" t="s">
        <v>49</v>
      </c>
      <c r="B901" s="15" t="s">
        <v>50</v>
      </c>
      <c r="C901" s="15" t="s">
        <v>61</v>
      </c>
      <c r="D901" s="15" t="s">
        <v>2465</v>
      </c>
      <c r="E901" s="15" t="s">
        <v>2466</v>
      </c>
      <c r="F901" s="16">
        <v>43872.7048958333</v>
      </c>
      <c r="G901" s="15" t="s">
        <v>2466</v>
      </c>
      <c r="H901" s="15" t="s">
        <v>54</v>
      </c>
      <c r="I901" s="18">
        <v>421.96</v>
      </c>
      <c r="J901" s="18">
        <v>14</v>
      </c>
      <c r="K901" s="19">
        <v>30.14</v>
      </c>
      <c r="L901" s="20">
        <v>0.6028</v>
      </c>
      <c r="M901" s="15">
        <v>26.65</v>
      </c>
      <c r="N901" s="15">
        <v>27.85</v>
      </c>
      <c r="O901" s="15">
        <v>23.71</v>
      </c>
      <c r="P901" s="15">
        <v>22.43</v>
      </c>
      <c r="Q901" s="15">
        <v>29.38</v>
      </c>
      <c r="R901" s="15">
        <v>33.14</v>
      </c>
      <c r="S901" s="15">
        <v>43.78</v>
      </c>
      <c r="T901" s="15">
        <v>35.81</v>
      </c>
      <c r="U901" s="15">
        <v>41.56</v>
      </c>
      <c r="V901" s="15">
        <v>33.26</v>
      </c>
      <c r="W901" s="15">
        <v>18.11</v>
      </c>
      <c r="X901" s="15">
        <v>30.74</v>
      </c>
      <c r="Y901" s="15">
        <v>16.55</v>
      </c>
      <c r="Z901" s="15">
        <v>38.99</v>
      </c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</row>
    <row r="902" spans="1:43">
      <c r="A902" s="15" t="s">
        <v>49</v>
      </c>
      <c r="B902" s="15" t="s">
        <v>50</v>
      </c>
      <c r="C902" s="15" t="s">
        <v>61</v>
      </c>
      <c r="D902" s="15" t="s">
        <v>2467</v>
      </c>
      <c r="E902" s="15" t="s">
        <v>2468</v>
      </c>
      <c r="F902" s="16">
        <v>43373.4518634259</v>
      </c>
      <c r="G902" s="15" t="s">
        <v>2468</v>
      </c>
      <c r="H902" s="15" t="s">
        <v>2469</v>
      </c>
      <c r="I902" s="18">
        <v>0</v>
      </c>
      <c r="J902" s="18">
        <v>0</v>
      </c>
      <c r="K902" s="19">
        <v>0</v>
      </c>
      <c r="L902" s="20">
        <v>0</v>
      </c>
      <c r="M902" s="15">
        <v>0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</row>
    <row r="903" spans="1:43">
      <c r="A903" s="15" t="s">
        <v>43</v>
      </c>
      <c r="B903" s="15" t="s">
        <v>44</v>
      </c>
      <c r="C903" s="15" t="s">
        <v>45</v>
      </c>
      <c r="D903" s="15" t="s">
        <v>2470</v>
      </c>
      <c r="E903" s="15" t="s">
        <v>2471</v>
      </c>
      <c r="F903" s="16">
        <v>42360.6080208333</v>
      </c>
      <c r="G903" s="15" t="s">
        <v>2471</v>
      </c>
      <c r="H903" s="15" t="s">
        <v>2472</v>
      </c>
      <c r="I903" s="18">
        <v>0</v>
      </c>
      <c r="J903" s="18">
        <v>0</v>
      </c>
      <c r="K903" s="19">
        <v>0</v>
      </c>
      <c r="L903" s="20">
        <v>0</v>
      </c>
      <c r="M903" s="15">
        <v>0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</row>
    <row r="904" spans="1:43">
      <c r="A904" s="15" t="s">
        <v>49</v>
      </c>
      <c r="B904" s="15" t="s">
        <v>50</v>
      </c>
      <c r="C904" s="15" t="s">
        <v>75</v>
      </c>
      <c r="D904" s="15" t="s">
        <v>2473</v>
      </c>
      <c r="E904" s="15" t="s">
        <v>2474</v>
      </c>
      <c r="F904" s="16">
        <v>44986.4639351852</v>
      </c>
      <c r="G904" s="15" t="s">
        <v>2474</v>
      </c>
      <c r="H904" s="15" t="s">
        <v>54</v>
      </c>
      <c r="I904" s="18">
        <v>0</v>
      </c>
      <c r="J904" s="18">
        <v>0</v>
      </c>
      <c r="K904" s="19">
        <v>0</v>
      </c>
      <c r="L904" s="20">
        <v>0</v>
      </c>
      <c r="M904" s="15">
        <v>0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</row>
    <row r="905" spans="1:43">
      <c r="A905" s="15" t="s">
        <v>43</v>
      </c>
      <c r="B905" s="15" t="s">
        <v>44</v>
      </c>
      <c r="C905" s="15" t="s">
        <v>45</v>
      </c>
      <c r="D905" s="15" t="s">
        <v>2475</v>
      </c>
      <c r="E905" s="15" t="s">
        <v>2476</v>
      </c>
      <c r="F905" s="16">
        <v>41858.4398263889</v>
      </c>
      <c r="G905" s="15" t="s">
        <v>2476</v>
      </c>
      <c r="H905" s="15" t="s">
        <v>2477</v>
      </c>
      <c r="I905" s="18">
        <v>0</v>
      </c>
      <c r="J905" s="18">
        <v>0</v>
      </c>
      <c r="K905" s="19">
        <v>0</v>
      </c>
      <c r="L905" s="20">
        <v>0</v>
      </c>
      <c r="M905" s="15">
        <v>0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</row>
    <row r="906" spans="1:43">
      <c r="A906" s="15" t="s">
        <v>49</v>
      </c>
      <c r="B906" s="15" t="s">
        <v>50</v>
      </c>
      <c r="C906" s="15" t="s">
        <v>61</v>
      </c>
      <c r="D906" s="15" t="s">
        <v>2478</v>
      </c>
      <c r="E906" s="15" t="s">
        <v>2479</v>
      </c>
      <c r="F906" s="16">
        <v>0</v>
      </c>
      <c r="G906" s="15" t="s">
        <v>2479</v>
      </c>
      <c r="H906" s="15" t="s">
        <v>54</v>
      </c>
      <c r="I906" s="18">
        <v>0</v>
      </c>
      <c r="J906" s="18">
        <v>0</v>
      </c>
      <c r="K906" s="19">
        <v>0</v>
      </c>
      <c r="L906" s="20">
        <v>0</v>
      </c>
      <c r="M906" s="15">
        <v>0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</row>
    <row r="907" spans="1:43">
      <c r="A907" s="15" t="s">
        <v>43</v>
      </c>
      <c r="B907" s="15" t="s">
        <v>44</v>
      </c>
      <c r="C907" s="15" t="s">
        <v>45</v>
      </c>
      <c r="D907" s="15" t="s">
        <v>2480</v>
      </c>
      <c r="E907" s="15" t="s">
        <v>2481</v>
      </c>
      <c r="F907" s="16">
        <v>41235.6260763889</v>
      </c>
      <c r="G907" s="15" t="s">
        <v>2481</v>
      </c>
      <c r="H907" s="15" t="s">
        <v>2482</v>
      </c>
      <c r="I907" s="18">
        <v>0</v>
      </c>
      <c r="J907" s="18">
        <v>0</v>
      </c>
      <c r="K907" s="19">
        <v>0</v>
      </c>
      <c r="L907" s="20">
        <v>0</v>
      </c>
      <c r="M907" s="15">
        <v>0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</row>
    <row r="908" spans="1:43">
      <c r="A908" s="15" t="s">
        <v>43</v>
      </c>
      <c r="B908" s="15" t="s">
        <v>44</v>
      </c>
      <c r="C908" s="15" t="s">
        <v>45</v>
      </c>
      <c r="D908" s="15" t="s">
        <v>2483</v>
      </c>
      <c r="E908" s="15" t="s">
        <v>2484</v>
      </c>
      <c r="F908" s="16">
        <v>41218.7306597222</v>
      </c>
      <c r="G908" s="15" t="s">
        <v>2484</v>
      </c>
      <c r="H908" s="15" t="s">
        <v>2485</v>
      </c>
      <c r="I908" s="18">
        <v>0</v>
      </c>
      <c r="J908" s="18">
        <v>0</v>
      </c>
      <c r="K908" s="19">
        <v>0</v>
      </c>
      <c r="L908" s="20">
        <v>0</v>
      </c>
      <c r="M908" s="15">
        <v>0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</row>
    <row r="909" spans="1:43">
      <c r="A909" s="15" t="s">
        <v>64</v>
      </c>
      <c r="B909" s="15" t="s">
        <v>118</v>
      </c>
      <c r="C909" s="15" t="s">
        <v>119</v>
      </c>
      <c r="D909" s="15" t="s">
        <v>2486</v>
      </c>
      <c r="E909" s="15" t="s">
        <v>2487</v>
      </c>
      <c r="F909" s="16">
        <v>45106.7092939815</v>
      </c>
      <c r="G909" s="15" t="s">
        <v>2487</v>
      </c>
      <c r="H909" s="15" t="s">
        <v>2488</v>
      </c>
      <c r="I909" s="18">
        <v>255.14</v>
      </c>
      <c r="J909" s="18">
        <v>14</v>
      </c>
      <c r="K909" s="19">
        <v>18.2242857142857</v>
      </c>
      <c r="L909" s="20">
        <v>0.26034693877551</v>
      </c>
      <c r="M909" s="15">
        <v>15.48</v>
      </c>
      <c r="N909" s="15">
        <v>25.05</v>
      </c>
      <c r="O909" s="15">
        <v>28.81</v>
      </c>
      <c r="P909" s="15">
        <v>42.41</v>
      </c>
      <c r="Q909" s="15">
        <v>19.04</v>
      </c>
      <c r="R909" s="15">
        <v>25.52</v>
      </c>
      <c r="S909" s="15">
        <v>27.13</v>
      </c>
      <c r="T909" s="15">
        <v>10.88</v>
      </c>
      <c r="U909" s="15">
        <v>12.73</v>
      </c>
      <c r="V909" s="15">
        <v>0.59</v>
      </c>
      <c r="W909" s="15">
        <v>15.89</v>
      </c>
      <c r="X909" s="15">
        <v>22.37</v>
      </c>
      <c r="Y909" s="15">
        <v>4.44</v>
      </c>
      <c r="Z909" s="15">
        <v>4.8</v>
      </c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</row>
    <row r="910" spans="1:43">
      <c r="A910" s="15" t="s">
        <v>49</v>
      </c>
      <c r="B910" s="15" t="s">
        <v>50</v>
      </c>
      <c r="C910" s="15" t="s">
        <v>61</v>
      </c>
      <c r="D910" s="15" t="s">
        <v>2489</v>
      </c>
      <c r="E910" s="15" t="s">
        <v>2490</v>
      </c>
      <c r="F910" s="16">
        <v>0</v>
      </c>
      <c r="G910" s="15" t="s">
        <v>2490</v>
      </c>
      <c r="H910" s="15" t="s">
        <v>54</v>
      </c>
      <c r="I910" s="18">
        <v>0</v>
      </c>
      <c r="J910" s="18">
        <v>0</v>
      </c>
      <c r="K910" s="19">
        <v>0</v>
      </c>
      <c r="L910" s="20">
        <v>0</v>
      </c>
      <c r="M910" s="15">
        <v>0</v>
      </c>
      <c r="N910" s="15">
        <v>0</v>
      </c>
      <c r="O910" s="15">
        <v>0</v>
      </c>
      <c r="P910" s="15">
        <v>0</v>
      </c>
      <c r="Q910" s="15">
        <v>0</v>
      </c>
      <c r="R910" s="15">
        <v>0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</row>
    <row r="911" spans="1:43">
      <c r="A911" s="15" t="s">
        <v>49</v>
      </c>
      <c r="B911" s="15" t="s">
        <v>50</v>
      </c>
      <c r="C911" s="15" t="s">
        <v>61</v>
      </c>
      <c r="D911" s="15" t="s">
        <v>2491</v>
      </c>
      <c r="E911" s="15" t="s">
        <v>2492</v>
      </c>
      <c r="F911" s="16">
        <v>0</v>
      </c>
      <c r="G911" s="15" t="s">
        <v>2492</v>
      </c>
      <c r="H911" s="15" t="s">
        <v>54</v>
      </c>
      <c r="I911" s="18">
        <v>0</v>
      </c>
      <c r="J911" s="18">
        <v>0</v>
      </c>
      <c r="K911" s="19">
        <v>0</v>
      </c>
      <c r="L911" s="20">
        <v>0</v>
      </c>
      <c r="M911" s="15">
        <v>0</v>
      </c>
      <c r="N911" s="15">
        <v>0</v>
      </c>
      <c r="O911" s="15">
        <v>0</v>
      </c>
      <c r="P911" s="15">
        <v>0</v>
      </c>
      <c r="Q911" s="15">
        <v>0</v>
      </c>
      <c r="R911" s="15">
        <v>0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</row>
    <row r="912" spans="1:43">
      <c r="A912" s="15" t="s">
        <v>49</v>
      </c>
      <c r="B912" s="15" t="s">
        <v>50</v>
      </c>
      <c r="C912" s="15" t="s">
        <v>75</v>
      </c>
      <c r="D912" s="15" t="s">
        <v>2493</v>
      </c>
      <c r="E912" s="15" t="s">
        <v>2494</v>
      </c>
      <c r="F912" s="16">
        <v>43218.7100462963</v>
      </c>
      <c r="G912" s="15" t="s">
        <v>2494</v>
      </c>
      <c r="H912" s="15" t="s">
        <v>2495</v>
      </c>
      <c r="I912" s="18">
        <v>0</v>
      </c>
      <c r="J912" s="18">
        <v>0</v>
      </c>
      <c r="K912" s="19">
        <v>0</v>
      </c>
      <c r="L912" s="20">
        <v>0</v>
      </c>
      <c r="M912" s="15">
        <v>0</v>
      </c>
      <c r="N912" s="15">
        <v>0</v>
      </c>
      <c r="O912" s="15">
        <v>0</v>
      </c>
      <c r="P912" s="15">
        <v>0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</row>
    <row r="913" spans="1:43">
      <c r="A913" s="15" t="s">
        <v>49</v>
      </c>
      <c r="B913" s="15" t="s">
        <v>50</v>
      </c>
      <c r="C913" s="15" t="s">
        <v>61</v>
      </c>
      <c r="D913" s="15" t="s">
        <v>2496</v>
      </c>
      <c r="E913" s="15" t="s">
        <v>2497</v>
      </c>
      <c r="F913" s="16">
        <v>0</v>
      </c>
      <c r="G913" s="15" t="s">
        <v>2497</v>
      </c>
      <c r="H913" s="15" t="s">
        <v>2498</v>
      </c>
      <c r="I913" s="18">
        <v>0</v>
      </c>
      <c r="J913" s="18">
        <v>0</v>
      </c>
      <c r="K913" s="19">
        <v>0</v>
      </c>
      <c r="L913" s="20">
        <v>0</v>
      </c>
      <c r="M913" s="15">
        <v>0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</row>
    <row r="914" spans="1:43">
      <c r="A914" s="15" t="s">
        <v>43</v>
      </c>
      <c r="B914" s="15" t="s">
        <v>44</v>
      </c>
      <c r="C914" s="15" t="s">
        <v>45</v>
      </c>
      <c r="D914" s="15" t="s">
        <v>2499</v>
      </c>
      <c r="E914" s="15" t="s">
        <v>2500</v>
      </c>
      <c r="F914" s="16">
        <v>44137.6787268519</v>
      </c>
      <c r="G914" s="15" t="s">
        <v>2500</v>
      </c>
      <c r="H914" s="15" t="s">
        <v>54</v>
      </c>
      <c r="I914" s="18">
        <v>0</v>
      </c>
      <c r="J914" s="18">
        <v>0</v>
      </c>
      <c r="K914" s="19">
        <v>0</v>
      </c>
      <c r="L914" s="20">
        <v>0</v>
      </c>
      <c r="M914" s="15">
        <v>0</v>
      </c>
      <c r="N914" s="15">
        <v>0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</row>
    <row r="915" spans="1:43">
      <c r="A915" s="15" t="s">
        <v>49</v>
      </c>
      <c r="B915" s="15" t="s">
        <v>50</v>
      </c>
      <c r="C915" s="15" t="s">
        <v>61</v>
      </c>
      <c r="D915" s="15" t="s">
        <v>2501</v>
      </c>
      <c r="E915" s="15" t="s">
        <v>2502</v>
      </c>
      <c r="F915" s="16">
        <v>0</v>
      </c>
      <c r="G915" s="15" t="s">
        <v>2502</v>
      </c>
      <c r="H915" s="15" t="s">
        <v>2503</v>
      </c>
      <c r="I915" s="18">
        <v>0</v>
      </c>
      <c r="J915" s="18">
        <v>0</v>
      </c>
      <c r="K915" s="19">
        <v>0</v>
      </c>
      <c r="L915" s="20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</row>
    <row r="916" spans="1:43">
      <c r="A916" s="15" t="s">
        <v>49</v>
      </c>
      <c r="B916" s="15" t="s">
        <v>50</v>
      </c>
      <c r="C916" s="15" t="s">
        <v>61</v>
      </c>
      <c r="D916" s="15" t="s">
        <v>2504</v>
      </c>
      <c r="E916" s="15" t="s">
        <v>2505</v>
      </c>
      <c r="F916" s="16">
        <v>0</v>
      </c>
      <c r="G916" s="15" t="s">
        <v>2505</v>
      </c>
      <c r="H916" s="15" t="s">
        <v>54</v>
      </c>
      <c r="I916" s="18">
        <v>0</v>
      </c>
      <c r="J916" s="18">
        <v>0</v>
      </c>
      <c r="K916" s="19">
        <v>0</v>
      </c>
      <c r="L916" s="20">
        <v>0</v>
      </c>
      <c r="M916" s="15">
        <v>0</v>
      </c>
      <c r="N916" s="15">
        <v>0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</row>
    <row r="917" spans="1:43">
      <c r="A917" s="15" t="s">
        <v>49</v>
      </c>
      <c r="B917" s="15" t="s">
        <v>50</v>
      </c>
      <c r="C917" s="15" t="s">
        <v>61</v>
      </c>
      <c r="D917" s="15" t="s">
        <v>2506</v>
      </c>
      <c r="E917" s="15" t="s">
        <v>2507</v>
      </c>
      <c r="F917" s="16">
        <v>0</v>
      </c>
      <c r="G917" s="15" t="s">
        <v>2507</v>
      </c>
      <c r="H917" s="15" t="s">
        <v>2508</v>
      </c>
      <c r="I917" s="18">
        <v>0</v>
      </c>
      <c r="J917" s="18">
        <v>0</v>
      </c>
      <c r="K917" s="19">
        <v>0</v>
      </c>
      <c r="L917" s="20">
        <v>0</v>
      </c>
      <c r="M917" s="15">
        <v>0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</row>
    <row r="918" spans="1:43">
      <c r="A918" s="15" t="s">
        <v>43</v>
      </c>
      <c r="B918" s="15" t="s">
        <v>44</v>
      </c>
      <c r="C918" s="15" t="s">
        <v>45</v>
      </c>
      <c r="D918" s="15" t="s">
        <v>2509</v>
      </c>
      <c r="E918" s="15" t="s">
        <v>2510</v>
      </c>
      <c r="F918" s="16">
        <v>43250.6211458333</v>
      </c>
      <c r="G918" s="15" t="s">
        <v>2510</v>
      </c>
      <c r="H918" s="15" t="s">
        <v>2511</v>
      </c>
      <c r="I918" s="18">
        <v>0</v>
      </c>
      <c r="J918" s="18">
        <v>0</v>
      </c>
      <c r="K918" s="19">
        <v>0</v>
      </c>
      <c r="L918" s="20">
        <v>0</v>
      </c>
      <c r="M918" s="15">
        <v>0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</row>
    <row r="919" spans="1:43">
      <c r="A919" s="15" t="s">
        <v>49</v>
      </c>
      <c r="B919" s="15" t="s">
        <v>50</v>
      </c>
      <c r="C919" s="15" t="s">
        <v>61</v>
      </c>
      <c r="D919" s="15" t="s">
        <v>2512</v>
      </c>
      <c r="E919" s="15" t="s">
        <v>2513</v>
      </c>
      <c r="F919" s="16">
        <v>0</v>
      </c>
      <c r="G919" s="15" t="s">
        <v>2513</v>
      </c>
      <c r="H919" s="15" t="s">
        <v>54</v>
      </c>
      <c r="I919" s="18">
        <v>0</v>
      </c>
      <c r="J919" s="18">
        <v>0</v>
      </c>
      <c r="K919" s="19">
        <v>0</v>
      </c>
      <c r="L919" s="20">
        <v>0</v>
      </c>
      <c r="M919" s="15">
        <v>0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</row>
    <row r="920" spans="1:43">
      <c r="A920" s="15" t="s">
        <v>49</v>
      </c>
      <c r="B920" s="15" t="s">
        <v>50</v>
      </c>
      <c r="C920" s="15" t="s">
        <v>61</v>
      </c>
      <c r="D920" s="15" t="s">
        <v>2514</v>
      </c>
      <c r="E920" s="15" t="s">
        <v>504</v>
      </c>
      <c r="F920" s="16">
        <v>0</v>
      </c>
      <c r="G920" s="15" t="s">
        <v>504</v>
      </c>
      <c r="H920" s="15" t="s">
        <v>54</v>
      </c>
      <c r="I920" s="18">
        <v>0</v>
      </c>
      <c r="J920" s="18">
        <v>0</v>
      </c>
      <c r="K920" s="19">
        <v>0</v>
      </c>
      <c r="L920" s="20">
        <v>0</v>
      </c>
      <c r="M920" s="15">
        <v>0</v>
      </c>
      <c r="N920" s="15">
        <v>0</v>
      </c>
      <c r="O920" s="15">
        <v>0</v>
      </c>
      <c r="P920" s="15">
        <v>0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</row>
    <row r="921" spans="1:43">
      <c r="A921" s="15" t="s">
        <v>49</v>
      </c>
      <c r="B921" s="15" t="s">
        <v>50</v>
      </c>
      <c r="C921" s="15" t="s">
        <v>1300</v>
      </c>
      <c r="D921" s="15" t="s">
        <v>2515</v>
      </c>
      <c r="E921" s="15" t="s">
        <v>1302</v>
      </c>
      <c r="F921" s="16">
        <v>45082.6716203704</v>
      </c>
      <c r="G921" s="15" t="s">
        <v>1302</v>
      </c>
      <c r="H921" s="15" t="s">
        <v>54</v>
      </c>
      <c r="I921" s="18">
        <v>0</v>
      </c>
      <c r="J921" s="18">
        <v>0</v>
      </c>
      <c r="K921" s="19">
        <v>0</v>
      </c>
      <c r="L921" s="20">
        <v>0</v>
      </c>
      <c r="M921" s="15">
        <v>0</v>
      </c>
      <c r="N921" s="15">
        <v>0</v>
      </c>
      <c r="O921" s="15">
        <v>0</v>
      </c>
      <c r="P921" s="15">
        <v>0</v>
      </c>
      <c r="Q921" s="15">
        <v>0</v>
      </c>
      <c r="R921" s="15">
        <v>0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</row>
    <row r="922" spans="1:43">
      <c r="A922" s="15" t="s">
        <v>43</v>
      </c>
      <c r="B922" s="15" t="s">
        <v>44</v>
      </c>
      <c r="C922" s="15" t="s">
        <v>45</v>
      </c>
      <c r="D922" s="15" t="s">
        <v>2516</v>
      </c>
      <c r="E922" s="15" t="s">
        <v>2517</v>
      </c>
      <c r="F922" s="16">
        <v>41725.4151388889</v>
      </c>
      <c r="G922" s="15" t="s">
        <v>2517</v>
      </c>
      <c r="H922" s="15" t="s">
        <v>2518</v>
      </c>
      <c r="I922" s="18">
        <v>0</v>
      </c>
      <c r="J922" s="18">
        <v>0</v>
      </c>
      <c r="K922" s="19">
        <v>0</v>
      </c>
      <c r="L922" s="20">
        <v>0</v>
      </c>
      <c r="M922" s="15">
        <v>0</v>
      </c>
      <c r="N922" s="15">
        <v>0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</row>
    <row r="923" spans="1:43">
      <c r="A923" s="15" t="s">
        <v>43</v>
      </c>
      <c r="B923" s="15" t="s">
        <v>44</v>
      </c>
      <c r="C923" s="15" t="s">
        <v>45</v>
      </c>
      <c r="D923" s="15" t="s">
        <v>2519</v>
      </c>
      <c r="E923" s="15" t="s">
        <v>2520</v>
      </c>
      <c r="F923" s="16">
        <v>42438.4082638889</v>
      </c>
      <c r="G923" s="15" t="s">
        <v>2520</v>
      </c>
      <c r="H923" s="15" t="s">
        <v>2521</v>
      </c>
      <c r="I923" s="18">
        <v>0</v>
      </c>
      <c r="J923" s="18">
        <v>0</v>
      </c>
      <c r="K923" s="19">
        <v>0</v>
      </c>
      <c r="L923" s="20">
        <v>0</v>
      </c>
      <c r="M923" s="15">
        <v>0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</row>
    <row r="924" spans="1:43">
      <c r="A924" s="15" t="s">
        <v>43</v>
      </c>
      <c r="B924" s="15" t="s">
        <v>44</v>
      </c>
      <c r="C924" s="15" t="s">
        <v>45</v>
      </c>
      <c r="D924" s="15" t="s">
        <v>2522</v>
      </c>
      <c r="E924" s="15" t="s">
        <v>2523</v>
      </c>
      <c r="F924" s="16">
        <v>43590.7057638889</v>
      </c>
      <c r="G924" s="15" t="s">
        <v>2523</v>
      </c>
      <c r="H924" s="15" t="s">
        <v>2524</v>
      </c>
      <c r="I924" s="18">
        <v>0</v>
      </c>
      <c r="J924" s="18">
        <v>0</v>
      </c>
      <c r="K924" s="19">
        <v>0</v>
      </c>
      <c r="L924" s="20">
        <v>0</v>
      </c>
      <c r="M924" s="15">
        <v>0</v>
      </c>
      <c r="N924" s="15">
        <v>0</v>
      </c>
      <c r="O924" s="15">
        <v>0</v>
      </c>
      <c r="P924" s="15">
        <v>0</v>
      </c>
      <c r="Q924" s="15">
        <v>0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</row>
    <row r="925" spans="1:43">
      <c r="A925" s="15" t="s">
        <v>43</v>
      </c>
      <c r="B925" s="15" t="s">
        <v>44</v>
      </c>
      <c r="C925" s="15" t="s">
        <v>45</v>
      </c>
      <c r="D925" s="15" t="s">
        <v>2525</v>
      </c>
      <c r="E925" s="15" t="s">
        <v>2526</v>
      </c>
      <c r="F925" s="16">
        <v>42195.3966666667</v>
      </c>
      <c r="G925" s="15" t="s">
        <v>2526</v>
      </c>
      <c r="H925" s="15" t="s">
        <v>2527</v>
      </c>
      <c r="I925" s="18">
        <v>0</v>
      </c>
      <c r="J925" s="18">
        <v>0</v>
      </c>
      <c r="K925" s="19">
        <v>0</v>
      </c>
      <c r="L925" s="20">
        <v>0</v>
      </c>
      <c r="M925" s="15">
        <v>0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</row>
    <row r="926" spans="1:43">
      <c r="A926" s="15" t="s">
        <v>49</v>
      </c>
      <c r="B926" s="15" t="s">
        <v>50</v>
      </c>
      <c r="C926" s="15" t="s">
        <v>61</v>
      </c>
      <c r="D926" s="15" t="s">
        <v>2528</v>
      </c>
      <c r="E926" s="15" t="s">
        <v>2529</v>
      </c>
      <c r="F926" s="16">
        <v>0</v>
      </c>
      <c r="G926" s="15" t="s">
        <v>2529</v>
      </c>
      <c r="H926" s="15" t="s">
        <v>54</v>
      </c>
      <c r="I926" s="18">
        <v>0</v>
      </c>
      <c r="J926" s="18">
        <v>0</v>
      </c>
      <c r="K926" s="19">
        <v>0</v>
      </c>
      <c r="L926" s="20">
        <v>0</v>
      </c>
      <c r="M926" s="15">
        <v>0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</row>
    <row r="927" spans="1:43">
      <c r="A927" s="15" t="s">
        <v>49</v>
      </c>
      <c r="B927" s="15" t="s">
        <v>50</v>
      </c>
      <c r="C927" s="15" t="s">
        <v>61</v>
      </c>
      <c r="D927" s="15" t="s">
        <v>2530</v>
      </c>
      <c r="E927" s="15" t="s">
        <v>2531</v>
      </c>
      <c r="F927" s="16">
        <v>0</v>
      </c>
      <c r="G927" s="15" t="s">
        <v>2531</v>
      </c>
      <c r="H927" s="15" t="s">
        <v>2532</v>
      </c>
      <c r="I927" s="18">
        <v>0</v>
      </c>
      <c r="J927" s="18">
        <v>0</v>
      </c>
      <c r="K927" s="19">
        <v>0</v>
      </c>
      <c r="L927" s="20">
        <v>0</v>
      </c>
      <c r="M927" s="15">
        <v>0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</row>
    <row r="928" spans="1:43">
      <c r="A928" s="15" t="s">
        <v>43</v>
      </c>
      <c r="B928" s="15" t="s">
        <v>44</v>
      </c>
      <c r="C928" s="15" t="s">
        <v>45</v>
      </c>
      <c r="D928" s="15" t="s">
        <v>2533</v>
      </c>
      <c r="E928" s="15" t="s">
        <v>2534</v>
      </c>
      <c r="F928" s="16">
        <v>40672.7501736111</v>
      </c>
      <c r="G928" s="15" t="s">
        <v>2534</v>
      </c>
      <c r="H928" s="15" t="s">
        <v>2535</v>
      </c>
      <c r="I928" s="18">
        <v>0</v>
      </c>
      <c r="J928" s="18">
        <v>0</v>
      </c>
      <c r="K928" s="19">
        <v>0</v>
      </c>
      <c r="L928" s="20">
        <v>0</v>
      </c>
      <c r="M928" s="15">
        <v>0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</row>
    <row r="929" spans="1:43">
      <c r="A929" s="15" t="s">
        <v>43</v>
      </c>
      <c r="B929" s="15" t="s">
        <v>44</v>
      </c>
      <c r="C929" s="15" t="s">
        <v>45</v>
      </c>
      <c r="D929" s="15" t="s">
        <v>2536</v>
      </c>
      <c r="E929" s="15" t="s">
        <v>2537</v>
      </c>
      <c r="F929" s="16">
        <v>41586.6975</v>
      </c>
      <c r="G929" s="15" t="s">
        <v>2537</v>
      </c>
      <c r="H929" s="15" t="s">
        <v>2538</v>
      </c>
      <c r="I929" s="18">
        <v>0</v>
      </c>
      <c r="J929" s="18">
        <v>0</v>
      </c>
      <c r="K929" s="19">
        <v>0</v>
      </c>
      <c r="L929" s="20">
        <v>0</v>
      </c>
      <c r="M929" s="15">
        <v>0</v>
      </c>
      <c r="N929" s="15">
        <v>0</v>
      </c>
      <c r="O929" s="15">
        <v>0</v>
      </c>
      <c r="P929" s="15">
        <v>0</v>
      </c>
      <c r="Q929" s="15">
        <v>0</v>
      </c>
      <c r="R929" s="15">
        <v>0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</row>
    <row r="930" spans="1:43">
      <c r="A930" s="15" t="s">
        <v>49</v>
      </c>
      <c r="B930" s="15" t="s">
        <v>50</v>
      </c>
      <c r="C930" s="15" t="s">
        <v>61</v>
      </c>
      <c r="D930" s="15" t="s">
        <v>2539</v>
      </c>
      <c r="E930" s="15" t="s">
        <v>2540</v>
      </c>
      <c r="F930" s="16">
        <v>0</v>
      </c>
      <c r="G930" s="15" t="s">
        <v>2540</v>
      </c>
      <c r="H930" s="15" t="s">
        <v>54</v>
      </c>
      <c r="I930" s="18">
        <v>0</v>
      </c>
      <c r="J930" s="18">
        <v>0</v>
      </c>
      <c r="K930" s="19">
        <v>0</v>
      </c>
      <c r="L930" s="20">
        <v>0</v>
      </c>
      <c r="M930" s="15">
        <v>0</v>
      </c>
      <c r="N930" s="15">
        <v>0</v>
      </c>
      <c r="O930" s="15">
        <v>0</v>
      </c>
      <c r="P930" s="15">
        <v>0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</row>
    <row r="931" spans="1:43">
      <c r="A931" s="15" t="s">
        <v>43</v>
      </c>
      <c r="B931" s="15" t="s">
        <v>44</v>
      </c>
      <c r="C931" s="15" t="s">
        <v>45</v>
      </c>
      <c r="D931" s="15" t="s">
        <v>2541</v>
      </c>
      <c r="E931" s="15" t="s">
        <v>2542</v>
      </c>
      <c r="F931" s="16">
        <v>42580.6558796296</v>
      </c>
      <c r="G931" s="15" t="s">
        <v>2542</v>
      </c>
      <c r="H931" s="15" t="s">
        <v>2543</v>
      </c>
      <c r="I931" s="18">
        <v>0</v>
      </c>
      <c r="J931" s="18">
        <v>0</v>
      </c>
      <c r="K931" s="19">
        <v>0</v>
      </c>
      <c r="L931" s="20">
        <v>0</v>
      </c>
      <c r="M931" s="15">
        <v>0</v>
      </c>
      <c r="N931" s="15">
        <v>0</v>
      </c>
      <c r="O931" s="15">
        <v>0</v>
      </c>
      <c r="P931" s="15">
        <v>0</v>
      </c>
      <c r="Q931" s="15">
        <v>0</v>
      </c>
      <c r="R931" s="15">
        <v>0</v>
      </c>
      <c r="S931" s="15">
        <v>0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</row>
    <row r="932" spans="1:43">
      <c r="A932" s="15" t="s">
        <v>49</v>
      </c>
      <c r="B932" s="15" t="s">
        <v>50</v>
      </c>
      <c r="C932" s="15" t="s">
        <v>61</v>
      </c>
      <c r="D932" s="15" t="s">
        <v>2544</v>
      </c>
      <c r="E932" s="15" t="s">
        <v>2545</v>
      </c>
      <c r="F932" s="16">
        <v>0</v>
      </c>
      <c r="G932" s="15" t="s">
        <v>2545</v>
      </c>
      <c r="H932" s="15" t="s">
        <v>2546</v>
      </c>
      <c r="I932" s="18">
        <v>0</v>
      </c>
      <c r="J932" s="18">
        <v>0</v>
      </c>
      <c r="K932" s="19">
        <v>0</v>
      </c>
      <c r="L932" s="20">
        <v>0</v>
      </c>
      <c r="M932" s="15">
        <v>0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</row>
    <row r="933" spans="1:43">
      <c r="A933" s="15" t="s">
        <v>43</v>
      </c>
      <c r="B933" s="15" t="s">
        <v>44</v>
      </c>
      <c r="C933" s="15" t="s">
        <v>45</v>
      </c>
      <c r="D933" s="15" t="s">
        <v>2547</v>
      </c>
      <c r="E933" s="15" t="s">
        <v>2548</v>
      </c>
      <c r="F933" s="16">
        <v>41697.7161111111</v>
      </c>
      <c r="G933" s="15" t="s">
        <v>2548</v>
      </c>
      <c r="H933" s="15" t="s">
        <v>2549</v>
      </c>
      <c r="I933" s="18">
        <v>0</v>
      </c>
      <c r="J933" s="18">
        <v>0</v>
      </c>
      <c r="K933" s="19">
        <v>0</v>
      </c>
      <c r="L933" s="20">
        <v>0</v>
      </c>
      <c r="M933" s="15">
        <v>0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</row>
    <row r="934" spans="1:43">
      <c r="A934" s="15" t="s">
        <v>43</v>
      </c>
      <c r="B934" s="15" t="s">
        <v>44</v>
      </c>
      <c r="C934" s="15" t="s">
        <v>45</v>
      </c>
      <c r="D934" s="15" t="s">
        <v>2550</v>
      </c>
      <c r="E934" s="15" t="s">
        <v>2551</v>
      </c>
      <c r="F934" s="16">
        <v>42632.3777083333</v>
      </c>
      <c r="G934" s="15" t="s">
        <v>2551</v>
      </c>
      <c r="H934" s="15" t="s">
        <v>2552</v>
      </c>
      <c r="I934" s="18">
        <v>0</v>
      </c>
      <c r="J934" s="18">
        <v>0</v>
      </c>
      <c r="K934" s="19">
        <v>0</v>
      </c>
      <c r="L934" s="20">
        <v>0</v>
      </c>
      <c r="M934" s="15">
        <v>0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</row>
    <row r="935" spans="1:43">
      <c r="A935" s="15" t="s">
        <v>64</v>
      </c>
      <c r="B935" s="15" t="s">
        <v>118</v>
      </c>
      <c r="C935" s="15" t="s">
        <v>131</v>
      </c>
      <c r="D935" s="15" t="s">
        <v>2553</v>
      </c>
      <c r="E935" s="15" t="s">
        <v>2554</v>
      </c>
      <c r="F935" s="16">
        <v>45007.5814351852</v>
      </c>
      <c r="G935" s="15" t="s">
        <v>2554</v>
      </c>
      <c r="H935" s="15" t="s">
        <v>2555</v>
      </c>
      <c r="I935" s="18">
        <v>0</v>
      </c>
      <c r="J935" s="18">
        <v>0</v>
      </c>
      <c r="K935" s="19">
        <v>0</v>
      </c>
      <c r="L935" s="20">
        <v>0</v>
      </c>
      <c r="M935" s="15">
        <v>0</v>
      </c>
      <c r="N935" s="15">
        <v>0</v>
      </c>
      <c r="O935" s="15">
        <v>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</row>
    <row r="936" spans="1:43">
      <c r="A936" s="15" t="s">
        <v>64</v>
      </c>
      <c r="B936" s="15" t="s">
        <v>65</v>
      </c>
      <c r="C936" s="15" t="s">
        <v>401</v>
      </c>
      <c r="D936" s="15" t="s">
        <v>2556</v>
      </c>
      <c r="E936" s="15" t="s">
        <v>2557</v>
      </c>
      <c r="F936" s="16">
        <v>44984.6087268519</v>
      </c>
      <c r="G936" s="15" t="s">
        <v>2557</v>
      </c>
      <c r="H936" s="15" t="s">
        <v>2558</v>
      </c>
      <c r="I936" s="18">
        <v>1889.43</v>
      </c>
      <c r="J936" s="18">
        <v>14</v>
      </c>
      <c r="K936" s="19">
        <v>134.959285714286</v>
      </c>
      <c r="L936" s="20">
        <v>1.92798979591837</v>
      </c>
      <c r="M936" s="15">
        <v>147.94</v>
      </c>
      <c r="N936" s="15">
        <v>200.84</v>
      </c>
      <c r="O936" s="15">
        <v>123.17</v>
      </c>
      <c r="P936" s="15">
        <v>205.68</v>
      </c>
      <c r="Q936" s="15">
        <v>96.79</v>
      </c>
      <c r="R936" s="15">
        <v>144.79</v>
      </c>
      <c r="S936" s="15">
        <v>94.91</v>
      </c>
      <c r="T936" s="15">
        <v>112.61</v>
      </c>
      <c r="U936" s="15">
        <v>136.92</v>
      </c>
      <c r="V936" s="15">
        <v>209.52</v>
      </c>
      <c r="W936" s="15">
        <v>128.36</v>
      </c>
      <c r="X936" s="15">
        <v>55.83</v>
      </c>
      <c r="Y936" s="15">
        <v>103.23</v>
      </c>
      <c r="Z936" s="15">
        <v>128.84</v>
      </c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</row>
    <row r="937" spans="1:43">
      <c r="A937" s="15" t="s">
        <v>43</v>
      </c>
      <c r="B937" s="15" t="s">
        <v>44</v>
      </c>
      <c r="C937" s="15" t="s">
        <v>45</v>
      </c>
      <c r="D937" s="15" t="s">
        <v>2559</v>
      </c>
      <c r="E937" s="15" t="s">
        <v>2560</v>
      </c>
      <c r="F937" s="16">
        <v>42395.6594791667</v>
      </c>
      <c r="G937" s="15" t="s">
        <v>2560</v>
      </c>
      <c r="H937" s="15" t="s">
        <v>2561</v>
      </c>
      <c r="I937" s="18">
        <v>0</v>
      </c>
      <c r="J937" s="18">
        <v>0</v>
      </c>
      <c r="K937" s="19">
        <v>0</v>
      </c>
      <c r="L937" s="20">
        <v>0</v>
      </c>
      <c r="M937" s="15">
        <v>0</v>
      </c>
      <c r="N937" s="15">
        <v>0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</row>
    <row r="938" spans="1:43">
      <c r="A938" s="15" t="s">
        <v>64</v>
      </c>
      <c r="B938" s="15" t="s">
        <v>118</v>
      </c>
      <c r="C938" s="15" t="s">
        <v>119</v>
      </c>
      <c r="D938" s="15" t="s">
        <v>2562</v>
      </c>
      <c r="E938" s="15" t="s">
        <v>2563</v>
      </c>
      <c r="F938" s="16">
        <v>44776.5972569444</v>
      </c>
      <c r="G938" s="15" t="s">
        <v>2563</v>
      </c>
      <c r="H938" s="15" t="s">
        <v>54</v>
      </c>
      <c r="I938" s="18">
        <v>201.57</v>
      </c>
      <c r="J938" s="18">
        <v>2</v>
      </c>
      <c r="K938" s="19">
        <v>100.785</v>
      </c>
      <c r="L938" s="20">
        <v>1.43978571428571</v>
      </c>
      <c r="M938" s="15">
        <v>101.09</v>
      </c>
      <c r="N938" s="15">
        <v>100.48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</row>
    <row r="939" spans="1:43">
      <c r="A939" s="15" t="s">
        <v>43</v>
      </c>
      <c r="B939" s="15" t="s">
        <v>44</v>
      </c>
      <c r="C939" s="15" t="s">
        <v>45</v>
      </c>
      <c r="D939" s="15" t="s">
        <v>2564</v>
      </c>
      <c r="E939" s="15" t="s">
        <v>2565</v>
      </c>
      <c r="F939" s="16">
        <v>43696.6579050926</v>
      </c>
      <c r="G939" s="15" t="s">
        <v>2565</v>
      </c>
      <c r="H939" s="15" t="s">
        <v>54</v>
      </c>
      <c r="I939" s="18">
        <v>0</v>
      </c>
      <c r="J939" s="18">
        <v>0</v>
      </c>
      <c r="K939" s="19">
        <v>0</v>
      </c>
      <c r="L939" s="20">
        <v>0</v>
      </c>
      <c r="M939" s="15">
        <v>0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</row>
    <row r="940" spans="1:43">
      <c r="A940" s="15" t="s">
        <v>43</v>
      </c>
      <c r="B940" s="15" t="s">
        <v>44</v>
      </c>
      <c r="C940" s="15" t="s">
        <v>45</v>
      </c>
      <c r="D940" s="15" t="s">
        <v>2566</v>
      </c>
      <c r="E940" s="15" t="s">
        <v>2567</v>
      </c>
      <c r="F940" s="16">
        <v>40987.488587963</v>
      </c>
      <c r="G940" s="15" t="s">
        <v>2567</v>
      </c>
      <c r="H940" s="15" t="s">
        <v>2568</v>
      </c>
      <c r="I940" s="18">
        <v>0</v>
      </c>
      <c r="J940" s="18">
        <v>0</v>
      </c>
      <c r="K940" s="19">
        <v>0</v>
      </c>
      <c r="L940" s="20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</row>
    <row r="941" spans="1:43">
      <c r="A941" s="15" t="s">
        <v>49</v>
      </c>
      <c r="B941" s="15" t="s">
        <v>50</v>
      </c>
      <c r="C941" s="15" t="s">
        <v>75</v>
      </c>
      <c r="D941" s="15" t="s">
        <v>2569</v>
      </c>
      <c r="E941" s="15" t="s">
        <v>2570</v>
      </c>
      <c r="F941" s="16">
        <v>45096.6452777778</v>
      </c>
      <c r="G941" s="15" t="s">
        <v>2570</v>
      </c>
      <c r="H941" s="15" t="s">
        <v>54</v>
      </c>
      <c r="I941" s="18">
        <v>0</v>
      </c>
      <c r="J941" s="18">
        <v>0</v>
      </c>
      <c r="K941" s="19">
        <v>0</v>
      </c>
      <c r="L941" s="20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</row>
    <row r="942" spans="1:43">
      <c r="A942" s="15" t="s">
        <v>49</v>
      </c>
      <c r="B942" s="15" t="s">
        <v>50</v>
      </c>
      <c r="C942" s="15" t="s">
        <v>61</v>
      </c>
      <c r="D942" s="15" t="s">
        <v>2571</v>
      </c>
      <c r="E942" s="15" t="s">
        <v>2572</v>
      </c>
      <c r="F942" s="16">
        <v>0</v>
      </c>
      <c r="G942" s="15" t="s">
        <v>2572</v>
      </c>
      <c r="H942" s="15" t="s">
        <v>107</v>
      </c>
      <c r="I942" s="18">
        <v>0</v>
      </c>
      <c r="J942" s="18">
        <v>0</v>
      </c>
      <c r="K942" s="19">
        <v>0</v>
      </c>
      <c r="L942" s="20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</row>
    <row r="943" spans="1:43">
      <c r="A943" s="15" t="s">
        <v>43</v>
      </c>
      <c r="B943" s="15" t="s">
        <v>44</v>
      </c>
      <c r="C943" s="15" t="s">
        <v>45</v>
      </c>
      <c r="D943" s="15" t="s">
        <v>2573</v>
      </c>
      <c r="E943" s="15" t="s">
        <v>2574</v>
      </c>
      <c r="F943" s="16">
        <v>43461.6407407407</v>
      </c>
      <c r="G943" s="15" t="s">
        <v>2574</v>
      </c>
      <c r="H943" s="15" t="s">
        <v>2575</v>
      </c>
      <c r="I943" s="18">
        <v>0</v>
      </c>
      <c r="J943" s="18">
        <v>0</v>
      </c>
      <c r="K943" s="19">
        <v>0</v>
      </c>
      <c r="L943" s="20">
        <v>0</v>
      </c>
      <c r="M943" s="15">
        <v>0</v>
      </c>
      <c r="N943" s="15">
        <v>0</v>
      </c>
      <c r="O943" s="15">
        <v>0</v>
      </c>
      <c r="P943" s="15">
        <v>0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</row>
    <row r="944" spans="1:43">
      <c r="A944" s="15" t="s">
        <v>43</v>
      </c>
      <c r="B944" s="15" t="s">
        <v>44</v>
      </c>
      <c r="C944" s="15" t="s">
        <v>45</v>
      </c>
      <c r="D944" s="15" t="s">
        <v>2576</v>
      </c>
      <c r="E944" s="15" t="s">
        <v>2577</v>
      </c>
      <c r="F944" s="16">
        <v>42640.4666203704</v>
      </c>
      <c r="G944" s="15" t="s">
        <v>2577</v>
      </c>
      <c r="H944" s="15" t="s">
        <v>2578</v>
      </c>
      <c r="I944" s="18">
        <v>0</v>
      </c>
      <c r="J944" s="18">
        <v>0</v>
      </c>
      <c r="K944" s="19">
        <v>0</v>
      </c>
      <c r="L944" s="20">
        <v>0</v>
      </c>
      <c r="M944" s="15">
        <v>0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0</v>
      </c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</row>
    <row r="945" spans="1:43">
      <c r="A945" s="15" t="s">
        <v>49</v>
      </c>
      <c r="B945" s="15" t="s">
        <v>50</v>
      </c>
      <c r="C945" s="15" t="s">
        <v>61</v>
      </c>
      <c r="D945" s="15" t="s">
        <v>2579</v>
      </c>
      <c r="E945" s="15" t="s">
        <v>1721</v>
      </c>
      <c r="F945" s="16">
        <v>0</v>
      </c>
      <c r="G945" s="15" t="s">
        <v>1721</v>
      </c>
      <c r="H945" s="15" t="s">
        <v>54</v>
      </c>
      <c r="I945" s="18">
        <v>0</v>
      </c>
      <c r="J945" s="18">
        <v>0</v>
      </c>
      <c r="K945" s="19">
        <v>0</v>
      </c>
      <c r="L945" s="20">
        <v>0</v>
      </c>
      <c r="M945" s="15">
        <v>0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</row>
    <row r="946" spans="1:43">
      <c r="A946" s="15" t="s">
        <v>49</v>
      </c>
      <c r="B946" s="15" t="s">
        <v>50</v>
      </c>
      <c r="C946" s="15" t="s">
        <v>61</v>
      </c>
      <c r="D946" s="15" t="s">
        <v>2580</v>
      </c>
      <c r="E946" s="15" t="s">
        <v>2581</v>
      </c>
      <c r="F946" s="16">
        <v>0</v>
      </c>
      <c r="G946" s="15" t="s">
        <v>2581</v>
      </c>
      <c r="H946" s="15" t="s">
        <v>2582</v>
      </c>
      <c r="I946" s="18">
        <v>0</v>
      </c>
      <c r="J946" s="18">
        <v>0</v>
      </c>
      <c r="K946" s="19">
        <v>0</v>
      </c>
      <c r="L946" s="20">
        <v>0</v>
      </c>
      <c r="M946" s="15">
        <v>0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</row>
    <row r="947" spans="1:43">
      <c r="A947" s="15" t="s">
        <v>49</v>
      </c>
      <c r="B947" s="15" t="s">
        <v>50</v>
      </c>
      <c r="C947" s="15" t="s">
        <v>301</v>
      </c>
      <c r="D947" s="15" t="s">
        <v>2583</v>
      </c>
      <c r="E947" s="15" t="s">
        <v>2584</v>
      </c>
      <c r="F947" s="16">
        <v>45058.4527314815</v>
      </c>
      <c r="G947" s="15" t="s">
        <v>2584</v>
      </c>
      <c r="H947" s="15" t="s">
        <v>54</v>
      </c>
      <c r="I947" s="18">
        <v>0</v>
      </c>
      <c r="J947" s="18">
        <v>0</v>
      </c>
      <c r="K947" s="19">
        <v>0</v>
      </c>
      <c r="L947" s="20">
        <v>0</v>
      </c>
      <c r="M947" s="15">
        <v>0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</row>
    <row r="948" spans="1:43">
      <c r="A948" s="15" t="s">
        <v>43</v>
      </c>
      <c r="B948" s="15" t="s">
        <v>44</v>
      </c>
      <c r="C948" s="15" t="s">
        <v>45</v>
      </c>
      <c r="D948" s="15" t="s">
        <v>2585</v>
      </c>
      <c r="E948" s="15" t="s">
        <v>2586</v>
      </c>
      <c r="F948" s="16">
        <v>42455.491099537</v>
      </c>
      <c r="G948" s="15" t="s">
        <v>2586</v>
      </c>
      <c r="H948" s="15" t="s">
        <v>2587</v>
      </c>
      <c r="I948" s="18">
        <v>0</v>
      </c>
      <c r="J948" s="18">
        <v>0</v>
      </c>
      <c r="K948" s="19">
        <v>0</v>
      </c>
      <c r="L948" s="20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</row>
    <row r="949" spans="1:43">
      <c r="A949" s="15" t="s">
        <v>43</v>
      </c>
      <c r="B949" s="15" t="s">
        <v>44</v>
      </c>
      <c r="C949" s="15" t="s">
        <v>45</v>
      </c>
      <c r="D949" s="15" t="s">
        <v>2588</v>
      </c>
      <c r="E949" s="15" t="s">
        <v>2589</v>
      </c>
      <c r="F949" s="16">
        <v>0</v>
      </c>
      <c r="G949" s="15" t="s">
        <v>2589</v>
      </c>
      <c r="H949" s="15" t="s">
        <v>2590</v>
      </c>
      <c r="I949" s="18">
        <v>0</v>
      </c>
      <c r="J949" s="18">
        <v>0</v>
      </c>
      <c r="K949" s="19">
        <v>0</v>
      </c>
      <c r="L949" s="20">
        <v>0</v>
      </c>
      <c r="M949" s="15">
        <v>0</v>
      </c>
      <c r="N949" s="15">
        <v>0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</row>
    <row r="950" spans="1:43">
      <c r="A950" s="15" t="s">
        <v>49</v>
      </c>
      <c r="B950" s="15" t="s">
        <v>50</v>
      </c>
      <c r="C950" s="15" t="s">
        <v>61</v>
      </c>
      <c r="D950" s="15" t="s">
        <v>2591</v>
      </c>
      <c r="E950" s="15" t="s">
        <v>2592</v>
      </c>
      <c r="F950" s="16">
        <v>0</v>
      </c>
      <c r="G950" s="15" t="s">
        <v>2592</v>
      </c>
      <c r="H950" s="15" t="s">
        <v>296</v>
      </c>
      <c r="I950" s="18">
        <v>0</v>
      </c>
      <c r="J950" s="18">
        <v>0</v>
      </c>
      <c r="K950" s="19">
        <v>0</v>
      </c>
      <c r="L950" s="20">
        <v>0</v>
      </c>
      <c r="M950" s="15">
        <v>0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</row>
    <row r="951" spans="1:43">
      <c r="A951" s="15" t="s">
        <v>43</v>
      </c>
      <c r="B951" s="15" t="s">
        <v>44</v>
      </c>
      <c r="C951" s="15" t="s">
        <v>45</v>
      </c>
      <c r="D951" s="15" t="s">
        <v>2593</v>
      </c>
      <c r="E951" s="15" t="s">
        <v>2594</v>
      </c>
      <c r="F951" s="16">
        <v>43672.6047106481</v>
      </c>
      <c r="G951" s="15" t="s">
        <v>2594</v>
      </c>
      <c r="H951" s="15" t="s">
        <v>2595</v>
      </c>
      <c r="I951" s="18">
        <v>0</v>
      </c>
      <c r="J951" s="18">
        <v>0</v>
      </c>
      <c r="K951" s="19">
        <v>0</v>
      </c>
      <c r="L951" s="20">
        <v>0</v>
      </c>
      <c r="M951" s="15">
        <v>0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</row>
    <row r="952" spans="1:43">
      <c r="A952" s="15" t="s">
        <v>43</v>
      </c>
      <c r="B952" s="15" t="s">
        <v>44</v>
      </c>
      <c r="C952" s="15" t="s">
        <v>440</v>
      </c>
      <c r="D952" s="15" t="s">
        <v>2596</v>
      </c>
      <c r="E952" s="15" t="s">
        <v>2597</v>
      </c>
      <c r="F952" s="16">
        <v>44718.6705439815</v>
      </c>
      <c r="G952" s="15" t="s">
        <v>2597</v>
      </c>
      <c r="H952" s="15" t="s">
        <v>54</v>
      </c>
      <c r="I952" s="18">
        <v>0</v>
      </c>
      <c r="J952" s="18">
        <v>0</v>
      </c>
      <c r="K952" s="19">
        <v>0</v>
      </c>
      <c r="L952" s="20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</row>
    <row r="953" spans="1:43">
      <c r="A953" s="15" t="s">
        <v>49</v>
      </c>
      <c r="B953" s="15" t="s">
        <v>50</v>
      </c>
      <c r="C953" s="15" t="s">
        <v>61</v>
      </c>
      <c r="D953" s="15" t="s">
        <v>2598</v>
      </c>
      <c r="E953" s="15" t="s">
        <v>2599</v>
      </c>
      <c r="F953" s="16">
        <v>0</v>
      </c>
      <c r="G953" s="15" t="s">
        <v>2599</v>
      </c>
      <c r="H953" s="15" t="s">
        <v>2600</v>
      </c>
      <c r="I953" s="18">
        <v>0</v>
      </c>
      <c r="J953" s="18">
        <v>0</v>
      </c>
      <c r="K953" s="19">
        <v>0</v>
      </c>
      <c r="L953" s="20">
        <v>0</v>
      </c>
      <c r="M953" s="15">
        <v>0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</row>
    <row r="954" spans="1:43">
      <c r="A954" s="15" t="s">
        <v>43</v>
      </c>
      <c r="B954" s="15" t="s">
        <v>44</v>
      </c>
      <c r="C954" s="15" t="s">
        <v>45</v>
      </c>
      <c r="D954" s="15" t="s">
        <v>2601</v>
      </c>
      <c r="E954" s="15" t="s">
        <v>2602</v>
      </c>
      <c r="F954" s="16">
        <v>41444.6824074074</v>
      </c>
      <c r="G954" s="15" t="s">
        <v>2602</v>
      </c>
      <c r="H954" s="15" t="s">
        <v>2603</v>
      </c>
      <c r="I954" s="18">
        <v>0</v>
      </c>
      <c r="J954" s="18">
        <v>0</v>
      </c>
      <c r="K954" s="19">
        <v>0</v>
      </c>
      <c r="L954" s="20">
        <v>0</v>
      </c>
      <c r="M954" s="15">
        <v>0</v>
      </c>
      <c r="N954" s="15">
        <v>0</v>
      </c>
      <c r="O954" s="15">
        <v>0</v>
      </c>
      <c r="P954" s="15">
        <v>0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</row>
    <row r="955" spans="1:43">
      <c r="A955" s="15" t="s">
        <v>49</v>
      </c>
      <c r="B955" s="15" t="s">
        <v>50</v>
      </c>
      <c r="C955" s="15" t="s">
        <v>61</v>
      </c>
      <c r="D955" s="15" t="s">
        <v>2604</v>
      </c>
      <c r="E955" s="15" t="s">
        <v>2605</v>
      </c>
      <c r="F955" s="16">
        <v>0</v>
      </c>
      <c r="G955" s="15" t="s">
        <v>2605</v>
      </c>
      <c r="H955" s="15" t="s">
        <v>2606</v>
      </c>
      <c r="I955" s="18">
        <v>0</v>
      </c>
      <c r="J955" s="18">
        <v>0</v>
      </c>
      <c r="K955" s="19">
        <v>0</v>
      </c>
      <c r="L955" s="20">
        <v>0</v>
      </c>
      <c r="M955" s="15">
        <v>0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</row>
    <row r="956" spans="1:43">
      <c r="A956" s="15" t="s">
        <v>49</v>
      </c>
      <c r="B956" s="15" t="s">
        <v>50</v>
      </c>
      <c r="C956" s="15" t="s">
        <v>61</v>
      </c>
      <c r="D956" s="15" t="s">
        <v>2607</v>
      </c>
      <c r="E956" s="15" t="s">
        <v>2608</v>
      </c>
      <c r="F956" s="16">
        <v>0</v>
      </c>
      <c r="G956" s="15" t="s">
        <v>2608</v>
      </c>
      <c r="H956" s="15" t="s">
        <v>2609</v>
      </c>
      <c r="I956" s="18">
        <v>0</v>
      </c>
      <c r="J956" s="18">
        <v>0</v>
      </c>
      <c r="K956" s="19">
        <v>0</v>
      </c>
      <c r="L956" s="20">
        <v>0</v>
      </c>
      <c r="M956" s="15">
        <v>0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0</v>
      </c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</row>
    <row r="957" spans="1:43">
      <c r="A957" s="15" t="s">
        <v>49</v>
      </c>
      <c r="B957" s="15" t="s">
        <v>50</v>
      </c>
      <c r="C957" s="15" t="s">
        <v>61</v>
      </c>
      <c r="D957" s="15" t="s">
        <v>2610</v>
      </c>
      <c r="E957" s="15" t="s">
        <v>2611</v>
      </c>
      <c r="F957" s="16">
        <v>0</v>
      </c>
      <c r="G957" s="15" t="s">
        <v>2611</v>
      </c>
      <c r="H957" s="15" t="s">
        <v>2612</v>
      </c>
      <c r="I957" s="18">
        <v>0</v>
      </c>
      <c r="J957" s="18">
        <v>0</v>
      </c>
      <c r="K957" s="19">
        <v>0</v>
      </c>
      <c r="L957" s="20">
        <v>0</v>
      </c>
      <c r="M957" s="15">
        <v>0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0</v>
      </c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</row>
    <row r="958" spans="1:43">
      <c r="A958" s="15" t="s">
        <v>43</v>
      </c>
      <c r="B958" s="15" t="s">
        <v>44</v>
      </c>
      <c r="C958" s="15" t="s">
        <v>45</v>
      </c>
      <c r="D958" s="15" t="s">
        <v>2613</v>
      </c>
      <c r="E958" s="15" t="s">
        <v>2614</v>
      </c>
      <c r="F958" s="16">
        <v>40543.6983217593</v>
      </c>
      <c r="G958" s="15" t="s">
        <v>2614</v>
      </c>
      <c r="H958" s="15" t="s">
        <v>2615</v>
      </c>
      <c r="I958" s="18">
        <v>0</v>
      </c>
      <c r="J958" s="18">
        <v>0</v>
      </c>
      <c r="K958" s="19">
        <v>0</v>
      </c>
      <c r="L958" s="20">
        <v>0</v>
      </c>
      <c r="M958" s="15">
        <v>0</v>
      </c>
      <c r="N958" s="15">
        <v>0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</row>
    <row r="959" spans="1:43">
      <c r="A959" s="15" t="s">
        <v>43</v>
      </c>
      <c r="B959" s="15" t="s">
        <v>44</v>
      </c>
      <c r="C959" s="15" t="s">
        <v>45</v>
      </c>
      <c r="D959" s="15" t="s">
        <v>2616</v>
      </c>
      <c r="E959" s="15" t="s">
        <v>2617</v>
      </c>
      <c r="F959" s="16">
        <v>42116.4160069444</v>
      </c>
      <c r="G959" s="15" t="s">
        <v>2617</v>
      </c>
      <c r="H959" s="15" t="s">
        <v>2618</v>
      </c>
      <c r="I959" s="18">
        <v>0</v>
      </c>
      <c r="J959" s="18">
        <v>0</v>
      </c>
      <c r="K959" s="19">
        <v>0</v>
      </c>
      <c r="L959" s="20">
        <v>0</v>
      </c>
      <c r="M959" s="15">
        <v>0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>
        <v>0</v>
      </c>
      <c r="U959" s="15">
        <v>0</v>
      </c>
      <c r="V959" s="15">
        <v>0</v>
      </c>
      <c r="W959" s="15">
        <v>0</v>
      </c>
      <c r="X959" s="15">
        <v>0</v>
      </c>
      <c r="Y959" s="15">
        <v>0</v>
      </c>
      <c r="Z959" s="15">
        <v>0</v>
      </c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</row>
    <row r="960" spans="1:43">
      <c r="A960" s="15" t="s">
        <v>43</v>
      </c>
      <c r="B960" s="15" t="s">
        <v>44</v>
      </c>
      <c r="C960" s="15" t="s">
        <v>45</v>
      </c>
      <c r="D960" s="15" t="s">
        <v>2619</v>
      </c>
      <c r="E960" s="15" t="s">
        <v>2620</v>
      </c>
      <c r="F960" s="16">
        <v>42724.390162037</v>
      </c>
      <c r="G960" s="15" t="s">
        <v>2620</v>
      </c>
      <c r="H960" s="15" t="s">
        <v>2621</v>
      </c>
      <c r="I960" s="18">
        <v>0</v>
      </c>
      <c r="J960" s="18">
        <v>0</v>
      </c>
      <c r="K960" s="19">
        <v>0</v>
      </c>
      <c r="L960" s="20">
        <v>0</v>
      </c>
      <c r="M960" s="15">
        <v>0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</row>
    <row r="961" spans="1:43">
      <c r="A961" s="15" t="s">
        <v>43</v>
      </c>
      <c r="B961" s="15" t="s">
        <v>44</v>
      </c>
      <c r="C961" s="15" t="s">
        <v>45</v>
      </c>
      <c r="D961" s="15" t="s">
        <v>2622</v>
      </c>
      <c r="E961" s="15" t="s">
        <v>2623</v>
      </c>
      <c r="F961" s="16">
        <v>43676.7208680556</v>
      </c>
      <c r="G961" s="15" t="s">
        <v>2623</v>
      </c>
      <c r="H961" s="15" t="s">
        <v>2624</v>
      </c>
      <c r="I961" s="18">
        <v>0</v>
      </c>
      <c r="J961" s="18">
        <v>0</v>
      </c>
      <c r="K961" s="19">
        <v>0</v>
      </c>
      <c r="L961" s="20">
        <v>0</v>
      </c>
      <c r="M961" s="15">
        <v>0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</row>
    <row r="962" spans="1:43">
      <c r="A962" s="15" t="s">
        <v>43</v>
      </c>
      <c r="B962" s="15" t="s">
        <v>44</v>
      </c>
      <c r="C962" s="15" t="s">
        <v>45</v>
      </c>
      <c r="D962" s="15" t="s">
        <v>2625</v>
      </c>
      <c r="E962" s="15" t="s">
        <v>2626</v>
      </c>
      <c r="F962" s="16">
        <v>42483.4904976852</v>
      </c>
      <c r="G962" s="15" t="s">
        <v>2626</v>
      </c>
      <c r="H962" s="15" t="s">
        <v>2627</v>
      </c>
      <c r="I962" s="18">
        <v>0</v>
      </c>
      <c r="J962" s="18">
        <v>0</v>
      </c>
      <c r="K962" s="19">
        <v>0</v>
      </c>
      <c r="L962" s="20">
        <v>0</v>
      </c>
      <c r="M962" s="15">
        <v>0</v>
      </c>
      <c r="N962" s="15">
        <v>0</v>
      </c>
      <c r="O962" s="15">
        <v>0</v>
      </c>
      <c r="P962" s="15">
        <v>0</v>
      </c>
      <c r="Q962" s="15">
        <v>0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0</v>
      </c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</row>
    <row r="963" spans="1:43">
      <c r="A963" s="15" t="s">
        <v>43</v>
      </c>
      <c r="B963" s="15" t="s">
        <v>44</v>
      </c>
      <c r="C963" s="15" t="s">
        <v>45</v>
      </c>
      <c r="D963" s="15" t="s">
        <v>2628</v>
      </c>
      <c r="E963" s="15" t="s">
        <v>2629</v>
      </c>
      <c r="F963" s="16">
        <v>42362.4654861111</v>
      </c>
      <c r="G963" s="15" t="s">
        <v>2629</v>
      </c>
      <c r="H963" s="15" t="s">
        <v>2630</v>
      </c>
      <c r="I963" s="18">
        <v>0</v>
      </c>
      <c r="J963" s="18">
        <v>0</v>
      </c>
      <c r="K963" s="19">
        <v>0</v>
      </c>
      <c r="L963" s="20">
        <v>0</v>
      </c>
      <c r="M963" s="15">
        <v>0</v>
      </c>
      <c r="N963" s="15">
        <v>0</v>
      </c>
      <c r="O963" s="15">
        <v>0</v>
      </c>
      <c r="P963" s="15">
        <v>0</v>
      </c>
      <c r="Q963" s="15">
        <v>0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</row>
    <row r="964" spans="1:43">
      <c r="A964" s="15" t="s">
        <v>49</v>
      </c>
      <c r="B964" s="15" t="s">
        <v>50</v>
      </c>
      <c r="C964" s="15" t="s">
        <v>61</v>
      </c>
      <c r="D964" s="15" t="s">
        <v>2631</v>
      </c>
      <c r="E964" s="15" t="s">
        <v>2632</v>
      </c>
      <c r="F964" s="16">
        <v>45138.4759722222</v>
      </c>
      <c r="G964" s="15" t="s">
        <v>2632</v>
      </c>
      <c r="H964" s="15" t="s">
        <v>54</v>
      </c>
      <c r="I964" s="18">
        <v>0</v>
      </c>
      <c r="J964" s="18">
        <v>0</v>
      </c>
      <c r="K964" s="19">
        <v>0</v>
      </c>
      <c r="L964" s="20">
        <v>0</v>
      </c>
      <c r="M964" s="15">
        <v>0</v>
      </c>
      <c r="N964" s="15">
        <v>0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0</v>
      </c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</row>
    <row r="965" spans="1:43">
      <c r="A965" s="15" t="s">
        <v>49</v>
      </c>
      <c r="B965" s="15" t="s">
        <v>50</v>
      </c>
      <c r="C965" s="15" t="s">
        <v>61</v>
      </c>
      <c r="D965" s="15" t="s">
        <v>2633</v>
      </c>
      <c r="E965" s="15" t="s">
        <v>173</v>
      </c>
      <c r="F965" s="16">
        <v>0</v>
      </c>
      <c r="G965" s="15" t="s">
        <v>173</v>
      </c>
      <c r="H965" s="15" t="s">
        <v>174</v>
      </c>
      <c r="I965" s="18">
        <v>0</v>
      </c>
      <c r="J965" s="18">
        <v>0</v>
      </c>
      <c r="K965" s="19">
        <v>0</v>
      </c>
      <c r="L965" s="20">
        <v>0</v>
      </c>
      <c r="M965" s="15">
        <v>0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</row>
    <row r="966" spans="1:43">
      <c r="A966" s="15" t="s">
        <v>43</v>
      </c>
      <c r="B966" s="15" t="s">
        <v>44</v>
      </c>
      <c r="C966" s="15" t="s">
        <v>45</v>
      </c>
      <c r="D966" s="15" t="s">
        <v>2634</v>
      </c>
      <c r="E966" s="15" t="s">
        <v>2635</v>
      </c>
      <c r="F966" s="16">
        <v>42637.4481018518</v>
      </c>
      <c r="G966" s="15" t="s">
        <v>2635</v>
      </c>
      <c r="H966" s="15" t="s">
        <v>2636</v>
      </c>
      <c r="I966" s="18">
        <v>0</v>
      </c>
      <c r="J966" s="18">
        <v>0</v>
      </c>
      <c r="K966" s="19">
        <v>0</v>
      </c>
      <c r="L966" s="20">
        <v>0</v>
      </c>
      <c r="M966" s="15">
        <v>0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0</v>
      </c>
      <c r="X966" s="15">
        <v>0</v>
      </c>
      <c r="Y966" s="15">
        <v>0</v>
      </c>
      <c r="Z966" s="15">
        <v>0</v>
      </c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</row>
    <row r="967" spans="1:43">
      <c r="A967" s="15" t="s">
        <v>43</v>
      </c>
      <c r="B967" s="15" t="s">
        <v>44</v>
      </c>
      <c r="C967" s="15" t="s">
        <v>45</v>
      </c>
      <c r="D967" s="15" t="s">
        <v>2637</v>
      </c>
      <c r="E967" s="15" t="s">
        <v>2638</v>
      </c>
      <c r="F967" s="16">
        <v>42696.7141898148</v>
      </c>
      <c r="G967" s="15" t="s">
        <v>2638</v>
      </c>
      <c r="H967" s="15" t="s">
        <v>2639</v>
      </c>
      <c r="I967" s="18">
        <v>0</v>
      </c>
      <c r="J967" s="18">
        <v>0</v>
      </c>
      <c r="K967" s="19">
        <v>0</v>
      </c>
      <c r="L967" s="20">
        <v>0</v>
      </c>
      <c r="M967" s="15">
        <v>0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</row>
    <row r="968" spans="1:43">
      <c r="A968" s="15" t="s">
        <v>43</v>
      </c>
      <c r="B968" s="15" t="s">
        <v>44</v>
      </c>
      <c r="C968" s="15" t="s">
        <v>45</v>
      </c>
      <c r="D968" s="15" t="s">
        <v>2640</v>
      </c>
      <c r="E968" s="15" t="s">
        <v>2641</v>
      </c>
      <c r="F968" s="16">
        <v>43647.7074652778</v>
      </c>
      <c r="G968" s="15" t="s">
        <v>2641</v>
      </c>
      <c r="H968" s="15" t="s">
        <v>2642</v>
      </c>
      <c r="I968" s="18">
        <v>0</v>
      </c>
      <c r="J968" s="18">
        <v>0</v>
      </c>
      <c r="K968" s="19">
        <v>0</v>
      </c>
      <c r="L968" s="20">
        <v>0</v>
      </c>
      <c r="M968" s="15">
        <v>0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</row>
    <row r="969" spans="1:43">
      <c r="A969" s="15" t="s">
        <v>49</v>
      </c>
      <c r="B969" s="15" t="s">
        <v>50</v>
      </c>
      <c r="C969" s="15" t="s">
        <v>61</v>
      </c>
      <c r="D969" s="15" t="s">
        <v>2643</v>
      </c>
      <c r="E969" s="15" t="s">
        <v>2644</v>
      </c>
      <c r="F969" s="16">
        <v>0</v>
      </c>
      <c r="G969" s="15" t="s">
        <v>2644</v>
      </c>
      <c r="H969" s="15" t="s">
        <v>54</v>
      </c>
      <c r="I969" s="18">
        <v>0</v>
      </c>
      <c r="J969" s="18">
        <v>0</v>
      </c>
      <c r="K969" s="19">
        <v>0</v>
      </c>
      <c r="L969" s="20">
        <v>0</v>
      </c>
      <c r="M969" s="15">
        <v>0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</row>
    <row r="970" spans="1:43">
      <c r="A970" s="15" t="s">
        <v>49</v>
      </c>
      <c r="B970" s="15" t="s">
        <v>50</v>
      </c>
      <c r="C970" s="15" t="s">
        <v>61</v>
      </c>
      <c r="D970" s="15" t="s">
        <v>2645</v>
      </c>
      <c r="E970" s="15" t="s">
        <v>2646</v>
      </c>
      <c r="F970" s="16">
        <v>0</v>
      </c>
      <c r="G970" s="15" t="s">
        <v>2646</v>
      </c>
      <c r="H970" s="15" t="s">
        <v>54</v>
      </c>
      <c r="I970" s="18">
        <v>0</v>
      </c>
      <c r="J970" s="18">
        <v>0</v>
      </c>
      <c r="K970" s="19">
        <v>0</v>
      </c>
      <c r="L970" s="20">
        <v>0</v>
      </c>
      <c r="M970" s="15">
        <v>0</v>
      </c>
      <c r="N970" s="15">
        <v>0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</row>
    <row r="971" spans="1:43">
      <c r="A971" s="15" t="s">
        <v>43</v>
      </c>
      <c r="B971" s="15" t="s">
        <v>44</v>
      </c>
      <c r="C971" s="15" t="s">
        <v>45</v>
      </c>
      <c r="D971" s="15" t="s">
        <v>2647</v>
      </c>
      <c r="E971" s="15" t="s">
        <v>2648</v>
      </c>
      <c r="F971" s="16">
        <v>41591.3887731481</v>
      </c>
      <c r="G971" s="15" t="s">
        <v>2648</v>
      </c>
      <c r="H971" s="15" t="s">
        <v>2649</v>
      </c>
      <c r="I971" s="18">
        <v>0</v>
      </c>
      <c r="J971" s="18">
        <v>0</v>
      </c>
      <c r="K971" s="19">
        <v>0</v>
      </c>
      <c r="L971" s="20">
        <v>0</v>
      </c>
      <c r="M971" s="15">
        <v>0</v>
      </c>
      <c r="N971" s="15">
        <v>0</v>
      </c>
      <c r="O971" s="15">
        <v>0</v>
      </c>
      <c r="P971" s="15">
        <v>0</v>
      </c>
      <c r="Q971" s="15">
        <v>0</v>
      </c>
      <c r="R971" s="15">
        <v>0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</row>
    <row r="972" spans="1:43">
      <c r="A972" s="15" t="s">
        <v>49</v>
      </c>
      <c r="B972" s="15" t="s">
        <v>50</v>
      </c>
      <c r="C972" s="15" t="s">
        <v>61</v>
      </c>
      <c r="D972" s="15" t="s">
        <v>2650</v>
      </c>
      <c r="E972" s="15" t="s">
        <v>2651</v>
      </c>
      <c r="F972" s="16">
        <v>0</v>
      </c>
      <c r="G972" s="15" t="s">
        <v>2651</v>
      </c>
      <c r="H972" s="15" t="s">
        <v>54</v>
      </c>
      <c r="I972" s="18">
        <v>0</v>
      </c>
      <c r="J972" s="18">
        <v>0</v>
      </c>
      <c r="K972" s="19">
        <v>0</v>
      </c>
      <c r="L972" s="20">
        <v>0</v>
      </c>
      <c r="M972" s="15">
        <v>0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</row>
    <row r="973" spans="1:43">
      <c r="A973" s="15" t="s">
        <v>49</v>
      </c>
      <c r="B973" s="15" t="s">
        <v>50</v>
      </c>
      <c r="C973" s="15" t="s">
        <v>61</v>
      </c>
      <c r="D973" s="15" t="s">
        <v>2652</v>
      </c>
      <c r="E973" s="15" t="s">
        <v>2653</v>
      </c>
      <c r="F973" s="16">
        <v>0</v>
      </c>
      <c r="G973" s="15" t="s">
        <v>2653</v>
      </c>
      <c r="H973" s="15" t="s">
        <v>2654</v>
      </c>
      <c r="I973" s="18">
        <v>0</v>
      </c>
      <c r="J973" s="18">
        <v>0</v>
      </c>
      <c r="K973" s="19">
        <v>0</v>
      </c>
      <c r="L973" s="20">
        <v>0</v>
      </c>
      <c r="M973" s="15">
        <v>0</v>
      </c>
      <c r="N973" s="15">
        <v>0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</row>
    <row r="974" spans="1:43">
      <c r="A974" s="15" t="s">
        <v>43</v>
      </c>
      <c r="B974" s="15" t="s">
        <v>44</v>
      </c>
      <c r="C974" s="15" t="s">
        <v>45</v>
      </c>
      <c r="D974" s="15" t="s">
        <v>2655</v>
      </c>
      <c r="E974" s="15" t="s">
        <v>2656</v>
      </c>
      <c r="F974" s="16">
        <v>42361.4316087963</v>
      </c>
      <c r="G974" s="15" t="s">
        <v>2656</v>
      </c>
      <c r="H974" s="15" t="s">
        <v>2657</v>
      </c>
      <c r="I974" s="18">
        <v>0</v>
      </c>
      <c r="J974" s="18">
        <v>0</v>
      </c>
      <c r="K974" s="19">
        <v>0</v>
      </c>
      <c r="L974" s="20">
        <v>0</v>
      </c>
      <c r="M974" s="15">
        <v>0</v>
      </c>
      <c r="N974" s="15">
        <v>0</v>
      </c>
      <c r="O974" s="15">
        <v>0</v>
      </c>
      <c r="P974" s="15">
        <v>0</v>
      </c>
      <c r="Q974" s="15">
        <v>0</v>
      </c>
      <c r="R974" s="15">
        <v>0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</row>
    <row r="975" spans="1:43">
      <c r="A975" s="15" t="s">
        <v>49</v>
      </c>
      <c r="B975" s="15" t="s">
        <v>50</v>
      </c>
      <c r="C975" s="15" t="s">
        <v>61</v>
      </c>
      <c r="D975" s="15" t="s">
        <v>2658</v>
      </c>
      <c r="E975" s="15" t="s">
        <v>2659</v>
      </c>
      <c r="F975" s="16">
        <v>0</v>
      </c>
      <c r="G975" s="15" t="s">
        <v>2659</v>
      </c>
      <c r="H975" s="15" t="s">
        <v>2660</v>
      </c>
      <c r="I975" s="18">
        <v>0</v>
      </c>
      <c r="J975" s="18">
        <v>0</v>
      </c>
      <c r="K975" s="19">
        <v>0</v>
      </c>
      <c r="L975" s="20">
        <v>0</v>
      </c>
      <c r="M975" s="15">
        <v>0</v>
      </c>
      <c r="N975" s="15">
        <v>0</v>
      </c>
      <c r="O975" s="15">
        <v>0</v>
      </c>
      <c r="P975" s="15">
        <v>0</v>
      </c>
      <c r="Q975" s="15">
        <v>0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</row>
    <row r="976" spans="1:43">
      <c r="A976" s="15" t="s">
        <v>43</v>
      </c>
      <c r="B976" s="15" t="s">
        <v>44</v>
      </c>
      <c r="C976" s="15" t="s">
        <v>45</v>
      </c>
      <c r="D976" s="15" t="s">
        <v>2661</v>
      </c>
      <c r="E976" s="15" t="s">
        <v>2662</v>
      </c>
      <c r="F976" s="16">
        <v>41472.6455092593</v>
      </c>
      <c r="G976" s="15" t="s">
        <v>2662</v>
      </c>
      <c r="H976" s="15" t="s">
        <v>2663</v>
      </c>
      <c r="I976" s="18">
        <v>0</v>
      </c>
      <c r="J976" s="18">
        <v>0</v>
      </c>
      <c r="K976" s="19">
        <v>0</v>
      </c>
      <c r="L976" s="20">
        <v>0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</row>
    <row r="977" spans="1:43">
      <c r="A977" s="15" t="s">
        <v>49</v>
      </c>
      <c r="B977" s="15" t="s">
        <v>50</v>
      </c>
      <c r="C977" s="15" t="s">
        <v>61</v>
      </c>
      <c r="D977" s="15" t="s">
        <v>2664</v>
      </c>
      <c r="E977" s="15" t="s">
        <v>2665</v>
      </c>
      <c r="F977" s="16">
        <v>0</v>
      </c>
      <c r="G977" s="15" t="s">
        <v>2665</v>
      </c>
      <c r="H977" s="15" t="s">
        <v>2666</v>
      </c>
      <c r="I977" s="18">
        <v>0</v>
      </c>
      <c r="J977" s="18">
        <v>0</v>
      </c>
      <c r="K977" s="19">
        <v>0</v>
      </c>
      <c r="L977" s="20">
        <v>0</v>
      </c>
      <c r="M977" s="15">
        <v>0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0</v>
      </c>
      <c r="X977" s="15">
        <v>0</v>
      </c>
      <c r="Y977" s="15">
        <v>0</v>
      </c>
      <c r="Z977" s="15">
        <v>0</v>
      </c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</row>
    <row r="978" spans="1:43">
      <c r="A978" s="15" t="s">
        <v>49</v>
      </c>
      <c r="B978" s="15" t="s">
        <v>50</v>
      </c>
      <c r="C978" s="15" t="s">
        <v>61</v>
      </c>
      <c r="D978" s="15" t="s">
        <v>2667</v>
      </c>
      <c r="E978" s="15" t="s">
        <v>2668</v>
      </c>
      <c r="F978" s="16">
        <v>0</v>
      </c>
      <c r="G978" s="15" t="s">
        <v>2668</v>
      </c>
      <c r="H978" s="15" t="s">
        <v>2669</v>
      </c>
      <c r="I978" s="18">
        <v>0</v>
      </c>
      <c r="J978" s="18">
        <v>0</v>
      </c>
      <c r="K978" s="19">
        <v>0</v>
      </c>
      <c r="L978" s="20">
        <v>0</v>
      </c>
      <c r="M978" s="15">
        <v>0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0</v>
      </c>
      <c r="X978" s="15">
        <v>0</v>
      </c>
      <c r="Y978" s="15">
        <v>0</v>
      </c>
      <c r="Z978" s="15">
        <v>0</v>
      </c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</row>
    <row r="979" spans="1:43">
      <c r="A979" s="15" t="s">
        <v>43</v>
      </c>
      <c r="B979" s="15" t="s">
        <v>44</v>
      </c>
      <c r="C979" s="15" t="s">
        <v>45</v>
      </c>
      <c r="D979" s="15" t="s">
        <v>2670</v>
      </c>
      <c r="E979" s="15" t="s">
        <v>2671</v>
      </c>
      <c r="F979" s="16">
        <v>42800.5824421296</v>
      </c>
      <c r="G979" s="15" t="s">
        <v>2671</v>
      </c>
      <c r="H979" s="15" t="s">
        <v>2672</v>
      </c>
      <c r="I979" s="18">
        <v>0</v>
      </c>
      <c r="J979" s="18">
        <v>0</v>
      </c>
      <c r="K979" s="19">
        <v>0</v>
      </c>
      <c r="L979" s="20">
        <v>0</v>
      </c>
      <c r="M979" s="15">
        <v>0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</row>
    <row r="980" spans="1:43">
      <c r="A980" s="15" t="s">
        <v>43</v>
      </c>
      <c r="B980" s="15" t="s">
        <v>44</v>
      </c>
      <c r="C980" s="15" t="s">
        <v>45</v>
      </c>
      <c r="D980" s="15" t="s">
        <v>2673</v>
      </c>
      <c r="E980" s="15" t="s">
        <v>2674</v>
      </c>
      <c r="F980" s="16">
        <v>42908.6876273148</v>
      </c>
      <c r="G980" s="15" t="s">
        <v>2674</v>
      </c>
      <c r="H980" s="15" t="s">
        <v>2675</v>
      </c>
      <c r="I980" s="18">
        <v>0</v>
      </c>
      <c r="J980" s="18">
        <v>0</v>
      </c>
      <c r="K980" s="19">
        <v>0</v>
      </c>
      <c r="L980" s="20">
        <v>0</v>
      </c>
      <c r="M980" s="15">
        <v>0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0</v>
      </c>
      <c r="X980" s="15">
        <v>0</v>
      </c>
      <c r="Y980" s="15">
        <v>0</v>
      </c>
      <c r="Z980" s="15">
        <v>0</v>
      </c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</row>
    <row r="981" spans="1:43">
      <c r="A981" s="15" t="s">
        <v>43</v>
      </c>
      <c r="B981" s="15" t="s">
        <v>44</v>
      </c>
      <c r="C981" s="15" t="s">
        <v>45</v>
      </c>
      <c r="D981" s="15" t="s">
        <v>2676</v>
      </c>
      <c r="E981" s="15" t="s">
        <v>2677</v>
      </c>
      <c r="F981" s="16">
        <v>41354.4096064815</v>
      </c>
      <c r="G981" s="15" t="s">
        <v>2677</v>
      </c>
      <c r="H981" s="15" t="s">
        <v>2678</v>
      </c>
      <c r="I981" s="18">
        <v>0</v>
      </c>
      <c r="J981" s="18">
        <v>0</v>
      </c>
      <c r="K981" s="19">
        <v>0</v>
      </c>
      <c r="L981" s="20">
        <v>0</v>
      </c>
      <c r="M981" s="15">
        <v>0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</row>
    <row r="982" spans="1:43">
      <c r="A982" s="15" t="s">
        <v>64</v>
      </c>
      <c r="B982" s="15" t="s">
        <v>65</v>
      </c>
      <c r="C982" s="15" t="s">
        <v>66</v>
      </c>
      <c r="D982" s="15" t="s">
        <v>2679</v>
      </c>
      <c r="E982" s="15" t="s">
        <v>2680</v>
      </c>
      <c r="F982" s="16">
        <v>45006.4850925926</v>
      </c>
      <c r="G982" s="15" t="s">
        <v>2680</v>
      </c>
      <c r="H982" s="15" t="s">
        <v>54</v>
      </c>
      <c r="I982" s="18">
        <v>0</v>
      </c>
      <c r="J982" s="18">
        <v>0</v>
      </c>
      <c r="K982" s="19">
        <v>0</v>
      </c>
      <c r="L982" s="20">
        <v>0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0</v>
      </c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</row>
    <row r="983" spans="1:43">
      <c r="A983" s="15" t="s">
        <v>49</v>
      </c>
      <c r="B983" s="15" t="s">
        <v>50</v>
      </c>
      <c r="C983" s="15" t="s">
        <v>61</v>
      </c>
      <c r="D983" s="15" t="s">
        <v>2681</v>
      </c>
      <c r="E983" s="15" t="s">
        <v>2682</v>
      </c>
      <c r="F983" s="16">
        <v>0</v>
      </c>
      <c r="G983" s="15" t="s">
        <v>2682</v>
      </c>
      <c r="H983" s="15" t="s">
        <v>2683</v>
      </c>
      <c r="I983" s="18">
        <v>0</v>
      </c>
      <c r="J983" s="18">
        <v>0</v>
      </c>
      <c r="K983" s="19">
        <v>0</v>
      </c>
      <c r="L983" s="20">
        <v>0</v>
      </c>
      <c r="M983" s="15">
        <v>0</v>
      </c>
      <c r="N983" s="15">
        <v>0</v>
      </c>
      <c r="O983" s="15">
        <v>0</v>
      </c>
      <c r="P983" s="15">
        <v>0</v>
      </c>
      <c r="Q983" s="15">
        <v>0</v>
      </c>
      <c r="R983" s="15">
        <v>0</v>
      </c>
      <c r="S983" s="15">
        <v>0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15">
        <v>0</v>
      </c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</row>
    <row r="984" spans="1:43">
      <c r="A984" s="15" t="s">
        <v>43</v>
      </c>
      <c r="B984" s="15" t="s">
        <v>44</v>
      </c>
      <c r="C984" s="15" t="s">
        <v>45</v>
      </c>
      <c r="D984" s="15" t="s">
        <v>2684</v>
      </c>
      <c r="E984" s="15" t="s">
        <v>2685</v>
      </c>
      <c r="F984" s="16">
        <v>42555.4937847222</v>
      </c>
      <c r="G984" s="15" t="s">
        <v>2685</v>
      </c>
      <c r="H984" s="15" t="s">
        <v>2686</v>
      </c>
      <c r="I984" s="18">
        <v>0</v>
      </c>
      <c r="J984" s="18">
        <v>0</v>
      </c>
      <c r="K984" s="19">
        <v>0</v>
      </c>
      <c r="L984" s="20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</row>
    <row r="985" spans="1:43">
      <c r="A985" s="15" t="s">
        <v>49</v>
      </c>
      <c r="B985" s="15" t="s">
        <v>50</v>
      </c>
      <c r="C985" s="15" t="s">
        <v>61</v>
      </c>
      <c r="D985" s="15" t="s">
        <v>2687</v>
      </c>
      <c r="E985" s="15" t="s">
        <v>2688</v>
      </c>
      <c r="F985" s="16">
        <v>0</v>
      </c>
      <c r="G985" s="15" t="s">
        <v>2688</v>
      </c>
      <c r="H985" s="15" t="s">
        <v>2689</v>
      </c>
      <c r="I985" s="18">
        <v>0</v>
      </c>
      <c r="J985" s="18">
        <v>0</v>
      </c>
      <c r="K985" s="19">
        <v>0</v>
      </c>
      <c r="L985" s="20">
        <v>0</v>
      </c>
      <c r="M985" s="15">
        <v>0</v>
      </c>
      <c r="N985" s="15">
        <v>0</v>
      </c>
      <c r="O985" s="15">
        <v>0</v>
      </c>
      <c r="P985" s="15">
        <v>0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</row>
    <row r="986" spans="1:43">
      <c r="A986" s="15" t="s">
        <v>43</v>
      </c>
      <c r="B986" s="15" t="s">
        <v>44</v>
      </c>
      <c r="C986" s="15" t="s">
        <v>45</v>
      </c>
      <c r="D986" s="15" t="s">
        <v>2690</v>
      </c>
      <c r="E986" s="15" t="s">
        <v>2691</v>
      </c>
      <c r="F986" s="16">
        <v>40862.7076851852</v>
      </c>
      <c r="G986" s="15" t="s">
        <v>2691</v>
      </c>
      <c r="H986" s="15" t="s">
        <v>2692</v>
      </c>
      <c r="I986" s="18">
        <v>0</v>
      </c>
      <c r="J986" s="18">
        <v>0</v>
      </c>
      <c r="K986" s="19">
        <v>0</v>
      </c>
      <c r="L986" s="20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</row>
    <row r="987" spans="1:43">
      <c r="A987" s="15" t="s">
        <v>43</v>
      </c>
      <c r="B987" s="15" t="s">
        <v>44</v>
      </c>
      <c r="C987" s="15" t="s">
        <v>45</v>
      </c>
      <c r="D987" s="15" t="s">
        <v>2693</v>
      </c>
      <c r="E987" s="15" t="s">
        <v>2694</v>
      </c>
      <c r="F987" s="16">
        <v>42894.4614814815</v>
      </c>
      <c r="G987" s="15" t="s">
        <v>2694</v>
      </c>
      <c r="H987" s="15" t="s">
        <v>2695</v>
      </c>
      <c r="I987" s="18">
        <v>0</v>
      </c>
      <c r="J987" s="18">
        <v>0</v>
      </c>
      <c r="K987" s="19">
        <v>0</v>
      </c>
      <c r="L987" s="20">
        <v>0</v>
      </c>
      <c r="M987" s="15">
        <v>0</v>
      </c>
      <c r="N987" s="15">
        <v>0</v>
      </c>
      <c r="O987" s="15">
        <v>0</v>
      </c>
      <c r="P987" s="15">
        <v>0</v>
      </c>
      <c r="Q987" s="15">
        <v>0</v>
      </c>
      <c r="R987" s="15">
        <v>0</v>
      </c>
      <c r="S987" s="15">
        <v>0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0</v>
      </c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</row>
    <row r="988" spans="1:43">
      <c r="A988" s="15" t="s">
        <v>49</v>
      </c>
      <c r="B988" s="15" t="s">
        <v>50</v>
      </c>
      <c r="C988" s="15" t="s">
        <v>61</v>
      </c>
      <c r="D988" s="15" t="s">
        <v>2696</v>
      </c>
      <c r="E988" s="15" t="s">
        <v>2697</v>
      </c>
      <c r="F988" s="16">
        <v>0</v>
      </c>
      <c r="G988" s="15" t="s">
        <v>2697</v>
      </c>
      <c r="H988" s="15" t="s">
        <v>54</v>
      </c>
      <c r="I988" s="18">
        <v>0</v>
      </c>
      <c r="J988" s="18">
        <v>0</v>
      </c>
      <c r="K988" s="19">
        <v>0</v>
      </c>
      <c r="L988" s="20">
        <v>0</v>
      </c>
      <c r="M988" s="15">
        <v>0</v>
      </c>
      <c r="N988" s="15">
        <v>0</v>
      </c>
      <c r="O988" s="15">
        <v>0</v>
      </c>
      <c r="P988" s="15">
        <v>0</v>
      </c>
      <c r="Q988" s="15">
        <v>0</v>
      </c>
      <c r="R988" s="15">
        <v>0</v>
      </c>
      <c r="S988" s="15">
        <v>0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</row>
    <row r="989" spans="1:43">
      <c r="A989" s="15" t="s">
        <v>49</v>
      </c>
      <c r="B989" s="15" t="s">
        <v>50</v>
      </c>
      <c r="C989" s="15" t="s">
        <v>61</v>
      </c>
      <c r="D989" s="15" t="s">
        <v>2698</v>
      </c>
      <c r="E989" s="15" t="s">
        <v>2699</v>
      </c>
      <c r="F989" s="16">
        <v>0</v>
      </c>
      <c r="G989" s="15" t="s">
        <v>2699</v>
      </c>
      <c r="H989" s="15" t="s">
        <v>54</v>
      </c>
      <c r="I989" s="18">
        <v>0</v>
      </c>
      <c r="J989" s="18">
        <v>0</v>
      </c>
      <c r="K989" s="19">
        <v>0</v>
      </c>
      <c r="L989" s="20">
        <v>0</v>
      </c>
      <c r="M989" s="15">
        <v>0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</row>
    <row r="990" spans="1:43">
      <c r="A990" s="15" t="s">
        <v>43</v>
      </c>
      <c r="B990" s="15" t="s">
        <v>44</v>
      </c>
      <c r="C990" s="15" t="s">
        <v>45</v>
      </c>
      <c r="D990" s="15" t="s">
        <v>2700</v>
      </c>
      <c r="E990" s="15" t="s">
        <v>2701</v>
      </c>
      <c r="F990" s="16">
        <v>43385.7077083333</v>
      </c>
      <c r="G990" s="15" t="s">
        <v>2701</v>
      </c>
      <c r="H990" s="15" t="s">
        <v>2702</v>
      </c>
      <c r="I990" s="18">
        <v>0</v>
      </c>
      <c r="J990" s="18">
        <v>0</v>
      </c>
      <c r="K990" s="19">
        <v>0</v>
      </c>
      <c r="L990" s="20">
        <v>0</v>
      </c>
      <c r="M990" s="15">
        <v>0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</row>
    <row r="991" spans="1:43">
      <c r="A991" s="15" t="s">
        <v>49</v>
      </c>
      <c r="B991" s="15" t="s">
        <v>50</v>
      </c>
      <c r="C991" s="15" t="s">
        <v>61</v>
      </c>
      <c r="D991" s="15" t="s">
        <v>2703</v>
      </c>
      <c r="E991" s="15" t="s">
        <v>2704</v>
      </c>
      <c r="F991" s="16">
        <v>0</v>
      </c>
      <c r="G991" s="15" t="s">
        <v>2704</v>
      </c>
      <c r="H991" s="15" t="s">
        <v>2705</v>
      </c>
      <c r="I991" s="18">
        <v>0</v>
      </c>
      <c r="J991" s="18">
        <v>0</v>
      </c>
      <c r="K991" s="19">
        <v>0</v>
      </c>
      <c r="L991" s="20">
        <v>0</v>
      </c>
      <c r="M991" s="15">
        <v>0</v>
      </c>
      <c r="N991" s="15">
        <v>0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</row>
    <row r="992" spans="1:43">
      <c r="A992" s="15" t="s">
        <v>43</v>
      </c>
      <c r="B992" s="15" t="s">
        <v>44</v>
      </c>
      <c r="C992" s="15" t="s">
        <v>45</v>
      </c>
      <c r="D992" s="15" t="s">
        <v>2706</v>
      </c>
      <c r="E992" s="15" t="s">
        <v>2707</v>
      </c>
      <c r="F992" s="16">
        <v>44718.6751388889</v>
      </c>
      <c r="G992" s="15" t="s">
        <v>2707</v>
      </c>
      <c r="H992" s="15" t="s">
        <v>54</v>
      </c>
      <c r="I992" s="18">
        <v>0</v>
      </c>
      <c r="J992" s="18">
        <v>0</v>
      </c>
      <c r="K992" s="19">
        <v>0</v>
      </c>
      <c r="L992" s="20">
        <v>0</v>
      </c>
      <c r="M992" s="15">
        <v>0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</row>
    <row r="993" spans="1:43">
      <c r="A993" s="15" t="s">
        <v>64</v>
      </c>
      <c r="B993" s="15" t="s">
        <v>118</v>
      </c>
      <c r="C993" s="15" t="s">
        <v>138</v>
      </c>
      <c r="D993" s="15" t="s">
        <v>2708</v>
      </c>
      <c r="E993" s="15" t="s">
        <v>2709</v>
      </c>
      <c r="F993" s="16">
        <v>45105.7011226852</v>
      </c>
      <c r="G993" s="15" t="s">
        <v>2709</v>
      </c>
      <c r="H993" s="15" t="s">
        <v>54</v>
      </c>
      <c r="I993" s="18">
        <v>714.95</v>
      </c>
      <c r="J993" s="18">
        <v>11</v>
      </c>
      <c r="K993" s="19">
        <v>64.9954545454546</v>
      </c>
      <c r="L993" s="20">
        <v>0.928506493506494</v>
      </c>
      <c r="M993" s="15">
        <v>51.11</v>
      </c>
      <c r="N993" s="15">
        <v>30.26</v>
      </c>
      <c r="O993" s="15">
        <v>63.52</v>
      </c>
      <c r="P993" s="15">
        <v>115.79</v>
      </c>
      <c r="Q993" s="15">
        <v>103.8</v>
      </c>
      <c r="R993" s="15">
        <v>94.93</v>
      </c>
      <c r="S993" s="15">
        <v>103.09</v>
      </c>
      <c r="T993" s="15">
        <v>97.17</v>
      </c>
      <c r="U993" s="15">
        <v>41.45</v>
      </c>
      <c r="V993" s="15">
        <v>6.36</v>
      </c>
      <c r="W993" s="15">
        <v>0</v>
      </c>
      <c r="X993" s="15">
        <v>0</v>
      </c>
      <c r="Y993" s="15">
        <v>0</v>
      </c>
      <c r="Z993" s="15">
        <v>7.47</v>
      </c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</row>
    <row r="994" spans="1:43">
      <c r="A994" s="15" t="s">
        <v>64</v>
      </c>
      <c r="B994" s="15" t="s">
        <v>65</v>
      </c>
      <c r="C994" s="15" t="s">
        <v>78</v>
      </c>
      <c r="D994" s="15" t="s">
        <v>2710</v>
      </c>
      <c r="E994" s="15" t="s">
        <v>2711</v>
      </c>
      <c r="F994" s="16">
        <v>45124.4344444444</v>
      </c>
      <c r="G994" s="15" t="s">
        <v>2711</v>
      </c>
      <c r="H994" s="15" t="s">
        <v>54</v>
      </c>
      <c r="I994" s="18">
        <v>396.87</v>
      </c>
      <c r="J994" s="18">
        <v>14</v>
      </c>
      <c r="K994" s="19">
        <v>28.3478571428571</v>
      </c>
      <c r="L994" s="20">
        <v>0.404969387755102</v>
      </c>
      <c r="M994" s="15">
        <v>26.49</v>
      </c>
      <c r="N994" s="15">
        <v>23.16</v>
      </c>
      <c r="O994" s="15">
        <v>19.31</v>
      </c>
      <c r="P994" s="15">
        <v>23.92</v>
      </c>
      <c r="Q994" s="15">
        <v>53.4</v>
      </c>
      <c r="R994" s="15">
        <v>52.42</v>
      </c>
      <c r="S994" s="15">
        <v>81.57</v>
      </c>
      <c r="T994" s="15">
        <v>60.85</v>
      </c>
      <c r="U994" s="15">
        <v>24.81</v>
      </c>
      <c r="V994" s="15">
        <v>3.96</v>
      </c>
      <c r="W994" s="15">
        <v>11.37</v>
      </c>
      <c r="X994" s="15">
        <v>4.33</v>
      </c>
      <c r="Y994" s="15">
        <v>7.53</v>
      </c>
      <c r="Z994" s="15">
        <v>3.75</v>
      </c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</row>
    <row r="995" spans="1:43">
      <c r="A995" s="15" t="s">
        <v>64</v>
      </c>
      <c r="B995" s="15" t="s">
        <v>65</v>
      </c>
      <c r="C995" s="15" t="s">
        <v>66</v>
      </c>
      <c r="D995" s="15" t="s">
        <v>2712</v>
      </c>
      <c r="E995" s="15" t="s">
        <v>1368</v>
      </c>
      <c r="F995" s="16">
        <v>44987.5984375</v>
      </c>
      <c r="G995" s="15" t="s">
        <v>1368</v>
      </c>
      <c r="H995" s="15" t="s">
        <v>2713</v>
      </c>
      <c r="I995" s="18">
        <v>0</v>
      </c>
      <c r="J995" s="18">
        <v>0</v>
      </c>
      <c r="K995" s="19">
        <v>0</v>
      </c>
      <c r="L995" s="20">
        <v>0</v>
      </c>
      <c r="M995" s="15">
        <v>0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</row>
    <row r="996" spans="1:43">
      <c r="A996" s="15" t="s">
        <v>43</v>
      </c>
      <c r="B996" s="15" t="s">
        <v>44</v>
      </c>
      <c r="C996" s="15" t="s">
        <v>45</v>
      </c>
      <c r="D996" s="15" t="s">
        <v>2714</v>
      </c>
      <c r="E996" s="15" t="s">
        <v>2715</v>
      </c>
      <c r="F996" s="16">
        <v>42117.4745138889</v>
      </c>
      <c r="G996" s="15" t="s">
        <v>2715</v>
      </c>
      <c r="H996" s="15" t="s">
        <v>2716</v>
      </c>
      <c r="I996" s="18">
        <v>0</v>
      </c>
      <c r="J996" s="18">
        <v>0</v>
      </c>
      <c r="K996" s="19">
        <v>0</v>
      </c>
      <c r="L996" s="20">
        <v>0</v>
      </c>
      <c r="M996" s="15">
        <v>0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</row>
    <row r="997" spans="1:43">
      <c r="A997" s="15" t="s">
        <v>43</v>
      </c>
      <c r="B997" s="15" t="s">
        <v>44</v>
      </c>
      <c r="C997" s="15" t="s">
        <v>45</v>
      </c>
      <c r="D997" s="15" t="s">
        <v>2717</v>
      </c>
      <c r="E997" s="15" t="s">
        <v>2718</v>
      </c>
      <c r="F997" s="16">
        <v>42329.4850347222</v>
      </c>
      <c r="G997" s="15" t="s">
        <v>2718</v>
      </c>
      <c r="H997" s="15" t="s">
        <v>2719</v>
      </c>
      <c r="I997" s="18">
        <v>0</v>
      </c>
      <c r="J997" s="18">
        <v>0</v>
      </c>
      <c r="K997" s="19">
        <v>0</v>
      </c>
      <c r="L997" s="20">
        <v>0</v>
      </c>
      <c r="M997" s="15">
        <v>0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</row>
    <row r="998" spans="1:43">
      <c r="A998" s="15" t="s">
        <v>49</v>
      </c>
      <c r="B998" s="15" t="s">
        <v>50</v>
      </c>
      <c r="C998" s="15" t="s">
        <v>61</v>
      </c>
      <c r="D998" s="15" t="s">
        <v>2720</v>
      </c>
      <c r="E998" s="15" t="s">
        <v>2721</v>
      </c>
      <c r="F998" s="16">
        <v>0</v>
      </c>
      <c r="G998" s="15" t="s">
        <v>2721</v>
      </c>
      <c r="H998" s="15" t="s">
        <v>54</v>
      </c>
      <c r="I998" s="18">
        <v>0</v>
      </c>
      <c r="J998" s="18">
        <v>0</v>
      </c>
      <c r="K998" s="19">
        <v>0</v>
      </c>
      <c r="L998" s="20">
        <v>0</v>
      </c>
      <c r="M998" s="15">
        <v>0</v>
      </c>
      <c r="N998" s="15">
        <v>0</v>
      </c>
      <c r="O998" s="15">
        <v>0</v>
      </c>
      <c r="P998" s="15">
        <v>0</v>
      </c>
      <c r="Q998" s="15">
        <v>0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0</v>
      </c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</row>
    <row r="999" spans="1:43">
      <c r="A999" s="15" t="s">
        <v>43</v>
      </c>
      <c r="B999" s="15" t="s">
        <v>44</v>
      </c>
      <c r="C999" s="15" t="s">
        <v>45</v>
      </c>
      <c r="D999" s="15" t="s">
        <v>2722</v>
      </c>
      <c r="E999" s="15" t="s">
        <v>2723</v>
      </c>
      <c r="F999" s="16">
        <v>42234.3870486111</v>
      </c>
      <c r="G999" s="15" t="s">
        <v>2723</v>
      </c>
      <c r="H999" s="15" t="s">
        <v>2724</v>
      </c>
      <c r="I999" s="18">
        <v>0</v>
      </c>
      <c r="J999" s="18">
        <v>0</v>
      </c>
      <c r="K999" s="19">
        <v>0</v>
      </c>
      <c r="L999" s="20">
        <v>0</v>
      </c>
      <c r="M999" s="15">
        <v>0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0</v>
      </c>
      <c r="X999" s="15">
        <v>0</v>
      </c>
      <c r="Y999" s="15">
        <v>0</v>
      </c>
      <c r="Z999" s="15">
        <v>0</v>
      </c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</row>
    <row r="1000" spans="1:43">
      <c r="A1000" s="15" t="s">
        <v>43</v>
      </c>
      <c r="B1000" s="15" t="s">
        <v>44</v>
      </c>
      <c r="C1000" s="15" t="s">
        <v>45</v>
      </c>
      <c r="D1000" s="15" t="s">
        <v>2725</v>
      </c>
      <c r="E1000" s="15" t="s">
        <v>2726</v>
      </c>
      <c r="F1000" s="16">
        <v>42727.3834722222</v>
      </c>
      <c r="G1000" s="15" t="s">
        <v>2726</v>
      </c>
      <c r="H1000" s="15" t="s">
        <v>2727</v>
      </c>
      <c r="I1000" s="18">
        <v>0</v>
      </c>
      <c r="J1000" s="18">
        <v>0</v>
      </c>
      <c r="K1000" s="19">
        <v>0</v>
      </c>
      <c r="L1000" s="20">
        <v>0</v>
      </c>
      <c r="M1000" s="15">
        <v>0</v>
      </c>
      <c r="N1000" s="15">
        <v>0</v>
      </c>
      <c r="O1000" s="15">
        <v>0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</row>
    <row r="1001" spans="1:43">
      <c r="A1001" s="15" t="s">
        <v>43</v>
      </c>
      <c r="B1001" s="15" t="s">
        <v>44</v>
      </c>
      <c r="C1001" s="15" t="s">
        <v>45</v>
      </c>
      <c r="D1001" s="15" t="s">
        <v>2728</v>
      </c>
      <c r="E1001" s="15" t="s">
        <v>2729</v>
      </c>
      <c r="F1001" s="16">
        <v>42268.7216782407</v>
      </c>
      <c r="G1001" s="15" t="s">
        <v>2729</v>
      </c>
      <c r="H1001" s="15" t="s">
        <v>2730</v>
      </c>
      <c r="I1001" s="18">
        <v>0</v>
      </c>
      <c r="J1001" s="18">
        <v>0</v>
      </c>
      <c r="K1001" s="19">
        <v>0</v>
      </c>
      <c r="L1001" s="20">
        <v>0</v>
      </c>
      <c r="M1001" s="15">
        <v>0</v>
      </c>
      <c r="N1001" s="15">
        <v>0</v>
      </c>
      <c r="O1001" s="15">
        <v>0</v>
      </c>
      <c r="P1001" s="15">
        <v>0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</row>
    <row r="1002" spans="1:43">
      <c r="A1002" s="15" t="s">
        <v>43</v>
      </c>
      <c r="B1002" s="15" t="s">
        <v>44</v>
      </c>
      <c r="C1002" s="15" t="s">
        <v>45</v>
      </c>
      <c r="D1002" s="15" t="s">
        <v>2731</v>
      </c>
      <c r="E1002" s="15" t="s">
        <v>2732</v>
      </c>
      <c r="F1002" s="16">
        <v>42906.7133449074</v>
      </c>
      <c r="G1002" s="15" t="s">
        <v>2732</v>
      </c>
      <c r="H1002" s="15" t="s">
        <v>2733</v>
      </c>
      <c r="I1002" s="18">
        <v>0</v>
      </c>
      <c r="J1002" s="18">
        <v>0</v>
      </c>
      <c r="K1002" s="19">
        <v>0</v>
      </c>
      <c r="L1002" s="20">
        <v>0</v>
      </c>
      <c r="M1002" s="15">
        <v>0</v>
      </c>
      <c r="N1002" s="15">
        <v>0</v>
      </c>
      <c r="O1002" s="15">
        <v>0</v>
      </c>
      <c r="P1002" s="15">
        <v>0</v>
      </c>
      <c r="Q1002" s="15">
        <v>0</v>
      </c>
      <c r="R1002" s="15">
        <v>0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</row>
    <row r="1003" spans="1:43">
      <c r="A1003" s="15" t="s">
        <v>49</v>
      </c>
      <c r="B1003" s="15" t="s">
        <v>50</v>
      </c>
      <c r="C1003" s="15" t="s">
        <v>61</v>
      </c>
      <c r="D1003" s="15" t="s">
        <v>2734</v>
      </c>
      <c r="E1003" s="15" t="s">
        <v>2735</v>
      </c>
      <c r="F1003" s="16">
        <v>0</v>
      </c>
      <c r="G1003" s="15" t="s">
        <v>2735</v>
      </c>
      <c r="H1003" s="15" t="s">
        <v>2736</v>
      </c>
      <c r="I1003" s="18">
        <v>0</v>
      </c>
      <c r="J1003" s="18">
        <v>0</v>
      </c>
      <c r="K1003" s="19">
        <v>0</v>
      </c>
      <c r="L1003" s="20">
        <v>0</v>
      </c>
      <c r="M1003" s="15">
        <v>0</v>
      </c>
      <c r="N1003" s="15">
        <v>0</v>
      </c>
      <c r="O1003" s="15">
        <v>0</v>
      </c>
      <c r="P1003" s="15">
        <v>0</v>
      </c>
      <c r="Q1003" s="15">
        <v>0</v>
      </c>
      <c r="R1003" s="15">
        <v>0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</row>
    <row r="1004" spans="1:43">
      <c r="A1004" s="15" t="s">
        <v>43</v>
      </c>
      <c r="B1004" s="15" t="s">
        <v>44</v>
      </c>
      <c r="C1004" s="15" t="s">
        <v>45</v>
      </c>
      <c r="D1004" s="15" t="s">
        <v>2737</v>
      </c>
      <c r="E1004" s="15" t="s">
        <v>2738</v>
      </c>
      <c r="F1004" s="16">
        <v>42631.4009722222</v>
      </c>
      <c r="G1004" s="15" t="s">
        <v>2738</v>
      </c>
      <c r="H1004" s="15" t="s">
        <v>2739</v>
      </c>
      <c r="I1004" s="18">
        <v>0</v>
      </c>
      <c r="J1004" s="18">
        <v>0</v>
      </c>
      <c r="K1004" s="19">
        <v>0</v>
      </c>
      <c r="L1004" s="20">
        <v>0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0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</row>
    <row r="1005" spans="1:43">
      <c r="A1005" s="15" t="s">
        <v>43</v>
      </c>
      <c r="B1005" s="15" t="s">
        <v>44</v>
      </c>
      <c r="C1005" s="15" t="s">
        <v>45</v>
      </c>
      <c r="D1005" s="15" t="s">
        <v>2740</v>
      </c>
      <c r="E1005" s="15" t="s">
        <v>2741</v>
      </c>
      <c r="F1005" s="16">
        <v>42706.5980208333</v>
      </c>
      <c r="G1005" s="15" t="s">
        <v>2741</v>
      </c>
      <c r="H1005" s="15" t="s">
        <v>2742</v>
      </c>
      <c r="I1005" s="18">
        <v>0</v>
      </c>
      <c r="J1005" s="18">
        <v>0</v>
      </c>
      <c r="K1005" s="19">
        <v>0</v>
      </c>
      <c r="L1005" s="20">
        <v>0</v>
      </c>
      <c r="M1005" s="15">
        <v>0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</row>
    <row r="1006" spans="1:43">
      <c r="A1006" s="15" t="s">
        <v>43</v>
      </c>
      <c r="B1006" s="15" t="s">
        <v>44</v>
      </c>
      <c r="C1006" s="15" t="s">
        <v>45</v>
      </c>
      <c r="D1006" s="15" t="s">
        <v>2743</v>
      </c>
      <c r="E1006" s="15" t="s">
        <v>2744</v>
      </c>
      <c r="F1006" s="16">
        <v>42212.7083449074</v>
      </c>
      <c r="G1006" s="15" t="s">
        <v>2744</v>
      </c>
      <c r="H1006" s="15" t="s">
        <v>2745</v>
      </c>
      <c r="I1006" s="18">
        <v>0</v>
      </c>
      <c r="J1006" s="18">
        <v>0</v>
      </c>
      <c r="K1006" s="19">
        <v>0</v>
      </c>
      <c r="L1006" s="20">
        <v>0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0</v>
      </c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</row>
    <row r="1007" spans="1:43">
      <c r="A1007" s="15" t="s">
        <v>64</v>
      </c>
      <c r="B1007" s="15" t="s">
        <v>65</v>
      </c>
      <c r="C1007" s="15" t="s">
        <v>78</v>
      </c>
      <c r="D1007" s="15" t="s">
        <v>2746</v>
      </c>
      <c r="E1007" s="15" t="s">
        <v>2747</v>
      </c>
      <c r="F1007" s="16">
        <v>44999.490462963</v>
      </c>
      <c r="G1007" s="15" t="s">
        <v>2747</v>
      </c>
      <c r="H1007" s="15" t="s">
        <v>54</v>
      </c>
      <c r="I1007" s="18">
        <v>0</v>
      </c>
      <c r="J1007" s="18">
        <v>0</v>
      </c>
      <c r="K1007" s="19">
        <v>0</v>
      </c>
      <c r="L1007" s="20">
        <v>0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</row>
    <row r="1008" spans="1:43">
      <c r="A1008" s="15" t="s">
        <v>49</v>
      </c>
      <c r="B1008" s="15" t="s">
        <v>50</v>
      </c>
      <c r="C1008" s="15" t="s">
        <v>61</v>
      </c>
      <c r="D1008" s="15" t="s">
        <v>2748</v>
      </c>
      <c r="E1008" s="15" t="s">
        <v>2749</v>
      </c>
      <c r="F1008" s="16">
        <v>0</v>
      </c>
      <c r="G1008" s="15" t="s">
        <v>2749</v>
      </c>
      <c r="H1008" s="15" t="s">
        <v>2750</v>
      </c>
      <c r="I1008" s="18">
        <v>0</v>
      </c>
      <c r="J1008" s="18">
        <v>0</v>
      </c>
      <c r="K1008" s="19">
        <v>0</v>
      </c>
      <c r="L1008" s="20">
        <v>0</v>
      </c>
      <c r="M1008" s="15">
        <v>0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</row>
    <row r="1009" spans="1:43">
      <c r="A1009" s="15" t="s">
        <v>43</v>
      </c>
      <c r="B1009" s="15" t="s">
        <v>44</v>
      </c>
      <c r="C1009" s="15" t="s">
        <v>45</v>
      </c>
      <c r="D1009" s="15" t="s">
        <v>2751</v>
      </c>
      <c r="E1009" s="15" t="s">
        <v>2752</v>
      </c>
      <c r="F1009" s="16">
        <v>43583.4737962963</v>
      </c>
      <c r="G1009" s="15" t="s">
        <v>2752</v>
      </c>
      <c r="H1009" s="15" t="s">
        <v>107</v>
      </c>
      <c r="I1009" s="18">
        <v>0</v>
      </c>
      <c r="J1009" s="18">
        <v>0</v>
      </c>
      <c r="K1009" s="19">
        <v>0</v>
      </c>
      <c r="L1009" s="20">
        <v>0</v>
      </c>
      <c r="M1009" s="15">
        <v>0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</row>
    <row r="1010" spans="1:43">
      <c r="A1010" s="15" t="s">
        <v>49</v>
      </c>
      <c r="B1010" s="15" t="s">
        <v>50</v>
      </c>
      <c r="C1010" s="15" t="s">
        <v>61</v>
      </c>
      <c r="D1010" s="15" t="s">
        <v>2753</v>
      </c>
      <c r="E1010" s="15" t="s">
        <v>2754</v>
      </c>
      <c r="F1010" s="16">
        <v>0</v>
      </c>
      <c r="G1010" s="15" t="s">
        <v>2754</v>
      </c>
      <c r="H1010" s="15" t="s">
        <v>54</v>
      </c>
      <c r="I1010" s="18">
        <v>0</v>
      </c>
      <c r="J1010" s="18">
        <v>0</v>
      </c>
      <c r="K1010" s="19">
        <v>0</v>
      </c>
      <c r="L1010" s="20">
        <v>0</v>
      </c>
      <c r="M1010" s="15">
        <v>0</v>
      </c>
      <c r="N1010" s="15">
        <v>0</v>
      </c>
      <c r="O1010" s="15">
        <v>0</v>
      </c>
      <c r="P1010" s="15">
        <v>0</v>
      </c>
      <c r="Q1010" s="15">
        <v>0</v>
      </c>
      <c r="R1010" s="15">
        <v>0</v>
      </c>
      <c r="S1010" s="15">
        <v>0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0</v>
      </c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</row>
    <row r="1011" spans="1:43">
      <c r="A1011" s="15" t="s">
        <v>43</v>
      </c>
      <c r="B1011" s="15" t="s">
        <v>44</v>
      </c>
      <c r="C1011" s="15" t="s">
        <v>45</v>
      </c>
      <c r="D1011" s="15" t="s">
        <v>2755</v>
      </c>
      <c r="E1011" s="15" t="s">
        <v>2756</v>
      </c>
      <c r="F1011" s="16">
        <v>43720.7143981481</v>
      </c>
      <c r="G1011" s="15" t="s">
        <v>2756</v>
      </c>
      <c r="H1011" s="15" t="s">
        <v>2757</v>
      </c>
      <c r="I1011" s="18">
        <v>0</v>
      </c>
      <c r="J1011" s="18">
        <v>0</v>
      </c>
      <c r="K1011" s="19">
        <v>0</v>
      </c>
      <c r="L1011" s="20">
        <v>0</v>
      </c>
      <c r="M1011" s="15">
        <v>0</v>
      </c>
      <c r="N1011" s="15">
        <v>0</v>
      </c>
      <c r="O1011" s="15">
        <v>0</v>
      </c>
      <c r="P1011" s="15">
        <v>0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</row>
    <row r="1012" spans="1:43">
      <c r="A1012" s="15" t="s">
        <v>43</v>
      </c>
      <c r="B1012" s="15" t="s">
        <v>44</v>
      </c>
      <c r="C1012" s="15" t="s">
        <v>45</v>
      </c>
      <c r="D1012" s="15" t="s">
        <v>2758</v>
      </c>
      <c r="E1012" s="15" t="s">
        <v>2759</v>
      </c>
      <c r="F1012" s="16">
        <v>43284.7121180556</v>
      </c>
      <c r="G1012" s="15" t="s">
        <v>2759</v>
      </c>
      <c r="H1012" s="15" t="s">
        <v>2760</v>
      </c>
      <c r="I1012" s="18">
        <v>0</v>
      </c>
      <c r="J1012" s="18">
        <v>0</v>
      </c>
      <c r="K1012" s="19">
        <v>0</v>
      </c>
      <c r="L1012" s="20">
        <v>0</v>
      </c>
      <c r="M1012" s="15">
        <v>0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</row>
    <row r="1013" spans="1:43">
      <c r="A1013" s="15" t="s">
        <v>43</v>
      </c>
      <c r="B1013" s="15" t="s">
        <v>44</v>
      </c>
      <c r="C1013" s="15" t="s">
        <v>45</v>
      </c>
      <c r="D1013" s="15" t="s">
        <v>2761</v>
      </c>
      <c r="E1013" s="15" t="s">
        <v>2762</v>
      </c>
      <c r="F1013" s="16">
        <v>43098.5853703704</v>
      </c>
      <c r="G1013" s="15" t="s">
        <v>2762</v>
      </c>
      <c r="H1013" s="15" t="s">
        <v>2763</v>
      </c>
      <c r="I1013" s="18">
        <v>0</v>
      </c>
      <c r="J1013" s="18">
        <v>0</v>
      </c>
      <c r="K1013" s="19">
        <v>0</v>
      </c>
      <c r="L1013" s="20">
        <v>0</v>
      </c>
      <c r="M1013" s="15">
        <v>0</v>
      </c>
      <c r="N1013" s="15">
        <v>0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</row>
    <row r="1014" spans="1:43">
      <c r="A1014" s="15" t="s">
        <v>43</v>
      </c>
      <c r="B1014" s="15" t="s">
        <v>44</v>
      </c>
      <c r="C1014" s="15" t="s">
        <v>45</v>
      </c>
      <c r="D1014" s="15" t="s">
        <v>2764</v>
      </c>
      <c r="E1014" s="15" t="s">
        <v>2765</v>
      </c>
      <c r="F1014" s="16">
        <v>42816.6475694445</v>
      </c>
      <c r="G1014" s="15" t="s">
        <v>2765</v>
      </c>
      <c r="H1014" s="15" t="s">
        <v>2766</v>
      </c>
      <c r="I1014" s="18">
        <v>0</v>
      </c>
      <c r="J1014" s="18">
        <v>0</v>
      </c>
      <c r="K1014" s="19">
        <v>0</v>
      </c>
      <c r="L1014" s="20">
        <v>0</v>
      </c>
      <c r="M1014" s="15">
        <v>0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</row>
    <row r="1015" spans="1:43">
      <c r="A1015" s="15" t="s">
        <v>43</v>
      </c>
      <c r="B1015" s="15" t="s">
        <v>44</v>
      </c>
      <c r="C1015" s="15" t="s">
        <v>45</v>
      </c>
      <c r="D1015" s="15" t="s">
        <v>2767</v>
      </c>
      <c r="E1015" s="15" t="s">
        <v>2768</v>
      </c>
      <c r="F1015" s="16">
        <v>44228.6524652778</v>
      </c>
      <c r="G1015" s="15" t="s">
        <v>2768</v>
      </c>
      <c r="H1015" s="15" t="s">
        <v>54</v>
      </c>
      <c r="I1015" s="18">
        <v>0</v>
      </c>
      <c r="J1015" s="18">
        <v>0</v>
      </c>
      <c r="K1015" s="19">
        <v>0</v>
      </c>
      <c r="L1015" s="20">
        <v>0</v>
      </c>
      <c r="M1015" s="15">
        <v>0</v>
      </c>
      <c r="N1015" s="15">
        <v>0</v>
      </c>
      <c r="O1015" s="15">
        <v>0</v>
      </c>
      <c r="P1015" s="15">
        <v>0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</row>
    <row r="1016" spans="1:43">
      <c r="A1016" s="15" t="s">
        <v>43</v>
      </c>
      <c r="B1016" s="15" t="s">
        <v>44</v>
      </c>
      <c r="C1016" s="15" t="s">
        <v>45</v>
      </c>
      <c r="D1016" s="15" t="s">
        <v>2769</v>
      </c>
      <c r="E1016" s="15" t="s">
        <v>2770</v>
      </c>
      <c r="F1016" s="16">
        <v>41565.7260532407</v>
      </c>
      <c r="G1016" s="15" t="s">
        <v>2770</v>
      </c>
      <c r="H1016" s="15" t="s">
        <v>2771</v>
      </c>
      <c r="I1016" s="18">
        <v>0</v>
      </c>
      <c r="J1016" s="18">
        <v>0</v>
      </c>
      <c r="K1016" s="19">
        <v>0</v>
      </c>
      <c r="L1016" s="20">
        <v>0</v>
      </c>
      <c r="M1016" s="15">
        <v>0</v>
      </c>
      <c r="N1016" s="15">
        <v>0</v>
      </c>
      <c r="O1016" s="15">
        <v>0</v>
      </c>
      <c r="P1016" s="15">
        <v>0</v>
      </c>
      <c r="Q1016" s="15">
        <v>0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</row>
    <row r="1017" spans="1:43">
      <c r="A1017" s="15" t="s">
        <v>43</v>
      </c>
      <c r="B1017" s="15" t="s">
        <v>44</v>
      </c>
      <c r="C1017" s="15" t="s">
        <v>45</v>
      </c>
      <c r="D1017" s="15" t="s">
        <v>2772</v>
      </c>
      <c r="E1017" s="15" t="s">
        <v>2773</v>
      </c>
      <c r="F1017" s="16">
        <v>43948.6028356481</v>
      </c>
      <c r="G1017" s="15" t="s">
        <v>2773</v>
      </c>
      <c r="H1017" s="15" t="s">
        <v>54</v>
      </c>
      <c r="I1017" s="18">
        <v>0</v>
      </c>
      <c r="J1017" s="18">
        <v>0</v>
      </c>
      <c r="K1017" s="19">
        <v>0</v>
      </c>
      <c r="L1017" s="20">
        <v>0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</row>
    <row r="1018" spans="1:43">
      <c r="A1018" s="15" t="s">
        <v>43</v>
      </c>
      <c r="B1018" s="15" t="s">
        <v>44</v>
      </c>
      <c r="C1018" s="15" t="s">
        <v>45</v>
      </c>
      <c r="D1018" s="15" t="s">
        <v>2774</v>
      </c>
      <c r="E1018" s="15" t="s">
        <v>2775</v>
      </c>
      <c r="F1018" s="16">
        <v>43003.7864930556</v>
      </c>
      <c r="G1018" s="15" t="s">
        <v>2775</v>
      </c>
      <c r="H1018" s="15" t="s">
        <v>2776</v>
      </c>
      <c r="I1018" s="18">
        <v>0</v>
      </c>
      <c r="J1018" s="18">
        <v>0</v>
      </c>
      <c r="K1018" s="19">
        <v>0</v>
      </c>
      <c r="L1018" s="20">
        <v>0</v>
      </c>
      <c r="M1018" s="15">
        <v>0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0</v>
      </c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</row>
    <row r="1019" spans="1:43">
      <c r="A1019" s="15" t="s">
        <v>43</v>
      </c>
      <c r="B1019" s="15" t="s">
        <v>44</v>
      </c>
      <c r="C1019" s="15" t="s">
        <v>45</v>
      </c>
      <c r="D1019" s="15" t="s">
        <v>2777</v>
      </c>
      <c r="E1019" s="15" t="s">
        <v>2778</v>
      </c>
      <c r="F1019" s="16">
        <v>42800.656412037</v>
      </c>
      <c r="G1019" s="15" t="s">
        <v>2778</v>
      </c>
      <c r="H1019" s="15" t="s">
        <v>2779</v>
      </c>
      <c r="I1019" s="18">
        <v>0</v>
      </c>
      <c r="J1019" s="18">
        <v>0</v>
      </c>
      <c r="K1019" s="19">
        <v>0</v>
      </c>
      <c r="L1019" s="20">
        <v>0</v>
      </c>
      <c r="M1019" s="15">
        <v>0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</row>
    <row r="1020" spans="1:43">
      <c r="A1020" s="15" t="s">
        <v>49</v>
      </c>
      <c r="B1020" s="15" t="s">
        <v>50</v>
      </c>
      <c r="C1020" s="15" t="s">
        <v>61</v>
      </c>
      <c r="D1020" s="15" t="s">
        <v>2780</v>
      </c>
      <c r="E1020" s="15" t="s">
        <v>2781</v>
      </c>
      <c r="F1020" s="16">
        <v>0</v>
      </c>
      <c r="G1020" s="15" t="s">
        <v>2781</v>
      </c>
      <c r="H1020" s="15" t="s">
        <v>54</v>
      </c>
      <c r="I1020" s="18">
        <v>0</v>
      </c>
      <c r="J1020" s="18">
        <v>0</v>
      </c>
      <c r="K1020" s="19">
        <v>0</v>
      </c>
      <c r="L1020" s="20">
        <v>0</v>
      </c>
      <c r="M1020" s="15">
        <v>0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</row>
    <row r="1021" spans="1:43">
      <c r="A1021" s="15" t="s">
        <v>43</v>
      </c>
      <c r="B1021" s="15" t="s">
        <v>44</v>
      </c>
      <c r="C1021" s="15" t="s">
        <v>45</v>
      </c>
      <c r="D1021" s="15" t="s">
        <v>2782</v>
      </c>
      <c r="E1021" s="15" t="s">
        <v>2783</v>
      </c>
      <c r="F1021" s="16">
        <v>41215.4206944444</v>
      </c>
      <c r="G1021" s="15" t="s">
        <v>2783</v>
      </c>
      <c r="H1021" s="15" t="s">
        <v>2784</v>
      </c>
      <c r="I1021" s="18">
        <v>0</v>
      </c>
      <c r="J1021" s="18">
        <v>0</v>
      </c>
      <c r="K1021" s="19">
        <v>0</v>
      </c>
      <c r="L1021" s="20">
        <v>0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0</v>
      </c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</row>
    <row r="1022" spans="1:43">
      <c r="A1022" s="15" t="s">
        <v>64</v>
      </c>
      <c r="B1022" s="15" t="s">
        <v>65</v>
      </c>
      <c r="C1022" s="15" t="s">
        <v>93</v>
      </c>
      <c r="D1022" s="15" t="s">
        <v>2785</v>
      </c>
      <c r="E1022" s="15" t="s">
        <v>2786</v>
      </c>
      <c r="F1022" s="16">
        <v>44858.436400463</v>
      </c>
      <c r="G1022" s="15" t="s">
        <v>2786</v>
      </c>
      <c r="H1022" s="15" t="s">
        <v>2787</v>
      </c>
      <c r="I1022" s="18">
        <v>0</v>
      </c>
      <c r="J1022" s="18">
        <v>0</v>
      </c>
      <c r="K1022" s="19">
        <v>0</v>
      </c>
      <c r="L1022" s="20">
        <v>0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0</v>
      </c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</row>
    <row r="1023" spans="1:43">
      <c r="A1023" s="15" t="s">
        <v>43</v>
      </c>
      <c r="B1023" s="15" t="s">
        <v>44</v>
      </c>
      <c r="C1023" s="15" t="s">
        <v>45</v>
      </c>
      <c r="D1023" s="15" t="s">
        <v>2788</v>
      </c>
      <c r="E1023" s="15" t="s">
        <v>2789</v>
      </c>
      <c r="F1023" s="16">
        <v>43524.4651736111</v>
      </c>
      <c r="G1023" s="15" t="s">
        <v>2789</v>
      </c>
      <c r="H1023" s="15" t="s">
        <v>2790</v>
      </c>
      <c r="I1023" s="18">
        <v>0</v>
      </c>
      <c r="J1023" s="18">
        <v>0</v>
      </c>
      <c r="K1023" s="19">
        <v>0</v>
      </c>
      <c r="L1023" s="20">
        <v>0</v>
      </c>
      <c r="M1023" s="15">
        <v>0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</row>
    <row r="1024" spans="1:43">
      <c r="A1024" s="15" t="s">
        <v>43</v>
      </c>
      <c r="B1024" s="15" t="s">
        <v>44</v>
      </c>
      <c r="C1024" s="15" t="s">
        <v>45</v>
      </c>
      <c r="D1024" s="15" t="s">
        <v>2791</v>
      </c>
      <c r="E1024" s="15" t="s">
        <v>2792</v>
      </c>
      <c r="F1024" s="16">
        <v>42224.3896180556</v>
      </c>
      <c r="G1024" s="15" t="s">
        <v>2792</v>
      </c>
      <c r="H1024" s="15" t="s">
        <v>2793</v>
      </c>
      <c r="I1024" s="18">
        <v>0</v>
      </c>
      <c r="J1024" s="18">
        <v>0</v>
      </c>
      <c r="K1024" s="19">
        <v>0</v>
      </c>
      <c r="L1024" s="20">
        <v>0</v>
      </c>
      <c r="M1024" s="15">
        <v>0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</row>
    <row r="1025" spans="1:43">
      <c r="A1025" s="15" t="s">
        <v>43</v>
      </c>
      <c r="B1025" s="15" t="s">
        <v>44</v>
      </c>
      <c r="C1025" s="15" t="s">
        <v>45</v>
      </c>
      <c r="D1025" s="15" t="s">
        <v>2794</v>
      </c>
      <c r="E1025" s="15" t="s">
        <v>2795</v>
      </c>
      <c r="F1025" s="16">
        <v>41535.4450347222</v>
      </c>
      <c r="G1025" s="15" t="s">
        <v>2795</v>
      </c>
      <c r="H1025" s="15" t="s">
        <v>2796</v>
      </c>
      <c r="I1025" s="18">
        <v>0</v>
      </c>
      <c r="J1025" s="18">
        <v>0</v>
      </c>
      <c r="K1025" s="19">
        <v>0</v>
      </c>
      <c r="L1025" s="20">
        <v>0</v>
      </c>
      <c r="M1025" s="15">
        <v>0</v>
      </c>
      <c r="N1025" s="15">
        <v>0</v>
      </c>
      <c r="O1025" s="15">
        <v>0</v>
      </c>
      <c r="P1025" s="15">
        <v>0</v>
      </c>
      <c r="Q1025" s="15">
        <v>0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</row>
    <row r="1026" spans="1:43">
      <c r="A1026" s="15" t="s">
        <v>49</v>
      </c>
      <c r="B1026" s="15" t="s">
        <v>50</v>
      </c>
      <c r="C1026" s="15" t="s">
        <v>61</v>
      </c>
      <c r="D1026" s="15" t="s">
        <v>2797</v>
      </c>
      <c r="E1026" s="15" t="s">
        <v>2798</v>
      </c>
      <c r="F1026" s="16">
        <v>0</v>
      </c>
      <c r="G1026" s="15" t="s">
        <v>2798</v>
      </c>
      <c r="H1026" s="15" t="s">
        <v>54</v>
      </c>
      <c r="I1026" s="18">
        <v>0</v>
      </c>
      <c r="J1026" s="18">
        <v>0</v>
      </c>
      <c r="K1026" s="19">
        <v>0</v>
      </c>
      <c r="L1026" s="20">
        <v>0</v>
      </c>
      <c r="M1026" s="15">
        <v>0</v>
      </c>
      <c r="N1026" s="15">
        <v>0</v>
      </c>
      <c r="O1026" s="15">
        <v>0</v>
      </c>
      <c r="P1026" s="15">
        <v>0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</row>
    <row r="1027" spans="1:43">
      <c r="A1027" s="15" t="s">
        <v>43</v>
      </c>
      <c r="B1027" s="15" t="s">
        <v>44</v>
      </c>
      <c r="C1027" s="15" t="s">
        <v>45</v>
      </c>
      <c r="D1027" s="15" t="s">
        <v>2799</v>
      </c>
      <c r="E1027" s="15" t="s">
        <v>2800</v>
      </c>
      <c r="F1027" s="16">
        <v>41311.4149652778</v>
      </c>
      <c r="G1027" s="15" t="s">
        <v>2800</v>
      </c>
      <c r="H1027" s="15" t="s">
        <v>2801</v>
      </c>
      <c r="I1027" s="18">
        <v>0</v>
      </c>
      <c r="J1027" s="18">
        <v>0</v>
      </c>
      <c r="K1027" s="19">
        <v>0</v>
      </c>
      <c r="L1027" s="20">
        <v>0</v>
      </c>
      <c r="M1027" s="15">
        <v>0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</row>
    <row r="1028" spans="1:43">
      <c r="A1028" s="15" t="s">
        <v>43</v>
      </c>
      <c r="B1028" s="15" t="s">
        <v>44</v>
      </c>
      <c r="C1028" s="15" t="s">
        <v>45</v>
      </c>
      <c r="D1028" s="15" t="s">
        <v>2802</v>
      </c>
      <c r="E1028" s="15" t="s">
        <v>2803</v>
      </c>
      <c r="F1028" s="16">
        <v>41997.4131134259</v>
      </c>
      <c r="G1028" s="15" t="s">
        <v>2803</v>
      </c>
      <c r="H1028" s="15" t="s">
        <v>2804</v>
      </c>
      <c r="I1028" s="18">
        <v>0</v>
      </c>
      <c r="J1028" s="18">
        <v>0</v>
      </c>
      <c r="K1028" s="19">
        <v>0</v>
      </c>
      <c r="L1028" s="20">
        <v>0</v>
      </c>
      <c r="M1028" s="15">
        <v>0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0</v>
      </c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</row>
    <row r="1029" spans="1:43">
      <c r="A1029" s="15" t="s">
        <v>43</v>
      </c>
      <c r="B1029" s="15" t="s">
        <v>44</v>
      </c>
      <c r="C1029" s="15" t="s">
        <v>45</v>
      </c>
      <c r="D1029" s="15" t="s">
        <v>2805</v>
      </c>
      <c r="E1029" s="15" t="s">
        <v>2806</v>
      </c>
      <c r="F1029" s="16">
        <v>41687.605787037</v>
      </c>
      <c r="G1029" s="15" t="s">
        <v>2806</v>
      </c>
      <c r="H1029" s="15" t="s">
        <v>2807</v>
      </c>
      <c r="I1029" s="18">
        <v>0</v>
      </c>
      <c r="J1029" s="18">
        <v>0</v>
      </c>
      <c r="K1029" s="19">
        <v>0</v>
      </c>
      <c r="L1029" s="20">
        <v>0</v>
      </c>
      <c r="M1029" s="15">
        <v>0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</row>
    <row r="1030" spans="1:43">
      <c r="A1030" s="15" t="s">
        <v>43</v>
      </c>
      <c r="B1030" s="15" t="s">
        <v>44</v>
      </c>
      <c r="C1030" s="15" t="s">
        <v>45</v>
      </c>
      <c r="D1030" s="15" t="s">
        <v>2808</v>
      </c>
      <c r="E1030" s="15" t="s">
        <v>2809</v>
      </c>
      <c r="F1030" s="16">
        <v>43036.4114236111</v>
      </c>
      <c r="G1030" s="15" t="s">
        <v>2809</v>
      </c>
      <c r="H1030" s="15" t="s">
        <v>2810</v>
      </c>
      <c r="I1030" s="18">
        <v>0</v>
      </c>
      <c r="J1030" s="18">
        <v>0</v>
      </c>
      <c r="K1030" s="19">
        <v>0</v>
      </c>
      <c r="L1030" s="20">
        <v>0</v>
      </c>
      <c r="M1030" s="15">
        <v>0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</row>
    <row r="1031" spans="1:43">
      <c r="A1031" s="15" t="s">
        <v>43</v>
      </c>
      <c r="B1031" s="15" t="s">
        <v>44</v>
      </c>
      <c r="C1031" s="15" t="s">
        <v>45</v>
      </c>
      <c r="D1031" s="15" t="s">
        <v>2811</v>
      </c>
      <c r="E1031" s="15" t="s">
        <v>2812</v>
      </c>
      <c r="F1031" s="16">
        <v>41373.4478356481</v>
      </c>
      <c r="G1031" s="15" t="s">
        <v>2812</v>
      </c>
      <c r="H1031" s="15" t="s">
        <v>2813</v>
      </c>
      <c r="I1031" s="18">
        <v>0</v>
      </c>
      <c r="J1031" s="18">
        <v>0</v>
      </c>
      <c r="K1031" s="19">
        <v>0</v>
      </c>
      <c r="L1031" s="20">
        <v>0</v>
      </c>
      <c r="M1031" s="15">
        <v>0</v>
      </c>
      <c r="N1031" s="15">
        <v>0</v>
      </c>
      <c r="O1031" s="15">
        <v>0</v>
      </c>
      <c r="P1031" s="15">
        <v>0</v>
      </c>
      <c r="Q1031" s="15">
        <v>0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</row>
    <row r="1032" spans="1:43">
      <c r="A1032" s="15" t="s">
        <v>43</v>
      </c>
      <c r="B1032" s="15" t="s">
        <v>44</v>
      </c>
      <c r="C1032" s="15" t="s">
        <v>45</v>
      </c>
      <c r="D1032" s="15" t="s">
        <v>2814</v>
      </c>
      <c r="E1032" s="15" t="s">
        <v>2815</v>
      </c>
      <c r="F1032" s="16">
        <v>42908.4589351852</v>
      </c>
      <c r="G1032" s="15" t="s">
        <v>2815</v>
      </c>
      <c r="H1032" s="15" t="s">
        <v>2816</v>
      </c>
      <c r="I1032" s="18">
        <v>0</v>
      </c>
      <c r="J1032" s="18">
        <v>0</v>
      </c>
      <c r="K1032" s="19">
        <v>0</v>
      </c>
      <c r="L1032" s="20">
        <v>0</v>
      </c>
      <c r="M1032" s="15">
        <v>0</v>
      </c>
      <c r="N1032" s="15">
        <v>0</v>
      </c>
      <c r="O1032" s="15">
        <v>0</v>
      </c>
      <c r="P1032" s="15">
        <v>0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</row>
    <row r="1033" spans="1:43">
      <c r="A1033" s="15" t="s">
        <v>43</v>
      </c>
      <c r="B1033" s="15" t="s">
        <v>44</v>
      </c>
      <c r="C1033" s="15" t="s">
        <v>45</v>
      </c>
      <c r="D1033" s="15" t="s">
        <v>2817</v>
      </c>
      <c r="E1033" s="15" t="s">
        <v>2818</v>
      </c>
      <c r="F1033" s="16">
        <v>41080.6892592593</v>
      </c>
      <c r="G1033" s="15" t="s">
        <v>2818</v>
      </c>
      <c r="H1033" s="15" t="s">
        <v>2819</v>
      </c>
      <c r="I1033" s="18">
        <v>0</v>
      </c>
      <c r="J1033" s="18">
        <v>0</v>
      </c>
      <c r="K1033" s="19">
        <v>0</v>
      </c>
      <c r="L1033" s="20">
        <v>0</v>
      </c>
      <c r="M1033" s="15">
        <v>0</v>
      </c>
      <c r="N1033" s="15">
        <v>0</v>
      </c>
      <c r="O1033" s="15">
        <v>0</v>
      </c>
      <c r="P1033" s="15">
        <v>0</v>
      </c>
      <c r="Q1033" s="15">
        <v>0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0</v>
      </c>
      <c r="X1033" s="15">
        <v>0</v>
      </c>
      <c r="Y1033" s="15">
        <v>0</v>
      </c>
      <c r="Z1033" s="15">
        <v>0</v>
      </c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</row>
    <row r="1034" spans="1:43">
      <c r="A1034" s="15" t="s">
        <v>64</v>
      </c>
      <c r="B1034" s="15" t="s">
        <v>118</v>
      </c>
      <c r="C1034" s="15" t="s">
        <v>119</v>
      </c>
      <c r="D1034" s="15" t="s">
        <v>2820</v>
      </c>
      <c r="E1034" s="15" t="s">
        <v>2821</v>
      </c>
      <c r="F1034" s="16">
        <v>44986.4734259259</v>
      </c>
      <c r="G1034" s="15" t="s">
        <v>2821</v>
      </c>
      <c r="H1034" s="15" t="s">
        <v>2822</v>
      </c>
      <c r="I1034" s="18">
        <v>2530.91</v>
      </c>
      <c r="J1034" s="18">
        <v>14</v>
      </c>
      <c r="K1034" s="19">
        <v>180.779285714286</v>
      </c>
      <c r="L1034" s="20">
        <v>2.5825612244898</v>
      </c>
      <c r="M1034" s="15">
        <v>350.74</v>
      </c>
      <c r="N1034" s="15">
        <v>211.08</v>
      </c>
      <c r="O1034" s="15">
        <v>184.33</v>
      </c>
      <c r="P1034" s="15">
        <v>169.98</v>
      </c>
      <c r="Q1034" s="15">
        <v>62.85</v>
      </c>
      <c r="R1034" s="15">
        <v>80.62</v>
      </c>
      <c r="S1034" s="15">
        <v>201.66</v>
      </c>
      <c r="T1034" s="15">
        <v>375.62</v>
      </c>
      <c r="U1034" s="15">
        <v>194.43</v>
      </c>
      <c r="V1034" s="15">
        <v>49.48</v>
      </c>
      <c r="W1034" s="15">
        <v>170.74</v>
      </c>
      <c r="X1034" s="15">
        <v>96.32</v>
      </c>
      <c r="Y1034" s="15">
        <v>145.42</v>
      </c>
      <c r="Z1034" s="15">
        <v>237.64</v>
      </c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</row>
    <row r="1035" spans="1:43">
      <c r="A1035" s="15" t="s">
        <v>64</v>
      </c>
      <c r="B1035" s="15" t="s">
        <v>65</v>
      </c>
      <c r="C1035" s="15" t="s">
        <v>78</v>
      </c>
      <c r="D1035" s="15" t="s">
        <v>2823</v>
      </c>
      <c r="E1035" s="15" t="s">
        <v>730</v>
      </c>
      <c r="F1035" s="16">
        <v>44778.6482523148</v>
      </c>
      <c r="G1035" s="15" t="s">
        <v>730</v>
      </c>
      <c r="H1035" s="15" t="s">
        <v>54</v>
      </c>
      <c r="I1035" s="18">
        <v>0</v>
      </c>
      <c r="J1035" s="18">
        <v>0</v>
      </c>
      <c r="K1035" s="19">
        <v>0</v>
      </c>
      <c r="L1035" s="20">
        <v>0</v>
      </c>
      <c r="M1035" s="15">
        <v>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</row>
    <row r="1036" spans="1:43">
      <c r="A1036" s="15" t="s">
        <v>49</v>
      </c>
      <c r="B1036" s="15" t="s">
        <v>50</v>
      </c>
      <c r="C1036" s="15" t="s">
        <v>61</v>
      </c>
      <c r="D1036" s="15" t="s">
        <v>2824</v>
      </c>
      <c r="E1036" s="15" t="s">
        <v>2825</v>
      </c>
      <c r="F1036" s="16">
        <v>0</v>
      </c>
      <c r="G1036" s="15" t="s">
        <v>2825</v>
      </c>
      <c r="H1036" s="15" t="s">
        <v>2826</v>
      </c>
      <c r="I1036" s="18">
        <v>0</v>
      </c>
      <c r="J1036" s="18">
        <v>0</v>
      </c>
      <c r="K1036" s="19">
        <v>0</v>
      </c>
      <c r="L1036" s="20">
        <v>0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0</v>
      </c>
      <c r="X1036" s="15">
        <v>0</v>
      </c>
      <c r="Y1036" s="15">
        <v>0</v>
      </c>
      <c r="Z1036" s="15">
        <v>0</v>
      </c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</row>
    <row r="1037" spans="1:43">
      <c r="A1037" s="15" t="s">
        <v>43</v>
      </c>
      <c r="B1037" s="15" t="s">
        <v>44</v>
      </c>
      <c r="C1037" s="15" t="s">
        <v>228</v>
      </c>
      <c r="D1037" s="15" t="s">
        <v>2827</v>
      </c>
      <c r="E1037" s="15" t="s">
        <v>2828</v>
      </c>
      <c r="F1037" s="16">
        <v>43613.6938888889</v>
      </c>
      <c r="G1037" s="15" t="s">
        <v>2828</v>
      </c>
      <c r="H1037" s="15" t="s">
        <v>2829</v>
      </c>
      <c r="I1037" s="18">
        <v>0</v>
      </c>
      <c r="J1037" s="18">
        <v>0</v>
      </c>
      <c r="K1037" s="19">
        <v>0</v>
      </c>
      <c r="L1037" s="20">
        <v>0</v>
      </c>
      <c r="M1037" s="15">
        <v>0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0</v>
      </c>
      <c r="X1037" s="15">
        <v>0</v>
      </c>
      <c r="Y1037" s="15">
        <v>0</v>
      </c>
      <c r="Z1037" s="15">
        <v>0</v>
      </c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</row>
    <row r="1038" spans="1:43">
      <c r="A1038" s="15" t="s">
        <v>43</v>
      </c>
      <c r="B1038" s="15" t="s">
        <v>44</v>
      </c>
      <c r="C1038" s="15" t="s">
        <v>45</v>
      </c>
      <c r="D1038" s="15" t="s">
        <v>2830</v>
      </c>
      <c r="E1038" s="15" t="s">
        <v>2831</v>
      </c>
      <c r="F1038" s="16">
        <v>43381.3878356482</v>
      </c>
      <c r="G1038" s="15" t="s">
        <v>2831</v>
      </c>
      <c r="H1038" s="15" t="s">
        <v>2832</v>
      </c>
      <c r="I1038" s="18">
        <v>0</v>
      </c>
      <c r="J1038" s="18">
        <v>0</v>
      </c>
      <c r="K1038" s="19">
        <v>0</v>
      </c>
      <c r="L1038" s="20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0</v>
      </c>
      <c r="X1038" s="15">
        <v>0</v>
      </c>
      <c r="Y1038" s="15">
        <v>0</v>
      </c>
      <c r="Z1038" s="15">
        <v>0</v>
      </c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</row>
    <row r="1039" spans="1:43">
      <c r="A1039" s="15" t="s">
        <v>43</v>
      </c>
      <c r="B1039" s="15" t="s">
        <v>44</v>
      </c>
      <c r="C1039" s="15" t="s">
        <v>45</v>
      </c>
      <c r="D1039" s="15" t="s">
        <v>2833</v>
      </c>
      <c r="E1039" s="15" t="s">
        <v>2834</v>
      </c>
      <c r="F1039" s="16">
        <v>41705.6747916667</v>
      </c>
      <c r="G1039" s="15" t="s">
        <v>2834</v>
      </c>
      <c r="H1039" s="15" t="s">
        <v>2835</v>
      </c>
      <c r="I1039" s="18">
        <v>0</v>
      </c>
      <c r="J1039" s="18">
        <v>0</v>
      </c>
      <c r="K1039" s="19">
        <v>0</v>
      </c>
      <c r="L1039" s="20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0</v>
      </c>
      <c r="X1039" s="15">
        <v>0</v>
      </c>
      <c r="Y1039" s="15">
        <v>0</v>
      </c>
      <c r="Z1039" s="15">
        <v>0</v>
      </c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</row>
    <row r="1040" spans="1:43">
      <c r="A1040" s="15" t="s">
        <v>43</v>
      </c>
      <c r="B1040" s="15" t="s">
        <v>44</v>
      </c>
      <c r="C1040" s="15" t="s">
        <v>45</v>
      </c>
      <c r="D1040" s="15" t="s">
        <v>2836</v>
      </c>
      <c r="E1040" s="15" t="s">
        <v>2837</v>
      </c>
      <c r="F1040" s="16">
        <v>41374.4168287037</v>
      </c>
      <c r="G1040" s="15" t="s">
        <v>2837</v>
      </c>
      <c r="H1040" s="15" t="s">
        <v>2838</v>
      </c>
      <c r="I1040" s="18">
        <v>0</v>
      </c>
      <c r="J1040" s="18">
        <v>0</v>
      </c>
      <c r="K1040" s="19">
        <v>0</v>
      </c>
      <c r="L1040" s="20">
        <v>0</v>
      </c>
      <c r="M1040" s="15">
        <v>0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</row>
    <row r="1041" spans="1:43">
      <c r="A1041" s="15" t="s">
        <v>43</v>
      </c>
      <c r="B1041" s="15" t="s">
        <v>44</v>
      </c>
      <c r="C1041" s="15" t="s">
        <v>440</v>
      </c>
      <c r="D1041" s="15" t="s">
        <v>2839</v>
      </c>
      <c r="E1041" s="15" t="s">
        <v>2840</v>
      </c>
      <c r="F1041" s="16">
        <v>45110.482650463</v>
      </c>
      <c r="G1041" s="15" t="s">
        <v>2840</v>
      </c>
      <c r="H1041" s="15" t="s">
        <v>54</v>
      </c>
      <c r="I1041" s="18">
        <v>0</v>
      </c>
      <c r="J1041" s="18">
        <v>0</v>
      </c>
      <c r="K1041" s="19">
        <v>0</v>
      </c>
      <c r="L1041" s="20">
        <v>0</v>
      </c>
      <c r="M1041" s="15">
        <v>0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</row>
    <row r="1042" spans="1:43">
      <c r="A1042" s="15" t="s">
        <v>43</v>
      </c>
      <c r="B1042" s="15" t="s">
        <v>44</v>
      </c>
      <c r="C1042" s="15" t="s">
        <v>45</v>
      </c>
      <c r="D1042" s="15" t="s">
        <v>2841</v>
      </c>
      <c r="E1042" s="15" t="s">
        <v>2842</v>
      </c>
      <c r="F1042" s="16">
        <v>42637.4642361111</v>
      </c>
      <c r="G1042" s="15" t="s">
        <v>2842</v>
      </c>
      <c r="H1042" s="15" t="s">
        <v>2843</v>
      </c>
      <c r="I1042" s="18">
        <v>0</v>
      </c>
      <c r="J1042" s="18">
        <v>0</v>
      </c>
      <c r="K1042" s="19">
        <v>0</v>
      </c>
      <c r="L1042" s="20">
        <v>0</v>
      </c>
      <c r="M1042" s="15">
        <v>0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</row>
    <row r="1043" spans="1:43">
      <c r="A1043" s="15" t="s">
        <v>49</v>
      </c>
      <c r="B1043" s="15" t="s">
        <v>50</v>
      </c>
      <c r="C1043" s="15" t="s">
        <v>61</v>
      </c>
      <c r="D1043" s="15" t="s">
        <v>2844</v>
      </c>
      <c r="E1043" s="15" t="s">
        <v>2845</v>
      </c>
      <c r="F1043" s="16">
        <v>0</v>
      </c>
      <c r="G1043" s="15" t="s">
        <v>2845</v>
      </c>
      <c r="H1043" s="15" t="s">
        <v>2846</v>
      </c>
      <c r="I1043" s="18">
        <v>0</v>
      </c>
      <c r="J1043" s="18">
        <v>0</v>
      </c>
      <c r="K1043" s="19">
        <v>0</v>
      </c>
      <c r="L1043" s="20">
        <v>0</v>
      </c>
      <c r="M1043" s="15">
        <v>0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</row>
    <row r="1044" spans="1:43">
      <c r="A1044" s="15" t="s">
        <v>43</v>
      </c>
      <c r="B1044" s="15" t="s">
        <v>44</v>
      </c>
      <c r="C1044" s="15" t="s">
        <v>45</v>
      </c>
      <c r="D1044" s="15" t="s">
        <v>2847</v>
      </c>
      <c r="E1044" s="15" t="s">
        <v>2848</v>
      </c>
      <c r="F1044" s="16">
        <v>42227.71125</v>
      </c>
      <c r="G1044" s="15" t="s">
        <v>2848</v>
      </c>
      <c r="H1044" s="15" t="s">
        <v>2849</v>
      </c>
      <c r="I1044" s="18">
        <v>0</v>
      </c>
      <c r="J1044" s="18">
        <v>0</v>
      </c>
      <c r="K1044" s="19">
        <v>0</v>
      </c>
      <c r="L1044" s="20">
        <v>0</v>
      </c>
      <c r="M1044" s="15">
        <v>0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</row>
    <row r="1045" spans="1:43">
      <c r="A1045" s="15" t="s">
        <v>43</v>
      </c>
      <c r="B1045" s="15" t="s">
        <v>44</v>
      </c>
      <c r="C1045" s="15" t="s">
        <v>45</v>
      </c>
      <c r="D1045" s="15" t="s">
        <v>2850</v>
      </c>
      <c r="E1045" s="15" t="s">
        <v>2851</v>
      </c>
      <c r="F1045" s="16">
        <v>43747.6534375</v>
      </c>
      <c r="G1045" s="15" t="s">
        <v>2851</v>
      </c>
      <c r="H1045" s="15" t="s">
        <v>54</v>
      </c>
      <c r="I1045" s="18">
        <v>0</v>
      </c>
      <c r="J1045" s="18">
        <v>0</v>
      </c>
      <c r="K1045" s="19">
        <v>0</v>
      </c>
      <c r="L1045" s="20">
        <v>0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</row>
    <row r="1046" spans="1:43">
      <c r="A1046" s="15" t="s">
        <v>43</v>
      </c>
      <c r="B1046" s="15" t="s">
        <v>44</v>
      </c>
      <c r="C1046" s="15" t="s">
        <v>45</v>
      </c>
      <c r="D1046" s="15" t="s">
        <v>2852</v>
      </c>
      <c r="E1046" s="15" t="s">
        <v>2853</v>
      </c>
      <c r="F1046" s="16">
        <v>41212.6751851852</v>
      </c>
      <c r="G1046" s="15" t="s">
        <v>2853</v>
      </c>
      <c r="H1046" s="15" t="s">
        <v>2854</v>
      </c>
      <c r="I1046" s="18">
        <v>0</v>
      </c>
      <c r="J1046" s="18">
        <v>0</v>
      </c>
      <c r="K1046" s="19">
        <v>0</v>
      </c>
      <c r="L1046" s="20">
        <v>0</v>
      </c>
      <c r="M1046" s="15">
        <v>0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</row>
    <row r="1047" spans="1:43">
      <c r="A1047" s="15" t="s">
        <v>49</v>
      </c>
      <c r="B1047" s="15" t="s">
        <v>50</v>
      </c>
      <c r="C1047" s="15" t="s">
        <v>61</v>
      </c>
      <c r="D1047" s="15" t="s">
        <v>2855</v>
      </c>
      <c r="E1047" s="15" t="s">
        <v>2856</v>
      </c>
      <c r="F1047" s="16">
        <v>0</v>
      </c>
      <c r="G1047" s="15" t="s">
        <v>2856</v>
      </c>
      <c r="H1047" s="15" t="s">
        <v>54</v>
      </c>
      <c r="I1047" s="18">
        <v>0</v>
      </c>
      <c r="J1047" s="18">
        <v>0</v>
      </c>
      <c r="K1047" s="19">
        <v>0</v>
      </c>
      <c r="L1047" s="20">
        <v>0</v>
      </c>
      <c r="M1047" s="15">
        <v>0</v>
      </c>
      <c r="N1047" s="15">
        <v>0</v>
      </c>
      <c r="O1047" s="15">
        <v>0</v>
      </c>
      <c r="P1047" s="15">
        <v>0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0</v>
      </c>
      <c r="X1047" s="15">
        <v>0</v>
      </c>
      <c r="Y1047" s="15">
        <v>0</v>
      </c>
      <c r="Z1047" s="15">
        <v>0</v>
      </c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</row>
    <row r="1048" spans="1:43">
      <c r="A1048" s="15" t="s">
        <v>43</v>
      </c>
      <c r="B1048" s="15" t="s">
        <v>44</v>
      </c>
      <c r="C1048" s="15" t="s">
        <v>45</v>
      </c>
      <c r="D1048" s="15" t="s">
        <v>2857</v>
      </c>
      <c r="E1048" s="15" t="s">
        <v>2858</v>
      </c>
      <c r="F1048" s="16">
        <v>43410.3749421296</v>
      </c>
      <c r="G1048" s="15" t="s">
        <v>2858</v>
      </c>
      <c r="H1048" s="15" t="s">
        <v>2859</v>
      </c>
      <c r="I1048" s="18">
        <v>0</v>
      </c>
      <c r="J1048" s="18">
        <v>0</v>
      </c>
      <c r="K1048" s="19">
        <v>0</v>
      </c>
      <c r="L1048" s="20">
        <v>0</v>
      </c>
      <c r="M1048" s="15">
        <v>0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0</v>
      </c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</row>
    <row r="1049" spans="1:43">
      <c r="A1049" s="15" t="s">
        <v>49</v>
      </c>
      <c r="B1049" s="15" t="s">
        <v>50</v>
      </c>
      <c r="C1049" s="15" t="s">
        <v>61</v>
      </c>
      <c r="D1049" s="15" t="s">
        <v>2860</v>
      </c>
      <c r="E1049" s="15" t="s">
        <v>2861</v>
      </c>
      <c r="F1049" s="16">
        <v>0</v>
      </c>
      <c r="G1049" s="15" t="s">
        <v>2861</v>
      </c>
      <c r="H1049" s="15" t="s">
        <v>54</v>
      </c>
      <c r="I1049" s="18">
        <v>0</v>
      </c>
      <c r="J1049" s="18">
        <v>0</v>
      </c>
      <c r="K1049" s="19">
        <v>0</v>
      </c>
      <c r="L1049" s="20">
        <v>0</v>
      </c>
      <c r="M1049" s="15">
        <v>0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0</v>
      </c>
      <c r="X1049" s="15">
        <v>0</v>
      </c>
      <c r="Y1049" s="15">
        <v>0</v>
      </c>
      <c r="Z1049" s="15">
        <v>0</v>
      </c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</row>
    <row r="1050" spans="1:43">
      <c r="A1050" s="15" t="s">
        <v>43</v>
      </c>
      <c r="B1050" s="15" t="s">
        <v>44</v>
      </c>
      <c r="C1050" s="15" t="s">
        <v>45</v>
      </c>
      <c r="D1050" s="15" t="s">
        <v>2862</v>
      </c>
      <c r="E1050" s="15" t="s">
        <v>2863</v>
      </c>
      <c r="F1050" s="16">
        <v>43294.6446527778</v>
      </c>
      <c r="G1050" s="15" t="s">
        <v>2863</v>
      </c>
      <c r="H1050" s="15" t="s">
        <v>2864</v>
      </c>
      <c r="I1050" s="18">
        <v>0</v>
      </c>
      <c r="J1050" s="18">
        <v>0</v>
      </c>
      <c r="K1050" s="19">
        <v>0</v>
      </c>
      <c r="L1050" s="20">
        <v>0</v>
      </c>
      <c r="M1050" s="15">
        <v>0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0</v>
      </c>
      <c r="Y1050" s="15">
        <v>0</v>
      </c>
      <c r="Z1050" s="15">
        <v>0</v>
      </c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</row>
    <row r="1051" spans="1:43">
      <c r="A1051" s="15" t="s">
        <v>43</v>
      </c>
      <c r="B1051" s="15" t="s">
        <v>44</v>
      </c>
      <c r="C1051" s="15" t="s">
        <v>45</v>
      </c>
      <c r="D1051" s="15" t="s">
        <v>2865</v>
      </c>
      <c r="E1051" s="15" t="s">
        <v>2866</v>
      </c>
      <c r="F1051" s="16">
        <v>42453.6979050926</v>
      </c>
      <c r="G1051" s="15" t="s">
        <v>2866</v>
      </c>
      <c r="H1051" s="15" t="s">
        <v>2867</v>
      </c>
      <c r="I1051" s="18">
        <v>0</v>
      </c>
      <c r="J1051" s="18">
        <v>0</v>
      </c>
      <c r="K1051" s="19">
        <v>0</v>
      </c>
      <c r="L1051" s="20">
        <v>0</v>
      </c>
      <c r="M1051" s="15">
        <v>0</v>
      </c>
      <c r="N1051" s="15">
        <v>0</v>
      </c>
      <c r="O1051" s="15">
        <v>0</v>
      </c>
      <c r="P1051" s="15">
        <v>0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</row>
    <row r="1052" spans="1:43">
      <c r="A1052" s="15" t="s">
        <v>49</v>
      </c>
      <c r="B1052" s="15" t="s">
        <v>50</v>
      </c>
      <c r="C1052" s="15" t="s">
        <v>61</v>
      </c>
      <c r="D1052" s="15" t="s">
        <v>2868</v>
      </c>
      <c r="E1052" s="15" t="s">
        <v>419</v>
      </c>
      <c r="F1052" s="16">
        <v>0</v>
      </c>
      <c r="G1052" s="15" t="s">
        <v>419</v>
      </c>
      <c r="H1052" s="15" t="s">
        <v>54</v>
      </c>
      <c r="I1052" s="18">
        <v>0</v>
      </c>
      <c r="J1052" s="18">
        <v>0</v>
      </c>
      <c r="K1052" s="19">
        <v>0</v>
      </c>
      <c r="L1052" s="20">
        <v>0</v>
      </c>
      <c r="M1052" s="15">
        <v>0</v>
      </c>
      <c r="N1052" s="15">
        <v>0</v>
      </c>
      <c r="O1052" s="15">
        <v>0</v>
      </c>
      <c r="P1052" s="15">
        <v>0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0</v>
      </c>
      <c r="X1052" s="15">
        <v>0</v>
      </c>
      <c r="Y1052" s="15">
        <v>0</v>
      </c>
      <c r="Z1052" s="15">
        <v>0</v>
      </c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</row>
    <row r="1053" spans="1:43">
      <c r="A1053" s="15" t="s">
        <v>43</v>
      </c>
      <c r="B1053" s="15" t="s">
        <v>44</v>
      </c>
      <c r="C1053" s="15" t="s">
        <v>45</v>
      </c>
      <c r="D1053" s="15" t="s">
        <v>2869</v>
      </c>
      <c r="E1053" s="15" t="s">
        <v>2870</v>
      </c>
      <c r="F1053" s="16">
        <v>41156.6721875</v>
      </c>
      <c r="G1053" s="15" t="s">
        <v>2870</v>
      </c>
      <c r="H1053" s="15" t="s">
        <v>2871</v>
      </c>
      <c r="I1053" s="18">
        <v>0</v>
      </c>
      <c r="J1053" s="18">
        <v>0</v>
      </c>
      <c r="K1053" s="19">
        <v>0</v>
      </c>
      <c r="L1053" s="20">
        <v>0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0</v>
      </c>
      <c r="X1053" s="15">
        <v>0</v>
      </c>
      <c r="Y1053" s="15">
        <v>0</v>
      </c>
      <c r="Z1053" s="15">
        <v>0</v>
      </c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</row>
    <row r="1054" spans="1:43">
      <c r="A1054" s="15" t="s">
        <v>43</v>
      </c>
      <c r="B1054" s="15" t="s">
        <v>44</v>
      </c>
      <c r="C1054" s="15" t="s">
        <v>45</v>
      </c>
      <c r="D1054" s="15" t="s">
        <v>2872</v>
      </c>
      <c r="E1054" s="15" t="s">
        <v>2873</v>
      </c>
      <c r="F1054" s="16">
        <v>43070.476724537</v>
      </c>
      <c r="G1054" s="15" t="s">
        <v>2873</v>
      </c>
      <c r="H1054" s="15" t="s">
        <v>2874</v>
      </c>
      <c r="I1054" s="18">
        <v>0</v>
      </c>
      <c r="J1054" s="18">
        <v>0</v>
      </c>
      <c r="K1054" s="19">
        <v>0</v>
      </c>
      <c r="L1054" s="20">
        <v>0</v>
      </c>
      <c r="M1054" s="15">
        <v>0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0</v>
      </c>
      <c r="W1054" s="15">
        <v>0</v>
      </c>
      <c r="X1054" s="15">
        <v>0</v>
      </c>
      <c r="Y1054" s="15">
        <v>0</v>
      </c>
      <c r="Z1054" s="15">
        <v>0</v>
      </c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</row>
    <row r="1055" spans="1:43">
      <c r="A1055" s="15" t="s">
        <v>43</v>
      </c>
      <c r="B1055" s="15" t="s">
        <v>44</v>
      </c>
      <c r="C1055" s="15" t="s">
        <v>45</v>
      </c>
      <c r="D1055" s="15" t="s">
        <v>2875</v>
      </c>
      <c r="E1055" s="15" t="s">
        <v>2876</v>
      </c>
      <c r="F1055" s="16">
        <v>41836.7206481481</v>
      </c>
      <c r="G1055" s="15" t="s">
        <v>2876</v>
      </c>
      <c r="H1055" s="15" t="s">
        <v>2877</v>
      </c>
      <c r="I1055" s="18">
        <v>0</v>
      </c>
      <c r="J1055" s="18">
        <v>0</v>
      </c>
      <c r="K1055" s="19">
        <v>0</v>
      </c>
      <c r="L1055" s="20">
        <v>0</v>
      </c>
      <c r="M1055" s="15">
        <v>0</v>
      </c>
      <c r="N1055" s="15">
        <v>0</v>
      </c>
      <c r="O1055" s="15">
        <v>0</v>
      </c>
      <c r="P1055" s="15">
        <v>0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0</v>
      </c>
      <c r="X1055" s="15">
        <v>0</v>
      </c>
      <c r="Y1055" s="15">
        <v>0</v>
      </c>
      <c r="Z1055" s="15">
        <v>0</v>
      </c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</row>
    <row r="1056" spans="1:43">
      <c r="A1056" s="15" t="s">
        <v>64</v>
      </c>
      <c r="B1056" s="15" t="s">
        <v>65</v>
      </c>
      <c r="C1056" s="15" t="s">
        <v>93</v>
      </c>
      <c r="D1056" s="15" t="s">
        <v>2878</v>
      </c>
      <c r="E1056" s="15" t="s">
        <v>2879</v>
      </c>
      <c r="F1056" s="16">
        <v>44055.3744560185</v>
      </c>
      <c r="G1056" s="15" t="s">
        <v>2879</v>
      </c>
      <c r="H1056" s="15" t="s">
        <v>2880</v>
      </c>
      <c r="I1056" s="18">
        <v>0</v>
      </c>
      <c r="J1056" s="18">
        <v>0</v>
      </c>
      <c r="K1056" s="19">
        <v>0</v>
      </c>
      <c r="L1056" s="20">
        <v>0</v>
      </c>
      <c r="M1056" s="15">
        <v>0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</row>
    <row r="1057" spans="1:43">
      <c r="A1057" s="15" t="s">
        <v>43</v>
      </c>
      <c r="B1057" s="15" t="s">
        <v>44</v>
      </c>
      <c r="C1057" s="15" t="s">
        <v>45</v>
      </c>
      <c r="D1057" s="15" t="s">
        <v>2881</v>
      </c>
      <c r="E1057" s="15" t="s">
        <v>2882</v>
      </c>
      <c r="F1057" s="16">
        <v>41205.6942939815</v>
      </c>
      <c r="G1057" s="15" t="s">
        <v>2882</v>
      </c>
      <c r="H1057" s="15" t="s">
        <v>2883</v>
      </c>
      <c r="I1057" s="18">
        <v>0</v>
      </c>
      <c r="J1057" s="18">
        <v>0</v>
      </c>
      <c r="K1057" s="19">
        <v>0</v>
      </c>
      <c r="L1057" s="20">
        <v>0</v>
      </c>
      <c r="M1057" s="15">
        <v>0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</row>
    <row r="1058" spans="1:43">
      <c r="A1058" s="15" t="s">
        <v>49</v>
      </c>
      <c r="B1058" s="15" t="s">
        <v>50</v>
      </c>
      <c r="C1058" s="15" t="s">
        <v>51</v>
      </c>
      <c r="D1058" s="15" t="s">
        <v>2884</v>
      </c>
      <c r="E1058" s="15" t="s">
        <v>2885</v>
      </c>
      <c r="F1058" s="16">
        <v>44530.4828587963</v>
      </c>
      <c r="G1058" s="15" t="s">
        <v>2885</v>
      </c>
      <c r="H1058" s="15" t="s">
        <v>54</v>
      </c>
      <c r="I1058" s="18">
        <v>0</v>
      </c>
      <c r="J1058" s="18">
        <v>0</v>
      </c>
      <c r="K1058" s="19">
        <v>0</v>
      </c>
      <c r="L1058" s="20">
        <v>0</v>
      </c>
      <c r="M1058" s="15">
        <v>0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</row>
    <row r="1059" spans="1:43">
      <c r="A1059" s="15" t="s">
        <v>43</v>
      </c>
      <c r="B1059" s="15" t="s">
        <v>44</v>
      </c>
      <c r="C1059" s="15" t="s">
        <v>45</v>
      </c>
      <c r="D1059" s="15" t="s">
        <v>2886</v>
      </c>
      <c r="E1059" s="15" t="s">
        <v>2887</v>
      </c>
      <c r="F1059" s="16">
        <v>40963.6909837963</v>
      </c>
      <c r="G1059" s="15" t="s">
        <v>2887</v>
      </c>
      <c r="H1059" s="15" t="s">
        <v>2888</v>
      </c>
      <c r="I1059" s="18">
        <v>0</v>
      </c>
      <c r="J1059" s="18">
        <v>0</v>
      </c>
      <c r="K1059" s="19">
        <v>0</v>
      </c>
      <c r="L1059" s="20">
        <v>0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</row>
    <row r="1060" spans="1:43">
      <c r="A1060" s="15" t="s">
        <v>64</v>
      </c>
      <c r="B1060" s="15" t="s">
        <v>65</v>
      </c>
      <c r="C1060" s="15" t="s">
        <v>66</v>
      </c>
      <c r="D1060" s="15" t="s">
        <v>2889</v>
      </c>
      <c r="E1060" s="15" t="s">
        <v>2890</v>
      </c>
      <c r="F1060" s="16">
        <v>45078.6430671296</v>
      </c>
      <c r="G1060" s="15" t="s">
        <v>2890</v>
      </c>
      <c r="H1060" s="15" t="s">
        <v>2891</v>
      </c>
      <c r="I1060" s="18">
        <v>97.49</v>
      </c>
      <c r="J1060" s="18">
        <v>1</v>
      </c>
      <c r="K1060" s="19">
        <v>97.49</v>
      </c>
      <c r="L1060" s="20">
        <v>1.39271428571429</v>
      </c>
      <c r="M1060" s="15">
        <v>97.49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</row>
    <row r="1061" spans="1:43">
      <c r="A1061" s="15" t="s">
        <v>64</v>
      </c>
      <c r="B1061" s="15" t="s">
        <v>65</v>
      </c>
      <c r="C1061" s="15" t="s">
        <v>78</v>
      </c>
      <c r="D1061" s="15" t="s">
        <v>2892</v>
      </c>
      <c r="E1061" s="15" t="s">
        <v>2893</v>
      </c>
      <c r="F1061" s="16">
        <v>45133.6944097222</v>
      </c>
      <c r="G1061" s="15" t="s">
        <v>2893</v>
      </c>
      <c r="H1061" s="15" t="s">
        <v>54</v>
      </c>
      <c r="I1061" s="18">
        <v>1415.33</v>
      </c>
      <c r="J1061" s="18">
        <v>14</v>
      </c>
      <c r="K1061" s="19">
        <v>101.095</v>
      </c>
      <c r="L1061" s="20">
        <v>1.44421428571429</v>
      </c>
      <c r="M1061" s="15">
        <v>179.46</v>
      </c>
      <c r="N1061" s="15">
        <v>12.61</v>
      </c>
      <c r="O1061" s="15">
        <v>138.29</v>
      </c>
      <c r="P1061" s="15">
        <v>156.39</v>
      </c>
      <c r="Q1061" s="15">
        <v>122.12</v>
      </c>
      <c r="R1061" s="15">
        <v>168.52</v>
      </c>
      <c r="S1061" s="15">
        <v>176.03</v>
      </c>
      <c r="T1061" s="15">
        <v>11.75</v>
      </c>
      <c r="U1061" s="15">
        <v>108.27</v>
      </c>
      <c r="V1061" s="15">
        <v>11.78</v>
      </c>
      <c r="W1061" s="15">
        <v>31.17</v>
      </c>
      <c r="X1061" s="15">
        <v>151.1</v>
      </c>
      <c r="Y1061" s="15">
        <v>117.38</v>
      </c>
      <c r="Z1061" s="15">
        <v>30.46</v>
      </c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</row>
    <row r="1062" spans="1:43">
      <c r="A1062" s="15" t="s">
        <v>49</v>
      </c>
      <c r="B1062" s="15" t="s">
        <v>50</v>
      </c>
      <c r="C1062" s="15" t="s">
        <v>61</v>
      </c>
      <c r="D1062" s="15" t="s">
        <v>2894</v>
      </c>
      <c r="E1062" s="15" t="s">
        <v>2895</v>
      </c>
      <c r="F1062" s="16">
        <v>0</v>
      </c>
      <c r="G1062" s="15" t="s">
        <v>2895</v>
      </c>
      <c r="H1062" s="15" t="s">
        <v>2896</v>
      </c>
      <c r="I1062" s="18">
        <v>0</v>
      </c>
      <c r="J1062" s="18">
        <v>0</v>
      </c>
      <c r="K1062" s="19">
        <v>0</v>
      </c>
      <c r="L1062" s="20">
        <v>0</v>
      </c>
      <c r="M1062" s="15">
        <v>0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0</v>
      </c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</row>
    <row r="1063" spans="1:43">
      <c r="A1063" s="15" t="s">
        <v>43</v>
      </c>
      <c r="B1063" s="15" t="s">
        <v>44</v>
      </c>
      <c r="C1063" s="15" t="s">
        <v>45</v>
      </c>
      <c r="D1063" s="15" t="s">
        <v>2897</v>
      </c>
      <c r="E1063" s="15" t="s">
        <v>2898</v>
      </c>
      <c r="F1063" s="16">
        <v>41998.4023842593</v>
      </c>
      <c r="G1063" s="15" t="s">
        <v>2898</v>
      </c>
      <c r="H1063" s="15" t="s">
        <v>2899</v>
      </c>
      <c r="I1063" s="18">
        <v>0</v>
      </c>
      <c r="J1063" s="18">
        <v>0</v>
      </c>
      <c r="K1063" s="19">
        <v>0</v>
      </c>
      <c r="L1063" s="20">
        <v>0</v>
      </c>
      <c r="M1063" s="15">
        <v>0</v>
      </c>
      <c r="N1063" s="15">
        <v>0</v>
      </c>
      <c r="O1063" s="15">
        <v>0</v>
      </c>
      <c r="P1063" s="15">
        <v>0</v>
      </c>
      <c r="Q1063" s="15">
        <v>0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0</v>
      </c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</row>
    <row r="1064" spans="1:43">
      <c r="A1064" s="15" t="s">
        <v>49</v>
      </c>
      <c r="B1064" s="15" t="s">
        <v>50</v>
      </c>
      <c r="C1064" s="15" t="s">
        <v>61</v>
      </c>
      <c r="D1064" s="15" t="s">
        <v>2900</v>
      </c>
      <c r="E1064" s="15" t="s">
        <v>2901</v>
      </c>
      <c r="F1064" s="16">
        <v>0</v>
      </c>
      <c r="G1064" s="15" t="s">
        <v>2901</v>
      </c>
      <c r="H1064" s="15" t="s">
        <v>2902</v>
      </c>
      <c r="I1064" s="18">
        <v>0</v>
      </c>
      <c r="J1064" s="18">
        <v>0</v>
      </c>
      <c r="K1064" s="19">
        <v>0</v>
      </c>
      <c r="L1064" s="20">
        <v>0</v>
      </c>
      <c r="M1064" s="15">
        <v>0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0</v>
      </c>
      <c r="X1064" s="15">
        <v>0</v>
      </c>
      <c r="Y1064" s="15">
        <v>0</v>
      </c>
      <c r="Z1064" s="15">
        <v>0</v>
      </c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</row>
    <row r="1065" spans="1:43">
      <c r="A1065" s="15" t="s">
        <v>49</v>
      </c>
      <c r="B1065" s="15" t="s">
        <v>50</v>
      </c>
      <c r="C1065" s="15" t="s">
        <v>61</v>
      </c>
      <c r="D1065" s="15" t="s">
        <v>2903</v>
      </c>
      <c r="E1065" s="15" t="s">
        <v>2904</v>
      </c>
      <c r="F1065" s="16">
        <v>0</v>
      </c>
      <c r="G1065" s="15" t="s">
        <v>2904</v>
      </c>
      <c r="H1065" s="15" t="s">
        <v>2905</v>
      </c>
      <c r="I1065" s="18">
        <v>0</v>
      </c>
      <c r="J1065" s="18">
        <v>0</v>
      </c>
      <c r="K1065" s="19">
        <v>0</v>
      </c>
      <c r="L1065" s="20">
        <v>0</v>
      </c>
      <c r="M1065" s="15">
        <v>0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</row>
    <row r="1066" spans="1:43">
      <c r="A1066" s="15" t="s">
        <v>49</v>
      </c>
      <c r="B1066" s="15" t="s">
        <v>50</v>
      </c>
      <c r="C1066" s="15" t="s">
        <v>301</v>
      </c>
      <c r="D1066" s="15" t="s">
        <v>2906</v>
      </c>
      <c r="E1066" s="15" t="s">
        <v>2907</v>
      </c>
      <c r="F1066" s="16">
        <v>45112.4034375</v>
      </c>
      <c r="G1066" s="15" t="s">
        <v>2907</v>
      </c>
      <c r="H1066" s="15" t="s">
        <v>2908</v>
      </c>
      <c r="I1066" s="18">
        <v>294.55</v>
      </c>
      <c r="J1066" s="18">
        <v>14</v>
      </c>
      <c r="K1066" s="19">
        <v>21.0392857142857</v>
      </c>
      <c r="L1066" s="20">
        <v>0.420785714285714</v>
      </c>
      <c r="M1066" s="15">
        <v>49.68</v>
      </c>
      <c r="N1066" s="15">
        <v>24.44</v>
      </c>
      <c r="O1066" s="15">
        <v>30.71</v>
      </c>
      <c r="P1066" s="15">
        <v>33.98</v>
      </c>
      <c r="Q1066" s="15">
        <v>28.1</v>
      </c>
      <c r="R1066" s="15">
        <v>27.35</v>
      </c>
      <c r="S1066" s="15">
        <v>26.26</v>
      </c>
      <c r="T1066" s="15">
        <v>5.38</v>
      </c>
      <c r="U1066" s="15">
        <v>7.81</v>
      </c>
      <c r="V1066" s="15">
        <v>26.1</v>
      </c>
      <c r="W1066" s="15">
        <v>5.91</v>
      </c>
      <c r="X1066" s="15">
        <v>2.69</v>
      </c>
      <c r="Y1066" s="15">
        <v>16.77</v>
      </c>
      <c r="Z1066" s="15">
        <v>9.37</v>
      </c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</row>
    <row r="1067" spans="1:43">
      <c r="A1067" s="15" t="s">
        <v>49</v>
      </c>
      <c r="B1067" s="15" t="s">
        <v>50</v>
      </c>
      <c r="C1067" s="15" t="s">
        <v>61</v>
      </c>
      <c r="D1067" s="15" t="s">
        <v>2909</v>
      </c>
      <c r="E1067" s="15" t="s">
        <v>2910</v>
      </c>
      <c r="F1067" s="16">
        <v>0</v>
      </c>
      <c r="G1067" s="15" t="s">
        <v>2910</v>
      </c>
      <c r="H1067" s="15" t="s">
        <v>2911</v>
      </c>
      <c r="I1067" s="18">
        <v>0</v>
      </c>
      <c r="J1067" s="18">
        <v>0</v>
      </c>
      <c r="K1067" s="19">
        <v>0</v>
      </c>
      <c r="L1067" s="20">
        <v>0</v>
      </c>
      <c r="M1067" s="15">
        <v>0</v>
      </c>
      <c r="N1067" s="15">
        <v>0</v>
      </c>
      <c r="O1067" s="15">
        <v>0</v>
      </c>
      <c r="P1067" s="15">
        <v>0</v>
      </c>
      <c r="Q1067" s="15">
        <v>0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</row>
    <row r="1068" spans="1:43">
      <c r="A1068" s="15" t="s">
        <v>49</v>
      </c>
      <c r="B1068" s="15" t="s">
        <v>50</v>
      </c>
      <c r="C1068" s="15" t="s">
        <v>75</v>
      </c>
      <c r="D1068" s="15" t="s">
        <v>2912</v>
      </c>
      <c r="E1068" s="15" t="s">
        <v>2913</v>
      </c>
      <c r="F1068" s="16">
        <v>44979.448125</v>
      </c>
      <c r="G1068" s="15" t="s">
        <v>2913</v>
      </c>
      <c r="H1068" s="15" t="s">
        <v>54</v>
      </c>
      <c r="I1068" s="18">
        <v>0</v>
      </c>
      <c r="J1068" s="18">
        <v>0</v>
      </c>
      <c r="K1068" s="19">
        <v>0</v>
      </c>
      <c r="L1068" s="20">
        <v>0</v>
      </c>
      <c r="M1068" s="15">
        <v>0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</row>
    <row r="1069" spans="1:43">
      <c r="A1069" s="15" t="s">
        <v>43</v>
      </c>
      <c r="B1069" s="15" t="s">
        <v>44</v>
      </c>
      <c r="C1069" s="15" t="s">
        <v>440</v>
      </c>
      <c r="D1069" s="15" t="s">
        <v>2914</v>
      </c>
      <c r="E1069" s="15" t="s">
        <v>2915</v>
      </c>
      <c r="F1069" s="16">
        <v>44580.6525578704</v>
      </c>
      <c r="G1069" s="15" t="s">
        <v>2915</v>
      </c>
      <c r="H1069" s="15" t="s">
        <v>54</v>
      </c>
      <c r="I1069" s="18">
        <v>969.9</v>
      </c>
      <c r="J1069" s="18">
        <v>14</v>
      </c>
      <c r="K1069" s="19">
        <v>69.2785714285714</v>
      </c>
      <c r="L1069" s="20">
        <v>1.38557142857143</v>
      </c>
      <c r="M1069" s="15">
        <v>102.28</v>
      </c>
      <c r="N1069" s="15">
        <v>107.52</v>
      </c>
      <c r="O1069" s="15">
        <v>104.77</v>
      </c>
      <c r="P1069" s="15">
        <v>100.51</v>
      </c>
      <c r="Q1069" s="15">
        <v>47.93</v>
      </c>
      <c r="R1069" s="15">
        <v>33.15</v>
      </c>
      <c r="S1069" s="15">
        <v>103.68</v>
      </c>
      <c r="T1069" s="15">
        <v>64.61</v>
      </c>
      <c r="U1069" s="15">
        <v>29.73</v>
      </c>
      <c r="V1069" s="15">
        <v>63.3</v>
      </c>
      <c r="W1069" s="15">
        <v>59.41</v>
      </c>
      <c r="X1069" s="15">
        <v>70.21</v>
      </c>
      <c r="Y1069" s="15">
        <v>67.76</v>
      </c>
      <c r="Z1069" s="15">
        <v>15.04</v>
      </c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</row>
    <row r="1070" spans="1:43">
      <c r="A1070" s="15" t="s">
        <v>43</v>
      </c>
      <c r="B1070" s="15" t="s">
        <v>44</v>
      </c>
      <c r="C1070" s="15" t="s">
        <v>45</v>
      </c>
      <c r="D1070" s="15" t="s">
        <v>2916</v>
      </c>
      <c r="E1070" s="15" t="s">
        <v>2917</v>
      </c>
      <c r="F1070" s="16">
        <v>44287.4139699074</v>
      </c>
      <c r="G1070" s="15" t="s">
        <v>2917</v>
      </c>
      <c r="H1070" s="15" t="s">
        <v>54</v>
      </c>
      <c r="I1070" s="18">
        <v>0</v>
      </c>
      <c r="J1070" s="18">
        <v>0</v>
      </c>
      <c r="K1070" s="19">
        <v>0</v>
      </c>
      <c r="L1070" s="20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0</v>
      </c>
      <c r="X1070" s="15">
        <v>0</v>
      </c>
      <c r="Y1070" s="15">
        <v>0</v>
      </c>
      <c r="Z1070" s="15">
        <v>0</v>
      </c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</row>
    <row r="1071" spans="1:43">
      <c r="A1071" s="15" t="s">
        <v>43</v>
      </c>
      <c r="B1071" s="15" t="s">
        <v>44</v>
      </c>
      <c r="C1071" s="15" t="s">
        <v>45</v>
      </c>
      <c r="D1071" s="15" t="s">
        <v>2918</v>
      </c>
      <c r="E1071" s="15" t="s">
        <v>2919</v>
      </c>
      <c r="F1071" s="16">
        <v>43343.4672453704</v>
      </c>
      <c r="G1071" s="15" t="s">
        <v>2919</v>
      </c>
      <c r="H1071" s="15" t="s">
        <v>2920</v>
      </c>
      <c r="I1071" s="18">
        <v>0</v>
      </c>
      <c r="J1071" s="18">
        <v>0</v>
      </c>
      <c r="K1071" s="19">
        <v>0</v>
      </c>
      <c r="L1071" s="20">
        <v>0</v>
      </c>
      <c r="M1071" s="15">
        <v>0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</row>
    <row r="1072" spans="1:43">
      <c r="A1072" s="15" t="s">
        <v>43</v>
      </c>
      <c r="B1072" s="15" t="s">
        <v>44</v>
      </c>
      <c r="C1072" s="15" t="s">
        <v>45</v>
      </c>
      <c r="D1072" s="15" t="s">
        <v>2921</v>
      </c>
      <c r="E1072" s="15" t="s">
        <v>2922</v>
      </c>
      <c r="F1072" s="16">
        <v>43959.4468402778</v>
      </c>
      <c r="G1072" s="15" t="s">
        <v>2922</v>
      </c>
      <c r="H1072" s="15" t="s">
        <v>2923</v>
      </c>
      <c r="I1072" s="18">
        <v>0</v>
      </c>
      <c r="J1072" s="18">
        <v>0</v>
      </c>
      <c r="K1072" s="19">
        <v>0</v>
      </c>
      <c r="L1072" s="20">
        <v>0</v>
      </c>
      <c r="M1072" s="15">
        <v>0</v>
      </c>
      <c r="N1072" s="15">
        <v>0</v>
      </c>
      <c r="O1072" s="15">
        <v>0</v>
      </c>
      <c r="P1072" s="15">
        <v>0</v>
      </c>
      <c r="Q1072" s="15">
        <v>0</v>
      </c>
      <c r="R1072" s="15">
        <v>0</v>
      </c>
      <c r="S1072" s="15">
        <v>0</v>
      </c>
      <c r="T1072" s="15">
        <v>0</v>
      </c>
      <c r="U1072" s="15">
        <v>0</v>
      </c>
      <c r="V1072" s="15">
        <v>0</v>
      </c>
      <c r="W1072" s="15">
        <v>0</v>
      </c>
      <c r="X1072" s="15">
        <v>0</v>
      </c>
      <c r="Y1072" s="15">
        <v>0</v>
      </c>
      <c r="Z1072" s="15">
        <v>0</v>
      </c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</row>
    <row r="1073" spans="1:43">
      <c r="A1073" s="15" t="s">
        <v>49</v>
      </c>
      <c r="B1073" s="15" t="s">
        <v>50</v>
      </c>
      <c r="C1073" s="15" t="s">
        <v>51</v>
      </c>
      <c r="D1073" s="15" t="s">
        <v>2924</v>
      </c>
      <c r="E1073" s="15" t="s">
        <v>2925</v>
      </c>
      <c r="F1073" s="16">
        <v>45071.3992708333</v>
      </c>
      <c r="G1073" s="15" t="s">
        <v>2925</v>
      </c>
      <c r="H1073" s="15" t="s">
        <v>2926</v>
      </c>
      <c r="I1073" s="18">
        <v>920.68</v>
      </c>
      <c r="J1073" s="18">
        <v>14</v>
      </c>
      <c r="K1073" s="19">
        <v>65.7628571428571</v>
      </c>
      <c r="L1073" s="20">
        <v>1.31525714285714</v>
      </c>
      <c r="M1073" s="15">
        <v>12.62</v>
      </c>
      <c r="N1073" s="15">
        <v>54.56</v>
      </c>
      <c r="O1073" s="15">
        <v>53.19</v>
      </c>
      <c r="P1073" s="15">
        <v>55.8</v>
      </c>
      <c r="Q1073" s="15">
        <v>57.91</v>
      </c>
      <c r="R1073" s="15">
        <v>50.82</v>
      </c>
      <c r="S1073" s="15">
        <v>52.8</v>
      </c>
      <c r="T1073" s="15">
        <v>88.95</v>
      </c>
      <c r="U1073" s="15">
        <v>85.9</v>
      </c>
      <c r="V1073" s="15">
        <v>72.92</v>
      </c>
      <c r="W1073" s="15">
        <v>87.71</v>
      </c>
      <c r="X1073" s="15">
        <v>82.95</v>
      </c>
      <c r="Y1073" s="15">
        <v>80.54</v>
      </c>
      <c r="Z1073" s="15">
        <v>84.01</v>
      </c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</row>
    <row r="1074" spans="1:43">
      <c r="A1074" s="15" t="s">
        <v>43</v>
      </c>
      <c r="B1074" s="15" t="s">
        <v>44</v>
      </c>
      <c r="C1074" s="15" t="s">
        <v>45</v>
      </c>
      <c r="D1074" s="15" t="s">
        <v>2927</v>
      </c>
      <c r="E1074" s="15" t="s">
        <v>2928</v>
      </c>
      <c r="F1074" s="16">
        <v>42992.6308449074</v>
      </c>
      <c r="G1074" s="15" t="s">
        <v>2928</v>
      </c>
      <c r="H1074" s="15" t="s">
        <v>2929</v>
      </c>
      <c r="I1074" s="18">
        <v>0</v>
      </c>
      <c r="J1074" s="18">
        <v>0</v>
      </c>
      <c r="K1074" s="19">
        <v>0</v>
      </c>
      <c r="L1074" s="20">
        <v>0</v>
      </c>
      <c r="M1074" s="15">
        <v>0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</row>
    <row r="1075" spans="1:43">
      <c r="A1075" s="15" t="s">
        <v>49</v>
      </c>
      <c r="B1075" s="15" t="s">
        <v>50</v>
      </c>
      <c r="C1075" s="15" t="s">
        <v>301</v>
      </c>
      <c r="D1075" s="15" t="s">
        <v>2930</v>
      </c>
      <c r="E1075" s="15" t="s">
        <v>1727</v>
      </c>
      <c r="F1075" s="16">
        <v>44978.6991666667</v>
      </c>
      <c r="G1075" s="15" t="s">
        <v>1727</v>
      </c>
      <c r="H1075" s="15" t="s">
        <v>54</v>
      </c>
      <c r="I1075" s="18">
        <v>0</v>
      </c>
      <c r="J1075" s="18">
        <v>0</v>
      </c>
      <c r="K1075" s="19">
        <v>0</v>
      </c>
      <c r="L1075" s="20">
        <v>0</v>
      </c>
      <c r="M1075" s="15">
        <v>0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</row>
    <row r="1076" spans="1:43">
      <c r="A1076" s="15" t="s">
        <v>49</v>
      </c>
      <c r="B1076" s="15" t="s">
        <v>50</v>
      </c>
      <c r="C1076" s="15" t="s">
        <v>61</v>
      </c>
      <c r="D1076" s="15" t="s">
        <v>2931</v>
      </c>
      <c r="E1076" s="15" t="s">
        <v>2931</v>
      </c>
      <c r="F1076" s="16">
        <v>0</v>
      </c>
      <c r="G1076" s="15" t="s">
        <v>2931</v>
      </c>
      <c r="H1076" s="15" t="s">
        <v>2932</v>
      </c>
      <c r="I1076" s="18">
        <v>0</v>
      </c>
      <c r="J1076" s="18">
        <v>0</v>
      </c>
      <c r="K1076" s="19">
        <v>0</v>
      </c>
      <c r="L1076" s="20">
        <v>0</v>
      </c>
      <c r="M1076" s="15">
        <v>0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</row>
    <row r="1077" spans="1:43">
      <c r="A1077" s="15" t="s">
        <v>49</v>
      </c>
      <c r="B1077" s="15" t="s">
        <v>50</v>
      </c>
      <c r="C1077" s="15" t="s">
        <v>51</v>
      </c>
      <c r="D1077" s="15" t="s">
        <v>2933</v>
      </c>
      <c r="E1077" s="15" t="s">
        <v>2934</v>
      </c>
      <c r="F1077" s="16">
        <v>44844.5742476852</v>
      </c>
      <c r="G1077" s="15" t="s">
        <v>2934</v>
      </c>
      <c r="H1077" s="15" t="s">
        <v>54</v>
      </c>
      <c r="I1077" s="18">
        <v>745.97</v>
      </c>
      <c r="J1077" s="18">
        <v>14</v>
      </c>
      <c r="K1077" s="19">
        <v>53.2835714285714</v>
      </c>
      <c r="L1077" s="20">
        <v>1.06567142857143</v>
      </c>
      <c r="M1077" s="15">
        <v>57.3</v>
      </c>
      <c r="N1077" s="15">
        <v>51.74</v>
      </c>
      <c r="O1077" s="15">
        <v>50.62</v>
      </c>
      <c r="P1077" s="15">
        <v>52.58</v>
      </c>
      <c r="Q1077" s="15">
        <v>53.15</v>
      </c>
      <c r="R1077" s="15">
        <v>57.51</v>
      </c>
      <c r="S1077" s="15">
        <v>52.09</v>
      </c>
      <c r="T1077" s="15">
        <v>52.74</v>
      </c>
      <c r="U1077" s="15">
        <v>51.74</v>
      </c>
      <c r="V1077" s="15">
        <v>55.57</v>
      </c>
      <c r="W1077" s="15">
        <v>54.06</v>
      </c>
      <c r="X1077" s="15">
        <v>51.57</v>
      </c>
      <c r="Y1077" s="15">
        <v>52.61</v>
      </c>
      <c r="Z1077" s="15">
        <v>52.69</v>
      </c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</row>
    <row r="1078" spans="1:43">
      <c r="A1078" s="15" t="s">
        <v>64</v>
      </c>
      <c r="B1078" s="15" t="s">
        <v>65</v>
      </c>
      <c r="C1078" s="15" t="s">
        <v>401</v>
      </c>
      <c r="D1078" s="15" t="s">
        <v>2935</v>
      </c>
      <c r="E1078" s="15" t="s">
        <v>2936</v>
      </c>
      <c r="F1078" s="16">
        <v>45082.7059953704</v>
      </c>
      <c r="G1078" s="15" t="s">
        <v>2936</v>
      </c>
      <c r="H1078" s="15" t="s">
        <v>2937</v>
      </c>
      <c r="I1078" s="18">
        <v>2350.35</v>
      </c>
      <c r="J1078" s="18">
        <v>14</v>
      </c>
      <c r="K1078" s="19">
        <v>167.882142857143</v>
      </c>
      <c r="L1078" s="20">
        <v>2.39831632653061</v>
      </c>
      <c r="M1078" s="15">
        <v>183.79</v>
      </c>
      <c r="N1078" s="15">
        <v>152.16</v>
      </c>
      <c r="O1078" s="15">
        <v>186.19</v>
      </c>
      <c r="P1078" s="15">
        <v>191.9</v>
      </c>
      <c r="Q1078" s="15">
        <v>188.84</v>
      </c>
      <c r="R1078" s="15">
        <v>160.58</v>
      </c>
      <c r="S1078" s="15">
        <v>184.58</v>
      </c>
      <c r="T1078" s="15">
        <v>202.95</v>
      </c>
      <c r="U1078" s="15">
        <v>118.27</v>
      </c>
      <c r="V1078" s="15">
        <v>163.64</v>
      </c>
      <c r="W1078" s="15">
        <v>151.23</v>
      </c>
      <c r="X1078" s="15">
        <v>132.47</v>
      </c>
      <c r="Y1078" s="15">
        <v>131.8</v>
      </c>
      <c r="Z1078" s="15">
        <v>201.95</v>
      </c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</row>
    <row r="1079" spans="1:43">
      <c r="A1079" s="15" t="s">
        <v>49</v>
      </c>
      <c r="B1079" s="15" t="s">
        <v>50</v>
      </c>
      <c r="C1079" s="15" t="s">
        <v>61</v>
      </c>
      <c r="D1079" s="15" t="s">
        <v>2938</v>
      </c>
      <c r="E1079" s="15" t="s">
        <v>2939</v>
      </c>
      <c r="F1079" s="16">
        <v>0</v>
      </c>
      <c r="G1079" s="15" t="s">
        <v>2939</v>
      </c>
      <c r="H1079" s="15" t="s">
        <v>54</v>
      </c>
      <c r="I1079" s="18">
        <v>0</v>
      </c>
      <c r="J1079" s="18">
        <v>0</v>
      </c>
      <c r="K1079" s="19">
        <v>0</v>
      </c>
      <c r="L1079" s="20">
        <v>0</v>
      </c>
      <c r="M1079" s="15">
        <v>0</v>
      </c>
      <c r="N1079" s="15">
        <v>0</v>
      </c>
      <c r="O1079" s="15">
        <v>0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</row>
    <row r="1080" spans="1:43">
      <c r="A1080" s="15" t="s">
        <v>43</v>
      </c>
      <c r="B1080" s="15" t="s">
        <v>44</v>
      </c>
      <c r="C1080" s="15" t="s">
        <v>45</v>
      </c>
      <c r="D1080" s="15" t="s">
        <v>2940</v>
      </c>
      <c r="E1080" s="15" t="s">
        <v>2941</v>
      </c>
      <c r="F1080" s="16">
        <v>42361.6681134259</v>
      </c>
      <c r="G1080" s="15" t="s">
        <v>2941</v>
      </c>
      <c r="H1080" s="15" t="s">
        <v>2942</v>
      </c>
      <c r="I1080" s="18">
        <v>0</v>
      </c>
      <c r="J1080" s="18">
        <v>0</v>
      </c>
      <c r="K1080" s="19">
        <v>0</v>
      </c>
      <c r="L1080" s="20">
        <v>0</v>
      </c>
      <c r="M1080" s="15">
        <v>0</v>
      </c>
      <c r="N1080" s="15">
        <v>0</v>
      </c>
      <c r="O1080" s="15">
        <v>0</v>
      </c>
      <c r="P1080" s="15">
        <v>0</v>
      </c>
      <c r="Q1080" s="15">
        <v>0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</row>
    <row r="1081" spans="1:43">
      <c r="A1081" s="15" t="s">
        <v>43</v>
      </c>
      <c r="B1081" s="15" t="s">
        <v>44</v>
      </c>
      <c r="C1081" s="15" t="s">
        <v>45</v>
      </c>
      <c r="D1081" s="15" t="s">
        <v>2943</v>
      </c>
      <c r="E1081" s="15" t="s">
        <v>2944</v>
      </c>
      <c r="F1081" s="16">
        <v>41334.6378009259</v>
      </c>
      <c r="G1081" s="15" t="s">
        <v>2944</v>
      </c>
      <c r="H1081" s="15" t="s">
        <v>2945</v>
      </c>
      <c r="I1081" s="18">
        <v>0</v>
      </c>
      <c r="J1081" s="18">
        <v>0</v>
      </c>
      <c r="K1081" s="19">
        <v>0</v>
      </c>
      <c r="L1081" s="20">
        <v>0</v>
      </c>
      <c r="M1081" s="15">
        <v>0</v>
      </c>
      <c r="N1081" s="15">
        <v>0</v>
      </c>
      <c r="O1081" s="15">
        <v>0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</row>
    <row r="1082" spans="1:43">
      <c r="A1082" s="15" t="s">
        <v>49</v>
      </c>
      <c r="B1082" s="15" t="s">
        <v>50</v>
      </c>
      <c r="C1082" s="15" t="s">
        <v>61</v>
      </c>
      <c r="D1082" s="15" t="s">
        <v>2946</v>
      </c>
      <c r="E1082" s="15" t="s">
        <v>2947</v>
      </c>
      <c r="F1082" s="16">
        <v>0</v>
      </c>
      <c r="G1082" s="15" t="s">
        <v>2947</v>
      </c>
      <c r="H1082" s="15" t="s">
        <v>2948</v>
      </c>
      <c r="I1082" s="18">
        <v>0</v>
      </c>
      <c r="J1082" s="18">
        <v>0</v>
      </c>
      <c r="K1082" s="19">
        <v>0</v>
      </c>
      <c r="L1082" s="20">
        <v>0</v>
      </c>
      <c r="M1082" s="15">
        <v>0</v>
      </c>
      <c r="N1082" s="15">
        <v>0</v>
      </c>
      <c r="O1082" s="15">
        <v>0</v>
      </c>
      <c r="P1082" s="15">
        <v>0</v>
      </c>
      <c r="Q1082" s="15">
        <v>0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0</v>
      </c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</row>
    <row r="1083" spans="1:43">
      <c r="A1083" s="15" t="s">
        <v>49</v>
      </c>
      <c r="B1083" s="15" t="s">
        <v>50</v>
      </c>
      <c r="C1083" s="15" t="s">
        <v>61</v>
      </c>
      <c r="D1083" s="15" t="s">
        <v>2949</v>
      </c>
      <c r="E1083" s="15" t="s">
        <v>2950</v>
      </c>
      <c r="F1083" s="16">
        <v>42333.6767708333</v>
      </c>
      <c r="G1083" s="15" t="s">
        <v>2950</v>
      </c>
      <c r="H1083" s="15" t="s">
        <v>2951</v>
      </c>
      <c r="I1083" s="18">
        <v>0</v>
      </c>
      <c r="J1083" s="18">
        <v>0</v>
      </c>
      <c r="K1083" s="19">
        <v>0</v>
      </c>
      <c r="L1083" s="20">
        <v>0</v>
      </c>
      <c r="M1083" s="15">
        <v>0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</row>
    <row r="1084" spans="1:43">
      <c r="A1084" s="15" t="s">
        <v>49</v>
      </c>
      <c r="B1084" s="15" t="s">
        <v>50</v>
      </c>
      <c r="C1084" s="15" t="s">
        <v>61</v>
      </c>
      <c r="D1084" s="15" t="s">
        <v>2952</v>
      </c>
      <c r="E1084" s="15" t="s">
        <v>2952</v>
      </c>
      <c r="F1084" s="16">
        <v>0</v>
      </c>
      <c r="G1084" s="15" t="s">
        <v>2952</v>
      </c>
      <c r="H1084" s="15" t="s">
        <v>2953</v>
      </c>
      <c r="I1084" s="18">
        <v>0</v>
      </c>
      <c r="J1084" s="18">
        <v>0</v>
      </c>
      <c r="K1084" s="19">
        <v>0</v>
      </c>
      <c r="L1084" s="20">
        <v>0</v>
      </c>
      <c r="M1084" s="15">
        <v>0</v>
      </c>
      <c r="N1084" s="15">
        <v>0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0</v>
      </c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</row>
    <row r="1085" spans="1:43">
      <c r="A1085" s="15" t="s">
        <v>49</v>
      </c>
      <c r="B1085" s="15" t="s">
        <v>50</v>
      </c>
      <c r="C1085" s="15" t="s">
        <v>61</v>
      </c>
      <c r="D1085" s="15" t="s">
        <v>2954</v>
      </c>
      <c r="E1085" s="15" t="s">
        <v>2955</v>
      </c>
      <c r="F1085" s="16">
        <v>0</v>
      </c>
      <c r="G1085" s="15" t="s">
        <v>2955</v>
      </c>
      <c r="H1085" s="15" t="s">
        <v>54</v>
      </c>
      <c r="I1085" s="18">
        <v>0</v>
      </c>
      <c r="J1085" s="18">
        <v>0</v>
      </c>
      <c r="K1085" s="19">
        <v>0</v>
      </c>
      <c r="L1085" s="20">
        <v>0</v>
      </c>
      <c r="M1085" s="15">
        <v>0</v>
      </c>
      <c r="N1085" s="15">
        <v>0</v>
      </c>
      <c r="O1085" s="15">
        <v>0</v>
      </c>
      <c r="P1085" s="15">
        <v>0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0</v>
      </c>
      <c r="X1085" s="15">
        <v>0</v>
      </c>
      <c r="Y1085" s="15">
        <v>0</v>
      </c>
      <c r="Z1085" s="15">
        <v>0</v>
      </c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</row>
    <row r="1086" spans="1:43">
      <c r="A1086" s="15" t="s">
        <v>49</v>
      </c>
      <c r="B1086" s="15" t="s">
        <v>50</v>
      </c>
      <c r="C1086" s="15" t="s">
        <v>61</v>
      </c>
      <c r="D1086" s="15" t="s">
        <v>2956</v>
      </c>
      <c r="E1086" s="15" t="s">
        <v>2957</v>
      </c>
      <c r="F1086" s="16">
        <v>0</v>
      </c>
      <c r="G1086" s="15" t="s">
        <v>2957</v>
      </c>
      <c r="H1086" s="15" t="s">
        <v>2958</v>
      </c>
      <c r="I1086" s="18">
        <v>0</v>
      </c>
      <c r="J1086" s="18">
        <v>0</v>
      </c>
      <c r="K1086" s="19">
        <v>0</v>
      </c>
      <c r="L1086" s="20">
        <v>0</v>
      </c>
      <c r="M1086" s="15">
        <v>0</v>
      </c>
      <c r="N1086" s="15">
        <v>0</v>
      </c>
      <c r="O1086" s="15">
        <v>0</v>
      </c>
      <c r="P1086" s="15">
        <v>0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0</v>
      </c>
      <c r="X1086" s="15">
        <v>0</v>
      </c>
      <c r="Y1086" s="15">
        <v>0</v>
      </c>
      <c r="Z1086" s="15">
        <v>0</v>
      </c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</row>
    <row r="1087" spans="1:43">
      <c r="A1087" s="15" t="s">
        <v>43</v>
      </c>
      <c r="B1087" s="15" t="s">
        <v>44</v>
      </c>
      <c r="C1087" s="15" t="s">
        <v>228</v>
      </c>
      <c r="D1087" s="15" t="s">
        <v>2959</v>
      </c>
      <c r="E1087" s="15" t="s">
        <v>2960</v>
      </c>
      <c r="F1087" s="16">
        <v>44900.606099537</v>
      </c>
      <c r="G1087" s="15" t="s">
        <v>2960</v>
      </c>
      <c r="H1087" s="15" t="s">
        <v>54</v>
      </c>
      <c r="I1087" s="18">
        <v>3192.19</v>
      </c>
      <c r="J1087" s="18">
        <v>14</v>
      </c>
      <c r="K1087" s="19">
        <v>228.013571428571</v>
      </c>
      <c r="L1087" s="20">
        <v>4.56027142857143</v>
      </c>
      <c r="M1087" s="15">
        <v>153.32</v>
      </c>
      <c r="N1087" s="15">
        <v>201.59</v>
      </c>
      <c r="O1087" s="15">
        <v>205.48</v>
      </c>
      <c r="P1087" s="15">
        <v>200.65</v>
      </c>
      <c r="Q1087" s="15">
        <v>201.99</v>
      </c>
      <c r="R1087" s="15">
        <v>203.82</v>
      </c>
      <c r="S1087" s="15">
        <v>201.64</v>
      </c>
      <c r="T1087" s="15">
        <v>262.97</v>
      </c>
      <c r="U1087" s="15">
        <v>260.93</v>
      </c>
      <c r="V1087" s="15">
        <v>260.67</v>
      </c>
      <c r="W1087" s="15">
        <v>260.95</v>
      </c>
      <c r="X1087" s="15">
        <v>252.75</v>
      </c>
      <c r="Y1087" s="15">
        <v>262.63</v>
      </c>
      <c r="Z1087" s="15">
        <v>262.8</v>
      </c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</row>
    <row r="1088" spans="1:43">
      <c r="A1088" s="15" t="s">
        <v>64</v>
      </c>
      <c r="B1088" s="15" t="s">
        <v>118</v>
      </c>
      <c r="C1088" s="15" t="s">
        <v>138</v>
      </c>
      <c r="D1088" s="15" t="s">
        <v>2961</v>
      </c>
      <c r="E1088" s="15" t="s">
        <v>2962</v>
      </c>
      <c r="F1088" s="16">
        <v>45117.5790740741</v>
      </c>
      <c r="G1088" s="15" t="s">
        <v>2962</v>
      </c>
      <c r="H1088" s="15" t="s">
        <v>54</v>
      </c>
      <c r="I1088" s="18">
        <v>0</v>
      </c>
      <c r="J1088" s="18">
        <v>0</v>
      </c>
      <c r="K1088" s="19">
        <v>0</v>
      </c>
      <c r="L1088" s="20">
        <v>0</v>
      </c>
      <c r="M1088" s="15">
        <v>0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0</v>
      </c>
      <c r="X1088" s="15">
        <v>0</v>
      </c>
      <c r="Y1088" s="15">
        <v>0</v>
      </c>
      <c r="Z1088" s="15">
        <v>0</v>
      </c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</row>
    <row r="1089" spans="1:43">
      <c r="A1089" s="15" t="s">
        <v>49</v>
      </c>
      <c r="B1089" s="15" t="s">
        <v>50</v>
      </c>
      <c r="C1089" s="15" t="s">
        <v>301</v>
      </c>
      <c r="D1089" s="15" t="s">
        <v>2963</v>
      </c>
      <c r="E1089" s="15" t="s">
        <v>2964</v>
      </c>
      <c r="F1089" s="16">
        <v>44753.7087384259</v>
      </c>
      <c r="G1089" s="15" t="s">
        <v>2964</v>
      </c>
      <c r="H1089" s="15" t="s">
        <v>54</v>
      </c>
      <c r="I1089" s="18">
        <v>0</v>
      </c>
      <c r="J1089" s="18">
        <v>0</v>
      </c>
      <c r="K1089" s="19">
        <v>0</v>
      </c>
      <c r="L1089" s="20">
        <v>0</v>
      </c>
      <c r="M1089" s="15">
        <v>0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</row>
    <row r="1090" spans="1:43">
      <c r="A1090" s="15" t="s">
        <v>43</v>
      </c>
      <c r="B1090" s="15" t="s">
        <v>44</v>
      </c>
      <c r="C1090" s="15" t="s">
        <v>45</v>
      </c>
      <c r="D1090" s="15" t="s">
        <v>2965</v>
      </c>
      <c r="E1090" s="15" t="s">
        <v>2966</v>
      </c>
      <c r="F1090" s="16">
        <v>42013.7150347222</v>
      </c>
      <c r="G1090" s="15" t="s">
        <v>2966</v>
      </c>
      <c r="H1090" s="15" t="s">
        <v>2967</v>
      </c>
      <c r="I1090" s="18">
        <v>0</v>
      </c>
      <c r="J1090" s="18">
        <v>0</v>
      </c>
      <c r="K1090" s="19">
        <v>0</v>
      </c>
      <c r="L1090" s="20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</row>
    <row r="1091" spans="1:43">
      <c r="A1091" s="15" t="s">
        <v>64</v>
      </c>
      <c r="B1091" s="15" t="s">
        <v>65</v>
      </c>
      <c r="C1091" s="15" t="s">
        <v>401</v>
      </c>
      <c r="D1091" s="15" t="s">
        <v>2968</v>
      </c>
      <c r="E1091" s="15" t="s">
        <v>2969</v>
      </c>
      <c r="F1091" s="16">
        <v>45141.4631944444</v>
      </c>
      <c r="G1091" s="15" t="s">
        <v>2969</v>
      </c>
      <c r="H1091" s="15" t="s">
        <v>54</v>
      </c>
      <c r="I1091" s="18">
        <v>133.22</v>
      </c>
      <c r="J1091" s="18">
        <v>5</v>
      </c>
      <c r="K1091" s="19">
        <v>26.644</v>
      </c>
      <c r="L1091" s="20">
        <v>0.380628571428571</v>
      </c>
      <c r="M1091" s="15">
        <v>0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8.82</v>
      </c>
      <c r="W1091" s="15">
        <v>21.36</v>
      </c>
      <c r="X1091" s="15">
        <v>28.1</v>
      </c>
      <c r="Y1091" s="15">
        <v>12.88</v>
      </c>
      <c r="Z1091" s="15">
        <v>62.06</v>
      </c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</row>
    <row r="1092" spans="1:43">
      <c r="A1092" s="15" t="s">
        <v>49</v>
      </c>
      <c r="B1092" s="15" t="s">
        <v>50</v>
      </c>
      <c r="C1092" s="15" t="s">
        <v>61</v>
      </c>
      <c r="D1092" s="15" t="s">
        <v>2970</v>
      </c>
      <c r="E1092" s="15" t="s">
        <v>2971</v>
      </c>
      <c r="F1092" s="16">
        <v>0</v>
      </c>
      <c r="G1092" s="15" t="s">
        <v>2971</v>
      </c>
      <c r="H1092" s="15" t="s">
        <v>54</v>
      </c>
      <c r="I1092" s="18">
        <v>0</v>
      </c>
      <c r="J1092" s="18">
        <v>0</v>
      </c>
      <c r="K1092" s="19">
        <v>0</v>
      </c>
      <c r="L1092" s="20">
        <v>0</v>
      </c>
      <c r="M1092" s="15">
        <v>0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</row>
    <row r="1093" spans="1:43">
      <c r="A1093" s="15" t="s">
        <v>64</v>
      </c>
      <c r="B1093" s="15" t="s">
        <v>65</v>
      </c>
      <c r="C1093" s="15" t="s">
        <v>522</v>
      </c>
      <c r="D1093" s="15" t="s">
        <v>2972</v>
      </c>
      <c r="E1093" s="15" t="s">
        <v>2973</v>
      </c>
      <c r="F1093" s="16">
        <v>44670.6450347222</v>
      </c>
      <c r="G1093" s="15" t="s">
        <v>2973</v>
      </c>
      <c r="H1093" s="15" t="s">
        <v>2974</v>
      </c>
      <c r="I1093" s="18">
        <v>0</v>
      </c>
      <c r="J1093" s="18">
        <v>0</v>
      </c>
      <c r="K1093" s="19">
        <v>0</v>
      </c>
      <c r="L1093" s="20">
        <v>0</v>
      </c>
      <c r="M1093" s="15">
        <v>0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</row>
    <row r="1094" spans="1:43">
      <c r="A1094" s="15" t="s">
        <v>43</v>
      </c>
      <c r="B1094" s="15" t="s">
        <v>44</v>
      </c>
      <c r="C1094" s="15" t="s">
        <v>45</v>
      </c>
      <c r="D1094" s="15" t="s">
        <v>2975</v>
      </c>
      <c r="E1094" s="15" t="s">
        <v>2976</v>
      </c>
      <c r="F1094" s="16">
        <v>41750.6964467593</v>
      </c>
      <c r="G1094" s="15" t="s">
        <v>2976</v>
      </c>
      <c r="H1094" s="15" t="s">
        <v>2977</v>
      </c>
      <c r="I1094" s="18">
        <v>0</v>
      </c>
      <c r="J1094" s="18">
        <v>0</v>
      </c>
      <c r="K1094" s="19">
        <v>0</v>
      </c>
      <c r="L1094" s="20">
        <v>0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</row>
    <row r="1095" spans="1:43">
      <c r="A1095" s="15" t="s">
        <v>49</v>
      </c>
      <c r="B1095" s="15" t="s">
        <v>50</v>
      </c>
      <c r="C1095" s="15" t="s">
        <v>301</v>
      </c>
      <c r="D1095" s="15" t="s">
        <v>2978</v>
      </c>
      <c r="E1095" s="15" t="s">
        <v>1882</v>
      </c>
      <c r="F1095" s="16">
        <v>45083.4051041667</v>
      </c>
      <c r="G1095" s="15" t="s">
        <v>1882</v>
      </c>
      <c r="H1095" s="15" t="s">
        <v>2979</v>
      </c>
      <c r="I1095" s="18">
        <v>540.34</v>
      </c>
      <c r="J1095" s="18">
        <v>14</v>
      </c>
      <c r="K1095" s="19">
        <v>38.5957142857143</v>
      </c>
      <c r="L1095" s="20">
        <v>0.771914285714286</v>
      </c>
      <c r="M1095" s="15">
        <v>51.46</v>
      </c>
      <c r="N1095" s="15">
        <v>36.29</v>
      </c>
      <c r="O1095" s="15">
        <v>54.66</v>
      </c>
      <c r="P1095" s="15">
        <v>31.66</v>
      </c>
      <c r="Q1095" s="15">
        <v>34.75</v>
      </c>
      <c r="R1095" s="15">
        <v>9.83</v>
      </c>
      <c r="S1095" s="15">
        <v>53.84</v>
      </c>
      <c r="T1095" s="15">
        <v>50.7</v>
      </c>
      <c r="U1095" s="15">
        <v>52.41</v>
      </c>
      <c r="V1095" s="15">
        <v>50.46</v>
      </c>
      <c r="W1095" s="15">
        <v>19.06</v>
      </c>
      <c r="X1095" s="15">
        <v>37.65</v>
      </c>
      <c r="Y1095" s="15">
        <v>13.55</v>
      </c>
      <c r="Z1095" s="15">
        <v>44.02</v>
      </c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</row>
    <row r="1096" spans="1:43">
      <c r="A1096" s="15" t="s">
        <v>49</v>
      </c>
      <c r="B1096" s="15" t="s">
        <v>50</v>
      </c>
      <c r="C1096" s="15" t="s">
        <v>61</v>
      </c>
      <c r="D1096" s="15" t="s">
        <v>2980</v>
      </c>
      <c r="E1096" s="15" t="s">
        <v>2981</v>
      </c>
      <c r="F1096" s="16">
        <v>0</v>
      </c>
      <c r="G1096" s="15" t="s">
        <v>2981</v>
      </c>
      <c r="H1096" s="15" t="s">
        <v>2982</v>
      </c>
      <c r="I1096" s="18">
        <v>0</v>
      </c>
      <c r="J1096" s="18">
        <v>0</v>
      </c>
      <c r="K1096" s="19">
        <v>0</v>
      </c>
      <c r="L1096" s="20">
        <v>0</v>
      </c>
      <c r="M1096" s="15">
        <v>0</v>
      </c>
      <c r="N1096" s="15">
        <v>0</v>
      </c>
      <c r="O1096" s="15">
        <v>0</v>
      </c>
      <c r="P1096" s="15">
        <v>0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0</v>
      </c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</row>
    <row r="1097" spans="1:43">
      <c r="A1097" s="15" t="s">
        <v>49</v>
      </c>
      <c r="B1097" s="15" t="s">
        <v>50</v>
      </c>
      <c r="C1097" s="15" t="s">
        <v>61</v>
      </c>
      <c r="D1097" s="15" t="s">
        <v>2983</v>
      </c>
      <c r="E1097" s="15" t="s">
        <v>2984</v>
      </c>
      <c r="F1097" s="16">
        <v>0</v>
      </c>
      <c r="G1097" s="15" t="s">
        <v>2984</v>
      </c>
      <c r="H1097" s="15" t="s">
        <v>54</v>
      </c>
      <c r="I1097" s="18">
        <v>0</v>
      </c>
      <c r="J1097" s="18">
        <v>0</v>
      </c>
      <c r="K1097" s="19">
        <v>0</v>
      </c>
      <c r="L1097" s="20">
        <v>0</v>
      </c>
      <c r="M1097" s="15">
        <v>0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</row>
    <row r="1098" spans="1:43">
      <c r="A1098" s="15" t="s">
        <v>43</v>
      </c>
      <c r="B1098" s="15" t="s">
        <v>44</v>
      </c>
      <c r="C1098" s="15" t="s">
        <v>45</v>
      </c>
      <c r="D1098" s="15" t="s">
        <v>2985</v>
      </c>
      <c r="E1098" s="15" t="s">
        <v>2986</v>
      </c>
      <c r="F1098" s="16">
        <v>42586.4868634259</v>
      </c>
      <c r="G1098" s="15" t="s">
        <v>2986</v>
      </c>
      <c r="H1098" s="15" t="s">
        <v>2987</v>
      </c>
      <c r="I1098" s="18">
        <v>0</v>
      </c>
      <c r="J1098" s="18">
        <v>0</v>
      </c>
      <c r="K1098" s="19">
        <v>0</v>
      </c>
      <c r="L1098" s="20">
        <v>0</v>
      </c>
      <c r="M1098" s="15">
        <v>0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0</v>
      </c>
      <c r="X1098" s="15">
        <v>0</v>
      </c>
      <c r="Y1098" s="15">
        <v>0</v>
      </c>
      <c r="Z1098" s="15">
        <v>0</v>
      </c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</row>
    <row r="1099" spans="1:43">
      <c r="A1099" s="15" t="s">
        <v>49</v>
      </c>
      <c r="B1099" s="15" t="s">
        <v>50</v>
      </c>
      <c r="C1099" s="15" t="s">
        <v>61</v>
      </c>
      <c r="D1099" s="15" t="s">
        <v>2988</v>
      </c>
      <c r="E1099" s="15" t="s">
        <v>2989</v>
      </c>
      <c r="F1099" s="16">
        <v>0</v>
      </c>
      <c r="G1099" s="15" t="s">
        <v>2989</v>
      </c>
      <c r="H1099" s="15" t="s">
        <v>2990</v>
      </c>
      <c r="I1099" s="18">
        <v>0</v>
      </c>
      <c r="J1099" s="18">
        <v>0</v>
      </c>
      <c r="K1099" s="19">
        <v>0</v>
      </c>
      <c r="L1099" s="20">
        <v>0</v>
      </c>
      <c r="M1099" s="15">
        <v>0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</row>
    <row r="1100" spans="1:43">
      <c r="A1100" s="15" t="s">
        <v>43</v>
      </c>
      <c r="B1100" s="15" t="s">
        <v>44</v>
      </c>
      <c r="C1100" s="15" t="s">
        <v>45</v>
      </c>
      <c r="D1100" s="15" t="s">
        <v>2991</v>
      </c>
      <c r="E1100" s="15" t="s">
        <v>2992</v>
      </c>
      <c r="F1100" s="16">
        <v>43590.6660648148</v>
      </c>
      <c r="G1100" s="15" t="s">
        <v>2992</v>
      </c>
      <c r="H1100" s="15" t="s">
        <v>2993</v>
      </c>
      <c r="I1100" s="18">
        <v>0</v>
      </c>
      <c r="J1100" s="18">
        <v>0</v>
      </c>
      <c r="K1100" s="19">
        <v>0</v>
      </c>
      <c r="L1100" s="20">
        <v>0</v>
      </c>
      <c r="M1100" s="15">
        <v>0</v>
      </c>
      <c r="N1100" s="15">
        <v>0</v>
      </c>
      <c r="O1100" s="15">
        <v>0</v>
      </c>
      <c r="P1100" s="15">
        <v>0</v>
      </c>
      <c r="Q1100" s="15">
        <v>0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0</v>
      </c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</row>
    <row r="1101" spans="1:43">
      <c r="A1101" s="15" t="s">
        <v>49</v>
      </c>
      <c r="B1101" s="15" t="s">
        <v>50</v>
      </c>
      <c r="C1101" s="15" t="s">
        <v>301</v>
      </c>
      <c r="D1101" s="15" t="s">
        <v>2994</v>
      </c>
      <c r="E1101" s="15" t="s">
        <v>2995</v>
      </c>
      <c r="F1101" s="16">
        <v>45057.637662037</v>
      </c>
      <c r="G1101" s="15" t="s">
        <v>2995</v>
      </c>
      <c r="H1101" s="15" t="s">
        <v>54</v>
      </c>
      <c r="I1101" s="18">
        <v>809.61</v>
      </c>
      <c r="J1101" s="18">
        <v>14</v>
      </c>
      <c r="K1101" s="19">
        <v>57.8292857142857</v>
      </c>
      <c r="L1101" s="20">
        <v>1.15658571428571</v>
      </c>
      <c r="M1101" s="15">
        <v>106.2</v>
      </c>
      <c r="N1101" s="15">
        <v>104.57</v>
      </c>
      <c r="O1101" s="15">
        <v>85.33</v>
      </c>
      <c r="P1101" s="15">
        <v>36.04</v>
      </c>
      <c r="Q1101" s="15">
        <v>64.09</v>
      </c>
      <c r="R1101" s="15">
        <v>57.1</v>
      </c>
      <c r="S1101" s="15">
        <v>52.5</v>
      </c>
      <c r="T1101" s="15">
        <v>36.17</v>
      </c>
      <c r="U1101" s="15">
        <v>26.8</v>
      </c>
      <c r="V1101" s="15">
        <v>76.9</v>
      </c>
      <c r="W1101" s="15">
        <v>25.52</v>
      </c>
      <c r="X1101" s="15">
        <v>26.34</v>
      </c>
      <c r="Y1101" s="15">
        <v>25.19</v>
      </c>
      <c r="Z1101" s="15">
        <v>86.86</v>
      </c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</row>
    <row r="1102" spans="1:43">
      <c r="A1102" s="15" t="s">
        <v>64</v>
      </c>
      <c r="B1102" s="15" t="s">
        <v>65</v>
      </c>
      <c r="C1102" s="15" t="s">
        <v>66</v>
      </c>
      <c r="D1102" s="15" t="s">
        <v>2996</v>
      </c>
      <c r="E1102" s="15" t="s">
        <v>2997</v>
      </c>
      <c r="F1102" s="16">
        <v>44782.4317476852</v>
      </c>
      <c r="G1102" s="15" t="s">
        <v>2997</v>
      </c>
      <c r="H1102" s="15" t="s">
        <v>2998</v>
      </c>
      <c r="I1102" s="18">
        <v>0</v>
      </c>
      <c r="J1102" s="18">
        <v>0</v>
      </c>
      <c r="K1102" s="19">
        <v>0</v>
      </c>
      <c r="L1102" s="20">
        <v>0</v>
      </c>
      <c r="M1102" s="15">
        <v>0</v>
      </c>
      <c r="N1102" s="15">
        <v>0</v>
      </c>
      <c r="O1102" s="15">
        <v>0</v>
      </c>
      <c r="P1102" s="15">
        <v>0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0</v>
      </c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</row>
    <row r="1103" spans="1:43">
      <c r="A1103" s="15" t="s">
        <v>43</v>
      </c>
      <c r="B1103" s="15" t="s">
        <v>44</v>
      </c>
      <c r="C1103" s="15" t="s">
        <v>45</v>
      </c>
      <c r="D1103" s="15" t="s">
        <v>2999</v>
      </c>
      <c r="E1103" s="15" t="s">
        <v>2345</v>
      </c>
      <c r="F1103" s="16">
        <v>44411.7124421296</v>
      </c>
      <c r="G1103" s="15" t="s">
        <v>2345</v>
      </c>
      <c r="H1103" s="15" t="s">
        <v>54</v>
      </c>
      <c r="I1103" s="18">
        <v>0</v>
      </c>
      <c r="J1103" s="18">
        <v>0</v>
      </c>
      <c r="K1103" s="19">
        <v>0</v>
      </c>
      <c r="L1103" s="20">
        <v>0</v>
      </c>
      <c r="M1103" s="15">
        <v>0</v>
      </c>
      <c r="N1103" s="15">
        <v>0</v>
      </c>
      <c r="O1103" s="15">
        <v>0</v>
      </c>
      <c r="P1103" s="15">
        <v>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0</v>
      </c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</row>
    <row r="1104" spans="1:43">
      <c r="A1104" s="15" t="s">
        <v>49</v>
      </c>
      <c r="B1104" s="15" t="s">
        <v>50</v>
      </c>
      <c r="C1104" s="15" t="s">
        <v>61</v>
      </c>
      <c r="D1104" s="15" t="s">
        <v>3000</v>
      </c>
      <c r="E1104" s="15" t="s">
        <v>3001</v>
      </c>
      <c r="F1104" s="16">
        <v>0</v>
      </c>
      <c r="G1104" s="15" t="s">
        <v>3001</v>
      </c>
      <c r="H1104" s="15" t="s">
        <v>54</v>
      </c>
      <c r="I1104" s="18">
        <v>0</v>
      </c>
      <c r="J1104" s="18">
        <v>0</v>
      </c>
      <c r="K1104" s="19">
        <v>0</v>
      </c>
      <c r="L1104" s="20">
        <v>0</v>
      </c>
      <c r="M1104" s="15">
        <v>0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0</v>
      </c>
      <c r="X1104" s="15">
        <v>0</v>
      </c>
      <c r="Y1104" s="15">
        <v>0</v>
      </c>
      <c r="Z1104" s="15">
        <v>0</v>
      </c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</row>
    <row r="1105" spans="1:43">
      <c r="A1105" s="15" t="s">
        <v>49</v>
      </c>
      <c r="B1105" s="15" t="s">
        <v>50</v>
      </c>
      <c r="C1105" s="15" t="s">
        <v>61</v>
      </c>
      <c r="D1105" s="15" t="s">
        <v>3002</v>
      </c>
      <c r="E1105" s="15" t="s">
        <v>3003</v>
      </c>
      <c r="F1105" s="16">
        <v>0</v>
      </c>
      <c r="G1105" s="15" t="s">
        <v>3003</v>
      </c>
      <c r="H1105" s="15" t="s">
        <v>54</v>
      </c>
      <c r="I1105" s="18">
        <v>0</v>
      </c>
      <c r="J1105" s="18">
        <v>0</v>
      </c>
      <c r="K1105" s="19">
        <v>0</v>
      </c>
      <c r="L1105" s="20">
        <v>0</v>
      </c>
      <c r="M1105" s="15">
        <v>0</v>
      </c>
      <c r="N1105" s="15">
        <v>0</v>
      </c>
      <c r="O1105" s="15">
        <v>0</v>
      </c>
      <c r="P1105" s="15">
        <v>0</v>
      </c>
      <c r="Q1105" s="15">
        <v>0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</row>
    <row r="1106" spans="1:43">
      <c r="A1106" s="15" t="s">
        <v>43</v>
      </c>
      <c r="B1106" s="15" t="s">
        <v>44</v>
      </c>
      <c r="C1106" s="15" t="s">
        <v>45</v>
      </c>
      <c r="D1106" s="15" t="s">
        <v>3004</v>
      </c>
      <c r="E1106" s="15" t="s">
        <v>3005</v>
      </c>
      <c r="F1106" s="16">
        <v>42573.487962963</v>
      </c>
      <c r="G1106" s="15" t="s">
        <v>3005</v>
      </c>
      <c r="H1106" s="15" t="s">
        <v>3006</v>
      </c>
      <c r="I1106" s="18">
        <v>0</v>
      </c>
      <c r="J1106" s="18">
        <v>0</v>
      </c>
      <c r="K1106" s="19">
        <v>0</v>
      </c>
      <c r="L1106" s="20">
        <v>0</v>
      </c>
      <c r="M1106" s="15">
        <v>0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</row>
    <row r="1107" spans="1:43">
      <c r="A1107" s="15" t="s">
        <v>43</v>
      </c>
      <c r="B1107" s="15" t="s">
        <v>44</v>
      </c>
      <c r="C1107" s="15" t="s">
        <v>45</v>
      </c>
      <c r="D1107" s="15" t="s">
        <v>3007</v>
      </c>
      <c r="E1107" s="15" t="s">
        <v>3008</v>
      </c>
      <c r="F1107" s="16">
        <v>42536.7201967593</v>
      </c>
      <c r="G1107" s="15" t="s">
        <v>3008</v>
      </c>
      <c r="H1107" s="15" t="s">
        <v>3009</v>
      </c>
      <c r="I1107" s="18">
        <v>0</v>
      </c>
      <c r="J1107" s="18">
        <v>0</v>
      </c>
      <c r="K1107" s="19">
        <v>0</v>
      </c>
      <c r="L1107" s="20">
        <v>0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0</v>
      </c>
      <c r="Z1107" s="15">
        <v>0</v>
      </c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</row>
    <row r="1108" spans="1:43">
      <c r="A1108" s="15" t="s">
        <v>43</v>
      </c>
      <c r="B1108" s="15" t="s">
        <v>44</v>
      </c>
      <c r="C1108" s="15" t="s">
        <v>45</v>
      </c>
      <c r="D1108" s="15" t="s">
        <v>3010</v>
      </c>
      <c r="E1108" s="15" t="s">
        <v>3011</v>
      </c>
      <c r="F1108" s="16">
        <v>42614.7267361111</v>
      </c>
      <c r="G1108" s="15" t="s">
        <v>3011</v>
      </c>
      <c r="H1108" s="15" t="s">
        <v>3012</v>
      </c>
      <c r="I1108" s="18">
        <v>0</v>
      </c>
      <c r="J1108" s="18">
        <v>0</v>
      </c>
      <c r="K1108" s="19">
        <v>0</v>
      </c>
      <c r="L1108" s="20">
        <v>0</v>
      </c>
      <c r="M1108" s="15">
        <v>0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</row>
    <row r="1109" spans="1:43">
      <c r="A1109" s="15" t="s">
        <v>49</v>
      </c>
      <c r="B1109" s="15" t="s">
        <v>50</v>
      </c>
      <c r="C1109" s="15" t="s">
        <v>61</v>
      </c>
      <c r="D1109" s="15" t="s">
        <v>3013</v>
      </c>
      <c r="E1109" s="15" t="s">
        <v>3014</v>
      </c>
      <c r="F1109" s="16">
        <v>0</v>
      </c>
      <c r="G1109" s="15" t="s">
        <v>3014</v>
      </c>
      <c r="H1109" s="15" t="s">
        <v>3015</v>
      </c>
      <c r="I1109" s="18">
        <v>0</v>
      </c>
      <c r="J1109" s="18">
        <v>0</v>
      </c>
      <c r="K1109" s="19">
        <v>0</v>
      </c>
      <c r="L1109" s="20">
        <v>0</v>
      </c>
      <c r="M1109" s="15">
        <v>0</v>
      </c>
      <c r="N1109" s="15">
        <v>0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</row>
    <row r="1110" spans="1:43">
      <c r="A1110" s="15" t="s">
        <v>43</v>
      </c>
      <c r="B1110" s="15" t="s">
        <v>44</v>
      </c>
      <c r="C1110" s="15" t="s">
        <v>45</v>
      </c>
      <c r="D1110" s="15" t="s">
        <v>3016</v>
      </c>
      <c r="E1110" s="15" t="s">
        <v>3017</v>
      </c>
      <c r="F1110" s="16">
        <v>43274.6374305556</v>
      </c>
      <c r="G1110" s="15" t="s">
        <v>3017</v>
      </c>
      <c r="H1110" s="15" t="s">
        <v>3018</v>
      </c>
      <c r="I1110" s="18">
        <v>0</v>
      </c>
      <c r="J1110" s="18">
        <v>0</v>
      </c>
      <c r="K1110" s="19">
        <v>0</v>
      </c>
      <c r="L1110" s="20">
        <v>0</v>
      </c>
      <c r="M1110" s="15">
        <v>0</v>
      </c>
      <c r="N1110" s="15">
        <v>0</v>
      </c>
      <c r="O1110" s="15">
        <v>0</v>
      </c>
      <c r="P1110" s="15">
        <v>0</v>
      </c>
      <c r="Q1110" s="15">
        <v>0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</row>
    <row r="1111" spans="1:43">
      <c r="A1111" s="15" t="s">
        <v>49</v>
      </c>
      <c r="B1111" s="15" t="s">
        <v>50</v>
      </c>
      <c r="C1111" s="15" t="s">
        <v>61</v>
      </c>
      <c r="D1111" s="15" t="s">
        <v>3019</v>
      </c>
      <c r="E1111" s="15" t="s">
        <v>3020</v>
      </c>
      <c r="F1111" s="16">
        <v>0</v>
      </c>
      <c r="G1111" s="15" t="s">
        <v>3020</v>
      </c>
      <c r="H1111" s="15" t="s">
        <v>54</v>
      </c>
      <c r="I1111" s="18">
        <v>0</v>
      </c>
      <c r="J1111" s="18">
        <v>0</v>
      </c>
      <c r="K1111" s="19">
        <v>0</v>
      </c>
      <c r="L1111" s="20">
        <v>0</v>
      </c>
      <c r="M1111" s="15">
        <v>0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</row>
    <row r="1112" spans="1:43">
      <c r="A1112" s="15" t="s">
        <v>49</v>
      </c>
      <c r="B1112" s="15" t="s">
        <v>50</v>
      </c>
      <c r="C1112" s="15" t="s">
        <v>61</v>
      </c>
      <c r="D1112" s="15" t="s">
        <v>3021</v>
      </c>
      <c r="E1112" s="15" t="s">
        <v>3022</v>
      </c>
      <c r="F1112" s="16">
        <v>0</v>
      </c>
      <c r="G1112" s="15" t="s">
        <v>3022</v>
      </c>
      <c r="H1112" s="15" t="s">
        <v>54</v>
      </c>
      <c r="I1112" s="18">
        <v>0</v>
      </c>
      <c r="J1112" s="18">
        <v>0</v>
      </c>
      <c r="K1112" s="19">
        <v>0</v>
      </c>
      <c r="L1112" s="20">
        <v>0</v>
      </c>
      <c r="M1112" s="15">
        <v>0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</row>
    <row r="1113" spans="1:43">
      <c r="A1113" s="15" t="s">
        <v>49</v>
      </c>
      <c r="B1113" s="15" t="s">
        <v>50</v>
      </c>
      <c r="C1113" s="15" t="s">
        <v>61</v>
      </c>
      <c r="D1113" s="15" t="s">
        <v>3023</v>
      </c>
      <c r="E1113" s="15" t="s">
        <v>3024</v>
      </c>
      <c r="F1113" s="16">
        <v>0</v>
      </c>
      <c r="G1113" s="15" t="s">
        <v>3024</v>
      </c>
      <c r="H1113" s="15" t="s">
        <v>54</v>
      </c>
      <c r="I1113" s="18">
        <v>0</v>
      </c>
      <c r="J1113" s="18">
        <v>0</v>
      </c>
      <c r="K1113" s="19">
        <v>0</v>
      </c>
      <c r="L1113" s="20">
        <v>0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</row>
    <row r="1114" spans="1:43">
      <c r="A1114" s="15" t="s">
        <v>43</v>
      </c>
      <c r="B1114" s="15" t="s">
        <v>44</v>
      </c>
      <c r="C1114" s="15" t="s">
        <v>45</v>
      </c>
      <c r="D1114" s="15" t="s">
        <v>3025</v>
      </c>
      <c r="E1114" s="15" t="s">
        <v>3026</v>
      </c>
      <c r="F1114" s="16">
        <v>43941.6028356481</v>
      </c>
      <c r="G1114" s="15" t="s">
        <v>3026</v>
      </c>
      <c r="H1114" s="15" t="s">
        <v>3027</v>
      </c>
      <c r="I1114" s="18">
        <v>0</v>
      </c>
      <c r="J1114" s="18">
        <v>0</v>
      </c>
      <c r="K1114" s="19">
        <v>0</v>
      </c>
      <c r="L1114" s="20">
        <v>0</v>
      </c>
      <c r="M1114" s="15">
        <v>0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</row>
    <row r="1115" spans="1:43">
      <c r="A1115" s="15" t="s">
        <v>64</v>
      </c>
      <c r="B1115" s="15" t="s">
        <v>65</v>
      </c>
      <c r="C1115" s="15" t="s">
        <v>78</v>
      </c>
      <c r="D1115" s="15" t="s">
        <v>3028</v>
      </c>
      <c r="E1115" s="15" t="s">
        <v>3029</v>
      </c>
      <c r="F1115" s="16">
        <v>45028.6227662037</v>
      </c>
      <c r="G1115" s="15" t="s">
        <v>3029</v>
      </c>
      <c r="H1115" s="15" t="s">
        <v>54</v>
      </c>
      <c r="I1115" s="18">
        <v>0</v>
      </c>
      <c r="J1115" s="18">
        <v>0</v>
      </c>
      <c r="K1115" s="19">
        <v>0</v>
      </c>
      <c r="L1115" s="20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</row>
    <row r="1116" spans="1:43">
      <c r="A1116" s="15" t="s">
        <v>43</v>
      </c>
      <c r="B1116" s="15" t="s">
        <v>44</v>
      </c>
      <c r="C1116" s="15" t="s">
        <v>45</v>
      </c>
      <c r="D1116" s="15" t="s">
        <v>3030</v>
      </c>
      <c r="E1116" s="15" t="s">
        <v>3031</v>
      </c>
      <c r="F1116" s="16">
        <v>42913.6564467593</v>
      </c>
      <c r="G1116" s="15" t="s">
        <v>3031</v>
      </c>
      <c r="H1116" s="15" t="s">
        <v>3032</v>
      </c>
      <c r="I1116" s="18">
        <v>0</v>
      </c>
      <c r="J1116" s="18">
        <v>0</v>
      </c>
      <c r="K1116" s="19">
        <v>0</v>
      </c>
      <c r="L1116" s="20">
        <v>0</v>
      </c>
      <c r="M1116" s="15">
        <v>0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</row>
    <row r="1117" spans="1:43">
      <c r="A1117" s="15" t="s">
        <v>49</v>
      </c>
      <c r="B1117" s="15" t="s">
        <v>50</v>
      </c>
      <c r="C1117" s="15" t="s">
        <v>61</v>
      </c>
      <c r="D1117" s="15" t="s">
        <v>3033</v>
      </c>
      <c r="E1117" s="15" t="s">
        <v>3034</v>
      </c>
      <c r="F1117" s="16">
        <v>0</v>
      </c>
      <c r="G1117" s="15" t="s">
        <v>3034</v>
      </c>
      <c r="H1117" s="15" t="s">
        <v>3035</v>
      </c>
      <c r="I1117" s="18">
        <v>0</v>
      </c>
      <c r="J1117" s="18">
        <v>0</v>
      </c>
      <c r="K1117" s="19">
        <v>0</v>
      </c>
      <c r="L1117" s="20">
        <v>0</v>
      </c>
      <c r="M1117" s="15">
        <v>0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</row>
    <row r="1118" spans="1:43">
      <c r="A1118" s="15" t="s">
        <v>43</v>
      </c>
      <c r="B1118" s="15" t="s">
        <v>44</v>
      </c>
      <c r="C1118" s="15" t="s">
        <v>45</v>
      </c>
      <c r="D1118" s="15" t="s">
        <v>3036</v>
      </c>
      <c r="E1118" s="15" t="s">
        <v>3037</v>
      </c>
      <c r="F1118" s="16">
        <v>41110.6957060185</v>
      </c>
      <c r="G1118" s="15" t="s">
        <v>3037</v>
      </c>
      <c r="H1118" s="15" t="s">
        <v>3038</v>
      </c>
      <c r="I1118" s="18">
        <v>0</v>
      </c>
      <c r="J1118" s="18">
        <v>0</v>
      </c>
      <c r="K1118" s="19">
        <v>0</v>
      </c>
      <c r="L1118" s="20">
        <v>0</v>
      </c>
      <c r="M1118" s="15">
        <v>0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</row>
    <row r="1119" spans="1:43">
      <c r="A1119" s="15" t="s">
        <v>43</v>
      </c>
      <c r="B1119" s="15" t="s">
        <v>44</v>
      </c>
      <c r="C1119" s="15" t="s">
        <v>45</v>
      </c>
      <c r="D1119" s="15" t="s">
        <v>3039</v>
      </c>
      <c r="E1119" s="15" t="s">
        <v>3040</v>
      </c>
      <c r="F1119" s="16">
        <v>42740.4291782407</v>
      </c>
      <c r="G1119" s="15" t="s">
        <v>3040</v>
      </c>
      <c r="H1119" s="15" t="s">
        <v>3041</v>
      </c>
      <c r="I1119" s="18">
        <v>0</v>
      </c>
      <c r="J1119" s="18">
        <v>0</v>
      </c>
      <c r="K1119" s="19">
        <v>0</v>
      </c>
      <c r="L1119" s="20">
        <v>0</v>
      </c>
      <c r="M1119" s="15">
        <v>0</v>
      </c>
      <c r="N1119" s="15">
        <v>0</v>
      </c>
      <c r="O1119" s="15">
        <v>0</v>
      </c>
      <c r="P1119" s="15">
        <v>0</v>
      </c>
      <c r="Q1119" s="15">
        <v>0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</row>
    <row r="1120" spans="1:43">
      <c r="A1120" s="15" t="s">
        <v>43</v>
      </c>
      <c r="B1120" s="15" t="s">
        <v>44</v>
      </c>
      <c r="C1120" s="15" t="s">
        <v>440</v>
      </c>
      <c r="D1120" s="15" t="s">
        <v>3042</v>
      </c>
      <c r="E1120" s="15" t="s">
        <v>3043</v>
      </c>
      <c r="F1120" s="16">
        <v>43892.7169675926</v>
      </c>
      <c r="G1120" s="15" t="s">
        <v>3043</v>
      </c>
      <c r="H1120" s="15" t="s">
        <v>54</v>
      </c>
      <c r="I1120" s="18">
        <v>0</v>
      </c>
      <c r="J1120" s="18">
        <v>0</v>
      </c>
      <c r="K1120" s="19">
        <v>0</v>
      </c>
      <c r="L1120" s="20">
        <v>0</v>
      </c>
      <c r="M1120" s="15">
        <v>0</v>
      </c>
      <c r="N1120" s="15">
        <v>0</v>
      </c>
      <c r="O1120" s="15">
        <v>0</v>
      </c>
      <c r="P1120" s="15">
        <v>0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</row>
    <row r="1121" spans="1:43">
      <c r="A1121" s="15" t="s">
        <v>64</v>
      </c>
      <c r="B1121" s="15" t="s">
        <v>65</v>
      </c>
      <c r="C1121" s="15" t="s">
        <v>522</v>
      </c>
      <c r="D1121" s="15" t="s">
        <v>3044</v>
      </c>
      <c r="E1121" s="15" t="s">
        <v>2422</v>
      </c>
      <c r="F1121" s="16">
        <v>45077.5902199074</v>
      </c>
      <c r="G1121" s="15" t="s">
        <v>2422</v>
      </c>
      <c r="H1121" s="15" t="s">
        <v>2423</v>
      </c>
      <c r="I1121" s="18">
        <v>48.33</v>
      </c>
      <c r="J1121" s="18">
        <v>8</v>
      </c>
      <c r="K1121" s="19">
        <v>6.04125</v>
      </c>
      <c r="L1121" s="20">
        <v>0.0863035714285714</v>
      </c>
      <c r="M1121" s="15">
        <v>6.18</v>
      </c>
      <c r="N1121" s="15">
        <v>10.93</v>
      </c>
      <c r="O1121" s="15">
        <v>5.27</v>
      </c>
      <c r="P1121" s="15">
        <v>2.6</v>
      </c>
      <c r="Q1121" s="15">
        <v>0</v>
      </c>
      <c r="R1121" s="15">
        <v>0</v>
      </c>
      <c r="S1121" s="15">
        <v>3.01</v>
      </c>
      <c r="T1121" s="15">
        <v>0</v>
      </c>
      <c r="U1121" s="15">
        <v>0</v>
      </c>
      <c r="V1121" s="15">
        <v>0.49</v>
      </c>
      <c r="W1121" s="15">
        <v>11.26</v>
      </c>
      <c r="X1121" s="15">
        <v>8.59</v>
      </c>
      <c r="Y1121" s="15">
        <v>0</v>
      </c>
      <c r="Z1121" s="15">
        <v>0</v>
      </c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</row>
    <row r="1122" spans="1:43">
      <c r="A1122" s="15" t="s">
        <v>43</v>
      </c>
      <c r="B1122" s="15" t="s">
        <v>44</v>
      </c>
      <c r="C1122" s="15" t="s">
        <v>440</v>
      </c>
      <c r="D1122" s="15" t="s">
        <v>3045</v>
      </c>
      <c r="E1122" s="15" t="s">
        <v>3046</v>
      </c>
      <c r="F1122" s="16">
        <v>45108.8266319444</v>
      </c>
      <c r="G1122" s="15" t="s">
        <v>3046</v>
      </c>
      <c r="H1122" s="15" t="s">
        <v>54</v>
      </c>
      <c r="I1122" s="18">
        <v>130.26</v>
      </c>
      <c r="J1122" s="18">
        <v>9</v>
      </c>
      <c r="K1122" s="19">
        <v>14.4733333333333</v>
      </c>
      <c r="L1122" s="20">
        <v>0.289466666666667</v>
      </c>
      <c r="M1122" s="15">
        <v>15.21</v>
      </c>
      <c r="N1122" s="15">
        <v>14.47</v>
      </c>
      <c r="O1122" s="15">
        <v>27.12</v>
      </c>
      <c r="P1122" s="15">
        <v>26.56</v>
      </c>
      <c r="Q1122" s="15">
        <v>0</v>
      </c>
      <c r="R1122" s="15">
        <v>0</v>
      </c>
      <c r="S1122" s="15">
        <v>8.66</v>
      </c>
      <c r="T1122" s="15">
        <v>25.04</v>
      </c>
      <c r="U1122" s="15">
        <v>0</v>
      </c>
      <c r="V1122" s="15">
        <v>6.75</v>
      </c>
      <c r="W1122" s="15">
        <v>3.67</v>
      </c>
      <c r="X1122" s="15">
        <v>0</v>
      </c>
      <c r="Y1122" s="15">
        <v>0</v>
      </c>
      <c r="Z1122" s="15">
        <v>2.78</v>
      </c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</row>
    <row r="1123" spans="1:43">
      <c r="A1123" s="15" t="s">
        <v>49</v>
      </c>
      <c r="B1123" s="15" t="s">
        <v>50</v>
      </c>
      <c r="C1123" s="15" t="s">
        <v>61</v>
      </c>
      <c r="D1123" s="15" t="s">
        <v>3047</v>
      </c>
      <c r="E1123" s="15" t="s">
        <v>3048</v>
      </c>
      <c r="F1123" s="16">
        <v>0</v>
      </c>
      <c r="G1123" s="15" t="s">
        <v>3048</v>
      </c>
      <c r="H1123" s="15" t="s">
        <v>54</v>
      </c>
      <c r="I1123" s="18">
        <v>0</v>
      </c>
      <c r="J1123" s="18">
        <v>0</v>
      </c>
      <c r="K1123" s="19">
        <v>0</v>
      </c>
      <c r="L1123" s="20">
        <v>0</v>
      </c>
      <c r="M1123" s="15">
        <v>0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</row>
    <row r="1124" spans="1:43">
      <c r="A1124" s="15" t="s">
        <v>49</v>
      </c>
      <c r="B1124" s="15" t="s">
        <v>50</v>
      </c>
      <c r="C1124" s="15" t="s">
        <v>301</v>
      </c>
      <c r="D1124" s="15" t="s">
        <v>3049</v>
      </c>
      <c r="E1124" s="15" t="s">
        <v>3050</v>
      </c>
      <c r="F1124" s="16">
        <v>44753.7081828704</v>
      </c>
      <c r="G1124" s="15" t="s">
        <v>3050</v>
      </c>
      <c r="H1124" s="15" t="s">
        <v>54</v>
      </c>
      <c r="I1124" s="18">
        <v>0</v>
      </c>
      <c r="J1124" s="18">
        <v>0</v>
      </c>
      <c r="K1124" s="19">
        <v>0</v>
      </c>
      <c r="L1124" s="20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0</v>
      </c>
      <c r="X1124" s="15">
        <v>0</v>
      </c>
      <c r="Y1124" s="15">
        <v>0</v>
      </c>
      <c r="Z1124" s="15">
        <v>0</v>
      </c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</row>
    <row r="1125" spans="1:43">
      <c r="A1125" s="15" t="s">
        <v>49</v>
      </c>
      <c r="B1125" s="15" t="s">
        <v>50</v>
      </c>
      <c r="C1125" s="15" t="s">
        <v>61</v>
      </c>
      <c r="D1125" s="15" t="s">
        <v>3051</v>
      </c>
      <c r="E1125" s="15" t="s">
        <v>3052</v>
      </c>
      <c r="F1125" s="16">
        <v>0</v>
      </c>
      <c r="G1125" s="15" t="s">
        <v>3052</v>
      </c>
      <c r="H1125" s="15" t="s">
        <v>3053</v>
      </c>
      <c r="I1125" s="18">
        <v>0</v>
      </c>
      <c r="J1125" s="18">
        <v>0</v>
      </c>
      <c r="K1125" s="19">
        <v>0</v>
      </c>
      <c r="L1125" s="20">
        <v>0</v>
      </c>
      <c r="M1125" s="15">
        <v>0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0</v>
      </c>
      <c r="X1125" s="15">
        <v>0</v>
      </c>
      <c r="Y1125" s="15">
        <v>0</v>
      </c>
      <c r="Z1125" s="15">
        <v>0</v>
      </c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</row>
    <row r="1126" spans="1:43">
      <c r="A1126" s="15" t="s">
        <v>43</v>
      </c>
      <c r="B1126" s="15" t="s">
        <v>44</v>
      </c>
      <c r="C1126" s="15" t="s">
        <v>45</v>
      </c>
      <c r="D1126" s="15" t="s">
        <v>3054</v>
      </c>
      <c r="E1126" s="15" t="s">
        <v>3055</v>
      </c>
      <c r="F1126" s="16">
        <v>42353.712337963</v>
      </c>
      <c r="G1126" s="15" t="s">
        <v>3055</v>
      </c>
      <c r="H1126" s="15" t="s">
        <v>3056</v>
      </c>
      <c r="I1126" s="18">
        <v>0</v>
      </c>
      <c r="J1126" s="18">
        <v>0</v>
      </c>
      <c r="K1126" s="19">
        <v>0</v>
      </c>
      <c r="L1126" s="20">
        <v>0</v>
      </c>
      <c r="M1126" s="15">
        <v>0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0</v>
      </c>
      <c r="X1126" s="15">
        <v>0</v>
      </c>
      <c r="Y1126" s="15">
        <v>0</v>
      </c>
      <c r="Z1126" s="15">
        <v>0</v>
      </c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</row>
    <row r="1127" spans="1:43">
      <c r="A1127" s="15" t="s">
        <v>43</v>
      </c>
      <c r="B1127" s="15" t="s">
        <v>44</v>
      </c>
      <c r="C1127" s="15" t="s">
        <v>45</v>
      </c>
      <c r="D1127" s="15" t="s">
        <v>3057</v>
      </c>
      <c r="E1127" s="15" t="s">
        <v>3058</v>
      </c>
      <c r="F1127" s="16">
        <v>43031.6199768518</v>
      </c>
      <c r="G1127" s="15" t="s">
        <v>3058</v>
      </c>
      <c r="H1127" s="15" t="s">
        <v>3059</v>
      </c>
      <c r="I1127" s="18">
        <v>0</v>
      </c>
      <c r="J1127" s="18">
        <v>0</v>
      </c>
      <c r="K1127" s="19">
        <v>0</v>
      </c>
      <c r="L1127" s="20">
        <v>0</v>
      </c>
      <c r="M1127" s="15">
        <v>0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</row>
    <row r="1128" spans="1:43">
      <c r="A1128" s="15" t="s">
        <v>43</v>
      </c>
      <c r="B1128" s="15" t="s">
        <v>44</v>
      </c>
      <c r="C1128" s="15" t="s">
        <v>45</v>
      </c>
      <c r="D1128" s="15" t="s">
        <v>3060</v>
      </c>
      <c r="E1128" s="15" t="s">
        <v>3061</v>
      </c>
      <c r="F1128" s="16">
        <v>43635.4434606481</v>
      </c>
      <c r="G1128" s="15" t="s">
        <v>3061</v>
      </c>
      <c r="H1128" s="15" t="s">
        <v>3062</v>
      </c>
      <c r="I1128" s="18">
        <v>0</v>
      </c>
      <c r="J1128" s="18">
        <v>0</v>
      </c>
      <c r="K1128" s="19">
        <v>0</v>
      </c>
      <c r="L1128" s="20">
        <v>0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</row>
    <row r="1129" spans="1:43">
      <c r="A1129" s="15" t="s">
        <v>64</v>
      </c>
      <c r="B1129" s="15" t="s">
        <v>65</v>
      </c>
      <c r="C1129" s="15" t="s">
        <v>522</v>
      </c>
      <c r="D1129" s="15" t="s">
        <v>3063</v>
      </c>
      <c r="E1129" s="15" t="s">
        <v>3064</v>
      </c>
      <c r="F1129" s="16">
        <v>45127.7105902778</v>
      </c>
      <c r="G1129" s="15" t="s">
        <v>3064</v>
      </c>
      <c r="H1129" s="15" t="s">
        <v>54</v>
      </c>
      <c r="I1129" s="18">
        <v>1253.69</v>
      </c>
      <c r="J1129" s="18">
        <v>14</v>
      </c>
      <c r="K1129" s="19">
        <v>89.5492857142857</v>
      </c>
      <c r="L1129" s="20">
        <v>1.27927551020408</v>
      </c>
      <c r="M1129" s="15">
        <v>236.63</v>
      </c>
      <c r="N1129" s="15">
        <v>156.23</v>
      </c>
      <c r="O1129" s="15">
        <v>148.03</v>
      </c>
      <c r="P1129" s="15">
        <v>168.22</v>
      </c>
      <c r="Q1129" s="15">
        <v>149.48</v>
      </c>
      <c r="R1129" s="15">
        <v>113.49</v>
      </c>
      <c r="S1129" s="15">
        <v>109.85</v>
      </c>
      <c r="T1129" s="15">
        <v>23.7</v>
      </c>
      <c r="U1129" s="15">
        <v>15.63</v>
      </c>
      <c r="V1129" s="15">
        <v>5.45</v>
      </c>
      <c r="W1129" s="15">
        <v>63.75</v>
      </c>
      <c r="X1129" s="15">
        <v>17.11</v>
      </c>
      <c r="Y1129" s="15">
        <v>23.82</v>
      </c>
      <c r="Z1129" s="15">
        <v>22.3</v>
      </c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</row>
    <row r="1130" spans="1:43">
      <c r="A1130" s="15" t="s">
        <v>49</v>
      </c>
      <c r="B1130" s="15" t="s">
        <v>50</v>
      </c>
      <c r="C1130" s="15" t="s">
        <v>301</v>
      </c>
      <c r="D1130" s="15" t="s">
        <v>3065</v>
      </c>
      <c r="E1130" s="15" t="s">
        <v>3066</v>
      </c>
      <c r="F1130" s="16">
        <v>44503.4435300926</v>
      </c>
      <c r="G1130" s="15" t="s">
        <v>3066</v>
      </c>
      <c r="H1130" s="15" t="s">
        <v>54</v>
      </c>
      <c r="I1130" s="18">
        <v>0</v>
      </c>
      <c r="J1130" s="18">
        <v>0</v>
      </c>
      <c r="K1130" s="19">
        <v>0</v>
      </c>
      <c r="L1130" s="20">
        <v>0</v>
      </c>
      <c r="M1130" s="15">
        <v>0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0</v>
      </c>
      <c r="Y1130" s="15">
        <v>0</v>
      </c>
      <c r="Z1130" s="15">
        <v>0</v>
      </c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</row>
    <row r="1131" spans="1:43">
      <c r="A1131" s="15" t="s">
        <v>64</v>
      </c>
      <c r="B1131" s="15" t="s">
        <v>65</v>
      </c>
      <c r="C1131" s="15" t="s">
        <v>522</v>
      </c>
      <c r="D1131" s="15" t="s">
        <v>3067</v>
      </c>
      <c r="E1131" s="15" t="s">
        <v>3068</v>
      </c>
      <c r="F1131" s="16">
        <v>45096.6457407407</v>
      </c>
      <c r="G1131" s="15" t="s">
        <v>3068</v>
      </c>
      <c r="H1131" s="15" t="s">
        <v>54</v>
      </c>
      <c r="I1131" s="18">
        <v>1385.31</v>
      </c>
      <c r="J1131" s="18">
        <v>12</v>
      </c>
      <c r="K1131" s="19">
        <v>115.4425</v>
      </c>
      <c r="L1131" s="20">
        <v>1.64917857142857</v>
      </c>
      <c r="M1131" s="15">
        <v>0</v>
      </c>
      <c r="N1131" s="15">
        <v>0</v>
      </c>
      <c r="O1131" s="15">
        <v>177.92</v>
      </c>
      <c r="P1131" s="15">
        <v>69.57</v>
      </c>
      <c r="Q1131" s="15">
        <v>45.01</v>
      </c>
      <c r="R1131" s="15">
        <v>93.91</v>
      </c>
      <c r="S1131" s="15">
        <v>105.4</v>
      </c>
      <c r="T1131" s="15">
        <v>24.1</v>
      </c>
      <c r="U1131" s="15">
        <v>45.03</v>
      </c>
      <c r="V1131" s="15">
        <v>112.05</v>
      </c>
      <c r="W1131" s="15">
        <v>132.88</v>
      </c>
      <c r="X1131" s="15">
        <v>204.18</v>
      </c>
      <c r="Y1131" s="15">
        <v>166.16</v>
      </c>
      <c r="Z1131" s="15">
        <v>209.1</v>
      </c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</row>
    <row r="1132" spans="1:43">
      <c r="A1132" s="15" t="s">
        <v>43</v>
      </c>
      <c r="B1132" s="15" t="s">
        <v>44</v>
      </c>
      <c r="C1132" s="15" t="s">
        <v>45</v>
      </c>
      <c r="D1132" s="15" t="s">
        <v>3069</v>
      </c>
      <c r="E1132" s="15" t="s">
        <v>3070</v>
      </c>
      <c r="F1132" s="16">
        <v>42354.6178009259</v>
      </c>
      <c r="G1132" s="15" t="s">
        <v>3070</v>
      </c>
      <c r="H1132" s="15" t="s">
        <v>3071</v>
      </c>
      <c r="I1132" s="18">
        <v>0</v>
      </c>
      <c r="J1132" s="18">
        <v>0</v>
      </c>
      <c r="K1132" s="19">
        <v>0</v>
      </c>
      <c r="L1132" s="20">
        <v>0</v>
      </c>
      <c r="M1132" s="15">
        <v>0</v>
      </c>
      <c r="N1132" s="15">
        <v>0</v>
      </c>
      <c r="O1132" s="15">
        <v>0</v>
      </c>
      <c r="P1132" s="15">
        <v>0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0</v>
      </c>
      <c r="Z1132" s="15">
        <v>0</v>
      </c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</row>
    <row r="1133" spans="1:43">
      <c r="A1133" s="15" t="s">
        <v>49</v>
      </c>
      <c r="B1133" s="15" t="s">
        <v>50</v>
      </c>
      <c r="C1133" s="15" t="s">
        <v>61</v>
      </c>
      <c r="D1133" s="15" t="s">
        <v>3072</v>
      </c>
      <c r="E1133" s="15" t="s">
        <v>3073</v>
      </c>
      <c r="F1133" s="16">
        <v>0</v>
      </c>
      <c r="G1133" s="15" t="s">
        <v>3073</v>
      </c>
      <c r="H1133" s="15" t="s">
        <v>54</v>
      </c>
      <c r="I1133" s="18">
        <v>0</v>
      </c>
      <c r="J1133" s="18">
        <v>0</v>
      </c>
      <c r="K1133" s="19">
        <v>0</v>
      </c>
      <c r="L1133" s="20">
        <v>0</v>
      </c>
      <c r="M1133" s="15">
        <v>0</v>
      </c>
      <c r="N1133" s="15">
        <v>0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</row>
    <row r="1134" spans="1:43">
      <c r="A1134" s="15" t="s">
        <v>49</v>
      </c>
      <c r="B1134" s="15" t="s">
        <v>50</v>
      </c>
      <c r="C1134" s="15" t="s">
        <v>61</v>
      </c>
      <c r="D1134" s="15" t="s">
        <v>3074</v>
      </c>
      <c r="E1134" s="15" t="s">
        <v>3075</v>
      </c>
      <c r="F1134" s="16">
        <v>0</v>
      </c>
      <c r="G1134" s="15" t="s">
        <v>3075</v>
      </c>
      <c r="H1134" s="15" t="s">
        <v>54</v>
      </c>
      <c r="I1134" s="18">
        <v>0</v>
      </c>
      <c r="J1134" s="18">
        <v>0</v>
      </c>
      <c r="K1134" s="19">
        <v>0</v>
      </c>
      <c r="L1134" s="20">
        <v>0</v>
      </c>
      <c r="M1134" s="15">
        <v>0</v>
      </c>
      <c r="N1134" s="15">
        <v>0</v>
      </c>
      <c r="O1134" s="15">
        <v>0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</row>
    <row r="1135" spans="1:43">
      <c r="A1135" s="15" t="s">
        <v>49</v>
      </c>
      <c r="B1135" s="15" t="s">
        <v>50</v>
      </c>
      <c r="C1135" s="15" t="s">
        <v>61</v>
      </c>
      <c r="D1135" s="15" t="s">
        <v>3076</v>
      </c>
      <c r="E1135" s="15" t="s">
        <v>3077</v>
      </c>
      <c r="F1135" s="16">
        <v>0</v>
      </c>
      <c r="G1135" s="15" t="s">
        <v>3077</v>
      </c>
      <c r="H1135" s="15" t="s">
        <v>3078</v>
      </c>
      <c r="I1135" s="18">
        <v>0</v>
      </c>
      <c r="J1135" s="18">
        <v>0</v>
      </c>
      <c r="K1135" s="19">
        <v>0</v>
      </c>
      <c r="L1135" s="20">
        <v>0</v>
      </c>
      <c r="M1135" s="15">
        <v>0</v>
      </c>
      <c r="N1135" s="15">
        <v>0</v>
      </c>
      <c r="O1135" s="15">
        <v>0</v>
      </c>
      <c r="P1135" s="15">
        <v>0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</row>
    <row r="1136" spans="1:43">
      <c r="A1136" s="15" t="s">
        <v>43</v>
      </c>
      <c r="B1136" s="15" t="s">
        <v>44</v>
      </c>
      <c r="C1136" s="15" t="s">
        <v>45</v>
      </c>
      <c r="D1136" s="15" t="s">
        <v>3079</v>
      </c>
      <c r="E1136" s="15" t="s">
        <v>1279</v>
      </c>
      <c r="F1136" s="16">
        <v>40486.6963541667</v>
      </c>
      <c r="G1136" s="15" t="s">
        <v>1279</v>
      </c>
      <c r="H1136" s="15" t="s">
        <v>3080</v>
      </c>
      <c r="I1136" s="18">
        <v>0</v>
      </c>
      <c r="J1136" s="18">
        <v>0</v>
      </c>
      <c r="K1136" s="19">
        <v>0</v>
      </c>
      <c r="L1136" s="20">
        <v>0</v>
      </c>
      <c r="M1136" s="15">
        <v>0</v>
      </c>
      <c r="N1136" s="15">
        <v>0</v>
      </c>
      <c r="O1136" s="15">
        <v>0</v>
      </c>
      <c r="P1136" s="15">
        <v>0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</row>
    <row r="1137" spans="1:43">
      <c r="A1137" s="15" t="s">
        <v>43</v>
      </c>
      <c r="B1137" s="15" t="s">
        <v>44</v>
      </c>
      <c r="C1137" s="15" t="s">
        <v>45</v>
      </c>
      <c r="D1137" s="15" t="s">
        <v>3081</v>
      </c>
      <c r="E1137" s="15" t="s">
        <v>3082</v>
      </c>
      <c r="F1137" s="16">
        <v>41582.6101967593</v>
      </c>
      <c r="G1137" s="15" t="s">
        <v>3082</v>
      </c>
      <c r="H1137" s="15" t="s">
        <v>3083</v>
      </c>
      <c r="I1137" s="18">
        <v>0</v>
      </c>
      <c r="J1137" s="18">
        <v>0</v>
      </c>
      <c r="K1137" s="19">
        <v>0</v>
      </c>
      <c r="L1137" s="20">
        <v>0</v>
      </c>
      <c r="M1137" s="15">
        <v>0</v>
      </c>
      <c r="N1137" s="15">
        <v>0</v>
      </c>
      <c r="O1137" s="15">
        <v>0</v>
      </c>
      <c r="P1137" s="15">
        <v>0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</row>
    <row r="1138" spans="1:43">
      <c r="A1138" s="15" t="s">
        <v>49</v>
      </c>
      <c r="B1138" s="15" t="s">
        <v>50</v>
      </c>
      <c r="C1138" s="15" t="s">
        <v>61</v>
      </c>
      <c r="D1138" s="15" t="s">
        <v>3084</v>
      </c>
      <c r="E1138" s="15" t="s">
        <v>3085</v>
      </c>
      <c r="F1138" s="16">
        <v>0</v>
      </c>
      <c r="G1138" s="15" t="s">
        <v>3085</v>
      </c>
      <c r="H1138" s="15" t="s">
        <v>54</v>
      </c>
      <c r="I1138" s="18">
        <v>0</v>
      </c>
      <c r="J1138" s="18">
        <v>0</v>
      </c>
      <c r="K1138" s="19">
        <v>0</v>
      </c>
      <c r="L1138" s="20">
        <v>0</v>
      </c>
      <c r="M1138" s="15">
        <v>0</v>
      </c>
      <c r="N1138" s="15">
        <v>0</v>
      </c>
      <c r="O1138" s="15">
        <v>0</v>
      </c>
      <c r="P1138" s="15">
        <v>0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</row>
    <row r="1139" spans="1:43">
      <c r="A1139" s="15" t="s">
        <v>49</v>
      </c>
      <c r="B1139" s="15" t="s">
        <v>50</v>
      </c>
      <c r="C1139" s="15" t="s">
        <v>61</v>
      </c>
      <c r="D1139" s="15" t="s">
        <v>3086</v>
      </c>
      <c r="E1139" s="15" t="s">
        <v>3087</v>
      </c>
      <c r="F1139" s="16">
        <v>0</v>
      </c>
      <c r="G1139" s="15" t="s">
        <v>3087</v>
      </c>
      <c r="H1139" s="15" t="s">
        <v>54</v>
      </c>
      <c r="I1139" s="18">
        <v>0</v>
      </c>
      <c r="J1139" s="18">
        <v>0</v>
      </c>
      <c r="K1139" s="19">
        <v>0</v>
      </c>
      <c r="L1139" s="20">
        <v>0</v>
      </c>
      <c r="M1139" s="15">
        <v>0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</row>
    <row r="1140" spans="1:43">
      <c r="A1140" s="15" t="s">
        <v>43</v>
      </c>
      <c r="B1140" s="15" t="s">
        <v>44</v>
      </c>
      <c r="C1140" s="15" t="s">
        <v>45</v>
      </c>
      <c r="D1140" s="15" t="s">
        <v>3088</v>
      </c>
      <c r="E1140" s="15" t="s">
        <v>3089</v>
      </c>
      <c r="F1140" s="16">
        <v>43916.679537037</v>
      </c>
      <c r="G1140" s="15" t="s">
        <v>3089</v>
      </c>
      <c r="H1140" s="15" t="s">
        <v>3090</v>
      </c>
      <c r="I1140" s="18">
        <v>0</v>
      </c>
      <c r="J1140" s="18">
        <v>0</v>
      </c>
      <c r="K1140" s="19">
        <v>0</v>
      </c>
      <c r="L1140" s="20">
        <v>0</v>
      </c>
      <c r="M1140" s="15">
        <v>0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</row>
    <row r="1141" spans="1:43">
      <c r="A1141" s="15" t="s">
        <v>49</v>
      </c>
      <c r="B1141" s="15" t="s">
        <v>50</v>
      </c>
      <c r="C1141" s="15" t="s">
        <v>61</v>
      </c>
      <c r="D1141" s="15" t="s">
        <v>3091</v>
      </c>
      <c r="E1141" s="15" t="s">
        <v>3092</v>
      </c>
      <c r="F1141" s="16">
        <v>0</v>
      </c>
      <c r="G1141" s="15" t="s">
        <v>3092</v>
      </c>
      <c r="H1141" s="15" t="s">
        <v>54</v>
      </c>
      <c r="I1141" s="18">
        <v>0</v>
      </c>
      <c r="J1141" s="18">
        <v>0</v>
      </c>
      <c r="K1141" s="19">
        <v>0</v>
      </c>
      <c r="L1141" s="20">
        <v>0</v>
      </c>
      <c r="M1141" s="15">
        <v>0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</row>
    <row r="1142" spans="1:43">
      <c r="A1142" s="15" t="s">
        <v>43</v>
      </c>
      <c r="B1142" s="15" t="s">
        <v>44</v>
      </c>
      <c r="C1142" s="15" t="s">
        <v>45</v>
      </c>
      <c r="D1142" s="15" t="s">
        <v>3093</v>
      </c>
      <c r="E1142" s="15" t="s">
        <v>3094</v>
      </c>
      <c r="F1142" s="16">
        <v>43007.4402546296</v>
      </c>
      <c r="G1142" s="15" t="s">
        <v>3094</v>
      </c>
      <c r="H1142" s="15" t="s">
        <v>3095</v>
      </c>
      <c r="I1142" s="15">
        <v>0</v>
      </c>
      <c r="J1142" s="15">
        <v>0</v>
      </c>
      <c r="K1142" s="15">
        <v>0</v>
      </c>
      <c r="L1142" s="20">
        <v>0</v>
      </c>
      <c r="M1142" s="15">
        <v>0</v>
      </c>
      <c r="N1142" s="15">
        <v>0</v>
      </c>
      <c r="O1142" s="15">
        <v>0</v>
      </c>
      <c r="P1142" s="15">
        <v>0</v>
      </c>
      <c r="Q1142" s="15">
        <v>0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0</v>
      </c>
      <c r="X1142" s="15">
        <v>0</v>
      </c>
      <c r="Y1142" s="15">
        <v>0</v>
      </c>
      <c r="Z1142" s="15">
        <v>0</v>
      </c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</row>
    <row r="1143" spans="1:43">
      <c r="A1143" s="15" t="s">
        <v>43</v>
      </c>
      <c r="B1143" s="15" t="s">
        <v>44</v>
      </c>
      <c r="C1143" s="15" t="s">
        <v>45</v>
      </c>
      <c r="D1143" s="15" t="s">
        <v>3096</v>
      </c>
      <c r="E1143" s="15" t="s">
        <v>3097</v>
      </c>
      <c r="F1143" s="16">
        <v>43136.468125</v>
      </c>
      <c r="G1143" s="15" t="s">
        <v>3097</v>
      </c>
      <c r="H1143" s="15" t="s">
        <v>3098</v>
      </c>
      <c r="I1143" s="15">
        <v>0</v>
      </c>
      <c r="J1143" s="15">
        <v>0</v>
      </c>
      <c r="K1143" s="15">
        <v>0</v>
      </c>
      <c r="L1143" s="20">
        <v>0</v>
      </c>
      <c r="M1143" s="15">
        <v>0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0</v>
      </c>
      <c r="X1143" s="15">
        <v>0</v>
      </c>
      <c r="Y1143" s="15">
        <v>0</v>
      </c>
      <c r="Z1143" s="15">
        <v>0</v>
      </c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</row>
    <row r="1144" spans="1:43">
      <c r="A1144" s="15" t="s">
        <v>64</v>
      </c>
      <c r="B1144" s="15" t="s">
        <v>65</v>
      </c>
      <c r="C1144" s="15" t="s">
        <v>522</v>
      </c>
      <c r="D1144" s="15" t="s">
        <v>3099</v>
      </c>
      <c r="E1144" s="15" t="s">
        <v>3100</v>
      </c>
      <c r="F1144" s="16">
        <v>45138.6330439815</v>
      </c>
      <c r="G1144" s="15" t="s">
        <v>3100</v>
      </c>
      <c r="H1144" s="15" t="s">
        <v>3101</v>
      </c>
      <c r="I1144" s="15">
        <v>162.73</v>
      </c>
      <c r="J1144" s="15">
        <v>12</v>
      </c>
      <c r="K1144" s="15">
        <v>13.5608333333333</v>
      </c>
      <c r="L1144" s="20">
        <v>0.19372619047619</v>
      </c>
      <c r="M1144" s="15">
        <v>0</v>
      </c>
      <c r="N1144" s="15">
        <v>0</v>
      </c>
      <c r="O1144" s="15">
        <v>13.23</v>
      </c>
      <c r="P1144" s="15">
        <v>11.12</v>
      </c>
      <c r="Q1144" s="15">
        <v>8.38</v>
      </c>
      <c r="R1144" s="15">
        <v>12.06</v>
      </c>
      <c r="S1144" s="15">
        <v>27.32</v>
      </c>
      <c r="T1144" s="15">
        <v>20.16</v>
      </c>
      <c r="U1144" s="15">
        <v>24.26</v>
      </c>
      <c r="V1144" s="15">
        <v>5.45</v>
      </c>
      <c r="W1144" s="15">
        <v>12.25</v>
      </c>
      <c r="X1144" s="15">
        <v>6.11</v>
      </c>
      <c r="Y1144" s="15">
        <v>3.13</v>
      </c>
      <c r="Z1144" s="15">
        <v>19.26</v>
      </c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</row>
    <row r="1145" spans="1:43">
      <c r="A1145" s="15" t="s">
        <v>49</v>
      </c>
      <c r="B1145" s="15" t="s">
        <v>50</v>
      </c>
      <c r="C1145" s="15" t="s">
        <v>61</v>
      </c>
      <c r="D1145" s="15" t="s">
        <v>3102</v>
      </c>
      <c r="E1145" s="15" t="s">
        <v>3103</v>
      </c>
      <c r="F1145" s="16">
        <v>0</v>
      </c>
      <c r="G1145" s="15" t="s">
        <v>3103</v>
      </c>
      <c r="H1145" s="15" t="s">
        <v>3104</v>
      </c>
      <c r="I1145" s="15">
        <v>0</v>
      </c>
      <c r="J1145" s="15">
        <v>0</v>
      </c>
      <c r="K1145" s="15">
        <v>0</v>
      </c>
      <c r="L1145" s="20">
        <v>0</v>
      </c>
      <c r="M1145" s="15">
        <v>0</v>
      </c>
      <c r="N1145" s="15">
        <v>0</v>
      </c>
      <c r="O1145" s="15">
        <v>0</v>
      </c>
      <c r="P1145" s="15">
        <v>0</v>
      </c>
      <c r="Q1145" s="15">
        <v>0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0</v>
      </c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</row>
    <row r="1146" spans="1:43">
      <c r="A1146" s="15" t="s">
        <v>43</v>
      </c>
      <c r="B1146" s="15" t="s">
        <v>44</v>
      </c>
      <c r="C1146" s="15" t="s">
        <v>45</v>
      </c>
      <c r="D1146" s="15" t="s">
        <v>3105</v>
      </c>
      <c r="E1146" s="15" t="s">
        <v>3106</v>
      </c>
      <c r="F1146" s="16">
        <v>44761.4596064815</v>
      </c>
      <c r="G1146" s="15" t="s">
        <v>3106</v>
      </c>
      <c r="H1146" s="15" t="s">
        <v>54</v>
      </c>
      <c r="I1146" s="15">
        <v>0</v>
      </c>
      <c r="J1146" s="15">
        <v>0</v>
      </c>
      <c r="K1146" s="15">
        <v>0</v>
      </c>
      <c r="L1146" s="20">
        <v>0</v>
      </c>
      <c r="M1146" s="15">
        <v>0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0</v>
      </c>
      <c r="Z1146" s="15">
        <v>0</v>
      </c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</row>
    <row r="1147" spans="1:43">
      <c r="A1147" s="15" t="s">
        <v>49</v>
      </c>
      <c r="B1147" s="15" t="s">
        <v>50</v>
      </c>
      <c r="C1147" s="15" t="s">
        <v>61</v>
      </c>
      <c r="D1147" s="15" t="s">
        <v>3107</v>
      </c>
      <c r="E1147" s="15" t="s">
        <v>3108</v>
      </c>
      <c r="F1147" s="16">
        <v>0</v>
      </c>
      <c r="G1147" s="15" t="s">
        <v>3108</v>
      </c>
      <c r="H1147" s="15" t="s">
        <v>3109</v>
      </c>
      <c r="I1147" s="15">
        <v>0</v>
      </c>
      <c r="J1147" s="15">
        <v>0</v>
      </c>
      <c r="K1147" s="15">
        <v>0</v>
      </c>
      <c r="L1147" s="20">
        <v>0</v>
      </c>
      <c r="M1147" s="15">
        <v>0</v>
      </c>
      <c r="N1147" s="15">
        <v>0</v>
      </c>
      <c r="O1147" s="15">
        <v>0</v>
      </c>
      <c r="P1147" s="15">
        <v>0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</row>
    <row r="1148" spans="1:43">
      <c r="A1148" s="15" t="s">
        <v>49</v>
      </c>
      <c r="B1148" s="15" t="s">
        <v>50</v>
      </c>
      <c r="C1148" s="15" t="s">
        <v>61</v>
      </c>
      <c r="D1148" s="15" t="s">
        <v>3110</v>
      </c>
      <c r="E1148" s="15" t="s">
        <v>3111</v>
      </c>
      <c r="F1148" s="16">
        <v>0</v>
      </c>
      <c r="G1148" s="15" t="s">
        <v>3111</v>
      </c>
      <c r="H1148" s="15" t="s">
        <v>54</v>
      </c>
      <c r="I1148" s="15">
        <v>0</v>
      </c>
      <c r="J1148" s="15">
        <v>0</v>
      </c>
      <c r="K1148" s="15">
        <v>0</v>
      </c>
      <c r="L1148" s="20">
        <v>0</v>
      </c>
      <c r="M1148" s="15">
        <v>0</v>
      </c>
      <c r="N1148" s="15">
        <v>0</v>
      </c>
      <c r="O1148" s="15">
        <v>0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</row>
    <row r="1149" spans="1:43">
      <c r="A1149" s="15" t="s">
        <v>64</v>
      </c>
      <c r="B1149" s="15" t="s">
        <v>118</v>
      </c>
      <c r="C1149" s="15" t="s">
        <v>119</v>
      </c>
      <c r="D1149" s="15" t="s">
        <v>3112</v>
      </c>
      <c r="E1149" s="15" t="s">
        <v>3113</v>
      </c>
      <c r="F1149" s="16">
        <v>44972.4239351852</v>
      </c>
      <c r="G1149" s="15" t="s">
        <v>3113</v>
      </c>
      <c r="H1149" s="15" t="s">
        <v>54</v>
      </c>
      <c r="I1149" s="15">
        <v>851.27</v>
      </c>
      <c r="J1149" s="15">
        <v>12</v>
      </c>
      <c r="K1149" s="15">
        <v>70.9391666666667</v>
      </c>
      <c r="L1149" s="20">
        <v>1.01341666666667</v>
      </c>
      <c r="M1149" s="15">
        <v>0</v>
      </c>
      <c r="N1149" s="15">
        <v>4.88</v>
      </c>
      <c r="O1149" s="15">
        <v>4</v>
      </c>
      <c r="P1149" s="15">
        <v>45.56</v>
      </c>
      <c r="Q1149" s="15">
        <v>81.71</v>
      </c>
      <c r="R1149" s="15">
        <v>86.17</v>
      </c>
      <c r="S1149" s="15">
        <v>127.79</v>
      </c>
      <c r="T1149" s="15">
        <v>96.11</v>
      </c>
      <c r="U1149" s="15">
        <v>47.7</v>
      </c>
      <c r="V1149" s="15">
        <v>25.51</v>
      </c>
      <c r="W1149" s="15">
        <v>112.11</v>
      </c>
      <c r="X1149" s="15">
        <v>18.79</v>
      </c>
      <c r="Y1149" s="15">
        <v>0</v>
      </c>
      <c r="Z1149" s="15">
        <v>200.94</v>
      </c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</row>
    <row r="1150" spans="1:43">
      <c r="A1150" s="15" t="s">
        <v>43</v>
      </c>
      <c r="B1150" s="15" t="s">
        <v>44</v>
      </c>
      <c r="C1150" s="15" t="s">
        <v>45</v>
      </c>
      <c r="D1150" s="15" t="s">
        <v>3114</v>
      </c>
      <c r="E1150" s="15" t="s">
        <v>3115</v>
      </c>
      <c r="F1150" s="16">
        <v>42443.6099652778</v>
      </c>
      <c r="G1150" s="15" t="s">
        <v>3115</v>
      </c>
      <c r="H1150" s="15" t="s">
        <v>3116</v>
      </c>
      <c r="I1150" s="15">
        <v>0</v>
      </c>
      <c r="J1150" s="15">
        <v>0</v>
      </c>
      <c r="K1150" s="15">
        <v>0</v>
      </c>
      <c r="L1150" s="20">
        <v>0</v>
      </c>
      <c r="M1150" s="15">
        <v>0</v>
      </c>
      <c r="N1150" s="15">
        <v>0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</row>
    <row r="1151" spans="1:43">
      <c r="A1151" s="15" t="s">
        <v>43</v>
      </c>
      <c r="B1151" s="15" t="s">
        <v>44</v>
      </c>
      <c r="C1151" s="15" t="s">
        <v>45</v>
      </c>
      <c r="D1151" s="15" t="s">
        <v>3117</v>
      </c>
      <c r="E1151" s="15" t="s">
        <v>3118</v>
      </c>
      <c r="F1151" s="16">
        <v>43083.6718055555</v>
      </c>
      <c r="G1151" s="15" t="s">
        <v>3118</v>
      </c>
      <c r="H1151" s="15" t="s">
        <v>3119</v>
      </c>
      <c r="I1151" s="15">
        <v>0</v>
      </c>
      <c r="J1151" s="15">
        <v>0</v>
      </c>
      <c r="K1151" s="15">
        <v>0</v>
      </c>
      <c r="L1151" s="20">
        <v>0</v>
      </c>
      <c r="M1151" s="15">
        <v>0</v>
      </c>
      <c r="N1151" s="15">
        <v>0</v>
      </c>
      <c r="O1151" s="15">
        <v>0</v>
      </c>
      <c r="P1151" s="15">
        <v>0</v>
      </c>
      <c r="Q1151" s="15">
        <v>0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</row>
    <row r="1152" spans="1:43">
      <c r="A1152" s="15" t="s">
        <v>43</v>
      </c>
      <c r="B1152" s="15" t="s">
        <v>44</v>
      </c>
      <c r="C1152" s="15" t="s">
        <v>45</v>
      </c>
      <c r="D1152" s="15" t="s">
        <v>3120</v>
      </c>
      <c r="E1152" s="15" t="s">
        <v>3121</v>
      </c>
      <c r="F1152" s="16">
        <v>42139.404849537</v>
      </c>
      <c r="G1152" s="15" t="s">
        <v>3121</v>
      </c>
      <c r="H1152" s="15" t="s">
        <v>3122</v>
      </c>
      <c r="I1152" s="15">
        <v>0</v>
      </c>
      <c r="J1152" s="15">
        <v>0</v>
      </c>
      <c r="K1152" s="15">
        <v>0</v>
      </c>
      <c r="L1152" s="20">
        <v>0</v>
      </c>
      <c r="M1152" s="15">
        <v>0</v>
      </c>
      <c r="N1152" s="15">
        <v>0</v>
      </c>
      <c r="O1152" s="15">
        <v>0</v>
      </c>
      <c r="P1152" s="15">
        <v>0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0</v>
      </c>
      <c r="Y1152" s="15">
        <v>0</v>
      </c>
      <c r="Z1152" s="15">
        <v>0</v>
      </c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</row>
    <row r="1153" spans="1:43">
      <c r="A1153" s="15" t="s">
        <v>43</v>
      </c>
      <c r="B1153" s="15" t="s">
        <v>44</v>
      </c>
      <c r="C1153" s="15" t="s">
        <v>45</v>
      </c>
      <c r="D1153" s="15" t="s">
        <v>3123</v>
      </c>
      <c r="E1153" s="15" t="s">
        <v>3124</v>
      </c>
      <c r="F1153" s="16">
        <v>41267.7126157407</v>
      </c>
      <c r="G1153" s="15" t="s">
        <v>3124</v>
      </c>
      <c r="H1153" s="15" t="s">
        <v>3125</v>
      </c>
      <c r="I1153" s="15">
        <v>0</v>
      </c>
      <c r="J1153" s="15">
        <v>0</v>
      </c>
      <c r="K1153" s="15">
        <v>0</v>
      </c>
      <c r="L1153" s="20">
        <v>0</v>
      </c>
      <c r="M1153" s="15">
        <v>0</v>
      </c>
      <c r="N1153" s="15">
        <v>0</v>
      </c>
      <c r="O1153" s="15">
        <v>0</v>
      </c>
      <c r="P1153" s="15">
        <v>0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</row>
    <row r="1154" spans="1:43">
      <c r="A1154" s="15" t="s">
        <v>49</v>
      </c>
      <c r="B1154" s="15" t="s">
        <v>50</v>
      </c>
      <c r="C1154" s="15" t="s">
        <v>75</v>
      </c>
      <c r="D1154" s="15" t="s">
        <v>3126</v>
      </c>
      <c r="E1154" s="15" t="s">
        <v>3127</v>
      </c>
      <c r="F1154" s="16">
        <v>44986.7215277778</v>
      </c>
      <c r="G1154" s="15" t="s">
        <v>3127</v>
      </c>
      <c r="H1154" s="15" t="s">
        <v>54</v>
      </c>
      <c r="I1154" s="15">
        <v>0</v>
      </c>
      <c r="J1154" s="15">
        <v>0</v>
      </c>
      <c r="K1154" s="15">
        <v>0</v>
      </c>
      <c r="L1154" s="20">
        <v>0</v>
      </c>
      <c r="M1154" s="15">
        <v>0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</row>
    <row r="1155" spans="1:43">
      <c r="A1155" s="15" t="s">
        <v>49</v>
      </c>
      <c r="B1155" s="15" t="s">
        <v>50</v>
      </c>
      <c r="C1155" s="15" t="s">
        <v>61</v>
      </c>
      <c r="D1155" s="15" t="s">
        <v>3128</v>
      </c>
      <c r="E1155" s="15" t="s">
        <v>3129</v>
      </c>
      <c r="F1155" s="16">
        <v>0</v>
      </c>
      <c r="G1155" s="15" t="s">
        <v>3129</v>
      </c>
      <c r="H1155" s="15" t="s">
        <v>54</v>
      </c>
      <c r="I1155" s="15">
        <v>0</v>
      </c>
      <c r="J1155" s="15">
        <v>0</v>
      </c>
      <c r="K1155" s="15">
        <v>0</v>
      </c>
      <c r="L1155" s="20">
        <v>0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0</v>
      </c>
      <c r="T1155" s="15">
        <v>0</v>
      </c>
      <c r="U1155" s="15">
        <v>0</v>
      </c>
      <c r="V1155" s="15">
        <v>0</v>
      </c>
      <c r="W1155" s="15">
        <v>0</v>
      </c>
      <c r="X1155" s="15">
        <v>0</v>
      </c>
      <c r="Y1155" s="15">
        <v>0</v>
      </c>
      <c r="Z1155" s="15">
        <v>0</v>
      </c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</row>
    <row r="1156" spans="1:43">
      <c r="A1156" s="15" t="s">
        <v>43</v>
      </c>
      <c r="B1156" s="15" t="s">
        <v>44</v>
      </c>
      <c r="C1156" s="15" t="s">
        <v>45</v>
      </c>
      <c r="D1156" s="15" t="s">
        <v>3130</v>
      </c>
      <c r="E1156" s="15" t="s">
        <v>3131</v>
      </c>
      <c r="F1156" s="16">
        <v>40966.4324652778</v>
      </c>
      <c r="G1156" s="15" t="s">
        <v>3131</v>
      </c>
      <c r="H1156" s="15" t="s">
        <v>3132</v>
      </c>
      <c r="I1156" s="15">
        <v>0</v>
      </c>
      <c r="J1156" s="15">
        <v>0</v>
      </c>
      <c r="K1156" s="15">
        <v>0</v>
      </c>
      <c r="L1156" s="20">
        <v>0</v>
      </c>
      <c r="M1156" s="15">
        <v>0</v>
      </c>
      <c r="N1156" s="15">
        <v>0</v>
      </c>
      <c r="O1156" s="15">
        <v>0</v>
      </c>
      <c r="P1156" s="15">
        <v>0</v>
      </c>
      <c r="Q1156" s="15">
        <v>0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0</v>
      </c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</row>
    <row r="1157" spans="1:43">
      <c r="A1157" s="15" t="s">
        <v>49</v>
      </c>
      <c r="B1157" s="15" t="s">
        <v>50</v>
      </c>
      <c r="C1157" s="15" t="s">
        <v>61</v>
      </c>
      <c r="D1157" s="15" t="s">
        <v>3133</v>
      </c>
      <c r="E1157" s="15" t="s">
        <v>864</v>
      </c>
      <c r="F1157" s="16">
        <v>0</v>
      </c>
      <c r="G1157" s="15" t="s">
        <v>864</v>
      </c>
      <c r="H1157" s="15" t="s">
        <v>865</v>
      </c>
      <c r="I1157" s="15">
        <v>0</v>
      </c>
      <c r="J1157" s="15">
        <v>0</v>
      </c>
      <c r="K1157" s="15">
        <v>0</v>
      </c>
      <c r="L1157" s="20">
        <v>0</v>
      </c>
      <c r="M1157" s="15">
        <v>0</v>
      </c>
      <c r="N1157" s="15">
        <v>0</v>
      </c>
      <c r="O1157" s="15">
        <v>0</v>
      </c>
      <c r="P1157" s="15">
        <v>0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0</v>
      </c>
      <c r="X1157" s="15">
        <v>0</v>
      </c>
      <c r="Y1157" s="15">
        <v>0</v>
      </c>
      <c r="Z1157" s="15">
        <v>0</v>
      </c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</row>
    <row r="1158" spans="1:43">
      <c r="A1158" s="15" t="s">
        <v>43</v>
      </c>
      <c r="B1158" s="15" t="s">
        <v>44</v>
      </c>
      <c r="C1158" s="15" t="s">
        <v>45</v>
      </c>
      <c r="D1158" s="15" t="s">
        <v>3134</v>
      </c>
      <c r="E1158" s="15" t="s">
        <v>3135</v>
      </c>
      <c r="F1158" s="16">
        <v>40505.4847800926</v>
      </c>
      <c r="G1158" s="15" t="s">
        <v>3135</v>
      </c>
      <c r="H1158" s="15" t="s">
        <v>3136</v>
      </c>
      <c r="I1158" s="15">
        <v>0</v>
      </c>
      <c r="J1158" s="15">
        <v>0</v>
      </c>
      <c r="K1158" s="15">
        <v>0</v>
      </c>
      <c r="L1158" s="20">
        <v>0</v>
      </c>
      <c r="M1158" s="15">
        <v>0</v>
      </c>
      <c r="N1158" s="15">
        <v>0</v>
      </c>
      <c r="O1158" s="15">
        <v>0</v>
      </c>
      <c r="P1158" s="15">
        <v>0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</row>
    <row r="1159" spans="1:43">
      <c r="A1159" s="15" t="s">
        <v>43</v>
      </c>
      <c r="B1159" s="15" t="s">
        <v>44</v>
      </c>
      <c r="C1159" s="15" t="s">
        <v>45</v>
      </c>
      <c r="D1159" s="15" t="s">
        <v>3137</v>
      </c>
      <c r="E1159" s="15" t="s">
        <v>3138</v>
      </c>
      <c r="F1159" s="16">
        <v>43922.6982407407</v>
      </c>
      <c r="G1159" s="15" t="s">
        <v>3138</v>
      </c>
      <c r="H1159" s="15" t="s">
        <v>3139</v>
      </c>
      <c r="I1159" s="15">
        <v>0</v>
      </c>
      <c r="J1159" s="15">
        <v>0</v>
      </c>
      <c r="K1159" s="15">
        <v>0</v>
      </c>
      <c r="L1159" s="20">
        <v>0</v>
      </c>
      <c r="M1159" s="15">
        <v>0</v>
      </c>
      <c r="N1159" s="15">
        <v>0</v>
      </c>
      <c r="O1159" s="15">
        <v>0</v>
      </c>
      <c r="P1159" s="15">
        <v>0</v>
      </c>
      <c r="Q1159" s="15">
        <v>0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</row>
    <row r="1160" spans="1:43">
      <c r="A1160" s="15" t="s">
        <v>64</v>
      </c>
      <c r="B1160" s="15" t="s">
        <v>65</v>
      </c>
      <c r="C1160" s="15" t="s">
        <v>66</v>
      </c>
      <c r="D1160" s="15" t="s">
        <v>3140</v>
      </c>
      <c r="E1160" s="15" t="s">
        <v>3141</v>
      </c>
      <c r="F1160" s="16">
        <v>45121.7107291667</v>
      </c>
      <c r="G1160" s="15" t="s">
        <v>3141</v>
      </c>
      <c r="H1160" s="15" t="s">
        <v>54</v>
      </c>
      <c r="I1160" s="15">
        <v>718.9</v>
      </c>
      <c r="J1160" s="15">
        <v>14</v>
      </c>
      <c r="K1160" s="15">
        <v>51.35</v>
      </c>
      <c r="L1160" s="20">
        <v>0.733571428571429</v>
      </c>
      <c r="M1160" s="15">
        <v>7.01</v>
      </c>
      <c r="N1160" s="15">
        <v>28.61</v>
      </c>
      <c r="O1160" s="15">
        <v>12.74</v>
      </c>
      <c r="P1160" s="15">
        <v>29.85</v>
      </c>
      <c r="Q1160" s="15">
        <v>78.76</v>
      </c>
      <c r="R1160" s="15">
        <v>42.27</v>
      </c>
      <c r="S1160" s="15">
        <v>48.83</v>
      </c>
      <c r="T1160" s="15">
        <v>51.36</v>
      </c>
      <c r="U1160" s="15">
        <v>51.24</v>
      </c>
      <c r="V1160" s="15">
        <v>60.65</v>
      </c>
      <c r="W1160" s="15">
        <v>71.66</v>
      </c>
      <c r="X1160" s="15">
        <v>80.03</v>
      </c>
      <c r="Y1160" s="15">
        <v>50.42</v>
      </c>
      <c r="Z1160" s="15">
        <v>105.47</v>
      </c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</row>
    <row r="1161" spans="1:43">
      <c r="A1161" s="15" t="s">
        <v>43</v>
      </c>
      <c r="B1161" s="15" t="s">
        <v>44</v>
      </c>
      <c r="C1161" s="15" t="s">
        <v>45</v>
      </c>
      <c r="D1161" s="15" t="s">
        <v>3142</v>
      </c>
      <c r="E1161" s="15" t="s">
        <v>3143</v>
      </c>
      <c r="F1161" s="16">
        <v>41179.6527662037</v>
      </c>
      <c r="G1161" s="15" t="s">
        <v>3143</v>
      </c>
      <c r="H1161" s="15" t="s">
        <v>3144</v>
      </c>
      <c r="I1161" s="15">
        <v>0</v>
      </c>
      <c r="J1161" s="15">
        <v>0</v>
      </c>
      <c r="K1161" s="15">
        <v>0</v>
      </c>
      <c r="L1161" s="20">
        <v>0</v>
      </c>
      <c r="M1161" s="15">
        <v>0</v>
      </c>
      <c r="N1161" s="15">
        <v>0</v>
      </c>
      <c r="O1161" s="15">
        <v>0</v>
      </c>
      <c r="P1161" s="15">
        <v>0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</row>
    <row r="1162" spans="1:43">
      <c r="A1162" s="15" t="s">
        <v>49</v>
      </c>
      <c r="B1162" s="15" t="s">
        <v>50</v>
      </c>
      <c r="C1162" s="15" t="s">
        <v>301</v>
      </c>
      <c r="D1162" s="15" t="s">
        <v>3145</v>
      </c>
      <c r="E1162" s="15" t="s">
        <v>3146</v>
      </c>
      <c r="F1162" s="16">
        <v>44734.4771875</v>
      </c>
      <c r="G1162" s="15" t="s">
        <v>3146</v>
      </c>
      <c r="H1162" s="15" t="s">
        <v>54</v>
      </c>
      <c r="I1162" s="15">
        <v>0</v>
      </c>
      <c r="J1162" s="15">
        <v>0</v>
      </c>
      <c r="K1162" s="15">
        <v>0</v>
      </c>
      <c r="L1162" s="20">
        <v>0</v>
      </c>
      <c r="M1162" s="15">
        <v>0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0</v>
      </c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</row>
    <row r="1163" spans="1:43">
      <c r="A1163" s="15" t="s">
        <v>49</v>
      </c>
      <c r="B1163" s="15" t="s">
        <v>50</v>
      </c>
      <c r="C1163" s="15" t="s">
        <v>1300</v>
      </c>
      <c r="D1163" s="15" t="s">
        <v>3147</v>
      </c>
      <c r="E1163" s="15" t="s">
        <v>1302</v>
      </c>
      <c r="F1163" s="16">
        <v>45071.7294560185</v>
      </c>
      <c r="G1163" s="15" t="s">
        <v>1302</v>
      </c>
      <c r="H1163" s="15" t="s">
        <v>54</v>
      </c>
      <c r="I1163" s="15">
        <v>0</v>
      </c>
      <c r="J1163" s="15">
        <v>0</v>
      </c>
      <c r="K1163" s="15">
        <v>0</v>
      </c>
      <c r="L1163" s="20">
        <v>0</v>
      </c>
      <c r="M1163" s="15">
        <v>0</v>
      </c>
      <c r="N1163" s="15">
        <v>0</v>
      </c>
      <c r="O1163" s="15">
        <v>0</v>
      </c>
      <c r="P1163" s="15">
        <v>0</v>
      </c>
      <c r="Q1163" s="15">
        <v>0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</row>
    <row r="1164" spans="1:43">
      <c r="A1164" s="15" t="s">
        <v>43</v>
      </c>
      <c r="B1164" s="15" t="s">
        <v>44</v>
      </c>
      <c r="C1164" s="15" t="s">
        <v>45</v>
      </c>
      <c r="D1164" s="15" t="s">
        <v>3148</v>
      </c>
      <c r="E1164" s="15" t="s">
        <v>3149</v>
      </c>
      <c r="F1164" s="16">
        <v>43518.6711921296</v>
      </c>
      <c r="G1164" s="15" t="s">
        <v>3149</v>
      </c>
      <c r="H1164" s="15" t="s">
        <v>3150</v>
      </c>
      <c r="I1164" s="15">
        <v>0</v>
      </c>
      <c r="J1164" s="15">
        <v>0</v>
      </c>
      <c r="K1164" s="15">
        <v>0</v>
      </c>
      <c r="L1164" s="20">
        <v>0</v>
      </c>
      <c r="M1164" s="15">
        <v>0</v>
      </c>
      <c r="N1164" s="15">
        <v>0</v>
      </c>
      <c r="O1164" s="15">
        <v>0</v>
      </c>
      <c r="P1164" s="15">
        <v>0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0</v>
      </c>
      <c r="X1164" s="15">
        <v>0</v>
      </c>
      <c r="Y1164" s="15">
        <v>0</v>
      </c>
      <c r="Z1164" s="15">
        <v>0</v>
      </c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</row>
    <row r="1165" spans="1:43">
      <c r="A1165" s="15" t="s">
        <v>49</v>
      </c>
      <c r="B1165" s="15" t="s">
        <v>50</v>
      </c>
      <c r="C1165" s="15" t="s">
        <v>61</v>
      </c>
      <c r="D1165" s="15" t="s">
        <v>3151</v>
      </c>
      <c r="E1165" s="15" t="s">
        <v>3152</v>
      </c>
      <c r="F1165" s="16">
        <v>0</v>
      </c>
      <c r="G1165" s="15" t="s">
        <v>3152</v>
      </c>
      <c r="H1165" s="15" t="s">
        <v>3153</v>
      </c>
      <c r="I1165" s="15">
        <v>0</v>
      </c>
      <c r="J1165" s="15">
        <v>0</v>
      </c>
      <c r="K1165" s="15">
        <v>0</v>
      </c>
      <c r="L1165" s="20">
        <v>0</v>
      </c>
      <c r="M1165" s="15">
        <v>0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</row>
    <row r="1166" spans="1:43">
      <c r="A1166" s="15" t="s">
        <v>43</v>
      </c>
      <c r="B1166" s="15" t="s">
        <v>44</v>
      </c>
      <c r="C1166" s="15" t="s">
        <v>45</v>
      </c>
      <c r="D1166" s="15" t="s">
        <v>3154</v>
      </c>
      <c r="E1166" s="15" t="s">
        <v>3155</v>
      </c>
      <c r="F1166" s="16">
        <v>40997.3675115741</v>
      </c>
      <c r="G1166" s="15" t="s">
        <v>3155</v>
      </c>
      <c r="H1166" s="15" t="s">
        <v>3156</v>
      </c>
      <c r="I1166" s="15">
        <v>0</v>
      </c>
      <c r="J1166" s="15">
        <v>0</v>
      </c>
      <c r="K1166" s="15">
        <v>0</v>
      </c>
      <c r="L1166" s="20">
        <v>0</v>
      </c>
      <c r="M1166" s="15">
        <v>0</v>
      </c>
      <c r="N1166" s="15">
        <v>0</v>
      </c>
      <c r="O1166" s="15">
        <v>0</v>
      </c>
      <c r="P1166" s="15">
        <v>0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</row>
    <row r="1167" spans="1:43">
      <c r="A1167" s="15" t="s">
        <v>49</v>
      </c>
      <c r="B1167" s="15" t="s">
        <v>50</v>
      </c>
      <c r="C1167" s="15" t="s">
        <v>61</v>
      </c>
      <c r="D1167" s="15" t="s">
        <v>3157</v>
      </c>
      <c r="E1167" s="15" t="s">
        <v>3158</v>
      </c>
      <c r="F1167" s="16">
        <v>0</v>
      </c>
      <c r="G1167" s="15" t="s">
        <v>3158</v>
      </c>
      <c r="H1167" s="15" t="s">
        <v>3159</v>
      </c>
      <c r="I1167" s="15">
        <v>0</v>
      </c>
      <c r="J1167" s="15">
        <v>0</v>
      </c>
      <c r="K1167" s="15">
        <v>0</v>
      </c>
      <c r="L1167" s="20">
        <v>0</v>
      </c>
      <c r="M1167" s="15">
        <v>0</v>
      </c>
      <c r="N1167" s="15">
        <v>0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</row>
    <row r="1168" spans="1:43">
      <c r="A1168" s="15" t="s">
        <v>49</v>
      </c>
      <c r="B1168" s="15" t="s">
        <v>50</v>
      </c>
      <c r="C1168" s="15" t="s">
        <v>51</v>
      </c>
      <c r="D1168" s="15" t="s">
        <v>3160</v>
      </c>
      <c r="E1168" s="15" t="s">
        <v>3161</v>
      </c>
      <c r="F1168" s="16">
        <v>45096.7043171296</v>
      </c>
      <c r="G1168" s="15" t="s">
        <v>3161</v>
      </c>
      <c r="H1168" s="15" t="s">
        <v>54</v>
      </c>
      <c r="I1168" s="15">
        <v>0</v>
      </c>
      <c r="J1168" s="15">
        <v>0</v>
      </c>
      <c r="K1168" s="15">
        <v>0</v>
      </c>
      <c r="L1168" s="20">
        <v>0</v>
      </c>
      <c r="M1168" s="15">
        <v>0</v>
      </c>
      <c r="N1168" s="15">
        <v>0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</row>
    <row r="1169" spans="1:43">
      <c r="A1169" s="15" t="s">
        <v>49</v>
      </c>
      <c r="B1169" s="15" t="s">
        <v>50</v>
      </c>
      <c r="C1169" s="15" t="s">
        <v>61</v>
      </c>
      <c r="D1169" s="15" t="s">
        <v>3162</v>
      </c>
      <c r="E1169" s="15" t="s">
        <v>3163</v>
      </c>
      <c r="F1169" s="16">
        <v>0</v>
      </c>
      <c r="G1169" s="15" t="s">
        <v>3163</v>
      </c>
      <c r="H1169" s="15" t="s">
        <v>54</v>
      </c>
      <c r="I1169" s="15">
        <v>0</v>
      </c>
      <c r="J1169" s="15">
        <v>0</v>
      </c>
      <c r="K1169" s="15">
        <v>0</v>
      </c>
      <c r="L1169" s="20">
        <v>0</v>
      </c>
      <c r="M1169" s="15">
        <v>0</v>
      </c>
      <c r="N1169" s="15">
        <v>0</v>
      </c>
      <c r="O1169" s="15">
        <v>0</v>
      </c>
      <c r="P1169" s="15">
        <v>0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</row>
    <row r="1170" spans="1:43">
      <c r="A1170" s="15" t="s">
        <v>43</v>
      </c>
      <c r="B1170" s="15" t="s">
        <v>44</v>
      </c>
      <c r="C1170" s="15" t="s">
        <v>45</v>
      </c>
      <c r="D1170" s="15" t="s">
        <v>3164</v>
      </c>
      <c r="E1170" s="15" t="s">
        <v>3164</v>
      </c>
      <c r="F1170" s="16">
        <v>41617.4282986111</v>
      </c>
      <c r="G1170" s="15" t="s">
        <v>3164</v>
      </c>
      <c r="H1170" s="15" t="s">
        <v>3165</v>
      </c>
      <c r="I1170" s="15">
        <v>0</v>
      </c>
      <c r="J1170" s="15">
        <v>0</v>
      </c>
      <c r="K1170" s="15">
        <v>0</v>
      </c>
      <c r="L1170" s="20">
        <v>0</v>
      </c>
      <c r="M1170" s="15">
        <v>0</v>
      </c>
      <c r="N1170" s="15">
        <v>0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</row>
    <row r="1171" spans="1:43">
      <c r="A1171" s="15" t="s">
        <v>49</v>
      </c>
      <c r="B1171" s="15" t="s">
        <v>50</v>
      </c>
      <c r="C1171" s="15" t="s">
        <v>61</v>
      </c>
      <c r="D1171" s="15" t="s">
        <v>3166</v>
      </c>
      <c r="E1171" s="15" t="s">
        <v>3167</v>
      </c>
      <c r="F1171" s="16">
        <v>0</v>
      </c>
      <c r="G1171" s="15" t="s">
        <v>3167</v>
      </c>
      <c r="H1171" s="15" t="s">
        <v>3168</v>
      </c>
      <c r="I1171" s="15">
        <v>0</v>
      </c>
      <c r="J1171" s="15">
        <v>0</v>
      </c>
      <c r="K1171" s="15">
        <v>0</v>
      </c>
      <c r="L1171" s="20">
        <v>0</v>
      </c>
      <c r="M1171" s="15">
        <v>0</v>
      </c>
      <c r="N1171" s="15">
        <v>0</v>
      </c>
      <c r="O1171" s="15">
        <v>0</v>
      </c>
      <c r="P1171" s="15">
        <v>0</v>
      </c>
      <c r="Q1171" s="15">
        <v>0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</row>
    <row r="1172" spans="1:43">
      <c r="A1172" s="15" t="s">
        <v>43</v>
      </c>
      <c r="B1172" s="15" t="s">
        <v>44</v>
      </c>
      <c r="C1172" s="15" t="s">
        <v>45</v>
      </c>
      <c r="D1172" s="15" t="s">
        <v>3169</v>
      </c>
      <c r="E1172" s="15" t="s">
        <v>3170</v>
      </c>
      <c r="F1172" s="16">
        <v>42726.6093865741</v>
      </c>
      <c r="G1172" s="15" t="s">
        <v>3170</v>
      </c>
      <c r="H1172" s="15" t="s">
        <v>3171</v>
      </c>
      <c r="I1172" s="15">
        <v>0</v>
      </c>
      <c r="J1172" s="15">
        <v>0</v>
      </c>
      <c r="K1172" s="15">
        <v>0</v>
      </c>
      <c r="L1172" s="20">
        <v>0</v>
      </c>
      <c r="M1172" s="15">
        <v>0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</row>
    <row r="1173" spans="1:43">
      <c r="A1173" s="15" t="s">
        <v>43</v>
      </c>
      <c r="B1173" s="15" t="s">
        <v>44</v>
      </c>
      <c r="C1173" s="15" t="s">
        <v>45</v>
      </c>
      <c r="D1173" s="15" t="s">
        <v>3172</v>
      </c>
      <c r="E1173" s="15" t="s">
        <v>3173</v>
      </c>
      <c r="F1173" s="16">
        <v>41248.3804050926</v>
      </c>
      <c r="G1173" s="15" t="s">
        <v>3173</v>
      </c>
      <c r="H1173" s="15" t="s">
        <v>3174</v>
      </c>
      <c r="I1173" s="15">
        <v>0</v>
      </c>
      <c r="J1173" s="15">
        <v>0</v>
      </c>
      <c r="K1173" s="15">
        <v>0</v>
      </c>
      <c r="L1173" s="20">
        <v>0</v>
      </c>
      <c r="M1173" s="15">
        <v>0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</row>
    <row r="1174" spans="1:43">
      <c r="A1174" s="15" t="s">
        <v>43</v>
      </c>
      <c r="B1174" s="15" t="s">
        <v>44</v>
      </c>
      <c r="C1174" s="15" t="s">
        <v>45</v>
      </c>
      <c r="D1174" s="15" t="s">
        <v>3175</v>
      </c>
      <c r="E1174" s="15" t="s">
        <v>3176</v>
      </c>
      <c r="F1174" s="16">
        <v>43699.3831597222</v>
      </c>
      <c r="G1174" s="15" t="s">
        <v>3176</v>
      </c>
      <c r="H1174" s="15" t="s">
        <v>3177</v>
      </c>
      <c r="I1174" s="15">
        <v>0</v>
      </c>
      <c r="J1174" s="15">
        <v>0</v>
      </c>
      <c r="K1174" s="15">
        <v>0</v>
      </c>
      <c r="L1174" s="20">
        <v>0</v>
      </c>
      <c r="M1174" s="15">
        <v>0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</row>
    <row r="1175" spans="1:43">
      <c r="A1175" s="15" t="s">
        <v>49</v>
      </c>
      <c r="B1175" s="15" t="s">
        <v>50</v>
      </c>
      <c r="C1175" s="15" t="s">
        <v>61</v>
      </c>
      <c r="D1175" s="15" t="s">
        <v>3178</v>
      </c>
      <c r="E1175" s="15" t="s">
        <v>3179</v>
      </c>
      <c r="F1175" s="16">
        <v>0</v>
      </c>
      <c r="G1175" s="15" t="s">
        <v>3179</v>
      </c>
      <c r="H1175" s="15" t="s">
        <v>3180</v>
      </c>
      <c r="I1175" s="15">
        <v>0</v>
      </c>
      <c r="J1175" s="15">
        <v>0</v>
      </c>
      <c r="K1175" s="15">
        <v>0</v>
      </c>
      <c r="L1175" s="20">
        <v>0</v>
      </c>
      <c r="M1175" s="15">
        <v>0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</row>
    <row r="1176" spans="1:43">
      <c r="A1176" s="15" t="s">
        <v>49</v>
      </c>
      <c r="B1176" s="15" t="s">
        <v>50</v>
      </c>
      <c r="C1176" s="15" t="s">
        <v>61</v>
      </c>
      <c r="D1176" s="15" t="s">
        <v>3181</v>
      </c>
      <c r="E1176" s="15" t="s">
        <v>3182</v>
      </c>
      <c r="F1176" s="16">
        <v>0</v>
      </c>
      <c r="G1176" s="15" t="s">
        <v>3182</v>
      </c>
      <c r="H1176" s="15" t="s">
        <v>54</v>
      </c>
      <c r="I1176" s="15">
        <v>0</v>
      </c>
      <c r="J1176" s="15">
        <v>0</v>
      </c>
      <c r="K1176" s="15">
        <v>0</v>
      </c>
      <c r="L1176" s="20">
        <v>0</v>
      </c>
      <c r="M1176" s="15">
        <v>0</v>
      </c>
      <c r="N1176" s="15">
        <v>0</v>
      </c>
      <c r="O1176" s="15">
        <v>0</v>
      </c>
      <c r="P1176" s="15">
        <v>0</v>
      </c>
      <c r="Q1176" s="15">
        <v>0</v>
      </c>
      <c r="R1176" s="15">
        <v>0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</row>
    <row r="1177" spans="1:43">
      <c r="A1177" s="15" t="s">
        <v>49</v>
      </c>
      <c r="B1177" s="15" t="s">
        <v>50</v>
      </c>
      <c r="C1177" s="15" t="s">
        <v>301</v>
      </c>
      <c r="D1177" s="15" t="s">
        <v>3183</v>
      </c>
      <c r="E1177" s="15" t="s">
        <v>3184</v>
      </c>
      <c r="F1177" s="16">
        <v>45113.3956365741</v>
      </c>
      <c r="G1177" s="15" t="s">
        <v>3184</v>
      </c>
      <c r="H1177" s="15" t="s">
        <v>54</v>
      </c>
      <c r="I1177" s="15">
        <v>2914.54</v>
      </c>
      <c r="J1177" s="15">
        <v>14</v>
      </c>
      <c r="K1177" s="15">
        <v>208.181428571429</v>
      </c>
      <c r="L1177" s="20">
        <v>4.16362857142857</v>
      </c>
      <c r="M1177" s="15">
        <v>225.79</v>
      </c>
      <c r="N1177" s="15">
        <v>223.49</v>
      </c>
      <c r="O1177" s="15">
        <v>202.15</v>
      </c>
      <c r="P1177" s="15">
        <v>218.35</v>
      </c>
      <c r="Q1177" s="15">
        <v>232.89</v>
      </c>
      <c r="R1177" s="15">
        <v>205.78</v>
      </c>
      <c r="S1177" s="15">
        <v>241.09</v>
      </c>
      <c r="T1177" s="15">
        <v>204.83</v>
      </c>
      <c r="U1177" s="15">
        <v>200.81</v>
      </c>
      <c r="V1177" s="15">
        <v>208.06</v>
      </c>
      <c r="W1177" s="15">
        <v>206.4</v>
      </c>
      <c r="X1177" s="15">
        <v>200.33</v>
      </c>
      <c r="Y1177" s="15">
        <v>148.01</v>
      </c>
      <c r="Z1177" s="15">
        <v>196.56</v>
      </c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</row>
    <row r="1178" spans="1:43">
      <c r="A1178" s="15" t="s">
        <v>43</v>
      </c>
      <c r="B1178" s="15" t="s">
        <v>44</v>
      </c>
      <c r="C1178" s="15" t="s">
        <v>45</v>
      </c>
      <c r="D1178" s="15" t="s">
        <v>3185</v>
      </c>
      <c r="E1178" s="15" t="s">
        <v>3186</v>
      </c>
      <c r="F1178" s="16">
        <v>43159.6537615741</v>
      </c>
      <c r="G1178" s="15" t="s">
        <v>3186</v>
      </c>
      <c r="H1178" s="15" t="s">
        <v>3187</v>
      </c>
      <c r="I1178" s="15">
        <v>0</v>
      </c>
      <c r="J1178" s="15">
        <v>0</v>
      </c>
      <c r="K1178" s="15">
        <v>0</v>
      </c>
      <c r="L1178" s="20">
        <v>0</v>
      </c>
      <c r="M1178" s="15">
        <v>0</v>
      </c>
      <c r="N1178" s="15">
        <v>0</v>
      </c>
      <c r="O1178" s="15">
        <v>0</v>
      </c>
      <c r="P1178" s="15">
        <v>0</v>
      </c>
      <c r="Q1178" s="15">
        <v>0</v>
      </c>
      <c r="R1178" s="15">
        <v>0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</row>
    <row r="1179" spans="1:43">
      <c r="A1179" s="15" t="s">
        <v>43</v>
      </c>
      <c r="B1179" s="15" t="s">
        <v>44</v>
      </c>
      <c r="C1179" s="15" t="s">
        <v>45</v>
      </c>
      <c r="D1179" s="15" t="s">
        <v>3188</v>
      </c>
      <c r="E1179" s="15" t="s">
        <v>3189</v>
      </c>
      <c r="F1179" s="16">
        <v>42793.3510185185</v>
      </c>
      <c r="G1179" s="15" t="s">
        <v>3189</v>
      </c>
      <c r="H1179" s="15" t="s">
        <v>3190</v>
      </c>
      <c r="I1179" s="15">
        <v>0</v>
      </c>
      <c r="J1179" s="15">
        <v>0</v>
      </c>
      <c r="K1179" s="15">
        <v>0</v>
      </c>
      <c r="L1179" s="20">
        <v>0</v>
      </c>
      <c r="M1179" s="15">
        <v>0</v>
      </c>
      <c r="N1179" s="15">
        <v>0</v>
      </c>
      <c r="O1179" s="15">
        <v>0</v>
      </c>
      <c r="P1179" s="15">
        <v>0</v>
      </c>
      <c r="Q1179" s="15">
        <v>0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</row>
    <row r="1180" spans="1:43">
      <c r="A1180" s="15" t="s">
        <v>43</v>
      </c>
      <c r="B1180" s="15" t="s">
        <v>44</v>
      </c>
      <c r="C1180" s="15" t="s">
        <v>45</v>
      </c>
      <c r="D1180" s="15" t="s">
        <v>3191</v>
      </c>
      <c r="E1180" s="15" t="s">
        <v>3192</v>
      </c>
      <c r="F1180" s="16">
        <v>42353.647025463</v>
      </c>
      <c r="G1180" s="15" t="s">
        <v>3192</v>
      </c>
      <c r="H1180" s="15" t="s">
        <v>3193</v>
      </c>
      <c r="I1180" s="15">
        <v>0</v>
      </c>
      <c r="J1180" s="15">
        <v>0</v>
      </c>
      <c r="K1180" s="15">
        <v>0</v>
      </c>
      <c r="L1180" s="20">
        <v>0</v>
      </c>
      <c r="M1180" s="15">
        <v>0</v>
      </c>
      <c r="N1180" s="15">
        <v>0</v>
      </c>
      <c r="O1180" s="15">
        <v>0</v>
      </c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</row>
    <row r="1181" spans="1:43">
      <c r="A1181" s="15" t="s">
        <v>49</v>
      </c>
      <c r="B1181" s="15" t="s">
        <v>50</v>
      </c>
      <c r="C1181" s="15" t="s">
        <v>61</v>
      </c>
      <c r="D1181" s="15" t="s">
        <v>3194</v>
      </c>
      <c r="E1181" s="15" t="s">
        <v>3195</v>
      </c>
      <c r="F1181" s="16">
        <v>0</v>
      </c>
      <c r="G1181" s="15" t="s">
        <v>3195</v>
      </c>
      <c r="H1181" s="15" t="s">
        <v>54</v>
      </c>
      <c r="I1181" s="15">
        <v>0</v>
      </c>
      <c r="J1181" s="15">
        <v>0</v>
      </c>
      <c r="K1181" s="15">
        <v>0</v>
      </c>
      <c r="L1181" s="20">
        <v>0</v>
      </c>
      <c r="M1181" s="15">
        <v>0</v>
      </c>
      <c r="N1181" s="15">
        <v>0</v>
      </c>
      <c r="O1181" s="15">
        <v>0</v>
      </c>
      <c r="P1181" s="15">
        <v>0</v>
      </c>
      <c r="Q1181" s="15">
        <v>0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</row>
    <row r="1182" spans="1:43">
      <c r="A1182" s="15" t="s">
        <v>43</v>
      </c>
      <c r="B1182" s="15" t="s">
        <v>44</v>
      </c>
      <c r="C1182" s="15" t="s">
        <v>45</v>
      </c>
      <c r="D1182" s="15" t="s">
        <v>3196</v>
      </c>
      <c r="E1182" s="15" t="s">
        <v>3197</v>
      </c>
      <c r="F1182" s="16">
        <v>42287.6350810185</v>
      </c>
      <c r="G1182" s="15" t="s">
        <v>3197</v>
      </c>
      <c r="H1182" s="15" t="s">
        <v>3198</v>
      </c>
      <c r="I1182" s="15">
        <v>0</v>
      </c>
      <c r="J1182" s="15">
        <v>0</v>
      </c>
      <c r="K1182" s="15">
        <v>0</v>
      </c>
      <c r="L1182" s="20">
        <v>0</v>
      </c>
      <c r="M1182" s="15">
        <v>0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</row>
    <row r="1183" spans="1:43">
      <c r="A1183" s="15" t="s">
        <v>43</v>
      </c>
      <c r="B1183" s="15" t="s">
        <v>44</v>
      </c>
      <c r="C1183" s="15" t="s">
        <v>45</v>
      </c>
      <c r="D1183" s="15" t="s">
        <v>3199</v>
      </c>
      <c r="E1183" s="15" t="s">
        <v>3200</v>
      </c>
      <c r="F1183" s="16">
        <v>43097.6371412037</v>
      </c>
      <c r="G1183" s="15" t="s">
        <v>3200</v>
      </c>
      <c r="H1183" s="15" t="s">
        <v>3201</v>
      </c>
      <c r="I1183" s="15">
        <v>0</v>
      </c>
      <c r="J1183" s="15">
        <v>0</v>
      </c>
      <c r="K1183" s="15">
        <v>0</v>
      </c>
      <c r="L1183" s="20">
        <v>0</v>
      </c>
      <c r="M1183" s="15">
        <v>0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</row>
    <row r="1184" spans="1:43">
      <c r="A1184" s="15" t="s">
        <v>43</v>
      </c>
      <c r="B1184" s="15" t="s">
        <v>44</v>
      </c>
      <c r="C1184" s="15" t="s">
        <v>45</v>
      </c>
      <c r="D1184" s="15" t="s">
        <v>3202</v>
      </c>
      <c r="E1184" s="15" t="s">
        <v>3203</v>
      </c>
      <c r="F1184" s="16">
        <v>43210.4098611111</v>
      </c>
      <c r="G1184" s="15" t="s">
        <v>3203</v>
      </c>
      <c r="H1184" s="15" t="s">
        <v>3204</v>
      </c>
      <c r="I1184" s="15">
        <v>0</v>
      </c>
      <c r="J1184" s="15">
        <v>0</v>
      </c>
      <c r="K1184" s="15">
        <v>0</v>
      </c>
      <c r="L1184" s="20">
        <v>0</v>
      </c>
      <c r="M1184" s="15">
        <v>0</v>
      </c>
      <c r="N1184" s="15">
        <v>0</v>
      </c>
      <c r="O1184" s="15">
        <v>0</v>
      </c>
      <c r="P1184" s="15">
        <v>0</v>
      </c>
      <c r="Q1184" s="15">
        <v>0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</row>
    <row r="1185" spans="1:43">
      <c r="A1185" s="15" t="s">
        <v>43</v>
      </c>
      <c r="B1185" s="15" t="s">
        <v>44</v>
      </c>
      <c r="C1185" s="15" t="s">
        <v>45</v>
      </c>
      <c r="D1185" s="15" t="s">
        <v>3205</v>
      </c>
      <c r="E1185" s="15" t="s">
        <v>3206</v>
      </c>
      <c r="F1185" s="16">
        <v>42292.6247916667</v>
      </c>
      <c r="G1185" s="15" t="s">
        <v>3206</v>
      </c>
      <c r="H1185" s="15" t="s">
        <v>3207</v>
      </c>
      <c r="I1185" s="15">
        <v>0</v>
      </c>
      <c r="J1185" s="15">
        <v>0</v>
      </c>
      <c r="K1185" s="15">
        <v>0</v>
      </c>
      <c r="L1185" s="20">
        <v>0</v>
      </c>
      <c r="M1185" s="15">
        <v>0</v>
      </c>
      <c r="N1185" s="15">
        <v>0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0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</row>
    <row r="1186" spans="1:43">
      <c r="A1186" s="15" t="s">
        <v>43</v>
      </c>
      <c r="B1186" s="15" t="s">
        <v>44</v>
      </c>
      <c r="C1186" s="15" t="s">
        <v>45</v>
      </c>
      <c r="D1186" s="15" t="s">
        <v>3208</v>
      </c>
      <c r="E1186" s="15" t="s">
        <v>3209</v>
      </c>
      <c r="F1186" s="16">
        <v>44187.3958564815</v>
      </c>
      <c r="G1186" s="15" t="s">
        <v>3209</v>
      </c>
      <c r="H1186" s="15" t="s">
        <v>54</v>
      </c>
      <c r="I1186" s="15">
        <v>0</v>
      </c>
      <c r="J1186" s="15">
        <v>0</v>
      </c>
      <c r="K1186" s="15">
        <v>0</v>
      </c>
      <c r="L1186" s="20">
        <v>0</v>
      </c>
      <c r="M1186" s="15">
        <v>0</v>
      </c>
      <c r="N1186" s="15">
        <v>0</v>
      </c>
      <c r="O1186" s="15">
        <v>0</v>
      </c>
      <c r="P1186" s="15">
        <v>0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</row>
    <row r="1187" spans="1:43">
      <c r="A1187" s="15" t="s">
        <v>49</v>
      </c>
      <c r="B1187" s="15" t="s">
        <v>50</v>
      </c>
      <c r="C1187" s="15" t="s">
        <v>61</v>
      </c>
      <c r="D1187" s="15" t="s">
        <v>3210</v>
      </c>
      <c r="E1187" s="15" t="s">
        <v>3211</v>
      </c>
      <c r="F1187" s="16">
        <v>0</v>
      </c>
      <c r="G1187" s="15" t="s">
        <v>3211</v>
      </c>
      <c r="H1187" s="15" t="s">
        <v>3212</v>
      </c>
      <c r="I1187" s="15">
        <v>0</v>
      </c>
      <c r="J1187" s="15">
        <v>0</v>
      </c>
      <c r="K1187" s="15">
        <v>0</v>
      </c>
      <c r="L1187" s="20">
        <v>0</v>
      </c>
      <c r="M1187" s="15">
        <v>0</v>
      </c>
      <c r="N1187" s="15">
        <v>0</v>
      </c>
      <c r="O1187" s="15">
        <v>0</v>
      </c>
      <c r="P1187" s="15">
        <v>0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</row>
    <row r="1188" spans="1:43">
      <c r="A1188" s="15" t="s">
        <v>43</v>
      </c>
      <c r="B1188" s="15" t="s">
        <v>44</v>
      </c>
      <c r="C1188" s="15" t="s">
        <v>45</v>
      </c>
      <c r="D1188" s="15" t="s">
        <v>3213</v>
      </c>
      <c r="E1188" s="15" t="s">
        <v>3214</v>
      </c>
      <c r="F1188" s="16">
        <v>41997.4866666667</v>
      </c>
      <c r="G1188" s="15" t="s">
        <v>3214</v>
      </c>
      <c r="H1188" s="15" t="s">
        <v>3215</v>
      </c>
      <c r="I1188" s="15">
        <v>0</v>
      </c>
      <c r="J1188" s="15">
        <v>0</v>
      </c>
      <c r="K1188" s="15">
        <v>0</v>
      </c>
      <c r="L1188" s="20">
        <v>0</v>
      </c>
      <c r="M1188" s="15">
        <v>0</v>
      </c>
      <c r="N1188" s="15">
        <v>0</v>
      </c>
      <c r="O1188" s="15">
        <v>0</v>
      </c>
      <c r="P1188" s="15">
        <v>0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0</v>
      </c>
      <c r="Y1188" s="15">
        <v>0</v>
      </c>
      <c r="Z1188" s="15">
        <v>0</v>
      </c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</row>
    <row r="1189" spans="1:43">
      <c r="A1189" s="15" t="s">
        <v>43</v>
      </c>
      <c r="B1189" s="15" t="s">
        <v>44</v>
      </c>
      <c r="C1189" s="15" t="s">
        <v>228</v>
      </c>
      <c r="D1189" s="15" t="s">
        <v>3216</v>
      </c>
      <c r="E1189" s="15" t="s">
        <v>3217</v>
      </c>
      <c r="F1189" s="16">
        <v>44875.3883796296</v>
      </c>
      <c r="G1189" s="15" t="s">
        <v>3217</v>
      </c>
      <c r="H1189" s="15" t="s">
        <v>54</v>
      </c>
      <c r="I1189" s="15">
        <v>0</v>
      </c>
      <c r="J1189" s="15">
        <v>0</v>
      </c>
      <c r="K1189" s="15">
        <v>0</v>
      </c>
      <c r="L1189" s="20">
        <v>0</v>
      </c>
      <c r="M1189" s="15">
        <v>0</v>
      </c>
      <c r="N1189" s="15">
        <v>0</v>
      </c>
      <c r="O1189" s="15">
        <v>0</v>
      </c>
      <c r="P1189" s="15">
        <v>0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</row>
    <row r="1190" spans="1:43">
      <c r="A1190" s="15" t="s">
        <v>43</v>
      </c>
      <c r="B1190" s="15" t="s">
        <v>44</v>
      </c>
      <c r="C1190" s="15" t="s">
        <v>45</v>
      </c>
      <c r="D1190" s="15" t="s">
        <v>3218</v>
      </c>
      <c r="E1190" s="15" t="s">
        <v>3219</v>
      </c>
      <c r="F1190" s="16">
        <v>43392.4282638889</v>
      </c>
      <c r="G1190" s="15" t="s">
        <v>3219</v>
      </c>
      <c r="H1190" s="15" t="s">
        <v>3220</v>
      </c>
      <c r="I1190" s="15">
        <v>0</v>
      </c>
      <c r="J1190" s="15">
        <v>0</v>
      </c>
      <c r="K1190" s="15">
        <v>0</v>
      </c>
      <c r="L1190" s="20">
        <v>0</v>
      </c>
      <c r="M1190" s="15">
        <v>0</v>
      </c>
      <c r="N1190" s="15">
        <v>0</v>
      </c>
      <c r="O1190" s="15">
        <v>0</v>
      </c>
      <c r="P1190" s="15">
        <v>0</v>
      </c>
      <c r="Q1190" s="15">
        <v>0</v>
      </c>
      <c r="R1190" s="15">
        <v>0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</row>
    <row r="1191" spans="1:43">
      <c r="A1191" s="15" t="s">
        <v>64</v>
      </c>
      <c r="B1191" s="15" t="s">
        <v>65</v>
      </c>
      <c r="C1191" s="15" t="s">
        <v>78</v>
      </c>
      <c r="D1191" s="15" t="s">
        <v>3221</v>
      </c>
      <c r="E1191" s="15" t="s">
        <v>3222</v>
      </c>
      <c r="F1191" s="16">
        <v>45054.4249189815</v>
      </c>
      <c r="G1191" s="15" t="s">
        <v>3222</v>
      </c>
      <c r="H1191" s="15" t="s">
        <v>54</v>
      </c>
      <c r="I1191" s="15">
        <v>968.59</v>
      </c>
      <c r="J1191" s="15">
        <v>12</v>
      </c>
      <c r="K1191" s="15">
        <v>80.7158333333334</v>
      </c>
      <c r="L1191" s="20">
        <v>1.15308333333333</v>
      </c>
      <c r="M1191" s="15">
        <v>0</v>
      </c>
      <c r="N1191" s="15">
        <v>0</v>
      </c>
      <c r="O1191" s="15">
        <v>50.28</v>
      </c>
      <c r="P1191" s="15">
        <v>126.43</v>
      </c>
      <c r="Q1191" s="15">
        <v>9.94</v>
      </c>
      <c r="R1191" s="15">
        <v>144.08</v>
      </c>
      <c r="S1191" s="15">
        <v>134.95</v>
      </c>
      <c r="T1191" s="15">
        <v>125.74</v>
      </c>
      <c r="U1191" s="15">
        <v>21.53</v>
      </c>
      <c r="V1191" s="15">
        <v>120.45</v>
      </c>
      <c r="W1191" s="15">
        <v>91.19</v>
      </c>
      <c r="X1191" s="15">
        <v>52.92</v>
      </c>
      <c r="Y1191" s="15">
        <v>33.45</v>
      </c>
      <c r="Z1191" s="15">
        <v>57.63</v>
      </c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</row>
    <row r="1192" spans="1:43">
      <c r="A1192" s="15" t="s">
        <v>43</v>
      </c>
      <c r="B1192" s="15" t="s">
        <v>44</v>
      </c>
      <c r="C1192" s="15" t="s">
        <v>45</v>
      </c>
      <c r="D1192" s="15" t="s">
        <v>3223</v>
      </c>
      <c r="E1192" s="15" t="s">
        <v>3224</v>
      </c>
      <c r="F1192" s="16">
        <v>41683.6173958333</v>
      </c>
      <c r="G1192" s="15" t="s">
        <v>3224</v>
      </c>
      <c r="H1192" s="15" t="s">
        <v>3225</v>
      </c>
      <c r="I1192" s="15">
        <v>0</v>
      </c>
      <c r="J1192" s="15">
        <v>0</v>
      </c>
      <c r="K1192" s="15">
        <v>0</v>
      </c>
      <c r="L1192" s="20">
        <v>0</v>
      </c>
      <c r="M1192" s="15">
        <v>0</v>
      </c>
      <c r="N1192" s="15">
        <v>0</v>
      </c>
      <c r="O1192" s="15">
        <v>0</v>
      </c>
      <c r="P1192" s="15">
        <v>0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</row>
    <row r="1193" spans="1:43">
      <c r="A1193" s="15" t="s">
        <v>49</v>
      </c>
      <c r="B1193" s="15" t="s">
        <v>50</v>
      </c>
      <c r="C1193" s="15" t="s">
        <v>61</v>
      </c>
      <c r="D1193" s="15" t="s">
        <v>3226</v>
      </c>
      <c r="E1193" s="15" t="s">
        <v>3227</v>
      </c>
      <c r="F1193" s="16">
        <v>0</v>
      </c>
      <c r="G1193" s="15" t="s">
        <v>3227</v>
      </c>
      <c r="H1193" s="15" t="s">
        <v>3228</v>
      </c>
      <c r="I1193" s="15">
        <v>0</v>
      </c>
      <c r="J1193" s="15">
        <v>0</v>
      </c>
      <c r="K1193" s="15">
        <v>0</v>
      </c>
      <c r="L1193" s="20">
        <v>0</v>
      </c>
      <c r="M1193" s="15">
        <v>0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</row>
    <row r="1194" spans="1:43">
      <c r="A1194" s="15" t="s">
        <v>49</v>
      </c>
      <c r="B1194" s="15" t="s">
        <v>50</v>
      </c>
      <c r="C1194" s="15" t="s">
        <v>61</v>
      </c>
      <c r="D1194" s="15" t="s">
        <v>3229</v>
      </c>
      <c r="E1194" s="15" t="s">
        <v>2907</v>
      </c>
      <c r="F1194" s="16">
        <v>0</v>
      </c>
      <c r="G1194" s="15" t="s">
        <v>2907</v>
      </c>
      <c r="H1194" s="15" t="s">
        <v>3230</v>
      </c>
      <c r="I1194" s="15">
        <v>0</v>
      </c>
      <c r="J1194" s="15">
        <v>0</v>
      </c>
      <c r="K1194" s="15">
        <v>0</v>
      </c>
      <c r="L1194" s="20">
        <v>0</v>
      </c>
      <c r="M1194" s="15">
        <v>0</v>
      </c>
      <c r="N1194" s="15">
        <v>0</v>
      </c>
      <c r="O1194" s="15">
        <v>0</v>
      </c>
      <c r="P1194" s="15">
        <v>0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</row>
    <row r="1195" spans="1:43">
      <c r="A1195" s="15" t="s">
        <v>49</v>
      </c>
      <c r="B1195" s="15" t="s">
        <v>50</v>
      </c>
      <c r="C1195" s="15" t="s">
        <v>3231</v>
      </c>
      <c r="D1195" s="15" t="s">
        <v>3232</v>
      </c>
      <c r="E1195" s="15" t="s">
        <v>3233</v>
      </c>
      <c r="F1195" s="16">
        <v>44313.6034606481</v>
      </c>
      <c r="G1195" s="15" t="s">
        <v>3233</v>
      </c>
      <c r="H1195" s="15" t="s">
        <v>3234</v>
      </c>
      <c r="I1195" s="15">
        <v>0</v>
      </c>
      <c r="J1195" s="15">
        <v>0</v>
      </c>
      <c r="K1195" s="15">
        <v>0</v>
      </c>
      <c r="L1195" s="20">
        <v>0</v>
      </c>
      <c r="M1195" s="15">
        <v>0</v>
      </c>
      <c r="N1195" s="15">
        <v>0</v>
      </c>
      <c r="O1195" s="15">
        <v>0</v>
      </c>
      <c r="P1195" s="15">
        <v>0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</row>
    <row r="1196" spans="1:43">
      <c r="A1196" s="15" t="s">
        <v>49</v>
      </c>
      <c r="B1196" s="15" t="s">
        <v>50</v>
      </c>
      <c r="C1196" s="15" t="s">
        <v>61</v>
      </c>
      <c r="D1196" s="15" t="s">
        <v>3235</v>
      </c>
      <c r="E1196" s="15" t="s">
        <v>3236</v>
      </c>
      <c r="F1196" s="16">
        <v>0</v>
      </c>
      <c r="G1196" s="15" t="s">
        <v>3236</v>
      </c>
      <c r="H1196" s="15" t="s">
        <v>54</v>
      </c>
      <c r="I1196" s="15">
        <v>0</v>
      </c>
      <c r="J1196" s="15">
        <v>0</v>
      </c>
      <c r="K1196" s="15">
        <v>0</v>
      </c>
      <c r="L1196" s="20">
        <v>0</v>
      </c>
      <c r="M1196" s="15">
        <v>0</v>
      </c>
      <c r="N1196" s="15">
        <v>0</v>
      </c>
      <c r="O1196" s="15">
        <v>0</v>
      </c>
      <c r="P1196" s="15">
        <v>0</v>
      </c>
      <c r="Q1196" s="15">
        <v>0</v>
      </c>
      <c r="R1196" s="15">
        <v>0</v>
      </c>
      <c r="S1196" s="15">
        <v>0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</row>
    <row r="1197" spans="1:43">
      <c r="A1197" s="15" t="s">
        <v>49</v>
      </c>
      <c r="B1197" s="15" t="s">
        <v>50</v>
      </c>
      <c r="C1197" s="15" t="s">
        <v>61</v>
      </c>
      <c r="D1197" s="15" t="s">
        <v>3237</v>
      </c>
      <c r="E1197" s="15" t="s">
        <v>3238</v>
      </c>
      <c r="F1197" s="16">
        <v>0</v>
      </c>
      <c r="G1197" s="15" t="s">
        <v>3238</v>
      </c>
      <c r="H1197" s="15" t="s">
        <v>3239</v>
      </c>
      <c r="I1197" s="15">
        <v>0</v>
      </c>
      <c r="J1197" s="15">
        <v>0</v>
      </c>
      <c r="K1197" s="15">
        <v>0</v>
      </c>
      <c r="L1197" s="20">
        <v>0</v>
      </c>
      <c r="M1197" s="15">
        <v>0</v>
      </c>
      <c r="N1197" s="15">
        <v>0</v>
      </c>
      <c r="O1197" s="15">
        <v>0</v>
      </c>
      <c r="P1197" s="15">
        <v>0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</row>
    <row r="1198" spans="1:43">
      <c r="A1198" s="15" t="s">
        <v>43</v>
      </c>
      <c r="B1198" s="15" t="s">
        <v>44</v>
      </c>
      <c r="C1198" s="15" t="s">
        <v>440</v>
      </c>
      <c r="D1198" s="15" t="s">
        <v>3240</v>
      </c>
      <c r="E1198" s="15" t="s">
        <v>3241</v>
      </c>
      <c r="F1198" s="16">
        <v>44277.6287847222</v>
      </c>
      <c r="G1198" s="15" t="s">
        <v>3241</v>
      </c>
      <c r="H1198" s="15" t="s">
        <v>3242</v>
      </c>
      <c r="I1198" s="15">
        <v>0</v>
      </c>
      <c r="J1198" s="15">
        <v>0</v>
      </c>
      <c r="K1198" s="15">
        <v>0</v>
      </c>
      <c r="L1198" s="20">
        <v>0</v>
      </c>
      <c r="M1198" s="15">
        <v>0</v>
      </c>
      <c r="N1198" s="15">
        <v>0</v>
      </c>
      <c r="O1198" s="15">
        <v>0</v>
      </c>
      <c r="P1198" s="15">
        <v>0</v>
      </c>
      <c r="Q1198" s="15">
        <v>0</v>
      </c>
      <c r="R1198" s="15">
        <v>0</v>
      </c>
      <c r="S1198" s="15">
        <v>0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</row>
    <row r="1199" spans="1:43">
      <c r="A1199" s="15" t="s">
        <v>43</v>
      </c>
      <c r="B1199" s="15" t="s">
        <v>44</v>
      </c>
      <c r="C1199" s="15" t="s">
        <v>45</v>
      </c>
      <c r="D1199" s="15" t="s">
        <v>3243</v>
      </c>
      <c r="E1199" s="15" t="s">
        <v>3244</v>
      </c>
      <c r="F1199" s="16">
        <v>41145.6210763889</v>
      </c>
      <c r="G1199" s="15" t="s">
        <v>3244</v>
      </c>
      <c r="H1199" s="15" t="s">
        <v>3245</v>
      </c>
      <c r="I1199" s="15">
        <v>0</v>
      </c>
      <c r="J1199" s="15">
        <v>0</v>
      </c>
      <c r="K1199" s="15">
        <v>0</v>
      </c>
      <c r="L1199" s="20">
        <v>0</v>
      </c>
      <c r="M1199" s="15">
        <v>0</v>
      </c>
      <c r="N1199" s="15">
        <v>0</v>
      </c>
      <c r="O1199" s="15">
        <v>0</v>
      </c>
      <c r="P1199" s="15">
        <v>0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</row>
    <row r="1200" spans="1:43">
      <c r="A1200" s="15" t="s">
        <v>43</v>
      </c>
      <c r="B1200" s="15" t="s">
        <v>44</v>
      </c>
      <c r="C1200" s="15" t="s">
        <v>45</v>
      </c>
      <c r="D1200" s="15" t="s">
        <v>3246</v>
      </c>
      <c r="E1200" s="15" t="s">
        <v>3247</v>
      </c>
      <c r="F1200" s="16">
        <v>44263.7119444444</v>
      </c>
      <c r="G1200" s="15" t="s">
        <v>3247</v>
      </c>
      <c r="H1200" s="15" t="s">
        <v>54</v>
      </c>
      <c r="I1200" s="15">
        <v>0</v>
      </c>
      <c r="J1200" s="15">
        <v>0</v>
      </c>
      <c r="K1200" s="15">
        <v>0</v>
      </c>
      <c r="L1200" s="20">
        <v>0</v>
      </c>
      <c r="M1200" s="15">
        <v>0</v>
      </c>
      <c r="N1200" s="15">
        <v>0</v>
      </c>
      <c r="O1200" s="15">
        <v>0</v>
      </c>
      <c r="P1200" s="15">
        <v>0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</row>
    <row r="1201" spans="1:43">
      <c r="A1201" s="15" t="s">
        <v>43</v>
      </c>
      <c r="B1201" s="15" t="s">
        <v>44</v>
      </c>
      <c r="C1201" s="15" t="s">
        <v>45</v>
      </c>
      <c r="D1201" s="15" t="s">
        <v>3248</v>
      </c>
      <c r="E1201" s="15" t="s">
        <v>3249</v>
      </c>
      <c r="F1201" s="16">
        <v>40946.443287037</v>
      </c>
      <c r="G1201" s="15" t="s">
        <v>3249</v>
      </c>
      <c r="H1201" s="15" t="s">
        <v>3250</v>
      </c>
      <c r="I1201" s="15">
        <v>0</v>
      </c>
      <c r="J1201" s="15">
        <v>0</v>
      </c>
      <c r="K1201" s="15">
        <v>0</v>
      </c>
      <c r="L1201" s="20">
        <v>0</v>
      </c>
      <c r="M1201" s="15">
        <v>0</v>
      </c>
      <c r="N1201" s="15">
        <v>0</v>
      </c>
      <c r="O1201" s="15">
        <v>0</v>
      </c>
      <c r="P1201" s="15">
        <v>0</v>
      </c>
      <c r="Q1201" s="15">
        <v>0</v>
      </c>
      <c r="R1201" s="15">
        <v>0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</row>
    <row r="1202" spans="1:43">
      <c r="A1202" s="15" t="s">
        <v>49</v>
      </c>
      <c r="B1202" s="15" t="s">
        <v>50</v>
      </c>
      <c r="C1202" s="15" t="s">
        <v>61</v>
      </c>
      <c r="D1202" s="15" t="s">
        <v>3251</v>
      </c>
      <c r="E1202" s="15" t="s">
        <v>3252</v>
      </c>
      <c r="F1202" s="16">
        <v>0</v>
      </c>
      <c r="G1202" s="15" t="s">
        <v>3252</v>
      </c>
      <c r="H1202" s="15" t="s">
        <v>3253</v>
      </c>
      <c r="I1202" s="15">
        <v>0</v>
      </c>
      <c r="J1202" s="15">
        <v>0</v>
      </c>
      <c r="K1202" s="15">
        <v>0</v>
      </c>
      <c r="L1202" s="20">
        <v>0</v>
      </c>
      <c r="M1202" s="15">
        <v>0</v>
      </c>
      <c r="N1202" s="15">
        <v>0</v>
      </c>
      <c r="O1202" s="15">
        <v>0</v>
      </c>
      <c r="P1202" s="15">
        <v>0</v>
      </c>
      <c r="Q1202" s="15">
        <v>0</v>
      </c>
      <c r="R1202" s="15">
        <v>0</v>
      </c>
      <c r="S1202" s="15">
        <v>0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</row>
    <row r="1203" spans="1:43">
      <c r="A1203" s="15" t="s">
        <v>49</v>
      </c>
      <c r="B1203" s="15" t="s">
        <v>50</v>
      </c>
      <c r="C1203" s="15" t="s">
        <v>61</v>
      </c>
      <c r="D1203" s="15" t="s">
        <v>3254</v>
      </c>
      <c r="E1203" s="15" t="s">
        <v>3255</v>
      </c>
      <c r="F1203" s="16">
        <v>0</v>
      </c>
      <c r="G1203" s="15" t="s">
        <v>3255</v>
      </c>
      <c r="H1203" s="15" t="s">
        <v>3256</v>
      </c>
      <c r="I1203" s="15">
        <v>0</v>
      </c>
      <c r="J1203" s="15">
        <v>0</v>
      </c>
      <c r="K1203" s="15">
        <v>0</v>
      </c>
      <c r="L1203" s="20">
        <v>0</v>
      </c>
      <c r="M1203" s="15">
        <v>0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0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</row>
    <row r="1204" spans="1:43">
      <c r="A1204" s="15" t="s">
        <v>49</v>
      </c>
      <c r="B1204" s="15" t="s">
        <v>50</v>
      </c>
      <c r="C1204" s="15" t="s">
        <v>75</v>
      </c>
      <c r="D1204" s="15" t="s">
        <v>3257</v>
      </c>
      <c r="E1204" s="15" t="s">
        <v>3258</v>
      </c>
      <c r="F1204" s="16">
        <v>45120.7265625</v>
      </c>
      <c r="G1204" s="15" t="s">
        <v>3258</v>
      </c>
      <c r="H1204" s="15" t="s">
        <v>54</v>
      </c>
      <c r="I1204" s="15">
        <v>887.88</v>
      </c>
      <c r="J1204" s="15">
        <v>14</v>
      </c>
      <c r="K1204" s="15">
        <v>63.42</v>
      </c>
      <c r="L1204" s="20">
        <v>1.2684</v>
      </c>
      <c r="M1204" s="15">
        <v>82.26</v>
      </c>
      <c r="N1204" s="15">
        <v>59.31</v>
      </c>
      <c r="O1204" s="15">
        <v>34.88</v>
      </c>
      <c r="P1204" s="15">
        <v>47.05</v>
      </c>
      <c r="Q1204" s="15">
        <v>31.38</v>
      </c>
      <c r="R1204" s="15">
        <v>27.12</v>
      </c>
      <c r="S1204" s="15">
        <v>35.75</v>
      </c>
      <c r="T1204" s="15">
        <v>80.89</v>
      </c>
      <c r="U1204" s="15">
        <v>82.41</v>
      </c>
      <c r="V1204" s="15">
        <v>95.93</v>
      </c>
      <c r="W1204" s="15">
        <v>61.68</v>
      </c>
      <c r="X1204" s="15">
        <v>86.6</v>
      </c>
      <c r="Y1204" s="15">
        <v>74.9</v>
      </c>
      <c r="Z1204" s="15">
        <v>87.72</v>
      </c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</row>
    <row r="1205" spans="1:43">
      <c r="A1205" s="15" t="s">
        <v>49</v>
      </c>
      <c r="B1205" s="15" t="s">
        <v>50</v>
      </c>
      <c r="C1205" s="15" t="s">
        <v>61</v>
      </c>
      <c r="D1205" s="15" t="s">
        <v>3259</v>
      </c>
      <c r="E1205" s="15" t="s">
        <v>2053</v>
      </c>
      <c r="F1205" s="16">
        <v>0</v>
      </c>
      <c r="G1205" s="15" t="s">
        <v>2053</v>
      </c>
      <c r="H1205" s="15" t="s">
        <v>54</v>
      </c>
      <c r="I1205" s="15">
        <v>0</v>
      </c>
      <c r="J1205" s="15">
        <v>0</v>
      </c>
      <c r="K1205" s="15">
        <v>0</v>
      </c>
      <c r="L1205" s="20">
        <v>0</v>
      </c>
      <c r="M1205" s="15">
        <v>0</v>
      </c>
      <c r="N1205" s="15">
        <v>0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</row>
    <row r="1206" spans="1:43">
      <c r="A1206" s="15" t="s">
        <v>49</v>
      </c>
      <c r="B1206" s="15" t="s">
        <v>50</v>
      </c>
      <c r="C1206" s="15" t="s">
        <v>61</v>
      </c>
      <c r="D1206" s="15" t="s">
        <v>3260</v>
      </c>
      <c r="E1206" s="15" t="s">
        <v>3261</v>
      </c>
      <c r="F1206" s="16">
        <v>0</v>
      </c>
      <c r="G1206" s="15" t="s">
        <v>3261</v>
      </c>
      <c r="H1206" s="15" t="s">
        <v>3262</v>
      </c>
      <c r="I1206" s="15">
        <v>0</v>
      </c>
      <c r="J1206" s="15">
        <v>0</v>
      </c>
      <c r="K1206" s="15">
        <v>0</v>
      </c>
      <c r="L1206" s="20">
        <v>0</v>
      </c>
      <c r="M1206" s="15">
        <v>0</v>
      </c>
      <c r="N1206" s="15">
        <v>0</v>
      </c>
      <c r="O1206" s="15">
        <v>0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</row>
    <row r="1207" spans="1:43">
      <c r="A1207" s="15" t="s">
        <v>43</v>
      </c>
      <c r="B1207" s="15" t="s">
        <v>44</v>
      </c>
      <c r="C1207" s="15" t="s">
        <v>45</v>
      </c>
      <c r="D1207" s="15" t="s">
        <v>3263</v>
      </c>
      <c r="E1207" s="15" t="s">
        <v>3264</v>
      </c>
      <c r="F1207" s="16">
        <v>41177.7164236111</v>
      </c>
      <c r="G1207" s="15" t="s">
        <v>3264</v>
      </c>
      <c r="H1207" s="15" t="s">
        <v>3265</v>
      </c>
      <c r="I1207" s="15">
        <v>0</v>
      </c>
      <c r="J1207" s="15">
        <v>0</v>
      </c>
      <c r="K1207" s="15">
        <v>0</v>
      </c>
      <c r="L1207" s="20">
        <v>0</v>
      </c>
      <c r="M1207" s="15">
        <v>0</v>
      </c>
      <c r="N1207" s="15">
        <v>0</v>
      </c>
      <c r="O1207" s="15">
        <v>0</v>
      </c>
      <c r="P1207" s="15">
        <v>0</v>
      </c>
      <c r="Q1207" s="15">
        <v>0</v>
      </c>
      <c r="R1207" s="15">
        <v>0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</row>
    <row r="1208" spans="1:43">
      <c r="A1208" s="15" t="s">
        <v>43</v>
      </c>
      <c r="B1208" s="15" t="s">
        <v>44</v>
      </c>
      <c r="C1208" s="15" t="s">
        <v>45</v>
      </c>
      <c r="D1208" s="15" t="s">
        <v>3266</v>
      </c>
      <c r="E1208" s="15" t="s">
        <v>3267</v>
      </c>
      <c r="F1208" s="16">
        <v>43542.6499421296</v>
      </c>
      <c r="G1208" s="15" t="s">
        <v>3267</v>
      </c>
      <c r="H1208" s="15" t="s">
        <v>3268</v>
      </c>
      <c r="I1208" s="15">
        <v>0</v>
      </c>
      <c r="J1208" s="15">
        <v>0</v>
      </c>
      <c r="K1208" s="15">
        <v>0</v>
      </c>
      <c r="L1208" s="20">
        <v>0</v>
      </c>
      <c r="M1208" s="15">
        <v>0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</row>
    <row r="1209" spans="1:43">
      <c r="A1209" s="15" t="s">
        <v>43</v>
      </c>
      <c r="B1209" s="15" t="s">
        <v>44</v>
      </c>
      <c r="C1209" s="15" t="s">
        <v>45</v>
      </c>
      <c r="D1209" s="15" t="s">
        <v>3269</v>
      </c>
      <c r="E1209" s="15" t="s">
        <v>3270</v>
      </c>
      <c r="F1209" s="16">
        <v>42130.7117013889</v>
      </c>
      <c r="G1209" s="15" t="s">
        <v>3270</v>
      </c>
      <c r="H1209" s="15" t="s">
        <v>3271</v>
      </c>
      <c r="I1209" s="15">
        <v>0</v>
      </c>
      <c r="J1209" s="15">
        <v>0</v>
      </c>
      <c r="K1209" s="15">
        <v>0</v>
      </c>
      <c r="L1209" s="20">
        <v>0</v>
      </c>
      <c r="M1209" s="15">
        <v>0</v>
      </c>
      <c r="N1209" s="15">
        <v>0</v>
      </c>
      <c r="O1209" s="15">
        <v>0</v>
      </c>
      <c r="P1209" s="15">
        <v>0</v>
      </c>
      <c r="Q1209" s="15">
        <v>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</row>
    <row r="1210" spans="1:43">
      <c r="A1210" s="15" t="s">
        <v>49</v>
      </c>
      <c r="B1210" s="15" t="s">
        <v>50</v>
      </c>
      <c r="C1210" s="15" t="s">
        <v>61</v>
      </c>
      <c r="D1210" s="15" t="s">
        <v>3272</v>
      </c>
      <c r="E1210" s="15" t="s">
        <v>3273</v>
      </c>
      <c r="F1210" s="16">
        <v>0</v>
      </c>
      <c r="G1210" s="15" t="s">
        <v>3273</v>
      </c>
      <c r="H1210" s="15" t="s">
        <v>3274</v>
      </c>
      <c r="I1210" s="15">
        <v>0</v>
      </c>
      <c r="J1210" s="15">
        <v>0</v>
      </c>
      <c r="K1210" s="15">
        <v>0</v>
      </c>
      <c r="L1210" s="20">
        <v>0</v>
      </c>
      <c r="M1210" s="15">
        <v>0</v>
      </c>
      <c r="N1210" s="15">
        <v>0</v>
      </c>
      <c r="O1210" s="15">
        <v>0</v>
      </c>
      <c r="P1210" s="15">
        <v>0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</row>
    <row r="1211" spans="1:43">
      <c r="A1211" s="15" t="s">
        <v>43</v>
      </c>
      <c r="B1211" s="15" t="s">
        <v>44</v>
      </c>
      <c r="C1211" s="15" t="s">
        <v>440</v>
      </c>
      <c r="D1211" s="15" t="s">
        <v>3275</v>
      </c>
      <c r="E1211" s="15" t="s">
        <v>3276</v>
      </c>
      <c r="F1211" s="16">
        <v>45071.4799305556</v>
      </c>
      <c r="G1211" s="15" t="s">
        <v>3276</v>
      </c>
      <c r="H1211" s="15" t="s">
        <v>54</v>
      </c>
      <c r="I1211" s="15">
        <v>447.62</v>
      </c>
      <c r="J1211" s="15">
        <v>14</v>
      </c>
      <c r="K1211" s="15">
        <v>31.9728571428572</v>
      </c>
      <c r="L1211" s="20">
        <v>0.639457142857143</v>
      </c>
      <c r="M1211" s="15">
        <v>103.94</v>
      </c>
      <c r="N1211" s="15">
        <v>104.55</v>
      </c>
      <c r="O1211" s="15">
        <v>115.94</v>
      </c>
      <c r="P1211" s="15">
        <v>2.28</v>
      </c>
      <c r="Q1211" s="15">
        <v>6.68</v>
      </c>
      <c r="R1211" s="15">
        <v>6.65</v>
      </c>
      <c r="S1211" s="15">
        <v>0.41</v>
      </c>
      <c r="T1211" s="15">
        <v>20.82</v>
      </c>
      <c r="U1211" s="15">
        <v>9.91</v>
      </c>
      <c r="V1211" s="15">
        <v>4.6</v>
      </c>
      <c r="W1211" s="15">
        <v>8.1</v>
      </c>
      <c r="X1211" s="15">
        <v>9.58</v>
      </c>
      <c r="Y1211" s="15">
        <v>31.5</v>
      </c>
      <c r="Z1211" s="15">
        <v>22.66</v>
      </c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</row>
    <row r="1212" spans="1:43">
      <c r="A1212" s="15" t="s">
        <v>49</v>
      </c>
      <c r="B1212" s="15" t="s">
        <v>50</v>
      </c>
      <c r="C1212" s="15" t="s">
        <v>61</v>
      </c>
      <c r="D1212" s="15" t="s">
        <v>3277</v>
      </c>
      <c r="E1212" s="15" t="s">
        <v>3278</v>
      </c>
      <c r="F1212" s="16">
        <v>0</v>
      </c>
      <c r="G1212" s="15" t="s">
        <v>3278</v>
      </c>
      <c r="H1212" s="15" t="s">
        <v>3279</v>
      </c>
      <c r="I1212" s="15">
        <v>0</v>
      </c>
      <c r="J1212" s="15">
        <v>0</v>
      </c>
      <c r="K1212" s="15">
        <v>0</v>
      </c>
      <c r="L1212" s="20">
        <v>0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</row>
    <row r="1213" spans="1:43">
      <c r="A1213" s="15" t="s">
        <v>43</v>
      </c>
      <c r="B1213" s="15" t="s">
        <v>44</v>
      </c>
      <c r="C1213" s="15" t="s">
        <v>45</v>
      </c>
      <c r="D1213" s="15" t="s">
        <v>3280</v>
      </c>
      <c r="E1213" s="15" t="s">
        <v>3281</v>
      </c>
      <c r="F1213" s="16">
        <v>43583.6488888889</v>
      </c>
      <c r="G1213" s="15" t="s">
        <v>3281</v>
      </c>
      <c r="H1213" s="15" t="s">
        <v>3282</v>
      </c>
      <c r="I1213" s="15">
        <v>0</v>
      </c>
      <c r="J1213" s="15">
        <v>0</v>
      </c>
      <c r="K1213" s="15">
        <v>0</v>
      </c>
      <c r="L1213" s="20">
        <v>0</v>
      </c>
      <c r="M1213" s="15">
        <v>0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</row>
    <row r="1214" spans="1:43">
      <c r="A1214" s="15" t="s">
        <v>49</v>
      </c>
      <c r="B1214" s="15" t="s">
        <v>50</v>
      </c>
      <c r="C1214" s="15" t="s">
        <v>61</v>
      </c>
      <c r="D1214" s="15" t="s">
        <v>3283</v>
      </c>
      <c r="E1214" s="15" t="s">
        <v>3029</v>
      </c>
      <c r="F1214" s="16">
        <v>0</v>
      </c>
      <c r="G1214" s="15" t="s">
        <v>3029</v>
      </c>
      <c r="H1214" s="15" t="s">
        <v>54</v>
      </c>
      <c r="I1214" s="15">
        <v>0</v>
      </c>
      <c r="J1214" s="15">
        <v>0</v>
      </c>
      <c r="K1214" s="15">
        <v>0</v>
      </c>
      <c r="L1214" s="20">
        <v>0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0</v>
      </c>
      <c r="W1214" s="15">
        <v>0</v>
      </c>
      <c r="X1214" s="15">
        <v>0</v>
      </c>
      <c r="Y1214" s="15">
        <v>0</v>
      </c>
      <c r="Z1214" s="15">
        <v>0</v>
      </c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</row>
    <row r="1215" spans="1:43">
      <c r="A1215" s="15" t="s">
        <v>64</v>
      </c>
      <c r="B1215" s="15" t="s">
        <v>65</v>
      </c>
      <c r="C1215" s="15" t="s">
        <v>522</v>
      </c>
      <c r="D1215" s="15" t="s">
        <v>3284</v>
      </c>
      <c r="E1215" s="15" t="s">
        <v>3285</v>
      </c>
      <c r="F1215" s="16">
        <v>44846.6355671296</v>
      </c>
      <c r="G1215" s="15" t="s">
        <v>3285</v>
      </c>
      <c r="H1215" s="15" t="s">
        <v>54</v>
      </c>
      <c r="I1215" s="15">
        <v>0</v>
      </c>
      <c r="J1215" s="15">
        <v>0</v>
      </c>
      <c r="K1215" s="15">
        <v>0</v>
      </c>
      <c r="L1215" s="20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0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</row>
    <row r="1216" spans="1:43">
      <c r="A1216" s="15" t="s">
        <v>49</v>
      </c>
      <c r="B1216" s="15" t="s">
        <v>50</v>
      </c>
      <c r="C1216" s="15" t="s">
        <v>61</v>
      </c>
      <c r="D1216" s="15" t="s">
        <v>3286</v>
      </c>
      <c r="E1216" s="15" t="s">
        <v>3287</v>
      </c>
      <c r="F1216" s="16">
        <v>0</v>
      </c>
      <c r="G1216" s="15" t="s">
        <v>3287</v>
      </c>
      <c r="H1216" s="15" t="s">
        <v>3288</v>
      </c>
      <c r="I1216" s="15">
        <v>0</v>
      </c>
      <c r="J1216" s="15">
        <v>0</v>
      </c>
      <c r="K1216" s="15">
        <v>0</v>
      </c>
      <c r="L1216" s="20">
        <v>0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0</v>
      </c>
      <c r="Z1216" s="15">
        <v>0</v>
      </c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</row>
    <row r="1217" spans="1:43">
      <c r="A1217" s="15" t="s">
        <v>43</v>
      </c>
      <c r="B1217" s="15" t="s">
        <v>44</v>
      </c>
      <c r="C1217" s="15" t="s">
        <v>45</v>
      </c>
      <c r="D1217" s="15" t="s">
        <v>3289</v>
      </c>
      <c r="E1217" s="15" t="s">
        <v>3290</v>
      </c>
      <c r="F1217" s="16">
        <v>42727.4157175926</v>
      </c>
      <c r="G1217" s="15" t="s">
        <v>3290</v>
      </c>
      <c r="H1217" s="15" t="s">
        <v>3291</v>
      </c>
      <c r="I1217" s="15">
        <v>0</v>
      </c>
      <c r="J1217" s="15">
        <v>0</v>
      </c>
      <c r="K1217" s="15">
        <v>0</v>
      </c>
      <c r="L1217" s="20">
        <v>0</v>
      </c>
      <c r="M1217" s="15">
        <v>0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</row>
    <row r="1218" spans="1:43">
      <c r="A1218" s="15" t="s">
        <v>43</v>
      </c>
      <c r="B1218" s="15" t="s">
        <v>44</v>
      </c>
      <c r="C1218" s="15" t="s">
        <v>45</v>
      </c>
      <c r="D1218" s="15" t="s">
        <v>3292</v>
      </c>
      <c r="E1218" s="15" t="s">
        <v>3293</v>
      </c>
      <c r="F1218" s="16">
        <v>42432.4314814815</v>
      </c>
      <c r="G1218" s="15" t="s">
        <v>3293</v>
      </c>
      <c r="H1218" s="15" t="s">
        <v>3294</v>
      </c>
      <c r="I1218" s="15">
        <v>0</v>
      </c>
      <c r="J1218" s="15">
        <v>0</v>
      </c>
      <c r="K1218" s="15">
        <v>0</v>
      </c>
      <c r="L1218" s="20">
        <v>0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0</v>
      </c>
      <c r="X1218" s="15">
        <v>0</v>
      </c>
      <c r="Y1218" s="15">
        <v>0</v>
      </c>
      <c r="Z1218" s="15">
        <v>0</v>
      </c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</row>
    <row r="1219" spans="1:43">
      <c r="A1219" s="15" t="s">
        <v>43</v>
      </c>
      <c r="B1219" s="15" t="s">
        <v>44</v>
      </c>
      <c r="C1219" s="15" t="s">
        <v>45</v>
      </c>
      <c r="D1219" s="15" t="s">
        <v>3295</v>
      </c>
      <c r="E1219" s="15" t="s">
        <v>3296</v>
      </c>
      <c r="F1219" s="16">
        <v>42632.3770949074</v>
      </c>
      <c r="G1219" s="15" t="s">
        <v>3296</v>
      </c>
      <c r="H1219" s="15" t="s">
        <v>3297</v>
      </c>
      <c r="I1219" s="15">
        <v>0</v>
      </c>
      <c r="J1219" s="15">
        <v>0</v>
      </c>
      <c r="K1219" s="15">
        <v>0</v>
      </c>
      <c r="L1219" s="20">
        <v>0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</row>
    <row r="1220" spans="1:43">
      <c r="A1220" s="15" t="s">
        <v>49</v>
      </c>
      <c r="B1220" s="15" t="s">
        <v>50</v>
      </c>
      <c r="C1220" s="15" t="s">
        <v>61</v>
      </c>
      <c r="D1220" s="15" t="s">
        <v>3298</v>
      </c>
      <c r="E1220" s="15" t="s">
        <v>3299</v>
      </c>
      <c r="F1220" s="16">
        <v>0</v>
      </c>
      <c r="G1220" s="15" t="s">
        <v>3299</v>
      </c>
      <c r="H1220" s="15" t="s">
        <v>54</v>
      </c>
      <c r="I1220" s="15">
        <v>0</v>
      </c>
      <c r="J1220" s="15">
        <v>0</v>
      </c>
      <c r="K1220" s="15">
        <v>0</v>
      </c>
      <c r="L1220" s="20">
        <v>0</v>
      </c>
      <c r="M1220" s="15">
        <v>0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0</v>
      </c>
      <c r="X1220" s="15">
        <v>0</v>
      </c>
      <c r="Y1220" s="15">
        <v>0</v>
      </c>
      <c r="Z1220" s="15">
        <v>0</v>
      </c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</row>
    <row r="1221" spans="1:43">
      <c r="A1221" s="15" t="s">
        <v>43</v>
      </c>
      <c r="B1221" s="15" t="s">
        <v>44</v>
      </c>
      <c r="C1221" s="15" t="s">
        <v>45</v>
      </c>
      <c r="D1221" s="15" t="s">
        <v>3300</v>
      </c>
      <c r="E1221" s="15" t="s">
        <v>3301</v>
      </c>
      <c r="F1221" s="16">
        <v>43218.7000694444</v>
      </c>
      <c r="G1221" s="15" t="s">
        <v>3301</v>
      </c>
      <c r="H1221" s="15" t="s">
        <v>3302</v>
      </c>
      <c r="I1221" s="15">
        <v>0</v>
      </c>
      <c r="J1221" s="15">
        <v>0</v>
      </c>
      <c r="K1221" s="15">
        <v>0</v>
      </c>
      <c r="L1221" s="20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</row>
    <row r="1222" spans="1:43">
      <c r="A1222" s="15" t="s">
        <v>43</v>
      </c>
      <c r="B1222" s="15" t="s">
        <v>44</v>
      </c>
      <c r="C1222" s="15" t="s">
        <v>45</v>
      </c>
      <c r="D1222" s="15" t="s">
        <v>3303</v>
      </c>
      <c r="E1222" s="15" t="s">
        <v>3304</v>
      </c>
      <c r="F1222" s="16">
        <v>43083.3836689815</v>
      </c>
      <c r="G1222" s="15" t="s">
        <v>3304</v>
      </c>
      <c r="H1222" s="15" t="s">
        <v>3305</v>
      </c>
      <c r="I1222" s="15">
        <v>0</v>
      </c>
      <c r="J1222" s="15">
        <v>0</v>
      </c>
      <c r="K1222" s="15">
        <v>0</v>
      </c>
      <c r="L1222" s="20">
        <v>0</v>
      </c>
      <c r="M1222" s="15">
        <v>0</v>
      </c>
      <c r="N1222" s="15">
        <v>0</v>
      </c>
      <c r="O1222" s="15">
        <v>0</v>
      </c>
      <c r="P1222" s="15">
        <v>0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</row>
    <row r="1223" spans="1:43">
      <c r="A1223" s="15" t="s">
        <v>43</v>
      </c>
      <c r="B1223" s="15" t="s">
        <v>44</v>
      </c>
      <c r="C1223" s="15" t="s">
        <v>45</v>
      </c>
      <c r="D1223" s="15" t="s">
        <v>3306</v>
      </c>
      <c r="E1223" s="15" t="s">
        <v>3307</v>
      </c>
      <c r="F1223" s="16">
        <v>44372.406712963</v>
      </c>
      <c r="G1223" s="15" t="s">
        <v>3307</v>
      </c>
      <c r="H1223" s="15" t="s">
        <v>3308</v>
      </c>
      <c r="I1223" s="15">
        <v>0</v>
      </c>
      <c r="J1223" s="15">
        <v>0</v>
      </c>
      <c r="K1223" s="15">
        <v>0</v>
      </c>
      <c r="L1223" s="20">
        <v>0</v>
      </c>
      <c r="M1223" s="15">
        <v>0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</row>
    <row r="1224" spans="1:43">
      <c r="A1224" s="15" t="s">
        <v>43</v>
      </c>
      <c r="B1224" s="15" t="s">
        <v>44</v>
      </c>
      <c r="C1224" s="15" t="s">
        <v>45</v>
      </c>
      <c r="D1224" s="15" t="s">
        <v>3309</v>
      </c>
      <c r="E1224" s="15" t="s">
        <v>3310</v>
      </c>
      <c r="F1224" s="16">
        <v>40966.5274652778</v>
      </c>
      <c r="G1224" s="15" t="s">
        <v>3310</v>
      </c>
      <c r="H1224" s="15" t="s">
        <v>3311</v>
      </c>
      <c r="I1224" s="15">
        <v>0</v>
      </c>
      <c r="J1224" s="15">
        <v>0</v>
      </c>
      <c r="K1224" s="15">
        <v>0</v>
      </c>
      <c r="L1224" s="20">
        <v>0</v>
      </c>
      <c r="M1224" s="15">
        <v>0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</row>
    <row r="1225" spans="1:43">
      <c r="A1225" s="15" t="s">
        <v>49</v>
      </c>
      <c r="B1225" s="15" t="s">
        <v>50</v>
      </c>
      <c r="C1225" s="15" t="s">
        <v>61</v>
      </c>
      <c r="D1225" s="15" t="s">
        <v>3312</v>
      </c>
      <c r="E1225" s="15" t="s">
        <v>3313</v>
      </c>
      <c r="F1225" s="16">
        <v>0</v>
      </c>
      <c r="G1225" s="15" t="s">
        <v>3313</v>
      </c>
      <c r="H1225" s="15" t="s">
        <v>3314</v>
      </c>
      <c r="I1225" s="15">
        <v>0</v>
      </c>
      <c r="J1225" s="15">
        <v>0</v>
      </c>
      <c r="K1225" s="15">
        <v>0</v>
      </c>
      <c r="L1225" s="20">
        <v>0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</row>
    <row r="1226" spans="1:43">
      <c r="A1226" s="15" t="s">
        <v>49</v>
      </c>
      <c r="B1226" s="15" t="s">
        <v>50</v>
      </c>
      <c r="C1226" s="15" t="s">
        <v>61</v>
      </c>
      <c r="D1226" s="15" t="s">
        <v>3315</v>
      </c>
      <c r="E1226" s="15" t="s">
        <v>3316</v>
      </c>
      <c r="F1226" s="16">
        <v>0</v>
      </c>
      <c r="G1226" s="15" t="s">
        <v>3316</v>
      </c>
      <c r="H1226" s="15" t="s">
        <v>3317</v>
      </c>
      <c r="I1226" s="15">
        <v>0</v>
      </c>
      <c r="J1226" s="15">
        <v>0</v>
      </c>
      <c r="K1226" s="15">
        <v>0</v>
      </c>
      <c r="L1226" s="20">
        <v>0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</row>
    <row r="1227" spans="1:43">
      <c r="A1227" s="15" t="s">
        <v>43</v>
      </c>
      <c r="B1227" s="15" t="s">
        <v>44</v>
      </c>
      <c r="C1227" s="15" t="s">
        <v>45</v>
      </c>
      <c r="D1227" s="15" t="s">
        <v>3318</v>
      </c>
      <c r="E1227" s="15" t="s">
        <v>3319</v>
      </c>
      <c r="F1227" s="16">
        <v>44130.7127083333</v>
      </c>
      <c r="G1227" s="15" t="s">
        <v>3319</v>
      </c>
      <c r="H1227" s="15" t="s">
        <v>54</v>
      </c>
      <c r="I1227" s="15">
        <v>0</v>
      </c>
      <c r="J1227" s="15">
        <v>0</v>
      </c>
      <c r="K1227" s="15">
        <v>0</v>
      </c>
      <c r="L1227" s="20">
        <v>0</v>
      </c>
      <c r="M1227" s="15">
        <v>0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</row>
    <row r="1228" spans="1:43">
      <c r="A1228" s="15" t="s">
        <v>43</v>
      </c>
      <c r="B1228" s="15" t="s">
        <v>44</v>
      </c>
      <c r="C1228" s="15" t="s">
        <v>45</v>
      </c>
      <c r="D1228" s="15" t="s">
        <v>3320</v>
      </c>
      <c r="E1228" s="15" t="s">
        <v>3321</v>
      </c>
      <c r="F1228" s="16">
        <v>43462.6500231481</v>
      </c>
      <c r="G1228" s="15" t="s">
        <v>3321</v>
      </c>
      <c r="H1228" s="15" t="s">
        <v>3322</v>
      </c>
      <c r="I1228" s="15">
        <v>0</v>
      </c>
      <c r="J1228" s="15">
        <v>0</v>
      </c>
      <c r="K1228" s="15">
        <v>0</v>
      </c>
      <c r="L1228" s="20">
        <v>0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</row>
    <row r="1229" spans="1:43">
      <c r="A1229" s="15" t="s">
        <v>43</v>
      </c>
      <c r="B1229" s="15" t="s">
        <v>44</v>
      </c>
      <c r="C1229" s="15" t="s">
        <v>45</v>
      </c>
      <c r="D1229" s="15" t="s">
        <v>3323</v>
      </c>
      <c r="E1229" s="15" t="s">
        <v>3324</v>
      </c>
      <c r="F1229" s="16">
        <v>42367.6033217593</v>
      </c>
      <c r="G1229" s="15" t="s">
        <v>3324</v>
      </c>
      <c r="H1229" s="15" t="s">
        <v>3325</v>
      </c>
      <c r="I1229" s="15">
        <v>0</v>
      </c>
      <c r="J1229" s="15">
        <v>0</v>
      </c>
      <c r="K1229" s="15">
        <v>0</v>
      </c>
      <c r="L1229" s="20">
        <v>0</v>
      </c>
      <c r="M1229" s="15">
        <v>0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</row>
    <row r="1230" spans="1:43">
      <c r="A1230" s="15" t="s">
        <v>43</v>
      </c>
      <c r="B1230" s="15" t="s">
        <v>44</v>
      </c>
      <c r="C1230" s="15" t="s">
        <v>45</v>
      </c>
      <c r="D1230" s="15" t="s">
        <v>3326</v>
      </c>
      <c r="E1230" s="15" t="s">
        <v>3327</v>
      </c>
      <c r="F1230" s="16">
        <v>41899.5776851852</v>
      </c>
      <c r="G1230" s="15" t="s">
        <v>3327</v>
      </c>
      <c r="H1230" s="15" t="s">
        <v>3328</v>
      </c>
      <c r="I1230" s="15">
        <v>0</v>
      </c>
      <c r="J1230" s="15">
        <v>0</v>
      </c>
      <c r="K1230" s="15">
        <v>0</v>
      </c>
      <c r="L1230" s="20">
        <v>0</v>
      </c>
      <c r="M1230" s="15">
        <v>0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</row>
    <row r="1231" spans="1:43">
      <c r="A1231" s="15" t="s">
        <v>43</v>
      </c>
      <c r="B1231" s="15" t="s">
        <v>44</v>
      </c>
      <c r="C1231" s="15" t="s">
        <v>45</v>
      </c>
      <c r="D1231" s="15" t="s">
        <v>3329</v>
      </c>
      <c r="E1231" s="15" t="s">
        <v>3330</v>
      </c>
      <c r="F1231" s="16">
        <v>41116.4269907407</v>
      </c>
      <c r="G1231" s="15" t="s">
        <v>3330</v>
      </c>
      <c r="H1231" s="15" t="s">
        <v>3331</v>
      </c>
      <c r="I1231" s="15">
        <v>0</v>
      </c>
      <c r="J1231" s="15">
        <v>0</v>
      </c>
      <c r="K1231" s="15">
        <v>0</v>
      </c>
      <c r="L1231" s="20">
        <v>0</v>
      </c>
      <c r="M1231" s="15">
        <v>0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</row>
    <row r="1232" spans="1:43">
      <c r="A1232" s="15" t="s">
        <v>49</v>
      </c>
      <c r="B1232" s="15" t="s">
        <v>50</v>
      </c>
      <c r="C1232" s="15" t="s">
        <v>301</v>
      </c>
      <c r="D1232" s="15" t="s">
        <v>3332</v>
      </c>
      <c r="E1232" s="15" t="s">
        <v>3333</v>
      </c>
      <c r="F1232" s="16">
        <v>44907.601712963</v>
      </c>
      <c r="G1232" s="15" t="s">
        <v>3333</v>
      </c>
      <c r="H1232" s="15" t="s">
        <v>54</v>
      </c>
      <c r="I1232" s="15">
        <v>0</v>
      </c>
      <c r="J1232" s="15">
        <v>0</v>
      </c>
      <c r="K1232" s="15">
        <v>0</v>
      </c>
      <c r="L1232" s="20">
        <v>0</v>
      </c>
      <c r="M1232" s="15">
        <v>0</v>
      </c>
      <c r="N1232" s="15">
        <v>0</v>
      </c>
      <c r="O1232" s="15">
        <v>0</v>
      </c>
      <c r="P1232" s="15">
        <v>0</v>
      </c>
      <c r="Q1232" s="15">
        <v>0</v>
      </c>
      <c r="R1232" s="15">
        <v>0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</row>
    <row r="1233" spans="1:43">
      <c r="A1233" s="15" t="s">
        <v>49</v>
      </c>
      <c r="B1233" s="15" t="s">
        <v>50</v>
      </c>
      <c r="C1233" s="15" t="s">
        <v>61</v>
      </c>
      <c r="D1233" s="15" t="s">
        <v>3334</v>
      </c>
      <c r="E1233" s="15" t="s">
        <v>3335</v>
      </c>
      <c r="F1233" s="16">
        <v>0</v>
      </c>
      <c r="G1233" s="15" t="s">
        <v>3335</v>
      </c>
      <c r="H1233" s="15" t="s">
        <v>3336</v>
      </c>
      <c r="I1233" s="15">
        <v>0</v>
      </c>
      <c r="J1233" s="15">
        <v>0</v>
      </c>
      <c r="K1233" s="15">
        <v>0</v>
      </c>
      <c r="L1233" s="20">
        <v>0</v>
      </c>
      <c r="M1233" s="15">
        <v>0</v>
      </c>
      <c r="N1233" s="15">
        <v>0</v>
      </c>
      <c r="O1233" s="15">
        <v>0</v>
      </c>
      <c r="P1233" s="15">
        <v>0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</row>
    <row r="1234" spans="1:43">
      <c r="A1234" s="15" t="s">
        <v>49</v>
      </c>
      <c r="B1234" s="15" t="s">
        <v>50</v>
      </c>
      <c r="C1234" s="15" t="s">
        <v>61</v>
      </c>
      <c r="D1234" s="15" t="s">
        <v>3337</v>
      </c>
      <c r="E1234" s="15" t="s">
        <v>3338</v>
      </c>
      <c r="F1234" s="16">
        <v>0</v>
      </c>
      <c r="G1234" s="15" t="s">
        <v>3338</v>
      </c>
      <c r="H1234" s="15" t="s">
        <v>54</v>
      </c>
      <c r="I1234" s="15">
        <v>0</v>
      </c>
      <c r="J1234" s="15">
        <v>0</v>
      </c>
      <c r="K1234" s="15">
        <v>0</v>
      </c>
      <c r="L1234" s="20">
        <v>0</v>
      </c>
      <c r="M1234" s="15">
        <v>0</v>
      </c>
      <c r="N1234" s="15">
        <v>0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0</v>
      </c>
      <c r="Y1234" s="15">
        <v>0</v>
      </c>
      <c r="Z1234" s="15">
        <v>0</v>
      </c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</row>
    <row r="1235" spans="1:43">
      <c r="A1235" s="15" t="s">
        <v>43</v>
      </c>
      <c r="B1235" s="15" t="s">
        <v>44</v>
      </c>
      <c r="C1235" s="15" t="s">
        <v>45</v>
      </c>
      <c r="D1235" s="15" t="s">
        <v>3339</v>
      </c>
      <c r="E1235" s="15" t="s">
        <v>3340</v>
      </c>
      <c r="F1235" s="16">
        <v>42559.6685416667</v>
      </c>
      <c r="G1235" s="15" t="s">
        <v>3340</v>
      </c>
      <c r="H1235" s="15" t="s">
        <v>3341</v>
      </c>
      <c r="I1235" s="15">
        <v>0</v>
      </c>
      <c r="J1235" s="15">
        <v>0</v>
      </c>
      <c r="K1235" s="15">
        <v>0</v>
      </c>
      <c r="L1235" s="20">
        <v>0</v>
      </c>
      <c r="M1235" s="15">
        <v>0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</row>
    <row r="1236" spans="1:43">
      <c r="A1236" s="15" t="s">
        <v>49</v>
      </c>
      <c r="B1236" s="15" t="s">
        <v>50</v>
      </c>
      <c r="C1236" s="15" t="s">
        <v>61</v>
      </c>
      <c r="D1236" s="15" t="s">
        <v>3342</v>
      </c>
      <c r="E1236" s="15" t="s">
        <v>3343</v>
      </c>
      <c r="F1236" s="16">
        <v>0</v>
      </c>
      <c r="G1236" s="15" t="s">
        <v>3343</v>
      </c>
      <c r="H1236" s="15" t="s">
        <v>54</v>
      </c>
      <c r="I1236" s="15">
        <v>0</v>
      </c>
      <c r="J1236" s="15">
        <v>0</v>
      </c>
      <c r="K1236" s="15">
        <v>0</v>
      </c>
      <c r="L1236" s="20">
        <v>0</v>
      </c>
      <c r="M1236" s="15">
        <v>0</v>
      </c>
      <c r="N1236" s="15">
        <v>0</v>
      </c>
      <c r="O1236" s="15">
        <v>0</v>
      </c>
      <c r="P1236" s="15">
        <v>0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</row>
    <row r="1237" spans="1:43">
      <c r="A1237" s="15" t="s">
        <v>49</v>
      </c>
      <c r="B1237" s="15" t="s">
        <v>50</v>
      </c>
      <c r="C1237" s="15" t="s">
        <v>61</v>
      </c>
      <c r="D1237" s="15" t="s">
        <v>3344</v>
      </c>
      <c r="E1237" s="15" t="s">
        <v>3345</v>
      </c>
      <c r="F1237" s="16">
        <v>0</v>
      </c>
      <c r="G1237" s="15" t="s">
        <v>3345</v>
      </c>
      <c r="H1237" s="15" t="s">
        <v>3346</v>
      </c>
      <c r="I1237" s="15">
        <v>0</v>
      </c>
      <c r="J1237" s="15">
        <v>0</v>
      </c>
      <c r="K1237" s="15">
        <v>0</v>
      </c>
      <c r="L1237" s="20">
        <v>0</v>
      </c>
      <c r="M1237" s="15">
        <v>0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</row>
    <row r="1238" spans="1:43">
      <c r="A1238" s="15" t="s">
        <v>43</v>
      </c>
      <c r="B1238" s="15" t="s">
        <v>44</v>
      </c>
      <c r="C1238" s="15" t="s">
        <v>45</v>
      </c>
      <c r="D1238" s="15" t="s">
        <v>3347</v>
      </c>
      <c r="E1238" s="15" t="s">
        <v>3348</v>
      </c>
      <c r="F1238" s="16">
        <v>42719.4497800926</v>
      </c>
      <c r="G1238" s="15" t="s">
        <v>3348</v>
      </c>
      <c r="H1238" s="15" t="s">
        <v>3349</v>
      </c>
      <c r="I1238" s="15">
        <v>0</v>
      </c>
      <c r="J1238" s="15">
        <v>0</v>
      </c>
      <c r="K1238" s="15">
        <v>0</v>
      </c>
      <c r="L1238" s="20">
        <v>0</v>
      </c>
      <c r="M1238" s="15">
        <v>0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</row>
    <row r="1239" spans="1:43">
      <c r="A1239" s="15" t="s">
        <v>64</v>
      </c>
      <c r="B1239" s="15" t="s">
        <v>118</v>
      </c>
      <c r="C1239" s="15" t="s">
        <v>131</v>
      </c>
      <c r="D1239" s="15" t="s">
        <v>3350</v>
      </c>
      <c r="E1239" s="15" t="s">
        <v>133</v>
      </c>
      <c r="F1239" s="16">
        <v>45083.7313310185</v>
      </c>
      <c r="G1239" s="15" t="s">
        <v>133</v>
      </c>
      <c r="H1239" s="15" t="s">
        <v>54</v>
      </c>
      <c r="I1239" s="15">
        <v>0</v>
      </c>
      <c r="J1239" s="15">
        <v>0</v>
      </c>
      <c r="K1239" s="15">
        <v>0</v>
      </c>
      <c r="L1239" s="20">
        <v>0</v>
      </c>
      <c r="M1239" s="15">
        <v>0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</row>
    <row r="1240" spans="1:43">
      <c r="A1240" s="15" t="s">
        <v>43</v>
      </c>
      <c r="B1240" s="15" t="s">
        <v>44</v>
      </c>
      <c r="C1240" s="15" t="s">
        <v>45</v>
      </c>
      <c r="D1240" s="15" t="s">
        <v>3351</v>
      </c>
      <c r="E1240" s="15" t="s">
        <v>3352</v>
      </c>
      <c r="F1240" s="16">
        <v>43539.4578125</v>
      </c>
      <c r="G1240" s="15" t="s">
        <v>3352</v>
      </c>
      <c r="H1240" s="15" t="s">
        <v>54</v>
      </c>
      <c r="I1240" s="15">
        <v>0</v>
      </c>
      <c r="J1240" s="15">
        <v>0</v>
      </c>
      <c r="K1240" s="15">
        <v>0</v>
      </c>
      <c r="L1240" s="20">
        <v>0</v>
      </c>
      <c r="M1240" s="15">
        <v>0</v>
      </c>
      <c r="N1240" s="15">
        <v>0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</row>
    <row r="1241" spans="1:43">
      <c r="A1241" s="15" t="s">
        <v>43</v>
      </c>
      <c r="B1241" s="15" t="s">
        <v>44</v>
      </c>
      <c r="C1241" s="15" t="s">
        <v>45</v>
      </c>
      <c r="D1241" s="15" t="s">
        <v>3353</v>
      </c>
      <c r="E1241" s="15" t="s">
        <v>3354</v>
      </c>
      <c r="F1241" s="16">
        <v>42746.6901736111</v>
      </c>
      <c r="G1241" s="15" t="s">
        <v>3354</v>
      </c>
      <c r="H1241" s="15" t="s">
        <v>3355</v>
      </c>
      <c r="I1241" s="15">
        <v>0</v>
      </c>
      <c r="J1241" s="15">
        <v>0</v>
      </c>
      <c r="K1241" s="15">
        <v>0</v>
      </c>
      <c r="L1241" s="20">
        <v>0</v>
      </c>
      <c r="M1241" s="15">
        <v>0</v>
      </c>
      <c r="N1241" s="15">
        <v>0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</row>
    <row r="1242" spans="1:43">
      <c r="A1242" s="15" t="s">
        <v>43</v>
      </c>
      <c r="B1242" s="15" t="s">
        <v>44</v>
      </c>
      <c r="C1242" s="15" t="s">
        <v>45</v>
      </c>
      <c r="D1242" s="15" t="s">
        <v>3356</v>
      </c>
      <c r="E1242" s="15" t="s">
        <v>3357</v>
      </c>
      <c r="F1242" s="16">
        <v>42631.4184953704</v>
      </c>
      <c r="G1242" s="15" t="s">
        <v>3357</v>
      </c>
      <c r="H1242" s="15" t="s">
        <v>3358</v>
      </c>
      <c r="I1242" s="15">
        <v>0</v>
      </c>
      <c r="J1242" s="15">
        <v>0</v>
      </c>
      <c r="K1242" s="15">
        <v>0</v>
      </c>
      <c r="L1242" s="20">
        <v>0</v>
      </c>
      <c r="M1242" s="15">
        <v>0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0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</row>
    <row r="1243" spans="1:43">
      <c r="A1243" s="15" t="s">
        <v>49</v>
      </c>
      <c r="B1243" s="15" t="s">
        <v>50</v>
      </c>
      <c r="C1243" s="15" t="s">
        <v>61</v>
      </c>
      <c r="D1243" s="15" t="s">
        <v>3359</v>
      </c>
      <c r="E1243" s="15" t="s">
        <v>3360</v>
      </c>
      <c r="F1243" s="16">
        <v>0</v>
      </c>
      <c r="G1243" s="15" t="s">
        <v>3360</v>
      </c>
      <c r="H1243" s="15" t="s">
        <v>3361</v>
      </c>
      <c r="I1243" s="15">
        <v>0</v>
      </c>
      <c r="J1243" s="15">
        <v>0</v>
      </c>
      <c r="K1243" s="15">
        <v>0</v>
      </c>
      <c r="L1243" s="20">
        <v>0</v>
      </c>
      <c r="M1243" s="15">
        <v>0</v>
      </c>
      <c r="N1243" s="15">
        <v>0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</row>
    <row r="1244" spans="1:43">
      <c r="A1244" s="15" t="s">
        <v>49</v>
      </c>
      <c r="B1244" s="15" t="s">
        <v>50</v>
      </c>
      <c r="C1244" s="15" t="s">
        <v>61</v>
      </c>
      <c r="D1244" s="15" t="s">
        <v>3362</v>
      </c>
      <c r="E1244" s="15" t="s">
        <v>1164</v>
      </c>
      <c r="F1244" s="16">
        <v>0</v>
      </c>
      <c r="G1244" s="15" t="s">
        <v>1164</v>
      </c>
      <c r="H1244" s="15" t="s">
        <v>54</v>
      </c>
      <c r="I1244" s="15">
        <v>0</v>
      </c>
      <c r="J1244" s="15">
        <v>0</v>
      </c>
      <c r="K1244" s="15">
        <v>0</v>
      </c>
      <c r="L1244" s="20">
        <v>0</v>
      </c>
      <c r="M1244" s="15">
        <v>0</v>
      </c>
      <c r="N1244" s="15">
        <v>0</v>
      </c>
      <c r="O1244" s="15">
        <v>0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</row>
    <row r="1245" spans="1:43">
      <c r="A1245" s="15" t="s">
        <v>64</v>
      </c>
      <c r="B1245" s="15" t="s">
        <v>118</v>
      </c>
      <c r="C1245" s="15" t="s">
        <v>119</v>
      </c>
      <c r="D1245" s="15" t="s">
        <v>3363</v>
      </c>
      <c r="E1245" s="15" t="s">
        <v>3364</v>
      </c>
      <c r="F1245" s="16">
        <v>45128.6951041667</v>
      </c>
      <c r="G1245" s="15" t="s">
        <v>3364</v>
      </c>
      <c r="H1245" s="15" t="s">
        <v>54</v>
      </c>
      <c r="I1245" s="15">
        <v>2221.72</v>
      </c>
      <c r="J1245" s="15">
        <v>6</v>
      </c>
      <c r="K1245" s="15">
        <v>370.286666666667</v>
      </c>
      <c r="L1245" s="20">
        <v>5.28980952380952</v>
      </c>
      <c r="M1245" s="15">
        <v>562.28</v>
      </c>
      <c r="N1245" s="15">
        <v>62.71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501.78</v>
      </c>
      <c r="V1245" s="15">
        <v>503.82</v>
      </c>
      <c r="W1245" s="15">
        <v>504.09</v>
      </c>
      <c r="X1245" s="15">
        <v>0</v>
      </c>
      <c r="Y1245" s="15">
        <v>0</v>
      </c>
      <c r="Z1245" s="15">
        <v>87.04</v>
      </c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</row>
    <row r="1246" spans="1:43">
      <c r="A1246" s="15" t="s">
        <v>49</v>
      </c>
      <c r="B1246" s="15" t="s">
        <v>50</v>
      </c>
      <c r="C1246" s="15" t="s">
        <v>61</v>
      </c>
      <c r="D1246" s="15" t="s">
        <v>3365</v>
      </c>
      <c r="E1246" s="15" t="s">
        <v>2879</v>
      </c>
      <c r="F1246" s="16">
        <v>0</v>
      </c>
      <c r="G1246" s="15" t="s">
        <v>2879</v>
      </c>
      <c r="H1246" s="15" t="s">
        <v>2880</v>
      </c>
      <c r="I1246" s="15">
        <v>0</v>
      </c>
      <c r="J1246" s="15">
        <v>0</v>
      </c>
      <c r="K1246" s="15">
        <v>0</v>
      </c>
      <c r="L1246" s="20">
        <v>0</v>
      </c>
      <c r="M1246" s="15">
        <v>0</v>
      </c>
      <c r="N1246" s="15">
        <v>0</v>
      </c>
      <c r="O1246" s="15">
        <v>0</v>
      </c>
      <c r="P1246" s="15">
        <v>0</v>
      </c>
      <c r="Q1246" s="15">
        <v>0</v>
      </c>
      <c r="R1246" s="15">
        <v>0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</row>
    <row r="1247" spans="1:43">
      <c r="A1247" s="15" t="s">
        <v>43</v>
      </c>
      <c r="B1247" s="15" t="s">
        <v>44</v>
      </c>
      <c r="C1247" s="15" t="s">
        <v>228</v>
      </c>
      <c r="D1247" s="15" t="s">
        <v>3366</v>
      </c>
      <c r="E1247" s="15" t="s">
        <v>3367</v>
      </c>
      <c r="F1247" s="16">
        <v>45037.6588078704</v>
      </c>
      <c r="G1247" s="15" t="s">
        <v>3367</v>
      </c>
      <c r="H1247" s="15" t="s">
        <v>54</v>
      </c>
      <c r="I1247" s="15">
        <v>537.6</v>
      </c>
      <c r="J1247" s="15">
        <v>14</v>
      </c>
      <c r="K1247" s="15">
        <v>38.4</v>
      </c>
      <c r="L1247" s="20">
        <v>0.768</v>
      </c>
      <c r="M1247" s="15">
        <v>8.53</v>
      </c>
      <c r="N1247" s="15">
        <v>31.95</v>
      </c>
      <c r="O1247" s="15">
        <v>25.97</v>
      </c>
      <c r="P1247" s="15">
        <v>53.22</v>
      </c>
      <c r="Q1247" s="15">
        <v>38.44</v>
      </c>
      <c r="R1247" s="15">
        <v>91.66</v>
      </c>
      <c r="S1247" s="15">
        <v>84.81</v>
      </c>
      <c r="T1247" s="15">
        <v>42.56</v>
      </c>
      <c r="U1247" s="15">
        <v>26.21</v>
      </c>
      <c r="V1247" s="15">
        <v>24.38</v>
      </c>
      <c r="W1247" s="15">
        <v>36.44</v>
      </c>
      <c r="X1247" s="15">
        <v>14.42</v>
      </c>
      <c r="Y1247" s="15">
        <v>18.07</v>
      </c>
      <c r="Z1247" s="15">
        <v>40.94</v>
      </c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</row>
    <row r="1248" spans="1:43">
      <c r="A1248" s="15" t="s">
        <v>49</v>
      </c>
      <c r="B1248" s="15" t="s">
        <v>50</v>
      </c>
      <c r="C1248" s="15" t="s">
        <v>61</v>
      </c>
      <c r="D1248" s="15" t="s">
        <v>3368</v>
      </c>
      <c r="E1248" s="15" t="s">
        <v>3369</v>
      </c>
      <c r="F1248" s="16">
        <v>0</v>
      </c>
      <c r="G1248" s="15" t="s">
        <v>3369</v>
      </c>
      <c r="H1248" s="15" t="s">
        <v>3370</v>
      </c>
      <c r="I1248" s="15">
        <v>0</v>
      </c>
      <c r="J1248" s="15">
        <v>0</v>
      </c>
      <c r="K1248" s="15">
        <v>0</v>
      </c>
      <c r="L1248" s="20">
        <v>0</v>
      </c>
      <c r="M1248" s="15">
        <v>0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</row>
    <row r="1249" spans="1:43">
      <c r="A1249" s="15" t="s">
        <v>43</v>
      </c>
      <c r="B1249" s="15" t="s">
        <v>44</v>
      </c>
      <c r="C1249" s="15" t="s">
        <v>45</v>
      </c>
      <c r="D1249" s="15" t="s">
        <v>3371</v>
      </c>
      <c r="E1249" s="15" t="s">
        <v>3372</v>
      </c>
      <c r="F1249" s="16">
        <v>41117.6957638889</v>
      </c>
      <c r="G1249" s="15" t="s">
        <v>3372</v>
      </c>
      <c r="H1249" s="15" t="s">
        <v>3373</v>
      </c>
      <c r="I1249" s="15">
        <v>0</v>
      </c>
      <c r="J1249" s="15">
        <v>0</v>
      </c>
      <c r="K1249" s="15">
        <v>0</v>
      </c>
      <c r="L1249" s="20">
        <v>0</v>
      </c>
      <c r="M1249" s="15">
        <v>0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</row>
    <row r="1250" spans="1:43">
      <c r="A1250" s="15" t="s">
        <v>64</v>
      </c>
      <c r="B1250" s="15" t="s">
        <v>65</v>
      </c>
      <c r="C1250" s="15" t="s">
        <v>78</v>
      </c>
      <c r="D1250" s="15" t="s">
        <v>3374</v>
      </c>
      <c r="E1250" s="15" t="s">
        <v>3375</v>
      </c>
      <c r="F1250" s="16">
        <v>44977.4683101852</v>
      </c>
      <c r="G1250" s="15" t="s">
        <v>3375</v>
      </c>
      <c r="H1250" s="15" t="s">
        <v>3376</v>
      </c>
      <c r="I1250" s="15">
        <v>0.3</v>
      </c>
      <c r="J1250" s="15">
        <v>1</v>
      </c>
      <c r="K1250" s="15">
        <v>0.3</v>
      </c>
      <c r="L1250" s="20">
        <v>0.00428571428571429</v>
      </c>
      <c r="M1250" s="15">
        <v>0</v>
      </c>
      <c r="N1250" s="15">
        <v>0</v>
      </c>
      <c r="O1250" s="15">
        <v>0</v>
      </c>
      <c r="P1250" s="15">
        <v>0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0.3</v>
      </c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</row>
    <row r="1251" spans="1:43">
      <c r="A1251" s="15" t="s">
        <v>43</v>
      </c>
      <c r="B1251" s="15" t="s">
        <v>44</v>
      </c>
      <c r="C1251" s="15" t="s">
        <v>45</v>
      </c>
      <c r="D1251" s="15" t="s">
        <v>3377</v>
      </c>
      <c r="E1251" s="15" t="s">
        <v>3378</v>
      </c>
      <c r="F1251" s="16">
        <v>42797.5884606481</v>
      </c>
      <c r="G1251" s="15" t="s">
        <v>3378</v>
      </c>
      <c r="H1251" s="15" t="s">
        <v>3379</v>
      </c>
      <c r="I1251" s="15">
        <v>0</v>
      </c>
      <c r="J1251" s="15">
        <v>0</v>
      </c>
      <c r="K1251" s="15">
        <v>0</v>
      </c>
      <c r="L1251" s="20">
        <v>0</v>
      </c>
      <c r="M1251" s="15">
        <v>0</v>
      </c>
      <c r="N1251" s="15">
        <v>0</v>
      </c>
      <c r="O1251" s="15">
        <v>0</v>
      </c>
      <c r="P1251" s="15">
        <v>0</v>
      </c>
      <c r="Q1251" s="15">
        <v>0</v>
      </c>
      <c r="R1251" s="15">
        <v>0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</row>
    <row r="1252" spans="1:43">
      <c r="A1252" s="15" t="s">
        <v>49</v>
      </c>
      <c r="B1252" s="15" t="s">
        <v>50</v>
      </c>
      <c r="C1252" s="15" t="s">
        <v>75</v>
      </c>
      <c r="D1252" s="15" t="s">
        <v>3380</v>
      </c>
      <c r="E1252" s="15" t="s">
        <v>3381</v>
      </c>
      <c r="F1252" s="16">
        <v>44888.7071643519</v>
      </c>
      <c r="G1252" s="15" t="s">
        <v>3381</v>
      </c>
      <c r="H1252" s="15" t="s">
        <v>54</v>
      </c>
      <c r="I1252" s="15">
        <v>0</v>
      </c>
      <c r="J1252" s="15">
        <v>0</v>
      </c>
      <c r="K1252" s="15">
        <v>0</v>
      </c>
      <c r="L1252" s="20">
        <v>0</v>
      </c>
      <c r="M1252" s="15">
        <v>0</v>
      </c>
      <c r="N1252" s="15">
        <v>0</v>
      </c>
      <c r="O1252" s="15">
        <v>0</v>
      </c>
      <c r="P1252" s="15">
        <v>0</v>
      </c>
      <c r="Q1252" s="15">
        <v>0</v>
      </c>
      <c r="R1252" s="15">
        <v>0</v>
      </c>
      <c r="S1252" s="15">
        <v>0</v>
      </c>
      <c r="T1252" s="15">
        <v>0</v>
      </c>
      <c r="U1252" s="15">
        <v>0</v>
      </c>
      <c r="V1252" s="15">
        <v>0</v>
      </c>
      <c r="W1252" s="15">
        <v>0</v>
      </c>
      <c r="X1252" s="15">
        <v>0</v>
      </c>
      <c r="Y1252" s="15">
        <v>0</v>
      </c>
      <c r="Z1252" s="15">
        <v>0</v>
      </c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</row>
    <row r="1253" spans="1:43">
      <c r="A1253" s="15" t="s">
        <v>43</v>
      </c>
      <c r="B1253" s="15" t="s">
        <v>44</v>
      </c>
      <c r="C1253" s="15" t="s">
        <v>45</v>
      </c>
      <c r="D1253" s="15" t="s">
        <v>3382</v>
      </c>
      <c r="E1253" s="15" t="s">
        <v>3383</v>
      </c>
      <c r="F1253" s="16">
        <v>42221.6650578704</v>
      </c>
      <c r="G1253" s="15" t="s">
        <v>3383</v>
      </c>
      <c r="H1253" s="15" t="s">
        <v>3384</v>
      </c>
      <c r="I1253" s="15">
        <v>0</v>
      </c>
      <c r="J1253" s="15">
        <v>0</v>
      </c>
      <c r="K1253" s="15">
        <v>0</v>
      </c>
      <c r="L1253" s="20">
        <v>0</v>
      </c>
      <c r="M1253" s="15">
        <v>0</v>
      </c>
      <c r="N1253" s="15">
        <v>0</v>
      </c>
      <c r="O1253" s="15">
        <v>0</v>
      </c>
      <c r="P1253" s="15">
        <v>0</v>
      </c>
      <c r="Q1253" s="15">
        <v>0</v>
      </c>
      <c r="R1253" s="15">
        <v>0</v>
      </c>
      <c r="S1253" s="15">
        <v>0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</row>
    <row r="1254" spans="1:43">
      <c r="A1254" s="15" t="s">
        <v>49</v>
      </c>
      <c r="B1254" s="15" t="s">
        <v>50</v>
      </c>
      <c r="C1254" s="15" t="s">
        <v>61</v>
      </c>
      <c r="D1254" s="15" t="s">
        <v>3385</v>
      </c>
      <c r="E1254" s="15" t="s">
        <v>3386</v>
      </c>
      <c r="F1254" s="16">
        <v>0</v>
      </c>
      <c r="G1254" s="15" t="s">
        <v>3386</v>
      </c>
      <c r="H1254" s="15" t="s">
        <v>3387</v>
      </c>
      <c r="I1254" s="15">
        <v>0</v>
      </c>
      <c r="J1254" s="15">
        <v>0</v>
      </c>
      <c r="K1254" s="15">
        <v>0</v>
      </c>
      <c r="L1254" s="20">
        <v>0</v>
      </c>
      <c r="M1254" s="15">
        <v>0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</row>
    <row r="1255" spans="1:43">
      <c r="A1255" s="15" t="s">
        <v>43</v>
      </c>
      <c r="B1255" s="15" t="s">
        <v>44</v>
      </c>
      <c r="C1255" s="15" t="s">
        <v>45</v>
      </c>
      <c r="D1255" s="15" t="s">
        <v>3388</v>
      </c>
      <c r="E1255" s="15" t="s">
        <v>3389</v>
      </c>
      <c r="F1255" s="16">
        <v>43928.6231597222</v>
      </c>
      <c r="G1255" s="15" t="s">
        <v>3389</v>
      </c>
      <c r="H1255" s="15" t="s">
        <v>54</v>
      </c>
      <c r="I1255" s="15">
        <v>0</v>
      </c>
      <c r="J1255" s="15">
        <v>0</v>
      </c>
      <c r="K1255" s="15">
        <v>0</v>
      </c>
      <c r="L1255" s="20">
        <v>0</v>
      </c>
      <c r="M1255" s="15">
        <v>0</v>
      </c>
      <c r="N1255" s="15">
        <v>0</v>
      </c>
      <c r="O1255" s="15">
        <v>0</v>
      </c>
      <c r="P1255" s="15">
        <v>0</v>
      </c>
      <c r="Q1255" s="15">
        <v>0</v>
      </c>
      <c r="R1255" s="15">
        <v>0</v>
      </c>
      <c r="S1255" s="15">
        <v>0</v>
      </c>
      <c r="T1255" s="15">
        <v>0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</row>
    <row r="1256" spans="1:43">
      <c r="A1256" s="15" t="s">
        <v>49</v>
      </c>
      <c r="B1256" s="15" t="s">
        <v>50</v>
      </c>
      <c r="C1256" s="15" t="s">
        <v>61</v>
      </c>
      <c r="D1256" s="15" t="s">
        <v>3390</v>
      </c>
      <c r="E1256" s="15" t="s">
        <v>3391</v>
      </c>
      <c r="F1256" s="16">
        <v>0</v>
      </c>
      <c r="G1256" s="15" t="s">
        <v>3391</v>
      </c>
      <c r="H1256" s="15" t="s">
        <v>3392</v>
      </c>
      <c r="I1256" s="15">
        <v>0</v>
      </c>
      <c r="J1256" s="15">
        <v>0</v>
      </c>
      <c r="K1256" s="15">
        <v>0</v>
      </c>
      <c r="L1256" s="20">
        <v>0</v>
      </c>
      <c r="M1256" s="15">
        <v>0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0</v>
      </c>
      <c r="W1256" s="15">
        <v>0</v>
      </c>
      <c r="X1256" s="15">
        <v>0</v>
      </c>
      <c r="Y1256" s="15">
        <v>0</v>
      </c>
      <c r="Z1256" s="15">
        <v>0</v>
      </c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</row>
    <row r="1257" spans="1:43">
      <c r="A1257" s="15" t="s">
        <v>64</v>
      </c>
      <c r="B1257" s="15" t="s">
        <v>65</v>
      </c>
      <c r="C1257" s="15" t="s">
        <v>522</v>
      </c>
      <c r="D1257" s="15" t="s">
        <v>3393</v>
      </c>
      <c r="E1257" s="15" t="s">
        <v>257</v>
      </c>
      <c r="F1257" s="16">
        <v>45017.4628472222</v>
      </c>
      <c r="G1257" s="15" t="s">
        <v>257</v>
      </c>
      <c r="H1257" s="15" t="s">
        <v>54</v>
      </c>
      <c r="I1257" s="15">
        <v>444.15</v>
      </c>
      <c r="J1257" s="15">
        <v>3</v>
      </c>
      <c r="K1257" s="15">
        <v>148.05</v>
      </c>
      <c r="L1257" s="20">
        <v>2.115</v>
      </c>
      <c r="M1257" s="15">
        <v>218.92</v>
      </c>
      <c r="N1257" s="15">
        <v>202.94</v>
      </c>
      <c r="O1257" s="15">
        <v>22.29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0</v>
      </c>
      <c r="X1257" s="15">
        <v>0</v>
      </c>
      <c r="Y1257" s="15">
        <v>0</v>
      </c>
      <c r="Z1257" s="15">
        <v>0</v>
      </c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</row>
    <row r="1258" spans="1:43">
      <c r="A1258" s="15" t="s">
        <v>64</v>
      </c>
      <c r="B1258" s="15" t="s">
        <v>65</v>
      </c>
      <c r="C1258" s="15" t="s">
        <v>66</v>
      </c>
      <c r="D1258" s="15" t="s">
        <v>3394</v>
      </c>
      <c r="E1258" s="15" t="s">
        <v>3395</v>
      </c>
      <c r="F1258" s="16">
        <v>45037.6423263889</v>
      </c>
      <c r="G1258" s="15" t="s">
        <v>3395</v>
      </c>
      <c r="H1258" s="15" t="s">
        <v>3396</v>
      </c>
      <c r="I1258" s="15">
        <v>952.4</v>
      </c>
      <c r="J1258" s="15">
        <v>14</v>
      </c>
      <c r="K1258" s="15">
        <v>68.0285714285714</v>
      </c>
      <c r="L1258" s="20">
        <v>0.971836734693878</v>
      </c>
      <c r="M1258" s="15">
        <v>5.52</v>
      </c>
      <c r="N1258" s="15">
        <v>2.28</v>
      </c>
      <c r="O1258" s="15">
        <v>76.74</v>
      </c>
      <c r="P1258" s="15">
        <v>80.16</v>
      </c>
      <c r="Q1258" s="15">
        <v>74.54</v>
      </c>
      <c r="R1258" s="15">
        <v>80.03</v>
      </c>
      <c r="S1258" s="15">
        <v>80.99</v>
      </c>
      <c r="T1258" s="15">
        <v>80.26</v>
      </c>
      <c r="U1258" s="15">
        <v>80.18</v>
      </c>
      <c r="V1258" s="15">
        <v>80.46</v>
      </c>
      <c r="W1258" s="15">
        <v>78.32</v>
      </c>
      <c r="X1258" s="15">
        <v>71.4</v>
      </c>
      <c r="Y1258" s="15">
        <v>81.31</v>
      </c>
      <c r="Z1258" s="15">
        <v>80.21</v>
      </c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</row>
    <row r="1259" spans="1:43">
      <c r="A1259" s="15" t="s">
        <v>49</v>
      </c>
      <c r="B1259" s="15" t="s">
        <v>50</v>
      </c>
      <c r="C1259" s="15" t="s">
        <v>61</v>
      </c>
      <c r="D1259" s="15" t="s">
        <v>3397</v>
      </c>
      <c r="E1259" s="15" t="s">
        <v>153</v>
      </c>
      <c r="F1259" s="16">
        <v>0</v>
      </c>
      <c r="G1259" s="15" t="s">
        <v>153</v>
      </c>
      <c r="H1259" s="15" t="s">
        <v>154</v>
      </c>
      <c r="I1259" s="15">
        <v>0</v>
      </c>
      <c r="J1259" s="15">
        <v>0</v>
      </c>
      <c r="K1259" s="15">
        <v>0</v>
      </c>
      <c r="L1259" s="20">
        <v>0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0</v>
      </c>
      <c r="X1259" s="15">
        <v>0</v>
      </c>
      <c r="Y1259" s="15">
        <v>0</v>
      </c>
      <c r="Z1259" s="15">
        <v>0</v>
      </c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</row>
    <row r="1260" spans="1:43">
      <c r="A1260" s="15" t="s">
        <v>49</v>
      </c>
      <c r="B1260" s="15" t="s">
        <v>50</v>
      </c>
      <c r="C1260" s="15" t="s">
        <v>301</v>
      </c>
      <c r="D1260" s="15" t="s">
        <v>3398</v>
      </c>
      <c r="E1260" s="15" t="s">
        <v>3399</v>
      </c>
      <c r="F1260" s="16">
        <v>45071.4440856482</v>
      </c>
      <c r="G1260" s="15" t="s">
        <v>3399</v>
      </c>
      <c r="H1260" s="15" t="s">
        <v>54</v>
      </c>
      <c r="I1260" s="15">
        <v>520.06</v>
      </c>
      <c r="J1260" s="15">
        <v>4</v>
      </c>
      <c r="K1260" s="15">
        <v>130.015</v>
      </c>
      <c r="L1260" s="20">
        <v>2.6003</v>
      </c>
      <c r="M1260" s="15">
        <v>136.93</v>
      </c>
      <c r="N1260" s="15">
        <v>218.8</v>
      </c>
      <c r="O1260" s="15">
        <v>162.65</v>
      </c>
      <c r="P1260" s="15">
        <v>1.68</v>
      </c>
      <c r="Q1260" s="15">
        <v>0</v>
      </c>
      <c r="R1260" s="15">
        <v>0</v>
      </c>
      <c r="S1260" s="15">
        <v>0</v>
      </c>
      <c r="T1260" s="15">
        <v>0</v>
      </c>
      <c r="U1260" s="15">
        <v>0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</row>
    <row r="1261" spans="1:43">
      <c r="A1261" s="15" t="s">
        <v>49</v>
      </c>
      <c r="B1261" s="15" t="s">
        <v>50</v>
      </c>
      <c r="C1261" s="15" t="s">
        <v>61</v>
      </c>
      <c r="D1261" s="15" t="s">
        <v>3400</v>
      </c>
      <c r="E1261" s="15" t="s">
        <v>3401</v>
      </c>
      <c r="F1261" s="16">
        <v>0</v>
      </c>
      <c r="G1261" s="15" t="s">
        <v>3401</v>
      </c>
      <c r="H1261" s="15" t="s">
        <v>54</v>
      </c>
      <c r="I1261" s="15">
        <v>0</v>
      </c>
      <c r="J1261" s="15">
        <v>0</v>
      </c>
      <c r="K1261" s="15">
        <v>0</v>
      </c>
      <c r="L1261" s="20">
        <v>0</v>
      </c>
      <c r="M1261" s="15">
        <v>0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</row>
    <row r="1262" spans="1:43">
      <c r="A1262" s="15" t="s">
        <v>64</v>
      </c>
      <c r="B1262" s="15" t="s">
        <v>65</v>
      </c>
      <c r="C1262" s="15" t="s">
        <v>401</v>
      </c>
      <c r="D1262" s="15" t="s">
        <v>3402</v>
      </c>
      <c r="E1262" s="15" t="s">
        <v>3403</v>
      </c>
      <c r="F1262" s="16">
        <v>45093.3989351852</v>
      </c>
      <c r="G1262" s="15" t="s">
        <v>3403</v>
      </c>
      <c r="H1262" s="15" t="s">
        <v>3404</v>
      </c>
      <c r="I1262" s="15">
        <v>2925.66</v>
      </c>
      <c r="J1262" s="15">
        <v>14</v>
      </c>
      <c r="K1262" s="15">
        <v>208.975714285714</v>
      </c>
      <c r="L1262" s="20">
        <v>2.98536734693877</v>
      </c>
      <c r="M1262" s="15">
        <v>193.83</v>
      </c>
      <c r="N1262" s="15">
        <v>201.84</v>
      </c>
      <c r="O1262" s="15">
        <v>201.79</v>
      </c>
      <c r="P1262" s="15">
        <v>206.46</v>
      </c>
      <c r="Q1262" s="15">
        <v>207.29</v>
      </c>
      <c r="R1262" s="15">
        <v>205.91</v>
      </c>
      <c r="S1262" s="15">
        <v>302.76</v>
      </c>
      <c r="T1262" s="15">
        <v>200.94</v>
      </c>
      <c r="U1262" s="15">
        <v>200.23</v>
      </c>
      <c r="V1262" s="15">
        <v>201.33</v>
      </c>
      <c r="W1262" s="15">
        <v>200.24</v>
      </c>
      <c r="X1262" s="15">
        <v>200.99</v>
      </c>
      <c r="Y1262" s="15">
        <v>200.26</v>
      </c>
      <c r="Z1262" s="15">
        <v>201.79</v>
      </c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</row>
    <row r="1263" spans="1:43">
      <c r="A1263" s="15" t="s">
        <v>49</v>
      </c>
      <c r="B1263" s="15" t="s">
        <v>50</v>
      </c>
      <c r="C1263" s="15" t="s">
        <v>61</v>
      </c>
      <c r="D1263" s="15" t="s">
        <v>3405</v>
      </c>
      <c r="E1263" s="15" t="s">
        <v>3406</v>
      </c>
      <c r="F1263" s="16">
        <v>0</v>
      </c>
      <c r="G1263" s="15" t="s">
        <v>3406</v>
      </c>
      <c r="H1263" s="15" t="s">
        <v>54</v>
      </c>
      <c r="I1263" s="15">
        <v>0</v>
      </c>
      <c r="J1263" s="15">
        <v>0</v>
      </c>
      <c r="K1263" s="15">
        <v>0</v>
      </c>
      <c r="L1263" s="20">
        <v>0</v>
      </c>
      <c r="M1263" s="15">
        <v>0</v>
      </c>
      <c r="N1263" s="15">
        <v>0</v>
      </c>
      <c r="O1263" s="15">
        <v>0</v>
      </c>
      <c r="P1263" s="15">
        <v>0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</row>
    <row r="1264" spans="1:43">
      <c r="A1264" s="15" t="s">
        <v>49</v>
      </c>
      <c r="B1264" s="15" t="s">
        <v>50</v>
      </c>
      <c r="C1264" s="15" t="s">
        <v>61</v>
      </c>
      <c r="D1264" s="15" t="s">
        <v>3407</v>
      </c>
      <c r="E1264" s="15" t="s">
        <v>3408</v>
      </c>
      <c r="F1264" s="16">
        <v>0</v>
      </c>
      <c r="G1264" s="15" t="s">
        <v>3408</v>
      </c>
      <c r="H1264" s="15" t="s">
        <v>3409</v>
      </c>
      <c r="I1264" s="15">
        <v>0</v>
      </c>
      <c r="J1264" s="15">
        <v>0</v>
      </c>
      <c r="K1264" s="15">
        <v>0</v>
      </c>
      <c r="L1264" s="20">
        <v>0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</row>
    <row r="1265" spans="1:43">
      <c r="A1265" s="15" t="s">
        <v>43</v>
      </c>
      <c r="B1265" s="15" t="s">
        <v>44</v>
      </c>
      <c r="C1265" s="15" t="s">
        <v>45</v>
      </c>
      <c r="D1265" s="15" t="s">
        <v>3410</v>
      </c>
      <c r="E1265" s="15" t="s">
        <v>3411</v>
      </c>
      <c r="F1265" s="16">
        <v>42614.4568171296</v>
      </c>
      <c r="G1265" s="15" t="s">
        <v>3411</v>
      </c>
      <c r="H1265" s="15" t="s">
        <v>3412</v>
      </c>
      <c r="I1265" s="15">
        <v>0</v>
      </c>
      <c r="J1265" s="15">
        <v>0</v>
      </c>
      <c r="K1265" s="15">
        <v>0</v>
      </c>
      <c r="L1265" s="20">
        <v>0</v>
      </c>
      <c r="M1265" s="15">
        <v>0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</row>
    <row r="1266" spans="1:43">
      <c r="A1266" s="15" t="s">
        <v>43</v>
      </c>
      <c r="B1266" s="15" t="s">
        <v>44</v>
      </c>
      <c r="C1266" s="15" t="s">
        <v>45</v>
      </c>
      <c r="D1266" s="15" t="s">
        <v>3413</v>
      </c>
      <c r="E1266" s="15" t="s">
        <v>3414</v>
      </c>
      <c r="F1266" s="16">
        <v>41376.638599537</v>
      </c>
      <c r="G1266" s="15" t="s">
        <v>3414</v>
      </c>
      <c r="H1266" s="15" t="s">
        <v>3415</v>
      </c>
      <c r="I1266" s="15">
        <v>0</v>
      </c>
      <c r="J1266" s="15">
        <v>0</v>
      </c>
      <c r="K1266" s="15">
        <v>0</v>
      </c>
      <c r="L1266" s="20">
        <v>0</v>
      </c>
      <c r="M1266" s="15">
        <v>0</v>
      </c>
      <c r="N1266" s="15">
        <v>0</v>
      </c>
      <c r="O1266" s="15">
        <v>0</v>
      </c>
      <c r="P1266" s="15">
        <v>0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</row>
    <row r="1267" spans="1:43">
      <c r="A1267" s="15" t="s">
        <v>49</v>
      </c>
      <c r="B1267" s="15" t="s">
        <v>50</v>
      </c>
      <c r="C1267" s="15" t="s">
        <v>51</v>
      </c>
      <c r="D1267" s="15" t="s">
        <v>3416</v>
      </c>
      <c r="E1267" s="15" t="s">
        <v>3417</v>
      </c>
      <c r="F1267" s="16">
        <v>44911.4693634259</v>
      </c>
      <c r="G1267" s="15" t="s">
        <v>3417</v>
      </c>
      <c r="H1267" s="15" t="s">
        <v>54</v>
      </c>
      <c r="I1267" s="15">
        <v>0</v>
      </c>
      <c r="J1267" s="15">
        <v>0</v>
      </c>
      <c r="K1267" s="15">
        <v>0</v>
      </c>
      <c r="L1267" s="20">
        <v>0</v>
      </c>
      <c r="M1267" s="15">
        <v>0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</row>
    <row r="1268" spans="1:43">
      <c r="A1268" s="15" t="s">
        <v>64</v>
      </c>
      <c r="B1268" s="15" t="s">
        <v>65</v>
      </c>
      <c r="C1268" s="15" t="s">
        <v>401</v>
      </c>
      <c r="D1268" s="15" t="s">
        <v>3418</v>
      </c>
      <c r="E1268" s="15" t="s">
        <v>3419</v>
      </c>
      <c r="F1268" s="16">
        <v>45133.4138310185</v>
      </c>
      <c r="G1268" s="15" t="s">
        <v>3419</v>
      </c>
      <c r="H1268" s="15" t="s">
        <v>54</v>
      </c>
      <c r="I1268" s="15">
        <v>0</v>
      </c>
      <c r="J1268" s="15">
        <v>0</v>
      </c>
      <c r="K1268" s="15">
        <v>0</v>
      </c>
      <c r="L1268" s="20">
        <v>0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</row>
    <row r="1269" spans="1:43">
      <c r="A1269" s="15" t="s">
        <v>43</v>
      </c>
      <c r="B1269" s="15" t="s">
        <v>44</v>
      </c>
      <c r="C1269" s="15" t="s">
        <v>45</v>
      </c>
      <c r="D1269" s="15" t="s">
        <v>3420</v>
      </c>
      <c r="E1269" s="15" t="s">
        <v>3421</v>
      </c>
      <c r="F1269" s="16">
        <v>41576.4309837963</v>
      </c>
      <c r="G1269" s="15" t="s">
        <v>3421</v>
      </c>
      <c r="H1269" s="15" t="s">
        <v>3422</v>
      </c>
      <c r="I1269" s="15">
        <v>0</v>
      </c>
      <c r="J1269" s="15">
        <v>0</v>
      </c>
      <c r="K1269" s="15">
        <v>0</v>
      </c>
      <c r="L1269" s="20">
        <v>0</v>
      </c>
      <c r="M1269" s="15">
        <v>0</v>
      </c>
      <c r="N1269" s="15">
        <v>0</v>
      </c>
      <c r="O1269" s="15">
        <v>0</v>
      </c>
      <c r="P1269" s="15">
        <v>0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</row>
    <row r="1270" spans="1:43">
      <c r="A1270" s="15" t="s">
        <v>43</v>
      </c>
      <c r="B1270" s="15" t="s">
        <v>44</v>
      </c>
      <c r="C1270" s="15" t="s">
        <v>45</v>
      </c>
      <c r="D1270" s="15" t="s">
        <v>3423</v>
      </c>
      <c r="E1270" s="15" t="s">
        <v>3424</v>
      </c>
      <c r="F1270" s="16">
        <v>44363.6359606481</v>
      </c>
      <c r="G1270" s="15" t="s">
        <v>3424</v>
      </c>
      <c r="H1270" s="15" t="s">
        <v>54</v>
      </c>
      <c r="I1270" s="15">
        <v>0</v>
      </c>
      <c r="J1270" s="15">
        <v>0</v>
      </c>
      <c r="K1270" s="15">
        <v>0</v>
      </c>
      <c r="L1270" s="20">
        <v>0</v>
      </c>
      <c r="M1270" s="15">
        <v>0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</row>
    <row r="1271" spans="1:43">
      <c r="A1271" s="15" t="s">
        <v>43</v>
      </c>
      <c r="B1271" s="15" t="s">
        <v>44</v>
      </c>
      <c r="C1271" s="15" t="s">
        <v>440</v>
      </c>
      <c r="D1271" s="15" t="s">
        <v>3425</v>
      </c>
      <c r="E1271" s="15" t="s">
        <v>3426</v>
      </c>
      <c r="F1271" s="16">
        <v>44750.4448726852</v>
      </c>
      <c r="G1271" s="15" t="s">
        <v>3426</v>
      </c>
      <c r="H1271" s="15" t="s">
        <v>54</v>
      </c>
      <c r="I1271" s="15">
        <v>0</v>
      </c>
      <c r="J1271" s="15">
        <v>0</v>
      </c>
      <c r="K1271" s="15">
        <v>0</v>
      </c>
      <c r="L1271" s="20">
        <v>0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</row>
    <row r="1272" spans="1:43">
      <c r="A1272" s="15" t="s">
        <v>43</v>
      </c>
      <c r="B1272" s="15" t="s">
        <v>44</v>
      </c>
      <c r="C1272" s="15" t="s">
        <v>45</v>
      </c>
      <c r="D1272" s="15" t="s">
        <v>3427</v>
      </c>
      <c r="E1272" s="15" t="s">
        <v>3428</v>
      </c>
      <c r="F1272" s="16">
        <v>40609.7272453704</v>
      </c>
      <c r="G1272" s="15" t="s">
        <v>3428</v>
      </c>
      <c r="H1272" s="15" t="s">
        <v>3429</v>
      </c>
      <c r="I1272" s="15">
        <v>0</v>
      </c>
      <c r="J1272" s="15">
        <v>0</v>
      </c>
      <c r="K1272" s="15">
        <v>0</v>
      </c>
      <c r="L1272" s="20">
        <v>0</v>
      </c>
      <c r="M1272" s="15">
        <v>0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</row>
    <row r="1273" spans="1:43">
      <c r="A1273" s="15" t="s">
        <v>43</v>
      </c>
      <c r="B1273" s="15" t="s">
        <v>44</v>
      </c>
      <c r="C1273" s="15" t="s">
        <v>45</v>
      </c>
      <c r="D1273" s="15" t="s">
        <v>3430</v>
      </c>
      <c r="E1273" s="15" t="s">
        <v>3431</v>
      </c>
      <c r="F1273" s="16">
        <v>42640.6305092593</v>
      </c>
      <c r="G1273" s="15" t="s">
        <v>3431</v>
      </c>
      <c r="H1273" s="15" t="s">
        <v>3432</v>
      </c>
      <c r="I1273" s="15">
        <v>0</v>
      </c>
      <c r="J1273" s="15">
        <v>0</v>
      </c>
      <c r="K1273" s="15">
        <v>0</v>
      </c>
      <c r="L1273" s="20">
        <v>0</v>
      </c>
      <c r="M1273" s="15">
        <v>0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</row>
    <row r="1274" spans="1:43">
      <c r="A1274" s="15" t="s">
        <v>43</v>
      </c>
      <c r="B1274" s="15" t="s">
        <v>44</v>
      </c>
      <c r="C1274" s="15" t="s">
        <v>440</v>
      </c>
      <c r="D1274" s="15" t="s">
        <v>3433</v>
      </c>
      <c r="E1274" s="15" t="s">
        <v>3434</v>
      </c>
      <c r="F1274" s="16">
        <v>44924.5947685185</v>
      </c>
      <c r="G1274" s="15" t="s">
        <v>3434</v>
      </c>
      <c r="H1274" s="15" t="s">
        <v>54</v>
      </c>
      <c r="I1274" s="15">
        <v>0</v>
      </c>
      <c r="J1274" s="15">
        <v>0</v>
      </c>
      <c r="K1274" s="15">
        <v>0</v>
      </c>
      <c r="L1274" s="20">
        <v>0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0</v>
      </c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</row>
    <row r="1275" spans="1:43">
      <c r="A1275" s="15" t="s">
        <v>43</v>
      </c>
      <c r="B1275" s="15" t="s">
        <v>44</v>
      </c>
      <c r="C1275" s="15" t="s">
        <v>45</v>
      </c>
      <c r="D1275" s="15" t="s">
        <v>3435</v>
      </c>
      <c r="E1275" s="15" t="s">
        <v>3436</v>
      </c>
      <c r="F1275" s="16">
        <v>42256.3808796296</v>
      </c>
      <c r="G1275" s="15" t="s">
        <v>3436</v>
      </c>
      <c r="H1275" s="15" t="s">
        <v>3437</v>
      </c>
      <c r="I1275" s="15">
        <v>0</v>
      </c>
      <c r="J1275" s="15">
        <v>0</v>
      </c>
      <c r="K1275" s="15">
        <v>0</v>
      </c>
      <c r="L1275" s="20">
        <v>0</v>
      </c>
      <c r="M1275" s="15">
        <v>0</v>
      </c>
      <c r="N1275" s="15">
        <v>0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</row>
    <row r="1276" spans="1:43">
      <c r="A1276" s="15" t="s">
        <v>64</v>
      </c>
      <c r="B1276" s="15" t="s">
        <v>65</v>
      </c>
      <c r="C1276" s="15" t="s">
        <v>522</v>
      </c>
      <c r="D1276" s="15" t="s">
        <v>3438</v>
      </c>
      <c r="E1276" s="15" t="s">
        <v>3439</v>
      </c>
      <c r="F1276" s="16">
        <v>44672.6558912037</v>
      </c>
      <c r="G1276" s="15" t="s">
        <v>3439</v>
      </c>
      <c r="H1276" s="15" t="s">
        <v>54</v>
      </c>
      <c r="I1276" s="15">
        <v>0</v>
      </c>
      <c r="J1276" s="15">
        <v>0</v>
      </c>
      <c r="K1276" s="15">
        <v>0</v>
      </c>
      <c r="L1276" s="20">
        <v>0</v>
      </c>
      <c r="M1276" s="15">
        <v>0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</row>
    <row r="1277" spans="1:43">
      <c r="A1277" s="15" t="s">
        <v>49</v>
      </c>
      <c r="B1277" s="15" t="s">
        <v>50</v>
      </c>
      <c r="C1277" s="15" t="s">
        <v>61</v>
      </c>
      <c r="D1277" s="15" t="s">
        <v>3440</v>
      </c>
      <c r="E1277" s="15" t="s">
        <v>3441</v>
      </c>
      <c r="F1277" s="16">
        <v>0</v>
      </c>
      <c r="G1277" s="15" t="s">
        <v>3441</v>
      </c>
      <c r="H1277" s="15" t="s">
        <v>3442</v>
      </c>
      <c r="I1277" s="15">
        <v>0</v>
      </c>
      <c r="J1277" s="15">
        <v>0</v>
      </c>
      <c r="K1277" s="15">
        <v>0</v>
      </c>
      <c r="L1277" s="20">
        <v>0</v>
      </c>
      <c r="M1277" s="15">
        <v>0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</row>
    <row r="1278" spans="1:43">
      <c r="A1278" s="15" t="s">
        <v>49</v>
      </c>
      <c r="B1278" s="15" t="s">
        <v>50</v>
      </c>
      <c r="C1278" s="15" t="s">
        <v>61</v>
      </c>
      <c r="D1278" s="15" t="s">
        <v>3443</v>
      </c>
      <c r="E1278" s="15" t="s">
        <v>3444</v>
      </c>
      <c r="F1278" s="16">
        <v>0</v>
      </c>
      <c r="G1278" s="15" t="s">
        <v>3444</v>
      </c>
      <c r="H1278" s="15" t="s">
        <v>3445</v>
      </c>
      <c r="I1278" s="15">
        <v>0</v>
      </c>
      <c r="J1278" s="15">
        <v>0</v>
      </c>
      <c r="K1278" s="15">
        <v>0</v>
      </c>
      <c r="L1278" s="20">
        <v>0</v>
      </c>
      <c r="M1278" s="15">
        <v>0</v>
      </c>
      <c r="N1278" s="15">
        <v>0</v>
      </c>
      <c r="O1278" s="15">
        <v>0</v>
      </c>
      <c r="P1278" s="15">
        <v>0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</row>
    <row r="1279" spans="1:43">
      <c r="A1279" s="15" t="s">
        <v>43</v>
      </c>
      <c r="B1279" s="15" t="s">
        <v>44</v>
      </c>
      <c r="C1279" s="15" t="s">
        <v>45</v>
      </c>
      <c r="D1279" s="15" t="s">
        <v>3446</v>
      </c>
      <c r="E1279" s="15" t="s">
        <v>3447</v>
      </c>
      <c r="F1279" s="16">
        <v>41200.6806134259</v>
      </c>
      <c r="G1279" s="15" t="s">
        <v>3447</v>
      </c>
      <c r="H1279" s="15" t="s">
        <v>3448</v>
      </c>
      <c r="I1279" s="15">
        <v>0</v>
      </c>
      <c r="J1279" s="15">
        <v>0</v>
      </c>
      <c r="K1279" s="15">
        <v>0</v>
      </c>
      <c r="L1279" s="20">
        <v>0</v>
      </c>
      <c r="M1279" s="15">
        <v>0</v>
      </c>
      <c r="N1279" s="15">
        <v>0</v>
      </c>
      <c r="O1279" s="15">
        <v>0</v>
      </c>
      <c r="P1279" s="15">
        <v>0</v>
      </c>
      <c r="Q1279" s="15">
        <v>0</v>
      </c>
      <c r="R1279" s="15">
        <v>0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</row>
    <row r="1280" spans="1:43">
      <c r="A1280" s="15" t="s">
        <v>49</v>
      </c>
      <c r="B1280" s="15" t="s">
        <v>50</v>
      </c>
      <c r="C1280" s="15" t="s">
        <v>61</v>
      </c>
      <c r="D1280" s="15" t="s">
        <v>3449</v>
      </c>
      <c r="E1280" s="15" t="s">
        <v>3055</v>
      </c>
      <c r="F1280" s="16">
        <v>0</v>
      </c>
      <c r="G1280" s="15" t="s">
        <v>3055</v>
      </c>
      <c r="H1280" s="15" t="s">
        <v>3056</v>
      </c>
      <c r="I1280" s="15">
        <v>0</v>
      </c>
      <c r="J1280" s="15">
        <v>0</v>
      </c>
      <c r="K1280" s="15">
        <v>0</v>
      </c>
      <c r="L1280" s="20">
        <v>0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</row>
    <row r="1281" spans="1:43">
      <c r="A1281" s="15" t="s">
        <v>49</v>
      </c>
      <c r="B1281" s="15" t="s">
        <v>50</v>
      </c>
      <c r="C1281" s="15" t="s">
        <v>61</v>
      </c>
      <c r="D1281" s="15" t="s">
        <v>3450</v>
      </c>
      <c r="E1281" s="15" t="s">
        <v>3451</v>
      </c>
      <c r="F1281" s="16">
        <v>0</v>
      </c>
      <c r="G1281" s="15" t="s">
        <v>3451</v>
      </c>
      <c r="H1281" s="15" t="s">
        <v>3452</v>
      </c>
      <c r="I1281" s="15">
        <v>0</v>
      </c>
      <c r="J1281" s="15">
        <v>0</v>
      </c>
      <c r="K1281" s="15">
        <v>0</v>
      </c>
      <c r="L1281" s="20">
        <v>0</v>
      </c>
      <c r="M1281" s="15">
        <v>0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</row>
    <row r="1282" spans="1:43">
      <c r="A1282" s="15" t="s">
        <v>49</v>
      </c>
      <c r="B1282" s="15" t="s">
        <v>50</v>
      </c>
      <c r="C1282" s="15" t="s">
        <v>75</v>
      </c>
      <c r="D1282" s="15" t="s">
        <v>3453</v>
      </c>
      <c r="E1282" s="15" t="s">
        <v>3454</v>
      </c>
      <c r="F1282" s="16">
        <v>43910.6757638889</v>
      </c>
      <c r="G1282" s="15" t="s">
        <v>3454</v>
      </c>
      <c r="H1282" s="15" t="s">
        <v>3455</v>
      </c>
      <c r="I1282" s="15">
        <v>0</v>
      </c>
      <c r="J1282" s="15">
        <v>0</v>
      </c>
      <c r="K1282" s="15">
        <v>0</v>
      </c>
      <c r="L1282" s="20">
        <v>0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</row>
    <row r="1283" spans="1:43">
      <c r="A1283" s="15" t="s">
        <v>49</v>
      </c>
      <c r="B1283" s="15" t="s">
        <v>50</v>
      </c>
      <c r="C1283" s="15" t="s">
        <v>61</v>
      </c>
      <c r="D1283" s="15" t="s">
        <v>3456</v>
      </c>
      <c r="E1283" s="15" t="s">
        <v>3457</v>
      </c>
      <c r="F1283" s="16">
        <v>0</v>
      </c>
      <c r="G1283" s="15" t="s">
        <v>3457</v>
      </c>
      <c r="H1283" s="15" t="s">
        <v>3458</v>
      </c>
      <c r="I1283" s="15">
        <v>0</v>
      </c>
      <c r="J1283" s="15">
        <v>0</v>
      </c>
      <c r="K1283" s="15">
        <v>0</v>
      </c>
      <c r="L1283" s="20">
        <v>0</v>
      </c>
      <c r="M1283" s="15">
        <v>0</v>
      </c>
      <c r="N1283" s="15">
        <v>0</v>
      </c>
      <c r="O1283" s="15">
        <v>0</v>
      </c>
      <c r="P1283" s="15">
        <v>0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</row>
    <row r="1284" spans="1:43">
      <c r="A1284" s="15" t="s">
        <v>49</v>
      </c>
      <c r="B1284" s="15" t="s">
        <v>50</v>
      </c>
      <c r="C1284" s="15" t="s">
        <v>61</v>
      </c>
      <c r="D1284" s="15" t="s">
        <v>3459</v>
      </c>
      <c r="E1284" s="15" t="s">
        <v>3460</v>
      </c>
      <c r="F1284" s="16">
        <v>0</v>
      </c>
      <c r="G1284" s="15" t="s">
        <v>3460</v>
      </c>
      <c r="H1284" s="15" t="s">
        <v>3461</v>
      </c>
      <c r="I1284" s="15">
        <v>0</v>
      </c>
      <c r="J1284" s="15">
        <v>0</v>
      </c>
      <c r="K1284" s="15">
        <v>0</v>
      </c>
      <c r="L1284" s="20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</row>
    <row r="1285" spans="1:43">
      <c r="A1285" s="15" t="s">
        <v>43</v>
      </c>
      <c r="B1285" s="15" t="s">
        <v>44</v>
      </c>
      <c r="C1285" s="15" t="s">
        <v>45</v>
      </c>
      <c r="D1285" s="15" t="s">
        <v>3462</v>
      </c>
      <c r="E1285" s="15" t="s">
        <v>3463</v>
      </c>
      <c r="F1285" s="16">
        <v>43993.6757060185</v>
      </c>
      <c r="G1285" s="15" t="s">
        <v>3463</v>
      </c>
      <c r="H1285" s="15" t="s">
        <v>54</v>
      </c>
      <c r="I1285" s="15">
        <v>0</v>
      </c>
      <c r="J1285" s="15">
        <v>0</v>
      </c>
      <c r="K1285" s="15">
        <v>0</v>
      </c>
      <c r="L1285" s="20">
        <v>0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</row>
    <row r="1286" spans="1:43">
      <c r="A1286" s="15" t="s">
        <v>49</v>
      </c>
      <c r="B1286" s="15" t="s">
        <v>50</v>
      </c>
      <c r="C1286" s="15" t="s">
        <v>61</v>
      </c>
      <c r="D1286" s="15" t="s">
        <v>3464</v>
      </c>
      <c r="E1286" s="15" t="s">
        <v>3465</v>
      </c>
      <c r="F1286" s="16">
        <v>0</v>
      </c>
      <c r="G1286" s="15" t="s">
        <v>3465</v>
      </c>
      <c r="H1286" s="15" t="s">
        <v>3466</v>
      </c>
      <c r="I1286" s="15">
        <v>0</v>
      </c>
      <c r="J1286" s="15">
        <v>0</v>
      </c>
      <c r="K1286" s="15">
        <v>0</v>
      </c>
      <c r="L1286" s="20">
        <v>0</v>
      </c>
      <c r="M1286" s="15">
        <v>0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</row>
    <row r="1287" spans="1:43">
      <c r="A1287" s="15" t="s">
        <v>49</v>
      </c>
      <c r="B1287" s="15" t="s">
        <v>50</v>
      </c>
      <c r="C1287" s="15" t="s">
        <v>61</v>
      </c>
      <c r="D1287" s="15" t="s">
        <v>3467</v>
      </c>
      <c r="E1287" s="15" t="s">
        <v>3468</v>
      </c>
      <c r="F1287" s="16">
        <v>0</v>
      </c>
      <c r="G1287" s="15" t="s">
        <v>3468</v>
      </c>
      <c r="H1287" s="15" t="s">
        <v>54</v>
      </c>
      <c r="I1287" s="15">
        <v>0</v>
      </c>
      <c r="J1287" s="15">
        <v>0</v>
      </c>
      <c r="K1287" s="15">
        <v>0</v>
      </c>
      <c r="L1287" s="20">
        <v>0</v>
      </c>
      <c r="M1287" s="15">
        <v>0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</row>
    <row r="1288" spans="1:43">
      <c r="A1288" s="15" t="s">
        <v>64</v>
      </c>
      <c r="B1288" s="15" t="s">
        <v>118</v>
      </c>
      <c r="C1288" s="15" t="s">
        <v>138</v>
      </c>
      <c r="D1288" s="15" t="s">
        <v>3469</v>
      </c>
      <c r="E1288" s="15" t="s">
        <v>3470</v>
      </c>
      <c r="F1288" s="16">
        <v>44988.6498726852</v>
      </c>
      <c r="G1288" s="15" t="s">
        <v>3470</v>
      </c>
      <c r="H1288" s="15" t="s">
        <v>54</v>
      </c>
      <c r="I1288" s="15">
        <v>0</v>
      </c>
      <c r="J1288" s="15">
        <v>0</v>
      </c>
      <c r="K1288" s="15">
        <v>0</v>
      </c>
      <c r="L1288" s="20">
        <v>0</v>
      </c>
      <c r="M1288" s="15">
        <v>0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</row>
    <row r="1289" spans="1:43">
      <c r="A1289" s="15" t="s">
        <v>49</v>
      </c>
      <c r="B1289" s="15" t="s">
        <v>50</v>
      </c>
      <c r="C1289" s="15" t="s">
        <v>61</v>
      </c>
      <c r="D1289" s="15" t="s">
        <v>3471</v>
      </c>
      <c r="E1289" s="15" t="s">
        <v>3472</v>
      </c>
      <c r="F1289" s="16">
        <v>0</v>
      </c>
      <c r="G1289" s="15" t="s">
        <v>3472</v>
      </c>
      <c r="H1289" s="15" t="s">
        <v>3473</v>
      </c>
      <c r="I1289" s="15">
        <v>0</v>
      </c>
      <c r="J1289" s="15">
        <v>0</v>
      </c>
      <c r="K1289" s="15">
        <v>0</v>
      </c>
      <c r="L1289" s="20">
        <v>0</v>
      </c>
      <c r="M1289" s="15">
        <v>0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</row>
    <row r="1290" spans="1:43">
      <c r="A1290" s="15" t="s">
        <v>43</v>
      </c>
      <c r="B1290" s="15" t="s">
        <v>44</v>
      </c>
      <c r="C1290" s="15" t="s">
        <v>45</v>
      </c>
      <c r="D1290" s="15" t="s">
        <v>3474</v>
      </c>
      <c r="E1290" s="15" t="s">
        <v>3475</v>
      </c>
      <c r="F1290" s="16">
        <v>44573.6455324074</v>
      </c>
      <c r="G1290" s="15" t="s">
        <v>3475</v>
      </c>
      <c r="H1290" s="15" t="s">
        <v>54</v>
      </c>
      <c r="I1290" s="15">
        <v>0</v>
      </c>
      <c r="J1290" s="15">
        <v>0</v>
      </c>
      <c r="K1290" s="15">
        <v>0</v>
      </c>
      <c r="L1290" s="20">
        <v>0</v>
      </c>
      <c r="M1290" s="15">
        <v>0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</row>
    <row r="1291" spans="1:43">
      <c r="A1291" s="15" t="s">
        <v>43</v>
      </c>
      <c r="B1291" s="15" t="s">
        <v>44</v>
      </c>
      <c r="C1291" s="15" t="s">
        <v>45</v>
      </c>
      <c r="D1291" s="15" t="s">
        <v>3476</v>
      </c>
      <c r="E1291" s="15" t="s">
        <v>3477</v>
      </c>
      <c r="F1291" s="16">
        <v>42537.6783449074</v>
      </c>
      <c r="G1291" s="15" t="s">
        <v>3477</v>
      </c>
      <c r="H1291" s="15" t="s">
        <v>3478</v>
      </c>
      <c r="I1291" s="15">
        <v>0</v>
      </c>
      <c r="J1291" s="15">
        <v>0</v>
      </c>
      <c r="K1291" s="15">
        <v>0</v>
      </c>
      <c r="L1291" s="20">
        <v>0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</row>
    <row r="1292" spans="1:43">
      <c r="A1292" s="15" t="s">
        <v>49</v>
      </c>
      <c r="B1292" s="15" t="s">
        <v>50</v>
      </c>
      <c r="C1292" s="15" t="s">
        <v>61</v>
      </c>
      <c r="D1292" s="15" t="s">
        <v>3479</v>
      </c>
      <c r="E1292" s="15" t="s">
        <v>3480</v>
      </c>
      <c r="F1292" s="16">
        <v>0</v>
      </c>
      <c r="G1292" s="15" t="s">
        <v>3480</v>
      </c>
      <c r="H1292" s="15" t="s">
        <v>1958</v>
      </c>
      <c r="I1292" s="15">
        <v>0</v>
      </c>
      <c r="J1292" s="15">
        <v>0</v>
      </c>
      <c r="K1292" s="15">
        <v>0</v>
      </c>
      <c r="L1292" s="20">
        <v>0</v>
      </c>
      <c r="M1292" s="15">
        <v>0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</row>
    <row r="1293" spans="1:43">
      <c r="A1293" s="15" t="s">
        <v>64</v>
      </c>
      <c r="B1293" s="15" t="s">
        <v>118</v>
      </c>
      <c r="C1293" s="15" t="s">
        <v>131</v>
      </c>
      <c r="D1293" s="15" t="s">
        <v>3481</v>
      </c>
      <c r="E1293" s="15" t="s">
        <v>3482</v>
      </c>
      <c r="F1293" s="16">
        <v>45124.4640625</v>
      </c>
      <c r="G1293" s="15" t="s">
        <v>3482</v>
      </c>
      <c r="H1293" s="15" t="s">
        <v>3483</v>
      </c>
      <c r="I1293" s="15">
        <v>1688.67</v>
      </c>
      <c r="J1293" s="15">
        <v>14</v>
      </c>
      <c r="K1293" s="15">
        <v>120.619285714286</v>
      </c>
      <c r="L1293" s="20">
        <v>1.72313265306122</v>
      </c>
      <c r="M1293" s="15">
        <v>159.41</v>
      </c>
      <c r="N1293" s="15">
        <v>86.76</v>
      </c>
      <c r="O1293" s="15">
        <v>68.33</v>
      </c>
      <c r="P1293" s="15">
        <v>144.23</v>
      </c>
      <c r="Q1293" s="15">
        <v>122.06</v>
      </c>
      <c r="R1293" s="15">
        <v>159.7</v>
      </c>
      <c r="S1293" s="15">
        <v>113.71</v>
      </c>
      <c r="T1293" s="15">
        <v>104.01</v>
      </c>
      <c r="U1293" s="15">
        <v>121.86</v>
      </c>
      <c r="V1293" s="15">
        <v>129.27</v>
      </c>
      <c r="W1293" s="15">
        <v>66.56</v>
      </c>
      <c r="X1293" s="15">
        <v>148.87</v>
      </c>
      <c r="Y1293" s="15">
        <v>112.4</v>
      </c>
      <c r="Z1293" s="15">
        <v>151.5</v>
      </c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</row>
    <row r="1294" spans="1:43">
      <c r="A1294" s="15" t="s">
        <v>49</v>
      </c>
      <c r="B1294" s="15" t="s">
        <v>50</v>
      </c>
      <c r="C1294" s="15" t="s">
        <v>61</v>
      </c>
      <c r="D1294" s="15" t="s">
        <v>3484</v>
      </c>
      <c r="E1294" s="15" t="s">
        <v>2376</v>
      </c>
      <c r="F1294" s="16">
        <v>0</v>
      </c>
      <c r="G1294" s="15" t="s">
        <v>2376</v>
      </c>
      <c r="H1294" s="15" t="s">
        <v>2377</v>
      </c>
      <c r="I1294" s="15">
        <v>0</v>
      </c>
      <c r="J1294" s="15">
        <v>0</v>
      </c>
      <c r="K1294" s="15">
        <v>0</v>
      </c>
      <c r="L1294" s="20">
        <v>0</v>
      </c>
      <c r="M1294" s="15">
        <v>0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0</v>
      </c>
      <c r="V1294" s="15">
        <v>0</v>
      </c>
      <c r="W1294" s="15">
        <v>0</v>
      </c>
      <c r="X1294" s="15">
        <v>0</v>
      </c>
      <c r="Y1294" s="15">
        <v>0</v>
      </c>
      <c r="Z1294" s="15">
        <v>0</v>
      </c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</row>
    <row r="1295" spans="1:43">
      <c r="A1295" s="15" t="s">
        <v>49</v>
      </c>
      <c r="B1295" s="15" t="s">
        <v>50</v>
      </c>
      <c r="C1295" s="15" t="s">
        <v>61</v>
      </c>
      <c r="D1295" s="15" t="s">
        <v>3485</v>
      </c>
      <c r="E1295" s="15" t="s">
        <v>3486</v>
      </c>
      <c r="F1295" s="16">
        <v>0</v>
      </c>
      <c r="G1295" s="15" t="s">
        <v>3486</v>
      </c>
      <c r="H1295" s="15" t="s">
        <v>3487</v>
      </c>
      <c r="I1295" s="15">
        <v>0</v>
      </c>
      <c r="J1295" s="15">
        <v>0</v>
      </c>
      <c r="K1295" s="15">
        <v>0</v>
      </c>
      <c r="L1295" s="20">
        <v>0</v>
      </c>
      <c r="M1295" s="15">
        <v>0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0</v>
      </c>
      <c r="V1295" s="15">
        <v>0</v>
      </c>
      <c r="W1295" s="15">
        <v>0</v>
      </c>
      <c r="X1295" s="15">
        <v>0</v>
      </c>
      <c r="Y1295" s="15">
        <v>0</v>
      </c>
      <c r="Z1295" s="15">
        <v>0</v>
      </c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</row>
    <row r="1296" spans="1:43">
      <c r="A1296" s="15" t="s">
        <v>49</v>
      </c>
      <c r="B1296" s="15" t="s">
        <v>50</v>
      </c>
      <c r="C1296" s="15" t="s">
        <v>61</v>
      </c>
      <c r="D1296" s="15" t="s">
        <v>3488</v>
      </c>
      <c r="E1296" s="15" t="s">
        <v>3489</v>
      </c>
      <c r="F1296" s="16">
        <v>0</v>
      </c>
      <c r="G1296" s="15" t="s">
        <v>3489</v>
      </c>
      <c r="H1296" s="15" t="s">
        <v>54</v>
      </c>
      <c r="I1296" s="15">
        <v>0</v>
      </c>
      <c r="J1296" s="15">
        <v>0</v>
      </c>
      <c r="K1296" s="15">
        <v>0</v>
      </c>
      <c r="L1296" s="20">
        <v>0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0</v>
      </c>
      <c r="V1296" s="15">
        <v>0</v>
      </c>
      <c r="W1296" s="15">
        <v>0</v>
      </c>
      <c r="X1296" s="15">
        <v>0</v>
      </c>
      <c r="Y1296" s="15">
        <v>0</v>
      </c>
      <c r="Z1296" s="15">
        <v>0</v>
      </c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</row>
    <row r="1297" spans="1:43">
      <c r="A1297" s="15" t="s">
        <v>49</v>
      </c>
      <c r="B1297" s="15" t="s">
        <v>50</v>
      </c>
      <c r="C1297" s="15" t="s">
        <v>61</v>
      </c>
      <c r="D1297" s="15" t="s">
        <v>3490</v>
      </c>
      <c r="E1297" s="15" t="s">
        <v>3491</v>
      </c>
      <c r="F1297" s="16">
        <v>0</v>
      </c>
      <c r="G1297" s="15" t="s">
        <v>3491</v>
      </c>
      <c r="H1297" s="15" t="s">
        <v>3492</v>
      </c>
      <c r="I1297" s="15">
        <v>0</v>
      </c>
      <c r="J1297" s="15">
        <v>0</v>
      </c>
      <c r="K1297" s="15">
        <v>0</v>
      </c>
      <c r="L1297" s="20">
        <v>0</v>
      </c>
      <c r="M1297" s="15">
        <v>0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0</v>
      </c>
      <c r="X1297" s="15">
        <v>0</v>
      </c>
      <c r="Y1297" s="15">
        <v>0</v>
      </c>
      <c r="Z1297" s="15">
        <v>0</v>
      </c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</row>
    <row r="1298" spans="1:43">
      <c r="A1298" s="15" t="s">
        <v>43</v>
      </c>
      <c r="B1298" s="15" t="s">
        <v>44</v>
      </c>
      <c r="C1298" s="15" t="s">
        <v>45</v>
      </c>
      <c r="D1298" s="15" t="s">
        <v>3493</v>
      </c>
      <c r="E1298" s="15" t="s">
        <v>3494</v>
      </c>
      <c r="F1298" s="16">
        <v>44012.6085763889</v>
      </c>
      <c r="G1298" s="15" t="s">
        <v>3494</v>
      </c>
      <c r="H1298" s="15" t="s">
        <v>3495</v>
      </c>
      <c r="I1298" s="15">
        <v>0</v>
      </c>
      <c r="J1298" s="15">
        <v>0</v>
      </c>
      <c r="K1298" s="15">
        <v>0</v>
      </c>
      <c r="L1298" s="20">
        <v>0</v>
      </c>
      <c r="M1298" s="15">
        <v>0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0</v>
      </c>
      <c r="V1298" s="15">
        <v>0</v>
      </c>
      <c r="W1298" s="15">
        <v>0</v>
      </c>
      <c r="X1298" s="15">
        <v>0</v>
      </c>
      <c r="Y1298" s="15">
        <v>0</v>
      </c>
      <c r="Z1298" s="15">
        <v>0</v>
      </c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</row>
    <row r="1299" spans="1:43">
      <c r="A1299" s="15" t="s">
        <v>43</v>
      </c>
      <c r="B1299" s="15" t="s">
        <v>44</v>
      </c>
      <c r="C1299" s="15" t="s">
        <v>45</v>
      </c>
      <c r="D1299" s="15" t="s">
        <v>3496</v>
      </c>
      <c r="E1299" s="15" t="s">
        <v>3497</v>
      </c>
      <c r="F1299" s="16">
        <v>41362.4701157407</v>
      </c>
      <c r="G1299" s="15" t="s">
        <v>3497</v>
      </c>
      <c r="H1299" s="15" t="s">
        <v>3498</v>
      </c>
      <c r="I1299" s="15">
        <v>0</v>
      </c>
      <c r="J1299" s="15">
        <v>0</v>
      </c>
      <c r="K1299" s="15">
        <v>0</v>
      </c>
      <c r="L1299" s="20">
        <v>0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</row>
    <row r="1300" spans="1:43">
      <c r="A1300" s="15" t="s">
        <v>49</v>
      </c>
      <c r="B1300" s="15" t="s">
        <v>50</v>
      </c>
      <c r="C1300" s="15" t="s">
        <v>51</v>
      </c>
      <c r="D1300" s="15" t="s">
        <v>3499</v>
      </c>
      <c r="E1300" s="15" t="s">
        <v>3500</v>
      </c>
      <c r="F1300" s="16">
        <v>45079.7189583333</v>
      </c>
      <c r="G1300" s="15" t="s">
        <v>3500</v>
      </c>
      <c r="H1300" s="15" t="s">
        <v>54</v>
      </c>
      <c r="I1300" s="15">
        <v>0</v>
      </c>
      <c r="J1300" s="15">
        <v>0</v>
      </c>
      <c r="K1300" s="15">
        <v>0</v>
      </c>
      <c r="L1300" s="20">
        <v>0</v>
      </c>
      <c r="M1300" s="15">
        <v>0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0</v>
      </c>
      <c r="X1300" s="15">
        <v>0</v>
      </c>
      <c r="Y1300" s="15">
        <v>0</v>
      </c>
      <c r="Z1300" s="15">
        <v>0</v>
      </c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</row>
    <row r="1301" spans="1:43">
      <c r="A1301" s="15" t="s">
        <v>49</v>
      </c>
      <c r="B1301" s="15" t="s">
        <v>50</v>
      </c>
      <c r="C1301" s="15" t="s">
        <v>51</v>
      </c>
      <c r="D1301" s="15" t="s">
        <v>3501</v>
      </c>
      <c r="E1301" s="15" t="s">
        <v>3502</v>
      </c>
      <c r="F1301" s="16">
        <v>43829.616724537</v>
      </c>
      <c r="G1301" s="15" t="s">
        <v>3502</v>
      </c>
      <c r="H1301" s="15" t="s">
        <v>54</v>
      </c>
      <c r="I1301" s="15">
        <v>0</v>
      </c>
      <c r="J1301" s="15">
        <v>0</v>
      </c>
      <c r="K1301" s="15">
        <v>0</v>
      </c>
      <c r="L1301" s="20">
        <v>0</v>
      </c>
      <c r="M1301" s="15">
        <v>0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</row>
    <row r="1302" spans="1:43">
      <c r="A1302" s="15" t="s">
        <v>43</v>
      </c>
      <c r="B1302" s="15" t="s">
        <v>44</v>
      </c>
      <c r="C1302" s="15" t="s">
        <v>45</v>
      </c>
      <c r="D1302" s="15" t="s">
        <v>3503</v>
      </c>
      <c r="E1302" s="15" t="s">
        <v>3504</v>
      </c>
      <c r="F1302" s="16">
        <v>42639.3718055556</v>
      </c>
      <c r="G1302" s="15" t="s">
        <v>3504</v>
      </c>
      <c r="H1302" s="15" t="s">
        <v>3505</v>
      </c>
      <c r="I1302" s="15">
        <v>0</v>
      </c>
      <c r="J1302" s="15">
        <v>0</v>
      </c>
      <c r="K1302" s="15">
        <v>0</v>
      </c>
      <c r="L1302" s="20">
        <v>0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0</v>
      </c>
      <c r="V1302" s="15">
        <v>0</v>
      </c>
      <c r="W1302" s="15">
        <v>0</v>
      </c>
      <c r="X1302" s="15">
        <v>0</v>
      </c>
      <c r="Y1302" s="15">
        <v>0</v>
      </c>
      <c r="Z1302" s="15">
        <v>0</v>
      </c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</row>
    <row r="1303" spans="1:43">
      <c r="A1303" s="15" t="s">
        <v>43</v>
      </c>
      <c r="B1303" s="15" t="s">
        <v>44</v>
      </c>
      <c r="C1303" s="15" t="s">
        <v>45</v>
      </c>
      <c r="D1303" s="15" t="s">
        <v>3506</v>
      </c>
      <c r="E1303" s="15" t="s">
        <v>3507</v>
      </c>
      <c r="F1303" s="16">
        <v>44273.7037847222</v>
      </c>
      <c r="G1303" s="15" t="s">
        <v>3507</v>
      </c>
      <c r="H1303" s="15" t="s">
        <v>3508</v>
      </c>
      <c r="I1303" s="15">
        <v>0</v>
      </c>
      <c r="J1303" s="15">
        <v>0</v>
      </c>
      <c r="K1303" s="15">
        <v>0</v>
      </c>
      <c r="L1303" s="20">
        <v>0</v>
      </c>
      <c r="M1303" s="15">
        <v>0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0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</row>
    <row r="1304" spans="1:43">
      <c r="A1304" s="15" t="s">
        <v>49</v>
      </c>
      <c r="B1304" s="15" t="s">
        <v>50</v>
      </c>
      <c r="C1304" s="15" t="s">
        <v>61</v>
      </c>
      <c r="D1304" s="15" t="s">
        <v>3509</v>
      </c>
      <c r="E1304" s="15" t="s">
        <v>3510</v>
      </c>
      <c r="F1304" s="16">
        <v>0</v>
      </c>
      <c r="G1304" s="15" t="s">
        <v>3510</v>
      </c>
      <c r="H1304" s="15" t="s">
        <v>54</v>
      </c>
      <c r="I1304" s="15">
        <v>0</v>
      </c>
      <c r="J1304" s="15">
        <v>0</v>
      </c>
      <c r="K1304" s="15">
        <v>0</v>
      </c>
      <c r="L1304" s="20">
        <v>0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0</v>
      </c>
      <c r="X1304" s="15">
        <v>0</v>
      </c>
      <c r="Y1304" s="15">
        <v>0</v>
      </c>
      <c r="Z1304" s="15">
        <v>0</v>
      </c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</row>
    <row r="1305" spans="1:43">
      <c r="A1305" s="15" t="s">
        <v>43</v>
      </c>
      <c r="B1305" s="15" t="s">
        <v>44</v>
      </c>
      <c r="C1305" s="15" t="s">
        <v>45</v>
      </c>
      <c r="D1305" s="15" t="s">
        <v>3511</v>
      </c>
      <c r="E1305" s="15" t="s">
        <v>3512</v>
      </c>
      <c r="F1305" s="16">
        <v>42952.4892013889</v>
      </c>
      <c r="G1305" s="15" t="s">
        <v>3512</v>
      </c>
      <c r="H1305" s="15" t="s">
        <v>3513</v>
      </c>
      <c r="I1305" s="15">
        <v>0</v>
      </c>
      <c r="J1305" s="15">
        <v>0</v>
      </c>
      <c r="K1305" s="15">
        <v>0</v>
      </c>
      <c r="L1305" s="20">
        <v>0</v>
      </c>
      <c r="M1305" s="15">
        <v>0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</row>
    <row r="1306" spans="1:43">
      <c r="A1306" s="15" t="s">
        <v>43</v>
      </c>
      <c r="B1306" s="15" t="s">
        <v>44</v>
      </c>
      <c r="C1306" s="15" t="s">
        <v>45</v>
      </c>
      <c r="D1306" s="15" t="s">
        <v>3514</v>
      </c>
      <c r="E1306" s="15" t="s">
        <v>3515</v>
      </c>
      <c r="F1306" s="16">
        <v>41199.3906134259</v>
      </c>
      <c r="G1306" s="15" t="s">
        <v>3515</v>
      </c>
      <c r="H1306" s="15" t="s">
        <v>3516</v>
      </c>
      <c r="I1306" s="15">
        <v>0</v>
      </c>
      <c r="J1306" s="15">
        <v>0</v>
      </c>
      <c r="K1306" s="15">
        <v>0</v>
      </c>
      <c r="L1306" s="20">
        <v>0</v>
      </c>
      <c r="M1306" s="15">
        <v>0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0</v>
      </c>
      <c r="V1306" s="15">
        <v>0</v>
      </c>
      <c r="W1306" s="15">
        <v>0</v>
      </c>
      <c r="X1306" s="15">
        <v>0</v>
      </c>
      <c r="Y1306" s="15">
        <v>0</v>
      </c>
      <c r="Z1306" s="15">
        <v>0</v>
      </c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</row>
    <row r="1307" spans="1:43">
      <c r="A1307" s="15" t="s">
        <v>43</v>
      </c>
      <c r="B1307" s="15" t="s">
        <v>44</v>
      </c>
      <c r="C1307" s="15" t="s">
        <v>45</v>
      </c>
      <c r="D1307" s="15" t="s">
        <v>3517</v>
      </c>
      <c r="E1307" s="15" t="s">
        <v>3518</v>
      </c>
      <c r="F1307" s="16">
        <v>41477.6959490741</v>
      </c>
      <c r="G1307" s="15" t="s">
        <v>3518</v>
      </c>
      <c r="H1307" s="15" t="s">
        <v>3519</v>
      </c>
      <c r="I1307" s="15">
        <v>0</v>
      </c>
      <c r="J1307" s="15">
        <v>0</v>
      </c>
      <c r="K1307" s="15">
        <v>0</v>
      </c>
      <c r="L1307" s="20">
        <v>0</v>
      </c>
      <c r="M1307" s="15">
        <v>0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</row>
    <row r="1308" spans="1:43">
      <c r="A1308" s="15" t="s">
        <v>43</v>
      </c>
      <c r="B1308" s="15" t="s">
        <v>44</v>
      </c>
      <c r="C1308" s="15" t="s">
        <v>440</v>
      </c>
      <c r="D1308" s="15" t="s">
        <v>3520</v>
      </c>
      <c r="E1308" s="15" t="s">
        <v>3521</v>
      </c>
      <c r="F1308" s="16">
        <v>45070.7281365741</v>
      </c>
      <c r="G1308" s="15" t="s">
        <v>3521</v>
      </c>
      <c r="H1308" s="15" t="s">
        <v>54</v>
      </c>
      <c r="I1308" s="15">
        <v>1081.69</v>
      </c>
      <c r="J1308" s="15">
        <v>12</v>
      </c>
      <c r="K1308" s="15">
        <v>90.1408333333333</v>
      </c>
      <c r="L1308" s="20">
        <v>1.80281666666667</v>
      </c>
      <c r="M1308" s="15">
        <v>0</v>
      </c>
      <c r="N1308" s="15">
        <v>0</v>
      </c>
      <c r="O1308" s="15">
        <v>230.4</v>
      </c>
      <c r="P1308" s="15">
        <v>120.65</v>
      </c>
      <c r="Q1308" s="15">
        <v>67.99</v>
      </c>
      <c r="R1308" s="15">
        <v>71.23</v>
      </c>
      <c r="S1308" s="15">
        <v>112.72</v>
      </c>
      <c r="T1308" s="15">
        <v>143.04</v>
      </c>
      <c r="U1308" s="15">
        <v>65.76</v>
      </c>
      <c r="V1308" s="15">
        <v>52.83</v>
      </c>
      <c r="W1308" s="15">
        <v>151.13</v>
      </c>
      <c r="X1308" s="15">
        <v>64.08</v>
      </c>
      <c r="Y1308" s="15">
        <v>1.46</v>
      </c>
      <c r="Z1308" s="15">
        <v>0.4</v>
      </c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</row>
    <row r="1309" spans="1:43">
      <c r="A1309" s="15" t="s">
        <v>49</v>
      </c>
      <c r="B1309" s="15" t="s">
        <v>50</v>
      </c>
      <c r="C1309" s="15" t="s">
        <v>61</v>
      </c>
      <c r="D1309" s="15" t="s">
        <v>3522</v>
      </c>
      <c r="E1309" s="15" t="s">
        <v>3523</v>
      </c>
      <c r="F1309" s="16">
        <v>0</v>
      </c>
      <c r="G1309" s="15" t="s">
        <v>3523</v>
      </c>
      <c r="H1309" s="15" t="s">
        <v>3524</v>
      </c>
      <c r="I1309" s="15">
        <v>0</v>
      </c>
      <c r="J1309" s="15">
        <v>0</v>
      </c>
      <c r="K1309" s="15">
        <v>0</v>
      </c>
      <c r="L1309" s="20">
        <v>0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</row>
    <row r="1310" spans="1:43">
      <c r="A1310" s="15" t="s">
        <v>49</v>
      </c>
      <c r="B1310" s="15" t="s">
        <v>50</v>
      </c>
      <c r="C1310" s="15" t="s">
        <v>61</v>
      </c>
      <c r="D1310" s="15" t="s">
        <v>3525</v>
      </c>
      <c r="E1310" s="15" t="s">
        <v>3526</v>
      </c>
      <c r="F1310" s="16">
        <v>0</v>
      </c>
      <c r="G1310" s="15" t="s">
        <v>3526</v>
      </c>
      <c r="H1310" s="15" t="s">
        <v>3527</v>
      </c>
      <c r="I1310" s="15">
        <v>0</v>
      </c>
      <c r="J1310" s="15">
        <v>0</v>
      </c>
      <c r="K1310" s="15">
        <v>0</v>
      </c>
      <c r="L1310" s="20">
        <v>0</v>
      </c>
      <c r="M1310" s="15">
        <v>0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</row>
    <row r="1311" spans="1:43">
      <c r="A1311" s="15" t="s">
        <v>49</v>
      </c>
      <c r="B1311" s="15" t="s">
        <v>50</v>
      </c>
      <c r="C1311" s="15" t="s">
        <v>61</v>
      </c>
      <c r="D1311" s="15" t="s">
        <v>3528</v>
      </c>
      <c r="E1311" s="15" t="s">
        <v>3529</v>
      </c>
      <c r="F1311" s="16">
        <v>0</v>
      </c>
      <c r="G1311" s="15" t="s">
        <v>3529</v>
      </c>
      <c r="H1311" s="15" t="s">
        <v>3530</v>
      </c>
      <c r="I1311" s="15">
        <v>0</v>
      </c>
      <c r="J1311" s="15">
        <v>0</v>
      </c>
      <c r="K1311" s="15">
        <v>0</v>
      </c>
      <c r="L1311" s="20">
        <v>0</v>
      </c>
      <c r="M1311" s="15">
        <v>0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</row>
    <row r="1312" spans="1:43">
      <c r="A1312" s="15" t="s">
        <v>64</v>
      </c>
      <c r="B1312" s="15" t="s">
        <v>118</v>
      </c>
      <c r="C1312" s="15" t="s">
        <v>119</v>
      </c>
      <c r="D1312" s="15" t="s">
        <v>3531</v>
      </c>
      <c r="E1312" s="15" t="s">
        <v>3532</v>
      </c>
      <c r="F1312" s="16">
        <v>45076.6449074074</v>
      </c>
      <c r="G1312" s="15" t="s">
        <v>3532</v>
      </c>
      <c r="H1312" s="15" t="s">
        <v>54</v>
      </c>
      <c r="I1312" s="15">
        <v>3309.49</v>
      </c>
      <c r="J1312" s="15">
        <v>14</v>
      </c>
      <c r="K1312" s="15">
        <v>236.392142857143</v>
      </c>
      <c r="L1312" s="20">
        <v>3.3770306122449</v>
      </c>
      <c r="M1312" s="15">
        <v>300.2</v>
      </c>
      <c r="N1312" s="15">
        <v>301.36</v>
      </c>
      <c r="O1312" s="15">
        <v>298.68</v>
      </c>
      <c r="P1312" s="15">
        <v>300.81</v>
      </c>
      <c r="Q1312" s="15">
        <v>301.43</v>
      </c>
      <c r="R1312" s="15">
        <v>300.54</v>
      </c>
      <c r="S1312" s="15">
        <v>301.31</v>
      </c>
      <c r="T1312" s="15">
        <v>302.61</v>
      </c>
      <c r="U1312" s="15">
        <v>303.34</v>
      </c>
      <c r="V1312" s="15">
        <v>301.65</v>
      </c>
      <c r="W1312" s="15">
        <v>232.96</v>
      </c>
      <c r="X1312" s="15">
        <v>25.04</v>
      </c>
      <c r="Y1312" s="15">
        <v>15.38</v>
      </c>
      <c r="Z1312" s="15">
        <v>24.18</v>
      </c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</row>
    <row r="1313" spans="1:43">
      <c r="A1313" s="15" t="s">
        <v>49</v>
      </c>
      <c r="B1313" s="15" t="s">
        <v>50</v>
      </c>
      <c r="C1313" s="15" t="s">
        <v>61</v>
      </c>
      <c r="D1313" s="15" t="s">
        <v>3533</v>
      </c>
      <c r="E1313" s="15" t="s">
        <v>3364</v>
      </c>
      <c r="F1313" s="16">
        <v>0</v>
      </c>
      <c r="G1313" s="15" t="s">
        <v>3364</v>
      </c>
      <c r="H1313" s="15" t="s">
        <v>54</v>
      </c>
      <c r="I1313" s="15">
        <v>0</v>
      </c>
      <c r="J1313" s="15">
        <v>0</v>
      </c>
      <c r="K1313" s="15">
        <v>0</v>
      </c>
      <c r="L1313" s="20">
        <v>0</v>
      </c>
      <c r="M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0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  <c r="AA1313" s="15"/>
      <c r="AB1313" s="15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</row>
    <row r="1314" spans="1:43">
      <c r="A1314" s="15" t="s">
        <v>64</v>
      </c>
      <c r="B1314" s="15" t="s">
        <v>118</v>
      </c>
      <c r="C1314" s="15" t="s">
        <v>119</v>
      </c>
      <c r="D1314" s="15" t="s">
        <v>3534</v>
      </c>
      <c r="E1314" s="15" t="s">
        <v>3535</v>
      </c>
      <c r="F1314" s="16">
        <v>45034.5788194444</v>
      </c>
      <c r="G1314" s="15" t="s">
        <v>3535</v>
      </c>
      <c r="H1314" s="15" t="s">
        <v>54</v>
      </c>
      <c r="I1314" s="15">
        <v>67.45</v>
      </c>
      <c r="J1314" s="15">
        <v>6</v>
      </c>
      <c r="K1314" s="15">
        <v>11.2416666666667</v>
      </c>
      <c r="L1314" s="20">
        <v>0.160595238095238</v>
      </c>
      <c r="M1314" s="15">
        <v>0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19.97</v>
      </c>
      <c r="V1314" s="15">
        <v>8.51</v>
      </c>
      <c r="W1314" s="15">
        <v>6.35</v>
      </c>
      <c r="X1314" s="15">
        <v>12.01</v>
      </c>
      <c r="Y1314" s="15">
        <v>17.02</v>
      </c>
      <c r="Z1314" s="15">
        <v>3.59</v>
      </c>
      <c r="AA1314" s="15"/>
      <c r="AB1314" s="15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/>
      <c r="AM1314" s="15"/>
      <c r="AN1314" s="15"/>
      <c r="AO1314" s="15"/>
      <c r="AP1314" s="15"/>
      <c r="AQ1314" s="15"/>
    </row>
    <row r="1315" spans="1:43">
      <c r="A1315" s="15" t="s">
        <v>43</v>
      </c>
      <c r="B1315" s="15" t="s">
        <v>44</v>
      </c>
      <c r="C1315" s="15" t="s">
        <v>45</v>
      </c>
      <c r="D1315" s="15" t="s">
        <v>3536</v>
      </c>
      <c r="E1315" s="15" t="s">
        <v>3537</v>
      </c>
      <c r="F1315" s="16">
        <v>41227.7248611111</v>
      </c>
      <c r="G1315" s="15" t="s">
        <v>3537</v>
      </c>
      <c r="H1315" s="15" t="s">
        <v>3538</v>
      </c>
      <c r="I1315" s="15">
        <v>0</v>
      </c>
      <c r="J1315" s="15">
        <v>0</v>
      </c>
      <c r="K1315" s="15">
        <v>0</v>
      </c>
      <c r="L1315" s="20">
        <v>0</v>
      </c>
      <c r="M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</row>
    <row r="1316" spans="1:43">
      <c r="A1316" s="15" t="s">
        <v>43</v>
      </c>
      <c r="B1316" s="15" t="s">
        <v>44</v>
      </c>
      <c r="C1316" s="15" t="s">
        <v>45</v>
      </c>
      <c r="D1316" s="15" t="s">
        <v>3539</v>
      </c>
      <c r="E1316" s="15" t="s">
        <v>3540</v>
      </c>
      <c r="F1316" s="16">
        <v>41144.3877430556</v>
      </c>
      <c r="G1316" s="15" t="s">
        <v>3540</v>
      </c>
      <c r="H1316" s="15" t="s">
        <v>3541</v>
      </c>
      <c r="I1316" s="15">
        <v>0</v>
      </c>
      <c r="J1316" s="15">
        <v>0</v>
      </c>
      <c r="K1316" s="15">
        <v>0</v>
      </c>
      <c r="L1316" s="20">
        <v>0</v>
      </c>
      <c r="M1316" s="15">
        <v>0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</row>
    <row r="1317" spans="1:43">
      <c r="A1317" s="15" t="s">
        <v>49</v>
      </c>
      <c r="B1317" s="15" t="s">
        <v>50</v>
      </c>
      <c r="C1317" s="15" t="s">
        <v>75</v>
      </c>
      <c r="D1317" s="15" t="s">
        <v>3542</v>
      </c>
      <c r="E1317" s="15" t="s">
        <v>3543</v>
      </c>
      <c r="F1317" s="16">
        <v>44843.4160648148</v>
      </c>
      <c r="G1317" s="15" t="s">
        <v>3543</v>
      </c>
      <c r="H1317" s="15" t="s">
        <v>54</v>
      </c>
      <c r="I1317" s="15">
        <v>1267.33</v>
      </c>
      <c r="J1317" s="15">
        <v>12</v>
      </c>
      <c r="K1317" s="15">
        <v>105.610833333333</v>
      </c>
      <c r="L1317" s="20">
        <v>2.11221666666667</v>
      </c>
      <c r="M1317" s="15">
        <v>0</v>
      </c>
      <c r="N1317" s="15">
        <v>0</v>
      </c>
      <c r="O1317" s="15">
        <v>55.11</v>
      </c>
      <c r="P1317" s="15">
        <v>108.51</v>
      </c>
      <c r="Q1317" s="15">
        <v>104.05</v>
      </c>
      <c r="R1317" s="15">
        <v>106.14</v>
      </c>
      <c r="S1317" s="15">
        <v>109.44</v>
      </c>
      <c r="T1317" s="15">
        <v>107.41</v>
      </c>
      <c r="U1317" s="15">
        <v>150.45</v>
      </c>
      <c r="V1317" s="15">
        <v>107.97</v>
      </c>
      <c r="W1317" s="15">
        <v>123.61</v>
      </c>
      <c r="X1317" s="15">
        <v>95.28</v>
      </c>
      <c r="Y1317" s="15">
        <v>96.84</v>
      </c>
      <c r="Z1317" s="15">
        <v>102.52</v>
      </c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</row>
    <row r="1318" spans="1:43">
      <c r="A1318" s="15" t="s">
        <v>49</v>
      </c>
      <c r="B1318" s="15" t="s">
        <v>50</v>
      </c>
      <c r="C1318" s="15" t="s">
        <v>61</v>
      </c>
      <c r="D1318" s="15" t="s">
        <v>3544</v>
      </c>
      <c r="E1318" s="15" t="s">
        <v>3545</v>
      </c>
      <c r="F1318" s="16">
        <v>0</v>
      </c>
      <c r="G1318" s="15" t="s">
        <v>3545</v>
      </c>
      <c r="H1318" s="15" t="s">
        <v>3546</v>
      </c>
      <c r="I1318" s="15">
        <v>0</v>
      </c>
      <c r="J1318" s="15">
        <v>0</v>
      </c>
      <c r="K1318" s="15">
        <v>0</v>
      </c>
      <c r="L1318" s="20">
        <v>0</v>
      </c>
      <c r="M1318" s="15">
        <v>0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</row>
    <row r="1319" spans="1:43">
      <c r="A1319" s="15" t="s">
        <v>43</v>
      </c>
      <c r="B1319" s="15" t="s">
        <v>44</v>
      </c>
      <c r="C1319" s="15" t="s">
        <v>45</v>
      </c>
      <c r="D1319" s="15" t="s">
        <v>3547</v>
      </c>
      <c r="E1319" s="15" t="s">
        <v>3548</v>
      </c>
      <c r="F1319" s="16">
        <v>43368.4788888889</v>
      </c>
      <c r="G1319" s="15" t="s">
        <v>3548</v>
      </c>
      <c r="H1319" s="15" t="s">
        <v>3549</v>
      </c>
      <c r="I1319" s="15">
        <v>0</v>
      </c>
      <c r="J1319" s="15">
        <v>0</v>
      </c>
      <c r="K1319" s="15">
        <v>0</v>
      </c>
      <c r="L1319" s="20">
        <v>0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</row>
    <row r="1320" spans="1:43">
      <c r="A1320" s="15" t="s">
        <v>49</v>
      </c>
      <c r="B1320" s="15" t="s">
        <v>50</v>
      </c>
      <c r="C1320" s="15" t="s">
        <v>61</v>
      </c>
      <c r="D1320" s="15" t="s">
        <v>3550</v>
      </c>
      <c r="E1320" s="15" t="s">
        <v>3551</v>
      </c>
      <c r="F1320" s="16">
        <v>0</v>
      </c>
      <c r="G1320" s="15" t="s">
        <v>3551</v>
      </c>
      <c r="H1320" s="15" t="s">
        <v>54</v>
      </c>
      <c r="I1320" s="15">
        <v>0</v>
      </c>
      <c r="J1320" s="15">
        <v>0</v>
      </c>
      <c r="K1320" s="15">
        <v>0</v>
      </c>
      <c r="L1320" s="20">
        <v>0</v>
      </c>
      <c r="M1320" s="15">
        <v>0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0</v>
      </c>
      <c r="AA1320" s="15"/>
      <c r="AB1320" s="15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/>
      <c r="AM1320" s="15"/>
      <c r="AN1320" s="15"/>
      <c r="AO1320" s="15"/>
      <c r="AP1320" s="15"/>
      <c r="AQ1320" s="15"/>
    </row>
    <row r="1321" spans="1:43">
      <c r="A1321" s="15" t="s">
        <v>43</v>
      </c>
      <c r="B1321" s="15" t="s">
        <v>44</v>
      </c>
      <c r="C1321" s="15" t="s">
        <v>45</v>
      </c>
      <c r="D1321" s="15" t="s">
        <v>3552</v>
      </c>
      <c r="E1321" s="15" t="s">
        <v>3553</v>
      </c>
      <c r="F1321" s="16">
        <v>42709.4668287037</v>
      </c>
      <c r="G1321" s="15" t="s">
        <v>3553</v>
      </c>
      <c r="H1321" s="15" t="s">
        <v>3554</v>
      </c>
      <c r="I1321" s="15">
        <v>0</v>
      </c>
      <c r="J1321" s="15">
        <v>0</v>
      </c>
      <c r="K1321" s="15">
        <v>0</v>
      </c>
      <c r="L1321" s="20">
        <v>0</v>
      </c>
      <c r="M1321" s="15">
        <v>0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  <c r="AA1321" s="15"/>
      <c r="AB1321" s="15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/>
      <c r="AM1321" s="15"/>
      <c r="AN1321" s="15"/>
      <c r="AO1321" s="15"/>
      <c r="AP1321" s="15"/>
      <c r="AQ1321" s="15"/>
    </row>
    <row r="1322" spans="1:43">
      <c r="A1322" s="15" t="s">
        <v>64</v>
      </c>
      <c r="B1322" s="15" t="s">
        <v>65</v>
      </c>
      <c r="C1322" s="15" t="s">
        <v>93</v>
      </c>
      <c r="D1322" s="15" t="s">
        <v>3555</v>
      </c>
      <c r="E1322" s="15" t="s">
        <v>3556</v>
      </c>
      <c r="F1322" s="16">
        <v>44887.6116550926</v>
      </c>
      <c r="G1322" s="15" t="s">
        <v>3556</v>
      </c>
      <c r="H1322" s="15" t="s">
        <v>3346</v>
      </c>
      <c r="I1322" s="15">
        <v>0</v>
      </c>
      <c r="J1322" s="15">
        <v>0</v>
      </c>
      <c r="K1322" s="15">
        <v>0</v>
      </c>
      <c r="L1322" s="20">
        <v>0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0</v>
      </c>
      <c r="X1322" s="15">
        <v>0</v>
      </c>
      <c r="Y1322" s="15">
        <v>0</v>
      </c>
      <c r="Z1322" s="15">
        <v>0</v>
      </c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</row>
    <row r="1323" spans="1:43">
      <c r="A1323" s="15" t="s">
        <v>49</v>
      </c>
      <c r="B1323" s="15" t="s">
        <v>50</v>
      </c>
      <c r="C1323" s="15" t="s">
        <v>61</v>
      </c>
      <c r="D1323" s="15" t="s">
        <v>3557</v>
      </c>
      <c r="E1323" s="15" t="s">
        <v>3558</v>
      </c>
      <c r="F1323" s="16">
        <v>0</v>
      </c>
      <c r="G1323" s="15" t="s">
        <v>3558</v>
      </c>
      <c r="H1323" s="15" t="s">
        <v>3559</v>
      </c>
      <c r="I1323" s="15">
        <v>0</v>
      </c>
      <c r="J1323" s="15">
        <v>0</v>
      </c>
      <c r="K1323" s="15">
        <v>0</v>
      </c>
      <c r="L1323" s="20">
        <v>0</v>
      </c>
      <c r="M1323" s="15">
        <v>0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</row>
    <row r="1324" spans="1:43">
      <c r="A1324" s="15" t="s">
        <v>43</v>
      </c>
      <c r="B1324" s="15" t="s">
        <v>44</v>
      </c>
      <c r="C1324" s="15" t="s">
        <v>45</v>
      </c>
      <c r="D1324" s="15" t="s">
        <v>3560</v>
      </c>
      <c r="E1324" s="15" t="s">
        <v>3561</v>
      </c>
      <c r="F1324" s="16">
        <v>44020.4149768518</v>
      </c>
      <c r="G1324" s="15" t="s">
        <v>3561</v>
      </c>
      <c r="H1324" s="15" t="s">
        <v>54</v>
      </c>
      <c r="I1324" s="15">
        <v>0</v>
      </c>
      <c r="J1324" s="15">
        <v>0</v>
      </c>
      <c r="K1324" s="15">
        <v>0</v>
      </c>
      <c r="L1324" s="20">
        <v>0</v>
      </c>
      <c r="M1324" s="15">
        <v>0</v>
      </c>
      <c r="N1324" s="15">
        <v>0</v>
      </c>
      <c r="O1324" s="15">
        <v>0</v>
      </c>
      <c r="P1324" s="15">
        <v>0</v>
      </c>
      <c r="Q1324" s="15">
        <v>0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0</v>
      </c>
      <c r="X1324" s="15">
        <v>0</v>
      </c>
      <c r="Y1324" s="15">
        <v>0</v>
      </c>
      <c r="Z1324" s="15">
        <v>0</v>
      </c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</row>
    <row r="1325" spans="1:43">
      <c r="A1325" s="15" t="s">
        <v>43</v>
      </c>
      <c r="B1325" s="15" t="s">
        <v>44</v>
      </c>
      <c r="C1325" s="15" t="s">
        <v>440</v>
      </c>
      <c r="D1325" s="15" t="s">
        <v>3562</v>
      </c>
      <c r="E1325" s="15" t="s">
        <v>3563</v>
      </c>
      <c r="F1325" s="16">
        <v>44519.7045833333</v>
      </c>
      <c r="G1325" s="15" t="s">
        <v>3563</v>
      </c>
      <c r="H1325" s="15" t="s">
        <v>54</v>
      </c>
      <c r="I1325" s="15">
        <v>0</v>
      </c>
      <c r="J1325" s="15">
        <v>0</v>
      </c>
      <c r="K1325" s="15">
        <v>0</v>
      </c>
      <c r="L1325" s="20">
        <v>0</v>
      </c>
      <c r="M1325" s="15">
        <v>0</v>
      </c>
      <c r="N1325" s="15">
        <v>0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</row>
    <row r="1326" spans="1:43">
      <c r="A1326" s="15" t="s">
        <v>49</v>
      </c>
      <c r="B1326" s="15" t="s">
        <v>50</v>
      </c>
      <c r="C1326" s="15" t="s">
        <v>61</v>
      </c>
      <c r="D1326" s="15" t="s">
        <v>3564</v>
      </c>
      <c r="E1326" s="15" t="s">
        <v>549</v>
      </c>
      <c r="F1326" s="16">
        <v>0</v>
      </c>
      <c r="G1326" s="15" t="s">
        <v>549</v>
      </c>
      <c r="H1326" s="15" t="s">
        <v>550</v>
      </c>
      <c r="I1326" s="15">
        <v>0</v>
      </c>
      <c r="J1326" s="15">
        <v>0</v>
      </c>
      <c r="K1326" s="15">
        <v>0</v>
      </c>
      <c r="L1326" s="20">
        <v>0</v>
      </c>
      <c r="M1326" s="15">
        <v>0</v>
      </c>
      <c r="N1326" s="15">
        <v>0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0</v>
      </c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</row>
    <row r="1327" spans="1:43">
      <c r="A1327" s="15" t="s">
        <v>43</v>
      </c>
      <c r="B1327" s="15" t="s">
        <v>44</v>
      </c>
      <c r="C1327" s="15" t="s">
        <v>45</v>
      </c>
      <c r="D1327" s="15" t="s">
        <v>3565</v>
      </c>
      <c r="E1327" s="15" t="s">
        <v>3566</v>
      </c>
      <c r="F1327" s="16">
        <v>42986.6022222222</v>
      </c>
      <c r="G1327" s="15" t="s">
        <v>3566</v>
      </c>
      <c r="H1327" s="15" t="s">
        <v>3567</v>
      </c>
      <c r="I1327" s="15">
        <v>0</v>
      </c>
      <c r="J1327" s="15">
        <v>0</v>
      </c>
      <c r="K1327" s="15">
        <v>0</v>
      </c>
      <c r="L1327" s="20">
        <v>0</v>
      </c>
      <c r="M1327" s="15">
        <v>0</v>
      </c>
      <c r="N1327" s="15">
        <v>0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</row>
    <row r="1328" spans="1:43">
      <c r="A1328" s="15" t="s">
        <v>43</v>
      </c>
      <c r="B1328" s="15" t="s">
        <v>44</v>
      </c>
      <c r="C1328" s="15" t="s">
        <v>45</v>
      </c>
      <c r="D1328" s="15" t="s">
        <v>3568</v>
      </c>
      <c r="E1328" s="15" t="s">
        <v>3569</v>
      </c>
      <c r="F1328" s="16">
        <v>43260.3778009259</v>
      </c>
      <c r="G1328" s="15" t="s">
        <v>3569</v>
      </c>
      <c r="H1328" s="15" t="s">
        <v>3570</v>
      </c>
      <c r="I1328" s="15">
        <v>0</v>
      </c>
      <c r="J1328" s="15">
        <v>0</v>
      </c>
      <c r="K1328" s="15">
        <v>0</v>
      </c>
      <c r="L1328" s="20">
        <v>0</v>
      </c>
      <c r="M1328" s="15">
        <v>0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</row>
    <row r="1329" spans="1:43">
      <c r="A1329" s="15" t="s">
        <v>43</v>
      </c>
      <c r="B1329" s="15" t="s">
        <v>44</v>
      </c>
      <c r="C1329" s="15" t="s">
        <v>45</v>
      </c>
      <c r="D1329" s="15" t="s">
        <v>3571</v>
      </c>
      <c r="E1329" s="15" t="s">
        <v>3572</v>
      </c>
      <c r="F1329" s="16">
        <v>44306.5768518519</v>
      </c>
      <c r="G1329" s="15" t="s">
        <v>3572</v>
      </c>
      <c r="H1329" s="15" t="s">
        <v>3573</v>
      </c>
      <c r="I1329" s="15">
        <v>0</v>
      </c>
      <c r="J1329" s="15">
        <v>0</v>
      </c>
      <c r="K1329" s="15">
        <v>0</v>
      </c>
      <c r="L1329" s="20">
        <v>0</v>
      </c>
      <c r="M1329" s="15">
        <v>0</v>
      </c>
      <c r="N1329" s="15">
        <v>0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</row>
    <row r="1330" spans="1:43">
      <c r="A1330" s="15" t="s">
        <v>43</v>
      </c>
      <c r="B1330" s="15" t="s">
        <v>44</v>
      </c>
      <c r="C1330" s="15" t="s">
        <v>440</v>
      </c>
      <c r="D1330" s="15" t="s">
        <v>3574</v>
      </c>
      <c r="E1330" s="15" t="s">
        <v>3575</v>
      </c>
      <c r="F1330" s="16">
        <v>44939.45</v>
      </c>
      <c r="G1330" s="15" t="s">
        <v>3575</v>
      </c>
      <c r="H1330" s="15" t="s">
        <v>54</v>
      </c>
      <c r="I1330" s="15">
        <v>0</v>
      </c>
      <c r="J1330" s="15">
        <v>0</v>
      </c>
      <c r="K1330" s="15">
        <v>0</v>
      </c>
      <c r="L1330" s="20">
        <v>0</v>
      </c>
      <c r="M1330" s="15">
        <v>0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</row>
    <row r="1331" spans="1:43">
      <c r="A1331" s="15" t="s">
        <v>64</v>
      </c>
      <c r="B1331" s="15" t="s">
        <v>118</v>
      </c>
      <c r="C1331" s="15" t="s">
        <v>131</v>
      </c>
      <c r="D1331" s="15" t="s">
        <v>3576</v>
      </c>
      <c r="E1331" s="15" t="s">
        <v>3577</v>
      </c>
      <c r="F1331" s="16">
        <v>45102.4446296296</v>
      </c>
      <c r="G1331" s="15" t="s">
        <v>3577</v>
      </c>
      <c r="H1331" s="15" t="s">
        <v>54</v>
      </c>
      <c r="I1331" s="15">
        <v>752.36</v>
      </c>
      <c r="J1331" s="15">
        <v>14</v>
      </c>
      <c r="K1331" s="15">
        <v>53.74</v>
      </c>
      <c r="L1331" s="20">
        <v>0.767714285714286</v>
      </c>
      <c r="M1331" s="15">
        <v>160.72</v>
      </c>
      <c r="N1331" s="15">
        <v>86.93</v>
      </c>
      <c r="O1331" s="15">
        <v>41.86</v>
      </c>
      <c r="P1331" s="15">
        <v>72.85</v>
      </c>
      <c r="Q1331" s="15">
        <v>47.93</v>
      </c>
      <c r="R1331" s="15">
        <v>71.31</v>
      </c>
      <c r="S1331" s="15">
        <v>52.92</v>
      </c>
      <c r="T1331" s="15">
        <v>50.49</v>
      </c>
      <c r="U1331" s="15">
        <v>21.93</v>
      </c>
      <c r="V1331" s="15">
        <v>61.89</v>
      </c>
      <c r="W1331" s="15">
        <v>39.69</v>
      </c>
      <c r="X1331" s="15">
        <v>12.66</v>
      </c>
      <c r="Y1331" s="15">
        <v>12.12</v>
      </c>
      <c r="Z1331" s="15">
        <v>19.06</v>
      </c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</row>
    <row r="1332" spans="1:43">
      <c r="A1332" s="15" t="s">
        <v>49</v>
      </c>
      <c r="B1332" s="15" t="s">
        <v>50</v>
      </c>
      <c r="C1332" s="15" t="s">
        <v>75</v>
      </c>
      <c r="D1332" s="15" t="s">
        <v>3578</v>
      </c>
      <c r="E1332" s="15" t="s">
        <v>3579</v>
      </c>
      <c r="F1332" s="16">
        <v>44468.4186342593</v>
      </c>
      <c r="G1332" s="15" t="s">
        <v>3579</v>
      </c>
      <c r="H1332" s="15" t="s">
        <v>54</v>
      </c>
      <c r="I1332" s="15">
        <v>0</v>
      </c>
      <c r="J1332" s="15">
        <v>0</v>
      </c>
      <c r="K1332" s="15">
        <v>0</v>
      </c>
      <c r="L1332" s="20">
        <v>0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0</v>
      </c>
      <c r="X1332" s="15">
        <v>0</v>
      </c>
      <c r="Y1332" s="15">
        <v>0</v>
      </c>
      <c r="Z1332" s="15">
        <v>0</v>
      </c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</row>
    <row r="1333" spans="1:43">
      <c r="A1333" s="15" t="s">
        <v>64</v>
      </c>
      <c r="B1333" s="15" t="s">
        <v>118</v>
      </c>
      <c r="C1333" s="15" t="s">
        <v>138</v>
      </c>
      <c r="D1333" s="15" t="s">
        <v>3580</v>
      </c>
      <c r="E1333" s="15" t="s">
        <v>3580</v>
      </c>
      <c r="F1333" s="16">
        <v>45091.3795833333</v>
      </c>
      <c r="G1333" s="15" t="s">
        <v>3580</v>
      </c>
      <c r="H1333" s="15" t="s">
        <v>54</v>
      </c>
      <c r="I1333" s="15">
        <v>2010.4</v>
      </c>
      <c r="J1333" s="15">
        <v>14</v>
      </c>
      <c r="K1333" s="15">
        <v>143.6</v>
      </c>
      <c r="L1333" s="20">
        <v>2.05142857142857</v>
      </c>
      <c r="M1333" s="15">
        <v>117.52</v>
      </c>
      <c r="N1333" s="15">
        <v>103.9</v>
      </c>
      <c r="O1333" s="15">
        <v>108.35</v>
      </c>
      <c r="P1333" s="15">
        <v>90.38</v>
      </c>
      <c r="Q1333" s="15">
        <v>155.57</v>
      </c>
      <c r="R1333" s="15">
        <v>178.54</v>
      </c>
      <c r="S1333" s="15">
        <v>176.55</v>
      </c>
      <c r="T1333" s="15">
        <v>137.77</v>
      </c>
      <c r="U1333" s="15">
        <v>214.6</v>
      </c>
      <c r="V1333" s="15">
        <v>108.23</v>
      </c>
      <c r="W1333" s="15">
        <v>151.29</v>
      </c>
      <c r="X1333" s="15">
        <v>167.28</v>
      </c>
      <c r="Y1333" s="15">
        <v>109.74</v>
      </c>
      <c r="Z1333" s="15">
        <v>190.68</v>
      </c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</row>
    <row r="1334" spans="1:43">
      <c r="A1334" s="15" t="s">
        <v>43</v>
      </c>
      <c r="B1334" s="15" t="s">
        <v>44</v>
      </c>
      <c r="C1334" s="15" t="s">
        <v>45</v>
      </c>
      <c r="D1334" s="15" t="s">
        <v>3581</v>
      </c>
      <c r="E1334" s="15" t="s">
        <v>3582</v>
      </c>
      <c r="F1334" s="16">
        <v>43602.4684606482</v>
      </c>
      <c r="G1334" s="15" t="s">
        <v>3582</v>
      </c>
      <c r="H1334" s="15" t="s">
        <v>3583</v>
      </c>
      <c r="I1334" s="15">
        <v>0</v>
      </c>
      <c r="J1334" s="15">
        <v>0</v>
      </c>
      <c r="K1334" s="15">
        <v>0</v>
      </c>
      <c r="L1334" s="20">
        <v>0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>
        <v>0</v>
      </c>
      <c r="U1334" s="15">
        <v>0</v>
      </c>
      <c r="V1334" s="15">
        <v>0</v>
      </c>
      <c r="W1334" s="15">
        <v>0</v>
      </c>
      <c r="X1334" s="15">
        <v>0</v>
      </c>
      <c r="Y1334" s="15">
        <v>0</v>
      </c>
      <c r="Z1334" s="15">
        <v>0</v>
      </c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</row>
    <row r="1335" spans="1:43">
      <c r="A1335" s="15" t="s">
        <v>49</v>
      </c>
      <c r="B1335" s="15" t="s">
        <v>50</v>
      </c>
      <c r="C1335" s="15" t="s">
        <v>61</v>
      </c>
      <c r="D1335" s="15" t="s">
        <v>3584</v>
      </c>
      <c r="E1335" s="15" t="s">
        <v>3585</v>
      </c>
      <c r="F1335" s="16">
        <v>0</v>
      </c>
      <c r="G1335" s="15" t="s">
        <v>3585</v>
      </c>
      <c r="H1335" s="15" t="s">
        <v>3586</v>
      </c>
      <c r="I1335" s="15">
        <v>0</v>
      </c>
      <c r="J1335" s="15">
        <v>0</v>
      </c>
      <c r="K1335" s="15">
        <v>0</v>
      </c>
      <c r="L1335" s="20">
        <v>0</v>
      </c>
      <c r="M1335" s="15">
        <v>0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</row>
    <row r="1336" spans="1:43">
      <c r="A1336" s="15" t="s">
        <v>49</v>
      </c>
      <c r="B1336" s="15" t="s">
        <v>50</v>
      </c>
      <c r="C1336" s="15" t="s">
        <v>61</v>
      </c>
      <c r="D1336" s="15" t="s">
        <v>3587</v>
      </c>
      <c r="E1336" s="15" t="s">
        <v>3558</v>
      </c>
      <c r="F1336" s="16">
        <v>0</v>
      </c>
      <c r="G1336" s="15" t="s">
        <v>3558</v>
      </c>
      <c r="H1336" s="15" t="s">
        <v>3559</v>
      </c>
      <c r="I1336" s="15">
        <v>0</v>
      </c>
      <c r="J1336" s="15">
        <v>0</v>
      </c>
      <c r="K1336" s="15">
        <v>0</v>
      </c>
      <c r="L1336" s="20">
        <v>0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0</v>
      </c>
      <c r="V1336" s="15">
        <v>0</v>
      </c>
      <c r="W1336" s="15">
        <v>0</v>
      </c>
      <c r="X1336" s="15">
        <v>0</v>
      </c>
      <c r="Y1336" s="15">
        <v>0</v>
      </c>
      <c r="Z1336" s="15">
        <v>0</v>
      </c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</row>
    <row r="1337" spans="1:43">
      <c r="A1337" s="15" t="s">
        <v>43</v>
      </c>
      <c r="B1337" s="15" t="s">
        <v>44</v>
      </c>
      <c r="C1337" s="15" t="s">
        <v>45</v>
      </c>
      <c r="D1337" s="15" t="s">
        <v>3588</v>
      </c>
      <c r="E1337" s="15" t="s">
        <v>3589</v>
      </c>
      <c r="F1337" s="16">
        <v>41163.7075578704</v>
      </c>
      <c r="G1337" s="15" t="s">
        <v>3589</v>
      </c>
      <c r="H1337" s="15" t="s">
        <v>3590</v>
      </c>
      <c r="I1337" s="15">
        <v>0</v>
      </c>
      <c r="J1337" s="15">
        <v>0</v>
      </c>
      <c r="K1337" s="15">
        <v>0</v>
      </c>
      <c r="L1337" s="20">
        <v>0</v>
      </c>
      <c r="M1337" s="15">
        <v>0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0</v>
      </c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</row>
    <row r="1338" spans="1:43">
      <c r="A1338" s="15" t="s">
        <v>49</v>
      </c>
      <c r="B1338" s="15" t="s">
        <v>50</v>
      </c>
      <c r="C1338" s="15" t="s">
        <v>61</v>
      </c>
      <c r="D1338" s="15" t="s">
        <v>3591</v>
      </c>
      <c r="E1338" s="15" t="s">
        <v>3592</v>
      </c>
      <c r="F1338" s="16">
        <v>0</v>
      </c>
      <c r="G1338" s="15" t="s">
        <v>3592</v>
      </c>
      <c r="H1338" s="15" t="s">
        <v>54</v>
      </c>
      <c r="I1338" s="15">
        <v>0</v>
      </c>
      <c r="J1338" s="15">
        <v>0</v>
      </c>
      <c r="K1338" s="15">
        <v>0</v>
      </c>
      <c r="L1338" s="20">
        <v>0</v>
      </c>
      <c r="M1338" s="15">
        <v>0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</row>
    <row r="1339" spans="1:43">
      <c r="A1339" s="15" t="s">
        <v>43</v>
      </c>
      <c r="B1339" s="15" t="s">
        <v>44</v>
      </c>
      <c r="C1339" s="15" t="s">
        <v>45</v>
      </c>
      <c r="D1339" s="15" t="s">
        <v>3593</v>
      </c>
      <c r="E1339" s="15" t="s">
        <v>3594</v>
      </c>
      <c r="F1339" s="16">
        <v>42074.6864236111</v>
      </c>
      <c r="G1339" s="15" t="s">
        <v>3594</v>
      </c>
      <c r="H1339" s="15" t="s">
        <v>3595</v>
      </c>
      <c r="I1339" s="15">
        <v>0</v>
      </c>
      <c r="J1339" s="15">
        <v>0</v>
      </c>
      <c r="K1339" s="15">
        <v>0</v>
      </c>
      <c r="L1339" s="20">
        <v>0</v>
      </c>
      <c r="M1339" s="15">
        <v>0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</row>
    <row r="1340" spans="1:43">
      <c r="A1340" s="15" t="s">
        <v>43</v>
      </c>
      <c r="B1340" s="15" t="s">
        <v>44</v>
      </c>
      <c r="C1340" s="15" t="s">
        <v>45</v>
      </c>
      <c r="D1340" s="15" t="s">
        <v>3596</v>
      </c>
      <c r="E1340" s="15" t="s">
        <v>3597</v>
      </c>
      <c r="F1340" s="16">
        <v>41759.650775463</v>
      </c>
      <c r="G1340" s="15" t="s">
        <v>3597</v>
      </c>
      <c r="H1340" s="15" t="s">
        <v>3598</v>
      </c>
      <c r="I1340" s="15">
        <v>0</v>
      </c>
      <c r="J1340" s="15">
        <v>0</v>
      </c>
      <c r="K1340" s="15">
        <v>0</v>
      </c>
      <c r="L1340" s="20">
        <v>0</v>
      </c>
      <c r="M1340" s="15">
        <v>0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0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</row>
    <row r="1341" spans="1:43">
      <c r="A1341" s="15" t="s">
        <v>49</v>
      </c>
      <c r="B1341" s="15" t="s">
        <v>50</v>
      </c>
      <c r="C1341" s="15" t="s">
        <v>61</v>
      </c>
      <c r="D1341" s="15" t="s">
        <v>3599</v>
      </c>
      <c r="E1341" s="15" t="s">
        <v>3600</v>
      </c>
      <c r="F1341" s="16">
        <v>0</v>
      </c>
      <c r="G1341" s="15" t="s">
        <v>3600</v>
      </c>
      <c r="H1341" s="15" t="s">
        <v>3601</v>
      </c>
      <c r="I1341" s="15">
        <v>0</v>
      </c>
      <c r="J1341" s="15">
        <v>0</v>
      </c>
      <c r="K1341" s="15">
        <v>0</v>
      </c>
      <c r="L1341" s="20">
        <v>0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0</v>
      </c>
      <c r="X1341" s="15">
        <v>0</v>
      </c>
      <c r="Y1341" s="15">
        <v>0</v>
      </c>
      <c r="Z1341" s="15">
        <v>0</v>
      </c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</row>
    <row r="1342" spans="1:43">
      <c r="A1342" s="15" t="s">
        <v>64</v>
      </c>
      <c r="B1342" s="15" t="s">
        <v>65</v>
      </c>
      <c r="C1342" s="15" t="s">
        <v>66</v>
      </c>
      <c r="D1342" s="15" t="s">
        <v>3602</v>
      </c>
      <c r="E1342" s="15" t="s">
        <v>3603</v>
      </c>
      <c r="F1342" s="16">
        <v>44693.6936689815</v>
      </c>
      <c r="G1342" s="15" t="s">
        <v>3603</v>
      </c>
      <c r="H1342" s="15" t="s">
        <v>54</v>
      </c>
      <c r="I1342" s="15">
        <v>0</v>
      </c>
      <c r="J1342" s="15">
        <v>0</v>
      </c>
      <c r="K1342" s="15">
        <v>0</v>
      </c>
      <c r="L1342" s="20">
        <v>0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0</v>
      </c>
      <c r="X1342" s="15">
        <v>0</v>
      </c>
      <c r="Y1342" s="15">
        <v>0</v>
      </c>
      <c r="Z1342" s="15">
        <v>0</v>
      </c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</row>
    <row r="1343" spans="1:43">
      <c r="A1343" s="15" t="s">
        <v>43</v>
      </c>
      <c r="B1343" s="15" t="s">
        <v>44</v>
      </c>
      <c r="C1343" s="15" t="s">
        <v>45</v>
      </c>
      <c r="D1343" s="15" t="s">
        <v>3604</v>
      </c>
      <c r="E1343" s="15" t="s">
        <v>3605</v>
      </c>
      <c r="F1343" s="16">
        <v>43090.7190277778</v>
      </c>
      <c r="G1343" s="15" t="s">
        <v>3605</v>
      </c>
      <c r="H1343" s="15" t="s">
        <v>3606</v>
      </c>
      <c r="I1343" s="15">
        <v>0</v>
      </c>
      <c r="J1343" s="15">
        <v>0</v>
      </c>
      <c r="K1343" s="15">
        <v>0</v>
      </c>
      <c r="L1343" s="20">
        <v>0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0</v>
      </c>
      <c r="V1343" s="15">
        <v>0</v>
      </c>
      <c r="W1343" s="15">
        <v>0</v>
      </c>
      <c r="X1343" s="15">
        <v>0</v>
      </c>
      <c r="Y1343" s="15">
        <v>0</v>
      </c>
      <c r="Z1343" s="15">
        <v>0</v>
      </c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</row>
    <row r="1344" spans="1:43">
      <c r="A1344" s="15" t="s">
        <v>43</v>
      </c>
      <c r="B1344" s="15" t="s">
        <v>44</v>
      </c>
      <c r="C1344" s="15" t="s">
        <v>45</v>
      </c>
      <c r="D1344" s="15" t="s">
        <v>3607</v>
      </c>
      <c r="E1344" s="15" t="s">
        <v>3608</v>
      </c>
      <c r="F1344" s="16">
        <v>41026.6085763889</v>
      </c>
      <c r="G1344" s="15" t="s">
        <v>3608</v>
      </c>
      <c r="H1344" s="15" t="s">
        <v>3609</v>
      </c>
      <c r="I1344" s="15">
        <v>0</v>
      </c>
      <c r="J1344" s="15">
        <v>0</v>
      </c>
      <c r="K1344" s="15">
        <v>0</v>
      </c>
      <c r="L1344" s="20">
        <v>0</v>
      </c>
      <c r="M1344" s="15">
        <v>0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0</v>
      </c>
      <c r="X1344" s="15">
        <v>0</v>
      </c>
      <c r="Y1344" s="15">
        <v>0</v>
      </c>
      <c r="Z1344" s="15">
        <v>0</v>
      </c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</row>
    <row r="1345" spans="1:43">
      <c r="A1345" s="15" t="s">
        <v>49</v>
      </c>
      <c r="B1345" s="15" t="s">
        <v>50</v>
      </c>
      <c r="C1345" s="15" t="s">
        <v>61</v>
      </c>
      <c r="D1345" s="15" t="s">
        <v>3610</v>
      </c>
      <c r="E1345" s="15" t="s">
        <v>3611</v>
      </c>
      <c r="F1345" s="16">
        <v>0</v>
      </c>
      <c r="G1345" s="15" t="s">
        <v>3611</v>
      </c>
      <c r="H1345" s="15" t="s">
        <v>3612</v>
      </c>
      <c r="I1345" s="15">
        <v>0</v>
      </c>
      <c r="J1345" s="15">
        <v>0</v>
      </c>
      <c r="K1345" s="15">
        <v>0</v>
      </c>
      <c r="L1345" s="20">
        <v>0</v>
      </c>
      <c r="M1345" s="15">
        <v>0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0</v>
      </c>
      <c r="X1345" s="15">
        <v>0</v>
      </c>
      <c r="Y1345" s="15">
        <v>0</v>
      </c>
      <c r="Z1345" s="15">
        <v>0</v>
      </c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</row>
    <row r="1346" spans="1:43">
      <c r="A1346" s="15" t="s">
        <v>43</v>
      </c>
      <c r="B1346" s="15" t="s">
        <v>44</v>
      </c>
      <c r="C1346" s="15" t="s">
        <v>45</v>
      </c>
      <c r="D1346" s="15" t="s">
        <v>3613</v>
      </c>
      <c r="E1346" s="15" t="s">
        <v>3614</v>
      </c>
      <c r="F1346" s="16">
        <v>42136.7308912037</v>
      </c>
      <c r="G1346" s="15" t="s">
        <v>3614</v>
      </c>
      <c r="H1346" s="15" t="s">
        <v>3615</v>
      </c>
      <c r="I1346" s="15">
        <v>0</v>
      </c>
      <c r="J1346" s="15">
        <v>0</v>
      </c>
      <c r="K1346" s="15">
        <v>0</v>
      </c>
      <c r="L1346" s="20">
        <v>0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0</v>
      </c>
      <c r="V1346" s="15">
        <v>0</v>
      </c>
      <c r="W1346" s="15">
        <v>0</v>
      </c>
      <c r="X1346" s="15">
        <v>0</v>
      </c>
      <c r="Y1346" s="15">
        <v>0</v>
      </c>
      <c r="Z1346" s="15">
        <v>0</v>
      </c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</row>
    <row r="1347" spans="1:43">
      <c r="A1347" s="15" t="s">
        <v>49</v>
      </c>
      <c r="B1347" s="15" t="s">
        <v>50</v>
      </c>
      <c r="C1347" s="15" t="s">
        <v>61</v>
      </c>
      <c r="D1347" s="15" t="s">
        <v>3616</v>
      </c>
      <c r="E1347" s="15" t="s">
        <v>3617</v>
      </c>
      <c r="F1347" s="16">
        <v>0</v>
      </c>
      <c r="G1347" s="15" t="s">
        <v>3617</v>
      </c>
      <c r="H1347" s="15" t="s">
        <v>3618</v>
      </c>
      <c r="I1347" s="15">
        <v>0</v>
      </c>
      <c r="J1347" s="15">
        <v>0</v>
      </c>
      <c r="K1347" s="15">
        <v>0</v>
      </c>
      <c r="L1347" s="20">
        <v>0</v>
      </c>
      <c r="M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0</v>
      </c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</row>
    <row r="1348" spans="1:43">
      <c r="A1348" s="15" t="s">
        <v>43</v>
      </c>
      <c r="B1348" s="15" t="s">
        <v>44</v>
      </c>
      <c r="C1348" s="15" t="s">
        <v>45</v>
      </c>
      <c r="D1348" s="15" t="s">
        <v>3619</v>
      </c>
      <c r="E1348" s="15" t="s">
        <v>3620</v>
      </c>
      <c r="F1348" s="16">
        <v>43056.6333680555</v>
      </c>
      <c r="G1348" s="15" t="s">
        <v>3620</v>
      </c>
      <c r="H1348" s="15" t="s">
        <v>3621</v>
      </c>
      <c r="I1348" s="15">
        <v>0</v>
      </c>
      <c r="J1348" s="15">
        <v>0</v>
      </c>
      <c r="K1348" s="15">
        <v>0</v>
      </c>
      <c r="L1348" s="20">
        <v>0</v>
      </c>
      <c r="M1348" s="15">
        <v>0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0</v>
      </c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</row>
    <row r="1349" spans="1:43">
      <c r="A1349" s="15" t="s">
        <v>49</v>
      </c>
      <c r="B1349" s="15" t="s">
        <v>50</v>
      </c>
      <c r="C1349" s="15" t="s">
        <v>61</v>
      </c>
      <c r="D1349" s="15" t="s">
        <v>3622</v>
      </c>
      <c r="E1349" s="15" t="s">
        <v>3623</v>
      </c>
      <c r="F1349" s="16">
        <v>0</v>
      </c>
      <c r="G1349" s="15" t="s">
        <v>3623</v>
      </c>
      <c r="H1349" s="15" t="s">
        <v>3624</v>
      </c>
      <c r="I1349" s="15">
        <v>0</v>
      </c>
      <c r="J1349" s="15">
        <v>0</v>
      </c>
      <c r="K1349" s="15">
        <v>0</v>
      </c>
      <c r="L1349" s="20">
        <v>0</v>
      </c>
      <c r="M1349" s="15">
        <v>0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</row>
    <row r="1350" spans="1:43">
      <c r="A1350" s="15" t="s">
        <v>43</v>
      </c>
      <c r="B1350" s="15" t="s">
        <v>44</v>
      </c>
      <c r="C1350" s="15" t="s">
        <v>45</v>
      </c>
      <c r="D1350" s="15" t="s">
        <v>3625</v>
      </c>
      <c r="E1350" s="15" t="s">
        <v>3626</v>
      </c>
      <c r="F1350" s="16">
        <v>42079.6185532407</v>
      </c>
      <c r="G1350" s="15" t="s">
        <v>3626</v>
      </c>
      <c r="H1350" s="15" t="s">
        <v>3627</v>
      </c>
      <c r="I1350" s="15">
        <v>0</v>
      </c>
      <c r="J1350" s="15">
        <v>0</v>
      </c>
      <c r="K1350" s="15">
        <v>0</v>
      </c>
      <c r="L1350" s="20">
        <v>0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0</v>
      </c>
      <c r="X1350" s="15">
        <v>0</v>
      </c>
      <c r="Y1350" s="15">
        <v>0</v>
      </c>
      <c r="Z1350" s="15">
        <v>0</v>
      </c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</row>
    <row r="1351" spans="1:43">
      <c r="A1351" s="15" t="s">
        <v>43</v>
      </c>
      <c r="B1351" s="15" t="s">
        <v>44</v>
      </c>
      <c r="C1351" s="15" t="s">
        <v>45</v>
      </c>
      <c r="D1351" s="15" t="s">
        <v>3628</v>
      </c>
      <c r="E1351" s="15" t="s">
        <v>3629</v>
      </c>
      <c r="F1351" s="16">
        <v>43908.7219560185</v>
      </c>
      <c r="G1351" s="15" t="s">
        <v>3629</v>
      </c>
      <c r="H1351" s="15" t="s">
        <v>54</v>
      </c>
      <c r="I1351" s="15">
        <v>0</v>
      </c>
      <c r="J1351" s="15">
        <v>0</v>
      </c>
      <c r="K1351" s="15">
        <v>0</v>
      </c>
      <c r="L1351" s="20">
        <v>0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</row>
    <row r="1352" spans="1:43">
      <c r="A1352" s="15" t="s">
        <v>49</v>
      </c>
      <c r="B1352" s="15" t="s">
        <v>50</v>
      </c>
      <c r="C1352" s="15" t="s">
        <v>61</v>
      </c>
      <c r="D1352" s="15" t="s">
        <v>3630</v>
      </c>
      <c r="E1352" s="15" t="s">
        <v>3631</v>
      </c>
      <c r="F1352" s="16">
        <v>0</v>
      </c>
      <c r="G1352" s="15" t="s">
        <v>3631</v>
      </c>
      <c r="H1352" s="15" t="s">
        <v>3632</v>
      </c>
      <c r="I1352" s="15">
        <v>0</v>
      </c>
      <c r="J1352" s="15">
        <v>0</v>
      </c>
      <c r="K1352" s="15">
        <v>0</v>
      </c>
      <c r="L1352" s="20">
        <v>0</v>
      </c>
      <c r="M1352" s="15">
        <v>0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0</v>
      </c>
      <c r="V1352" s="15">
        <v>0</v>
      </c>
      <c r="W1352" s="15">
        <v>0</v>
      </c>
      <c r="X1352" s="15">
        <v>0</v>
      </c>
      <c r="Y1352" s="15">
        <v>0</v>
      </c>
      <c r="Z1352" s="15">
        <v>0</v>
      </c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</row>
    <row r="1353" spans="1:43">
      <c r="A1353" s="15" t="s">
        <v>43</v>
      </c>
      <c r="B1353" s="15" t="s">
        <v>44</v>
      </c>
      <c r="C1353" s="15" t="s">
        <v>45</v>
      </c>
      <c r="D1353" s="15" t="s">
        <v>3633</v>
      </c>
      <c r="E1353" s="15" t="s">
        <v>3634</v>
      </c>
      <c r="F1353" s="16">
        <v>43819.4227893518</v>
      </c>
      <c r="G1353" s="15" t="s">
        <v>3634</v>
      </c>
      <c r="H1353" s="15" t="s">
        <v>54</v>
      </c>
      <c r="I1353" s="15">
        <v>0</v>
      </c>
      <c r="J1353" s="15">
        <v>0</v>
      </c>
      <c r="K1353" s="15">
        <v>0</v>
      </c>
      <c r="L1353" s="20">
        <v>0</v>
      </c>
      <c r="M1353" s="15">
        <v>0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</row>
    <row r="1354" spans="1:43">
      <c r="A1354" s="15" t="s">
        <v>43</v>
      </c>
      <c r="B1354" s="15" t="s">
        <v>44</v>
      </c>
      <c r="C1354" s="15" t="s">
        <v>45</v>
      </c>
      <c r="D1354" s="15" t="s">
        <v>3635</v>
      </c>
      <c r="E1354" s="15" t="s">
        <v>3636</v>
      </c>
      <c r="F1354" s="16">
        <v>43004.6897453704</v>
      </c>
      <c r="G1354" s="15" t="s">
        <v>3636</v>
      </c>
      <c r="H1354" s="15" t="s">
        <v>3637</v>
      </c>
      <c r="I1354" s="15">
        <v>0</v>
      </c>
      <c r="J1354" s="15">
        <v>0</v>
      </c>
      <c r="K1354" s="15">
        <v>0</v>
      </c>
      <c r="L1354" s="20">
        <v>0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0</v>
      </c>
      <c r="X1354" s="15">
        <v>0</v>
      </c>
      <c r="Y1354" s="15">
        <v>0</v>
      </c>
      <c r="Z1354" s="15">
        <v>0</v>
      </c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</row>
    <row r="1355" spans="1:43">
      <c r="A1355" s="15" t="s">
        <v>43</v>
      </c>
      <c r="B1355" s="15" t="s">
        <v>44</v>
      </c>
      <c r="C1355" s="15" t="s">
        <v>440</v>
      </c>
      <c r="D1355" s="15" t="s">
        <v>3638</v>
      </c>
      <c r="E1355" s="15" t="s">
        <v>3639</v>
      </c>
      <c r="F1355" s="16">
        <v>43475.6097800926</v>
      </c>
      <c r="G1355" s="15" t="s">
        <v>3639</v>
      </c>
      <c r="H1355" s="15" t="s">
        <v>3640</v>
      </c>
      <c r="I1355" s="15">
        <v>0</v>
      </c>
      <c r="J1355" s="15">
        <v>0</v>
      </c>
      <c r="K1355" s="15">
        <v>0</v>
      </c>
      <c r="L1355" s="20">
        <v>0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0</v>
      </c>
      <c r="Z1355" s="15">
        <v>0</v>
      </c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</row>
    <row r="1356" spans="1:43">
      <c r="A1356" s="15" t="s">
        <v>49</v>
      </c>
      <c r="B1356" s="15" t="s">
        <v>50</v>
      </c>
      <c r="C1356" s="15" t="s">
        <v>61</v>
      </c>
      <c r="D1356" s="15" t="s">
        <v>3641</v>
      </c>
      <c r="E1356" s="15" t="s">
        <v>3642</v>
      </c>
      <c r="F1356" s="16">
        <v>0</v>
      </c>
      <c r="G1356" s="15" t="s">
        <v>3642</v>
      </c>
      <c r="H1356" s="15" t="s">
        <v>54</v>
      </c>
      <c r="I1356" s="15">
        <v>0</v>
      </c>
      <c r="J1356" s="15">
        <v>0</v>
      </c>
      <c r="K1356" s="15">
        <v>0</v>
      </c>
      <c r="L1356" s="20">
        <v>0</v>
      </c>
      <c r="M1356" s="15">
        <v>0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0</v>
      </c>
      <c r="X1356" s="15">
        <v>0</v>
      </c>
      <c r="Y1356" s="15">
        <v>0</v>
      </c>
      <c r="Z1356" s="15">
        <v>0</v>
      </c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</row>
    <row r="1357" spans="1:43">
      <c r="A1357" s="15" t="s">
        <v>43</v>
      </c>
      <c r="B1357" s="15" t="s">
        <v>44</v>
      </c>
      <c r="C1357" s="15" t="s">
        <v>45</v>
      </c>
      <c r="D1357" s="15" t="s">
        <v>3643</v>
      </c>
      <c r="E1357" s="15" t="s">
        <v>3644</v>
      </c>
      <c r="F1357" s="16">
        <v>42414.6246296296</v>
      </c>
      <c r="G1357" s="15" t="s">
        <v>3644</v>
      </c>
      <c r="H1357" s="15" t="s">
        <v>3645</v>
      </c>
      <c r="I1357" s="15">
        <v>0</v>
      </c>
      <c r="J1357" s="15">
        <v>0</v>
      </c>
      <c r="K1357" s="15">
        <v>0</v>
      </c>
      <c r="L1357" s="20">
        <v>0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0</v>
      </c>
      <c r="Z1357" s="15">
        <v>0</v>
      </c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</row>
    <row r="1358" spans="1:43">
      <c r="A1358" s="15" t="s">
        <v>43</v>
      </c>
      <c r="B1358" s="15" t="s">
        <v>44</v>
      </c>
      <c r="C1358" s="15" t="s">
        <v>45</v>
      </c>
      <c r="D1358" s="15" t="s">
        <v>3646</v>
      </c>
      <c r="E1358" s="15" t="s">
        <v>3647</v>
      </c>
      <c r="F1358" s="16">
        <v>44265.4457407407</v>
      </c>
      <c r="G1358" s="15" t="s">
        <v>3647</v>
      </c>
      <c r="H1358" s="15" t="s">
        <v>54</v>
      </c>
      <c r="I1358" s="15">
        <v>0</v>
      </c>
      <c r="J1358" s="15">
        <v>0</v>
      </c>
      <c r="K1358" s="15">
        <v>0</v>
      </c>
      <c r="L1358" s="20">
        <v>0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0</v>
      </c>
      <c r="V1358" s="15">
        <v>0</v>
      </c>
      <c r="W1358" s="15">
        <v>0</v>
      </c>
      <c r="X1358" s="15">
        <v>0</v>
      </c>
      <c r="Y1358" s="15">
        <v>0</v>
      </c>
      <c r="Z1358" s="15">
        <v>0</v>
      </c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</row>
    <row r="1359" spans="1:43">
      <c r="A1359" s="15" t="s">
        <v>43</v>
      </c>
      <c r="B1359" s="15" t="s">
        <v>44</v>
      </c>
      <c r="C1359" s="15" t="s">
        <v>45</v>
      </c>
      <c r="D1359" s="15" t="s">
        <v>3648</v>
      </c>
      <c r="E1359" s="15" t="s">
        <v>3649</v>
      </c>
      <c r="F1359" s="16">
        <v>42038.6154976852</v>
      </c>
      <c r="G1359" s="15" t="s">
        <v>3649</v>
      </c>
      <c r="H1359" s="15" t="s">
        <v>3650</v>
      </c>
      <c r="I1359" s="15">
        <v>0</v>
      </c>
      <c r="J1359" s="15">
        <v>0</v>
      </c>
      <c r="K1359" s="15">
        <v>0</v>
      </c>
      <c r="L1359" s="20">
        <v>0</v>
      </c>
      <c r="M1359" s="15">
        <v>0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</row>
    <row r="1360" spans="1:43">
      <c r="A1360" s="15" t="s">
        <v>49</v>
      </c>
      <c r="B1360" s="15" t="s">
        <v>50</v>
      </c>
      <c r="C1360" s="15" t="s">
        <v>61</v>
      </c>
      <c r="D1360" s="15" t="s">
        <v>3651</v>
      </c>
      <c r="E1360" s="15" t="s">
        <v>3652</v>
      </c>
      <c r="F1360" s="16">
        <v>0</v>
      </c>
      <c r="G1360" s="15" t="s">
        <v>3652</v>
      </c>
      <c r="H1360" s="15" t="s">
        <v>3653</v>
      </c>
      <c r="I1360" s="15">
        <v>0</v>
      </c>
      <c r="J1360" s="15">
        <v>0</v>
      </c>
      <c r="K1360" s="15">
        <v>0</v>
      </c>
      <c r="L1360" s="20">
        <v>0</v>
      </c>
      <c r="M1360" s="15">
        <v>0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0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</row>
    <row r="1361" spans="1:43">
      <c r="A1361" s="15" t="s">
        <v>43</v>
      </c>
      <c r="B1361" s="15" t="s">
        <v>44</v>
      </c>
      <c r="C1361" s="15" t="s">
        <v>45</v>
      </c>
      <c r="D1361" s="15" t="s">
        <v>3654</v>
      </c>
      <c r="E1361" s="15" t="s">
        <v>3655</v>
      </c>
      <c r="F1361" s="16">
        <v>41512.6548148148</v>
      </c>
      <c r="G1361" s="15" t="s">
        <v>3655</v>
      </c>
      <c r="H1361" s="15" t="s">
        <v>3656</v>
      </c>
      <c r="I1361" s="15">
        <v>0</v>
      </c>
      <c r="J1361" s="15">
        <v>0</v>
      </c>
      <c r="K1361" s="15">
        <v>0</v>
      </c>
      <c r="L1361" s="20">
        <v>0</v>
      </c>
      <c r="M1361" s="15">
        <v>0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0</v>
      </c>
      <c r="X1361" s="15">
        <v>0</v>
      </c>
      <c r="Y1361" s="15">
        <v>0</v>
      </c>
      <c r="Z1361" s="15">
        <v>0</v>
      </c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</row>
    <row r="1362" spans="1:43">
      <c r="A1362" s="15" t="s">
        <v>49</v>
      </c>
      <c r="B1362" s="15" t="s">
        <v>50</v>
      </c>
      <c r="C1362" s="15" t="s">
        <v>51</v>
      </c>
      <c r="D1362" s="15" t="s">
        <v>3657</v>
      </c>
      <c r="E1362" s="15" t="s">
        <v>3658</v>
      </c>
      <c r="F1362" s="16">
        <v>45085.7075694444</v>
      </c>
      <c r="G1362" s="15" t="s">
        <v>3658</v>
      </c>
      <c r="H1362" s="15" t="s">
        <v>3659</v>
      </c>
      <c r="I1362" s="15">
        <v>0</v>
      </c>
      <c r="J1362" s="15">
        <v>0</v>
      </c>
      <c r="K1362" s="15">
        <v>0</v>
      </c>
      <c r="L1362" s="20">
        <v>0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0</v>
      </c>
      <c r="X1362" s="15">
        <v>0</v>
      </c>
      <c r="Y1362" s="15">
        <v>0</v>
      </c>
      <c r="Z1362" s="15">
        <v>0</v>
      </c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</row>
    <row r="1363" spans="1:43">
      <c r="A1363" s="15" t="s">
        <v>43</v>
      </c>
      <c r="B1363" s="15" t="s">
        <v>44</v>
      </c>
      <c r="C1363" s="15" t="s">
        <v>45</v>
      </c>
      <c r="D1363" s="15" t="s">
        <v>3660</v>
      </c>
      <c r="E1363" s="15" t="s">
        <v>3661</v>
      </c>
      <c r="F1363" s="16">
        <v>43035.6031481481</v>
      </c>
      <c r="G1363" s="15" t="s">
        <v>3661</v>
      </c>
      <c r="H1363" s="15" t="s">
        <v>3662</v>
      </c>
      <c r="I1363" s="15">
        <v>0</v>
      </c>
      <c r="J1363" s="15">
        <v>0</v>
      </c>
      <c r="K1363" s="15">
        <v>0</v>
      </c>
      <c r="L1363" s="20">
        <v>0</v>
      </c>
      <c r="M1363" s="15">
        <v>0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</row>
    <row r="1364" spans="1:43">
      <c r="A1364" s="15" t="s">
        <v>43</v>
      </c>
      <c r="B1364" s="15" t="s">
        <v>44</v>
      </c>
      <c r="C1364" s="15" t="s">
        <v>45</v>
      </c>
      <c r="D1364" s="15" t="s">
        <v>3663</v>
      </c>
      <c r="E1364" s="15" t="s">
        <v>3664</v>
      </c>
      <c r="F1364" s="16">
        <v>42993.3876388889</v>
      </c>
      <c r="G1364" s="15" t="s">
        <v>3664</v>
      </c>
      <c r="H1364" s="15" t="s">
        <v>3665</v>
      </c>
      <c r="I1364" s="15">
        <v>0</v>
      </c>
      <c r="J1364" s="15">
        <v>0</v>
      </c>
      <c r="K1364" s="15">
        <v>0</v>
      </c>
      <c r="L1364" s="20">
        <v>0</v>
      </c>
      <c r="M1364" s="15">
        <v>0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0</v>
      </c>
      <c r="V1364" s="15">
        <v>0</v>
      </c>
      <c r="W1364" s="15">
        <v>0</v>
      </c>
      <c r="X1364" s="15">
        <v>0</v>
      </c>
      <c r="Y1364" s="15">
        <v>0</v>
      </c>
      <c r="Z1364" s="15">
        <v>0</v>
      </c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</row>
    <row r="1365" spans="1:43">
      <c r="A1365" s="15" t="s">
        <v>43</v>
      </c>
      <c r="B1365" s="15" t="s">
        <v>44</v>
      </c>
      <c r="C1365" s="15" t="s">
        <v>45</v>
      </c>
      <c r="D1365" s="15" t="s">
        <v>3666</v>
      </c>
      <c r="E1365" s="15" t="s">
        <v>3667</v>
      </c>
      <c r="F1365" s="16">
        <v>43090.6451157407</v>
      </c>
      <c r="G1365" s="15" t="s">
        <v>3667</v>
      </c>
      <c r="H1365" s="15" t="s">
        <v>3668</v>
      </c>
      <c r="I1365" s="15">
        <v>0</v>
      </c>
      <c r="J1365" s="15">
        <v>0</v>
      </c>
      <c r="K1365" s="15">
        <v>0</v>
      </c>
      <c r="L1365" s="20">
        <v>0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</row>
    <row r="1366" spans="1:43">
      <c r="A1366" s="15" t="s">
        <v>49</v>
      </c>
      <c r="B1366" s="15" t="s">
        <v>50</v>
      </c>
      <c r="C1366" s="15" t="s">
        <v>61</v>
      </c>
      <c r="D1366" s="15" t="s">
        <v>3669</v>
      </c>
      <c r="E1366" s="15" t="s">
        <v>795</v>
      </c>
      <c r="F1366" s="16">
        <v>0</v>
      </c>
      <c r="G1366" s="15" t="s">
        <v>795</v>
      </c>
      <c r="H1366" s="15" t="s">
        <v>862</v>
      </c>
      <c r="I1366" s="15">
        <v>0</v>
      </c>
      <c r="J1366" s="15">
        <v>0</v>
      </c>
      <c r="K1366" s="15">
        <v>0</v>
      </c>
      <c r="L1366" s="20">
        <v>0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0</v>
      </c>
      <c r="X1366" s="15">
        <v>0</v>
      </c>
      <c r="Y1366" s="15">
        <v>0</v>
      </c>
      <c r="Z1366" s="15">
        <v>0</v>
      </c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</row>
    <row r="1367" spans="1:43">
      <c r="A1367" s="15" t="s">
        <v>43</v>
      </c>
      <c r="B1367" s="15" t="s">
        <v>44</v>
      </c>
      <c r="C1367" s="15" t="s">
        <v>45</v>
      </c>
      <c r="D1367" s="15" t="s">
        <v>3670</v>
      </c>
      <c r="E1367" s="15" t="s">
        <v>3671</v>
      </c>
      <c r="F1367" s="16">
        <v>42731.6308217593</v>
      </c>
      <c r="G1367" s="15" t="s">
        <v>3671</v>
      </c>
      <c r="H1367" s="15" t="s">
        <v>3672</v>
      </c>
      <c r="I1367" s="15">
        <v>0</v>
      </c>
      <c r="J1367" s="15">
        <v>0</v>
      </c>
      <c r="K1367" s="15">
        <v>0</v>
      </c>
      <c r="L1367" s="20">
        <v>0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</row>
    <row r="1368" spans="1:43">
      <c r="A1368" s="15" t="s">
        <v>49</v>
      </c>
      <c r="B1368" s="15" t="s">
        <v>50</v>
      </c>
      <c r="C1368" s="15" t="s">
        <v>61</v>
      </c>
      <c r="D1368" s="15" t="s">
        <v>3673</v>
      </c>
      <c r="E1368" s="15" t="s">
        <v>2651</v>
      </c>
      <c r="F1368" s="16">
        <v>0</v>
      </c>
      <c r="G1368" s="15" t="s">
        <v>2651</v>
      </c>
      <c r="H1368" s="15" t="s">
        <v>54</v>
      </c>
      <c r="I1368" s="15">
        <v>0</v>
      </c>
      <c r="J1368" s="15">
        <v>0</v>
      </c>
      <c r="K1368" s="15">
        <v>0</v>
      </c>
      <c r="L1368" s="20">
        <v>0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0</v>
      </c>
      <c r="X1368" s="15">
        <v>0</v>
      </c>
      <c r="Y1368" s="15">
        <v>0</v>
      </c>
      <c r="Z1368" s="15">
        <v>0</v>
      </c>
      <c r="AA1368" s="15"/>
      <c r="AB1368" s="15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/>
      <c r="AM1368" s="15"/>
      <c r="AN1368" s="15"/>
      <c r="AO1368" s="15"/>
      <c r="AP1368" s="15"/>
      <c r="AQ1368" s="15"/>
    </row>
    <row r="1369" spans="1:43">
      <c r="A1369" s="15" t="s">
        <v>49</v>
      </c>
      <c r="B1369" s="15" t="s">
        <v>50</v>
      </c>
      <c r="C1369" s="15" t="s">
        <v>61</v>
      </c>
      <c r="D1369" s="15" t="s">
        <v>3674</v>
      </c>
      <c r="E1369" s="15" t="s">
        <v>3675</v>
      </c>
      <c r="F1369" s="16">
        <v>42902.6352430556</v>
      </c>
      <c r="G1369" s="15" t="s">
        <v>3675</v>
      </c>
      <c r="H1369" s="15" t="s">
        <v>3676</v>
      </c>
      <c r="I1369" s="15">
        <v>0</v>
      </c>
      <c r="J1369" s="15">
        <v>0</v>
      </c>
      <c r="K1369" s="15">
        <v>0</v>
      </c>
      <c r="L1369" s="20">
        <v>0</v>
      </c>
      <c r="M1369" s="15">
        <v>0</v>
      </c>
      <c r="N1369" s="15">
        <v>0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</row>
    <row r="1370" spans="1:43">
      <c r="A1370" s="15" t="s">
        <v>43</v>
      </c>
      <c r="B1370" s="15" t="s">
        <v>44</v>
      </c>
      <c r="C1370" s="15" t="s">
        <v>45</v>
      </c>
      <c r="D1370" s="15" t="s">
        <v>3677</v>
      </c>
      <c r="E1370" s="15" t="s">
        <v>3678</v>
      </c>
      <c r="F1370" s="16">
        <v>43068.4779398148</v>
      </c>
      <c r="G1370" s="15" t="s">
        <v>3678</v>
      </c>
      <c r="H1370" s="15" t="s">
        <v>3679</v>
      </c>
      <c r="I1370" s="15">
        <v>0</v>
      </c>
      <c r="J1370" s="15">
        <v>0</v>
      </c>
      <c r="K1370" s="15">
        <v>0</v>
      </c>
      <c r="L1370" s="20">
        <v>0</v>
      </c>
      <c r="M1370" s="15">
        <v>0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0</v>
      </c>
      <c r="U1370" s="15">
        <v>0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</row>
    <row r="1371" spans="1:43">
      <c r="A1371" s="15" t="s">
        <v>43</v>
      </c>
      <c r="B1371" s="15" t="s">
        <v>44</v>
      </c>
      <c r="C1371" s="15" t="s">
        <v>45</v>
      </c>
      <c r="D1371" s="15" t="s">
        <v>3680</v>
      </c>
      <c r="E1371" s="15" t="s">
        <v>3681</v>
      </c>
      <c r="F1371" s="16">
        <v>43230.6134606482</v>
      </c>
      <c r="G1371" s="15" t="s">
        <v>3681</v>
      </c>
      <c r="H1371" s="15" t="s">
        <v>3682</v>
      </c>
      <c r="I1371" s="15">
        <v>0</v>
      </c>
      <c r="J1371" s="15">
        <v>0</v>
      </c>
      <c r="K1371" s="15">
        <v>0</v>
      </c>
      <c r="L1371" s="20">
        <v>0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</row>
    <row r="1372" spans="1:43">
      <c r="A1372" s="15" t="s">
        <v>43</v>
      </c>
      <c r="B1372" s="15" t="s">
        <v>44</v>
      </c>
      <c r="C1372" s="15" t="s">
        <v>440</v>
      </c>
      <c r="D1372" s="15" t="s">
        <v>3683</v>
      </c>
      <c r="E1372" s="15" t="s">
        <v>3684</v>
      </c>
      <c r="F1372" s="16">
        <v>45142.4687731482</v>
      </c>
      <c r="G1372" s="15" t="s">
        <v>3684</v>
      </c>
      <c r="H1372" s="15" t="s">
        <v>54</v>
      </c>
      <c r="I1372" s="15">
        <v>0</v>
      </c>
      <c r="J1372" s="15">
        <v>0</v>
      </c>
      <c r="K1372" s="15">
        <v>0</v>
      </c>
      <c r="L1372" s="20">
        <v>0</v>
      </c>
      <c r="M1372" s="15">
        <v>0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</row>
    <row r="1373" spans="1:43">
      <c r="A1373" s="15" t="s">
        <v>64</v>
      </c>
      <c r="B1373" s="15" t="s">
        <v>118</v>
      </c>
      <c r="C1373" s="15" t="s">
        <v>131</v>
      </c>
      <c r="D1373" s="15" t="s">
        <v>3685</v>
      </c>
      <c r="E1373" s="15" t="s">
        <v>3686</v>
      </c>
      <c r="F1373" s="16">
        <v>45037.7265625</v>
      </c>
      <c r="G1373" s="15" t="s">
        <v>3686</v>
      </c>
      <c r="H1373" s="15" t="s">
        <v>3687</v>
      </c>
      <c r="I1373" s="15">
        <v>1752.17</v>
      </c>
      <c r="J1373" s="15">
        <v>14</v>
      </c>
      <c r="K1373" s="15">
        <v>125.155</v>
      </c>
      <c r="L1373" s="20">
        <v>1.78792857142857</v>
      </c>
      <c r="M1373" s="15">
        <v>202.37</v>
      </c>
      <c r="N1373" s="15">
        <v>201.73</v>
      </c>
      <c r="O1373" s="15">
        <v>201.8</v>
      </c>
      <c r="P1373" s="15">
        <v>200.1</v>
      </c>
      <c r="Q1373" s="15">
        <v>130.2</v>
      </c>
      <c r="R1373" s="15">
        <v>83.56</v>
      </c>
      <c r="S1373" s="15">
        <v>200.72</v>
      </c>
      <c r="T1373" s="15">
        <v>201.39</v>
      </c>
      <c r="U1373" s="15">
        <v>46.36</v>
      </c>
      <c r="V1373" s="15">
        <v>0.17</v>
      </c>
      <c r="W1373" s="15">
        <v>55.82</v>
      </c>
      <c r="X1373" s="15">
        <v>61.34</v>
      </c>
      <c r="Y1373" s="15">
        <v>34.82</v>
      </c>
      <c r="Z1373" s="15">
        <v>131.79</v>
      </c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</row>
    <row r="1374" spans="1:43">
      <c r="A1374" s="15" t="s">
        <v>43</v>
      </c>
      <c r="B1374" s="15" t="s">
        <v>44</v>
      </c>
      <c r="C1374" s="15" t="s">
        <v>45</v>
      </c>
      <c r="D1374" s="15" t="s">
        <v>3688</v>
      </c>
      <c r="E1374" s="15" t="s">
        <v>3689</v>
      </c>
      <c r="F1374" s="16">
        <v>42180.6495023148</v>
      </c>
      <c r="G1374" s="15" t="s">
        <v>3689</v>
      </c>
      <c r="H1374" s="15" t="s">
        <v>3690</v>
      </c>
      <c r="I1374" s="15">
        <v>0</v>
      </c>
      <c r="J1374" s="15">
        <v>0</v>
      </c>
      <c r="K1374" s="15">
        <v>0</v>
      </c>
      <c r="L1374" s="20">
        <v>0</v>
      </c>
      <c r="M1374" s="15">
        <v>0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</row>
    <row r="1375" spans="1:43">
      <c r="A1375" s="15" t="s">
        <v>49</v>
      </c>
      <c r="B1375" s="15" t="s">
        <v>50</v>
      </c>
      <c r="C1375" s="15" t="s">
        <v>61</v>
      </c>
      <c r="D1375" s="15" t="s">
        <v>3691</v>
      </c>
      <c r="E1375" s="15" t="s">
        <v>3692</v>
      </c>
      <c r="F1375" s="16">
        <v>0</v>
      </c>
      <c r="G1375" s="15" t="s">
        <v>3692</v>
      </c>
      <c r="H1375" s="15" t="s">
        <v>3693</v>
      </c>
      <c r="I1375" s="15">
        <v>0</v>
      </c>
      <c r="J1375" s="15">
        <v>0</v>
      </c>
      <c r="K1375" s="15">
        <v>0</v>
      </c>
      <c r="L1375" s="20">
        <v>0</v>
      </c>
      <c r="M1375" s="15">
        <v>0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</row>
    <row r="1376" spans="1:43">
      <c r="A1376" s="15" t="s">
        <v>49</v>
      </c>
      <c r="B1376" s="15" t="s">
        <v>50</v>
      </c>
      <c r="C1376" s="15" t="s">
        <v>75</v>
      </c>
      <c r="D1376" s="15" t="s">
        <v>3694</v>
      </c>
      <c r="E1376" s="15" t="s">
        <v>3695</v>
      </c>
      <c r="F1376" s="16">
        <v>44733.4123958333</v>
      </c>
      <c r="G1376" s="15" t="s">
        <v>3695</v>
      </c>
      <c r="H1376" s="15" t="s">
        <v>54</v>
      </c>
      <c r="I1376" s="15">
        <v>0</v>
      </c>
      <c r="J1376" s="15">
        <v>0</v>
      </c>
      <c r="K1376" s="15">
        <v>0</v>
      </c>
      <c r="L1376" s="20">
        <v>0</v>
      </c>
      <c r="M1376" s="15">
        <v>0</v>
      </c>
      <c r="N1376" s="15">
        <v>0</v>
      </c>
      <c r="O1376" s="15">
        <v>0</v>
      </c>
      <c r="P1376" s="15">
        <v>0</v>
      </c>
      <c r="Q1376" s="15">
        <v>0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</row>
    <row r="1377" spans="1:43">
      <c r="A1377" s="15" t="s">
        <v>49</v>
      </c>
      <c r="B1377" s="15" t="s">
        <v>50</v>
      </c>
      <c r="C1377" s="15" t="s">
        <v>61</v>
      </c>
      <c r="D1377" s="15" t="s">
        <v>3696</v>
      </c>
      <c r="E1377" s="15" t="s">
        <v>3697</v>
      </c>
      <c r="F1377" s="16">
        <v>0</v>
      </c>
      <c r="G1377" s="15" t="s">
        <v>3697</v>
      </c>
      <c r="H1377" s="15" t="s">
        <v>3698</v>
      </c>
      <c r="I1377" s="15">
        <v>0</v>
      </c>
      <c r="J1377" s="15">
        <v>0</v>
      </c>
      <c r="K1377" s="15">
        <v>0</v>
      </c>
      <c r="L1377" s="20">
        <v>0</v>
      </c>
      <c r="M1377" s="15">
        <v>0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</row>
    <row r="1378" spans="1:43">
      <c r="A1378" s="15" t="s">
        <v>43</v>
      </c>
      <c r="B1378" s="15" t="s">
        <v>44</v>
      </c>
      <c r="C1378" s="15" t="s">
        <v>45</v>
      </c>
      <c r="D1378" s="15" t="s">
        <v>3699</v>
      </c>
      <c r="E1378" s="15" t="s">
        <v>3700</v>
      </c>
      <c r="F1378" s="16">
        <v>40828.4225578704</v>
      </c>
      <c r="G1378" s="15" t="s">
        <v>3700</v>
      </c>
      <c r="H1378" s="15" t="s">
        <v>3701</v>
      </c>
      <c r="I1378" s="15">
        <v>0</v>
      </c>
      <c r="J1378" s="15">
        <v>0</v>
      </c>
      <c r="K1378" s="15">
        <v>0</v>
      </c>
      <c r="L1378" s="20">
        <v>0</v>
      </c>
      <c r="M1378" s="15">
        <v>0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0</v>
      </c>
      <c r="X1378" s="15">
        <v>0</v>
      </c>
      <c r="Y1378" s="15">
        <v>0</v>
      </c>
      <c r="Z1378" s="15">
        <v>0</v>
      </c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</row>
    <row r="1379" spans="1:43">
      <c r="A1379" s="15" t="s">
        <v>43</v>
      </c>
      <c r="B1379" s="15" t="s">
        <v>44</v>
      </c>
      <c r="C1379" s="15" t="s">
        <v>45</v>
      </c>
      <c r="D1379" s="15" t="s">
        <v>3702</v>
      </c>
      <c r="E1379" s="15" t="s">
        <v>3703</v>
      </c>
      <c r="F1379" s="16">
        <v>42740.7204513889</v>
      </c>
      <c r="G1379" s="15" t="s">
        <v>3703</v>
      </c>
      <c r="H1379" s="15" t="s">
        <v>3704</v>
      </c>
      <c r="I1379" s="15">
        <v>0</v>
      </c>
      <c r="J1379" s="15">
        <v>0</v>
      </c>
      <c r="K1379" s="15">
        <v>0</v>
      </c>
      <c r="L1379" s="20">
        <v>0</v>
      </c>
      <c r="M1379" s="15">
        <v>0</v>
      </c>
      <c r="N1379" s="15">
        <v>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</row>
    <row r="1380" spans="1:43">
      <c r="A1380" s="15" t="s">
        <v>49</v>
      </c>
      <c r="B1380" s="15" t="s">
        <v>50</v>
      </c>
      <c r="C1380" s="15" t="s">
        <v>61</v>
      </c>
      <c r="D1380" s="15" t="s">
        <v>3705</v>
      </c>
      <c r="E1380" s="15" t="s">
        <v>3706</v>
      </c>
      <c r="F1380" s="16">
        <v>0</v>
      </c>
      <c r="G1380" s="15" t="s">
        <v>3706</v>
      </c>
      <c r="H1380" s="15" t="s">
        <v>54</v>
      </c>
      <c r="I1380" s="15">
        <v>0</v>
      </c>
      <c r="J1380" s="15">
        <v>0</v>
      </c>
      <c r="K1380" s="15">
        <v>0</v>
      </c>
      <c r="L1380" s="20">
        <v>0</v>
      </c>
      <c r="M1380" s="15">
        <v>0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</row>
    <row r="1381" spans="1:43">
      <c r="A1381" s="15" t="s">
        <v>49</v>
      </c>
      <c r="B1381" s="15" t="s">
        <v>50</v>
      </c>
      <c r="C1381" s="15" t="s">
        <v>61</v>
      </c>
      <c r="D1381" s="15" t="s">
        <v>3707</v>
      </c>
      <c r="E1381" s="15" t="s">
        <v>3708</v>
      </c>
      <c r="F1381" s="16">
        <v>0</v>
      </c>
      <c r="G1381" s="15" t="s">
        <v>3708</v>
      </c>
      <c r="H1381" s="15" t="s">
        <v>54</v>
      </c>
      <c r="I1381" s="15">
        <v>0</v>
      </c>
      <c r="J1381" s="15">
        <v>0</v>
      </c>
      <c r="K1381" s="15">
        <v>0</v>
      </c>
      <c r="L1381" s="20">
        <v>0</v>
      </c>
      <c r="M1381" s="15">
        <v>0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</row>
    <row r="1382" spans="1:43">
      <c r="A1382" s="15" t="s">
        <v>43</v>
      </c>
      <c r="B1382" s="15" t="s">
        <v>44</v>
      </c>
      <c r="C1382" s="15" t="s">
        <v>440</v>
      </c>
      <c r="D1382" s="15" t="s">
        <v>3709</v>
      </c>
      <c r="E1382" s="15" t="s">
        <v>3710</v>
      </c>
      <c r="F1382" s="16">
        <v>44726.3860416667</v>
      </c>
      <c r="G1382" s="15" t="s">
        <v>3710</v>
      </c>
      <c r="H1382" s="15" t="s">
        <v>54</v>
      </c>
      <c r="I1382" s="15">
        <v>676.09</v>
      </c>
      <c r="J1382" s="15">
        <v>8</v>
      </c>
      <c r="K1382" s="15">
        <v>84.51125</v>
      </c>
      <c r="L1382" s="20">
        <v>1.690225</v>
      </c>
      <c r="M1382" s="15">
        <v>0</v>
      </c>
      <c r="N1382" s="15">
        <v>0</v>
      </c>
      <c r="O1382" s="15">
        <v>0</v>
      </c>
      <c r="P1382" s="15">
        <v>0</v>
      </c>
      <c r="Q1382" s="15">
        <v>0</v>
      </c>
      <c r="R1382" s="15">
        <v>0</v>
      </c>
      <c r="S1382" s="15">
        <v>60.99</v>
      </c>
      <c r="T1382" s="15">
        <v>87.47</v>
      </c>
      <c r="U1382" s="15">
        <v>85.16</v>
      </c>
      <c r="V1382" s="15">
        <v>86.56</v>
      </c>
      <c r="W1382" s="15">
        <v>85.48</v>
      </c>
      <c r="X1382" s="15">
        <v>85.38</v>
      </c>
      <c r="Y1382" s="15">
        <v>85.69</v>
      </c>
      <c r="Z1382" s="15">
        <v>99.36</v>
      </c>
      <c r="AA1382" s="15"/>
      <c r="AB1382" s="15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/>
      <c r="AM1382" s="15"/>
      <c r="AN1382" s="15"/>
      <c r="AO1382" s="15"/>
      <c r="AP1382" s="15"/>
      <c r="AQ1382" s="15"/>
    </row>
    <row r="1383" spans="1:43">
      <c r="A1383" s="15" t="s">
        <v>49</v>
      </c>
      <c r="B1383" s="15" t="s">
        <v>50</v>
      </c>
      <c r="C1383" s="15" t="s">
        <v>61</v>
      </c>
      <c r="D1383" s="15" t="s">
        <v>3711</v>
      </c>
      <c r="E1383" s="15" t="s">
        <v>53</v>
      </c>
      <c r="F1383" s="16">
        <v>0</v>
      </c>
      <c r="G1383" s="15" t="s">
        <v>53</v>
      </c>
      <c r="H1383" s="15" t="s">
        <v>54</v>
      </c>
      <c r="I1383" s="15">
        <v>0</v>
      </c>
      <c r="J1383" s="15">
        <v>0</v>
      </c>
      <c r="K1383" s="15">
        <v>0</v>
      </c>
      <c r="L1383" s="20">
        <v>0</v>
      </c>
      <c r="M1383" s="15">
        <v>0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</row>
    <row r="1384" spans="1:43">
      <c r="A1384" s="15" t="s">
        <v>49</v>
      </c>
      <c r="B1384" s="15" t="s">
        <v>50</v>
      </c>
      <c r="C1384" s="15" t="s">
        <v>61</v>
      </c>
      <c r="D1384" s="15" t="s">
        <v>3712</v>
      </c>
      <c r="E1384" s="15" t="s">
        <v>3713</v>
      </c>
      <c r="F1384" s="16">
        <v>0</v>
      </c>
      <c r="G1384" s="15" t="s">
        <v>3713</v>
      </c>
      <c r="H1384" s="15" t="s">
        <v>3714</v>
      </c>
      <c r="I1384" s="15">
        <v>0</v>
      </c>
      <c r="J1384" s="15">
        <v>0</v>
      </c>
      <c r="K1384" s="15">
        <v>0</v>
      </c>
      <c r="L1384" s="20">
        <v>0</v>
      </c>
      <c r="M1384" s="15">
        <v>0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0</v>
      </c>
      <c r="Z1384" s="15">
        <v>0</v>
      </c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</row>
    <row r="1385" spans="1:43">
      <c r="A1385" s="15" t="s">
        <v>49</v>
      </c>
      <c r="B1385" s="15" t="s">
        <v>50</v>
      </c>
      <c r="C1385" s="15" t="s">
        <v>61</v>
      </c>
      <c r="D1385" s="15" t="s">
        <v>3715</v>
      </c>
      <c r="E1385" s="15" t="s">
        <v>3716</v>
      </c>
      <c r="F1385" s="16">
        <v>43584.7283333333</v>
      </c>
      <c r="G1385" s="15" t="s">
        <v>3716</v>
      </c>
      <c r="H1385" s="15" t="s">
        <v>3717</v>
      </c>
      <c r="I1385" s="15">
        <v>931.85</v>
      </c>
      <c r="J1385" s="15">
        <v>5</v>
      </c>
      <c r="K1385" s="15">
        <v>186.37</v>
      </c>
      <c r="L1385" s="20">
        <v>3.7274</v>
      </c>
      <c r="M1385" s="15">
        <v>208.55</v>
      </c>
      <c r="N1385" s="15">
        <v>204.44</v>
      </c>
      <c r="O1385" s="15">
        <v>215.34</v>
      </c>
      <c r="P1385" s="15">
        <v>210.43</v>
      </c>
      <c r="Q1385" s="15">
        <v>93.09</v>
      </c>
      <c r="R1385" s="15">
        <v>0</v>
      </c>
      <c r="S1385" s="15">
        <v>0</v>
      </c>
      <c r="T1385" s="15">
        <v>0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</row>
    <row r="1386" spans="1:43">
      <c r="A1386" s="15" t="s">
        <v>49</v>
      </c>
      <c r="B1386" s="15" t="s">
        <v>50</v>
      </c>
      <c r="C1386" s="15" t="s">
        <v>61</v>
      </c>
      <c r="D1386" s="15" t="s">
        <v>3718</v>
      </c>
      <c r="E1386" s="15" t="s">
        <v>3719</v>
      </c>
      <c r="F1386" s="16">
        <v>0</v>
      </c>
      <c r="G1386" s="15" t="s">
        <v>3719</v>
      </c>
      <c r="H1386" s="15" t="s">
        <v>3720</v>
      </c>
      <c r="I1386" s="15">
        <v>0</v>
      </c>
      <c r="J1386" s="15">
        <v>0</v>
      </c>
      <c r="K1386" s="15">
        <v>0</v>
      </c>
      <c r="L1386" s="20">
        <v>0</v>
      </c>
      <c r="M1386" s="15">
        <v>0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>
        <v>0</v>
      </c>
      <c r="U1386" s="15">
        <v>0</v>
      </c>
      <c r="V1386" s="15">
        <v>0</v>
      </c>
      <c r="W1386" s="15">
        <v>0</v>
      </c>
      <c r="X1386" s="15">
        <v>0</v>
      </c>
      <c r="Y1386" s="15">
        <v>0</v>
      </c>
      <c r="Z1386" s="15">
        <v>0</v>
      </c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</row>
    <row r="1387" spans="1:43">
      <c r="A1387" s="15" t="s">
        <v>43</v>
      </c>
      <c r="B1387" s="15" t="s">
        <v>44</v>
      </c>
      <c r="C1387" s="15" t="s">
        <v>440</v>
      </c>
      <c r="D1387" s="15" t="s">
        <v>3721</v>
      </c>
      <c r="E1387" s="15" t="s">
        <v>3722</v>
      </c>
      <c r="F1387" s="16">
        <v>45079.397349537</v>
      </c>
      <c r="G1387" s="15" t="s">
        <v>3722</v>
      </c>
      <c r="H1387" s="15" t="s">
        <v>54</v>
      </c>
      <c r="I1387" s="15">
        <v>0</v>
      </c>
      <c r="J1387" s="15">
        <v>0</v>
      </c>
      <c r="K1387" s="15">
        <v>0</v>
      </c>
      <c r="L1387" s="20">
        <v>0</v>
      </c>
      <c r="M1387" s="15">
        <v>0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0</v>
      </c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</row>
    <row r="1388" spans="1:43">
      <c r="A1388" s="15" t="s">
        <v>43</v>
      </c>
      <c r="B1388" s="15" t="s">
        <v>44</v>
      </c>
      <c r="C1388" s="15" t="s">
        <v>45</v>
      </c>
      <c r="D1388" s="15" t="s">
        <v>3723</v>
      </c>
      <c r="E1388" s="15" t="s">
        <v>3724</v>
      </c>
      <c r="F1388" s="16">
        <v>42010.6983796296</v>
      </c>
      <c r="G1388" s="15" t="s">
        <v>3724</v>
      </c>
      <c r="H1388" s="15" t="s">
        <v>3725</v>
      </c>
      <c r="I1388" s="15">
        <v>0</v>
      </c>
      <c r="J1388" s="15">
        <v>0</v>
      </c>
      <c r="K1388" s="15">
        <v>0</v>
      </c>
      <c r="L1388" s="20">
        <v>0</v>
      </c>
      <c r="M1388" s="15">
        <v>0</v>
      </c>
      <c r="N1388" s="15">
        <v>0</v>
      </c>
      <c r="O1388" s="15">
        <v>0</v>
      </c>
      <c r="P1388" s="15">
        <v>0</v>
      </c>
      <c r="Q1388" s="15">
        <v>0</v>
      </c>
      <c r="R1388" s="15">
        <v>0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</row>
    <row r="1389" spans="1:43">
      <c r="A1389" s="15" t="s">
        <v>43</v>
      </c>
      <c r="B1389" s="15" t="s">
        <v>44</v>
      </c>
      <c r="C1389" s="15" t="s">
        <v>45</v>
      </c>
      <c r="D1389" s="15" t="s">
        <v>3726</v>
      </c>
      <c r="E1389" s="15" t="s">
        <v>3727</v>
      </c>
      <c r="F1389" s="16">
        <v>41039.7028125</v>
      </c>
      <c r="G1389" s="15" t="s">
        <v>3727</v>
      </c>
      <c r="H1389" s="15" t="s">
        <v>3728</v>
      </c>
      <c r="I1389" s="15">
        <v>0</v>
      </c>
      <c r="J1389" s="15">
        <v>0</v>
      </c>
      <c r="K1389" s="15">
        <v>0</v>
      </c>
      <c r="L1389" s="20">
        <v>0</v>
      </c>
      <c r="M1389" s="15">
        <v>0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  <c r="AA1389" s="15"/>
      <c r="AB1389" s="15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/>
      <c r="AM1389" s="15"/>
      <c r="AN1389" s="15"/>
      <c r="AO1389" s="15"/>
      <c r="AP1389" s="15"/>
      <c r="AQ1389" s="15"/>
    </row>
    <row r="1390" spans="1:43">
      <c r="A1390" s="15" t="s">
        <v>64</v>
      </c>
      <c r="B1390" s="15" t="s">
        <v>65</v>
      </c>
      <c r="C1390" s="15" t="s">
        <v>522</v>
      </c>
      <c r="D1390" s="15" t="s">
        <v>3729</v>
      </c>
      <c r="E1390" s="15" t="s">
        <v>3730</v>
      </c>
      <c r="F1390" s="16">
        <v>43966.4797800926</v>
      </c>
      <c r="G1390" s="15" t="s">
        <v>3730</v>
      </c>
      <c r="H1390" s="15" t="s">
        <v>54</v>
      </c>
      <c r="I1390" s="15">
        <v>0</v>
      </c>
      <c r="J1390" s="15">
        <v>0</v>
      </c>
      <c r="K1390" s="15">
        <v>0</v>
      </c>
      <c r="L1390" s="20">
        <v>0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0</v>
      </c>
      <c r="X1390" s="15">
        <v>0</v>
      </c>
      <c r="Y1390" s="15">
        <v>0</v>
      </c>
      <c r="Z1390" s="15">
        <v>0</v>
      </c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</row>
    <row r="1391" spans="1:43">
      <c r="A1391" s="15" t="s">
        <v>43</v>
      </c>
      <c r="B1391" s="15" t="s">
        <v>44</v>
      </c>
      <c r="C1391" s="15" t="s">
        <v>228</v>
      </c>
      <c r="D1391" s="15" t="s">
        <v>3731</v>
      </c>
      <c r="E1391" s="15" t="s">
        <v>3732</v>
      </c>
      <c r="F1391" s="16">
        <v>45063.5912268519</v>
      </c>
      <c r="G1391" s="15" t="s">
        <v>3732</v>
      </c>
      <c r="H1391" s="15" t="s">
        <v>54</v>
      </c>
      <c r="I1391" s="15">
        <v>283.92</v>
      </c>
      <c r="J1391" s="15">
        <v>11</v>
      </c>
      <c r="K1391" s="15">
        <v>25.8109090909091</v>
      </c>
      <c r="L1391" s="20">
        <v>0.516218181818182</v>
      </c>
      <c r="M1391" s="15">
        <v>103.86</v>
      </c>
      <c r="N1391" s="15">
        <v>101.9</v>
      </c>
      <c r="O1391" s="15">
        <v>45.25</v>
      </c>
      <c r="P1391" s="15">
        <v>7</v>
      </c>
      <c r="Q1391" s="15">
        <v>2.6</v>
      </c>
      <c r="R1391" s="15">
        <v>0</v>
      </c>
      <c r="S1391" s="15">
        <v>0</v>
      </c>
      <c r="T1391" s="15">
        <v>4.71</v>
      </c>
      <c r="U1391" s="15">
        <v>1.15</v>
      </c>
      <c r="V1391" s="15">
        <v>7.14</v>
      </c>
      <c r="W1391" s="15">
        <v>2.02</v>
      </c>
      <c r="X1391" s="15">
        <v>0.1</v>
      </c>
      <c r="Y1391" s="15">
        <v>0</v>
      </c>
      <c r="Z1391" s="15">
        <v>8.19</v>
      </c>
      <c r="AA1391" s="15"/>
      <c r="AB1391" s="15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/>
      <c r="AM1391" s="15"/>
      <c r="AN1391" s="15"/>
      <c r="AO1391" s="15"/>
      <c r="AP1391" s="15"/>
      <c r="AQ1391" s="15"/>
    </row>
    <row r="1392" spans="1:43">
      <c r="A1392" s="15" t="s">
        <v>43</v>
      </c>
      <c r="B1392" s="15" t="s">
        <v>44</v>
      </c>
      <c r="C1392" s="15" t="s">
        <v>45</v>
      </c>
      <c r="D1392" s="15" t="s">
        <v>3733</v>
      </c>
      <c r="E1392" s="15" t="s">
        <v>3734</v>
      </c>
      <c r="F1392" s="16">
        <v>42289.4049652778</v>
      </c>
      <c r="G1392" s="15" t="s">
        <v>3734</v>
      </c>
      <c r="H1392" s="15" t="s">
        <v>3735</v>
      </c>
      <c r="I1392" s="15">
        <v>0</v>
      </c>
      <c r="J1392" s="15">
        <v>0</v>
      </c>
      <c r="K1392" s="15">
        <v>0</v>
      </c>
      <c r="L1392" s="20">
        <v>0</v>
      </c>
      <c r="M1392" s="15">
        <v>0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0</v>
      </c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</row>
    <row r="1393" spans="1:43">
      <c r="A1393" s="15" t="s">
        <v>43</v>
      </c>
      <c r="B1393" s="15" t="s">
        <v>44</v>
      </c>
      <c r="C1393" s="15" t="s">
        <v>45</v>
      </c>
      <c r="D1393" s="15" t="s">
        <v>3736</v>
      </c>
      <c r="E1393" s="15" t="s">
        <v>3737</v>
      </c>
      <c r="F1393" s="16">
        <v>44736.4820833333</v>
      </c>
      <c r="G1393" s="15" t="s">
        <v>3737</v>
      </c>
      <c r="H1393" s="15" t="s">
        <v>54</v>
      </c>
      <c r="I1393" s="15">
        <v>0</v>
      </c>
      <c r="J1393" s="15">
        <v>0</v>
      </c>
      <c r="K1393" s="15">
        <v>0</v>
      </c>
      <c r="L1393" s="20">
        <v>0</v>
      </c>
      <c r="M1393" s="15">
        <v>0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0</v>
      </c>
      <c r="X1393" s="15">
        <v>0</v>
      </c>
      <c r="Y1393" s="15">
        <v>0</v>
      </c>
      <c r="Z1393" s="15">
        <v>0</v>
      </c>
      <c r="AA1393" s="15"/>
      <c r="AB1393" s="15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/>
      <c r="AM1393" s="15"/>
      <c r="AN1393" s="15"/>
      <c r="AO1393" s="15"/>
      <c r="AP1393" s="15"/>
      <c r="AQ1393" s="15"/>
    </row>
    <row r="1394" spans="1:43">
      <c r="A1394" s="15" t="s">
        <v>43</v>
      </c>
      <c r="B1394" s="15" t="s">
        <v>44</v>
      </c>
      <c r="C1394" s="15" t="s">
        <v>45</v>
      </c>
      <c r="D1394" s="15" t="s">
        <v>3738</v>
      </c>
      <c r="E1394" s="15" t="s">
        <v>3739</v>
      </c>
      <c r="F1394" s="16">
        <v>42333.4511342593</v>
      </c>
      <c r="G1394" s="15" t="s">
        <v>3739</v>
      </c>
      <c r="H1394" s="15" t="s">
        <v>3740</v>
      </c>
      <c r="I1394" s="15">
        <v>0</v>
      </c>
      <c r="J1394" s="15">
        <v>0</v>
      </c>
      <c r="K1394" s="15">
        <v>0</v>
      </c>
      <c r="L1394" s="20">
        <v>0</v>
      </c>
      <c r="M1394" s="15">
        <v>0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  <c r="AA1394" s="15"/>
      <c r="AB1394" s="15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</row>
    <row r="1395" spans="1:43">
      <c r="A1395" s="15" t="s">
        <v>64</v>
      </c>
      <c r="B1395" s="15" t="s">
        <v>65</v>
      </c>
      <c r="C1395" s="15" t="s">
        <v>93</v>
      </c>
      <c r="D1395" s="15" t="s">
        <v>3741</v>
      </c>
      <c r="E1395" s="15" t="s">
        <v>3742</v>
      </c>
      <c r="F1395" s="16">
        <v>45152.4222337963</v>
      </c>
      <c r="G1395" s="15" t="s">
        <v>3742</v>
      </c>
      <c r="H1395" s="15" t="s">
        <v>206</v>
      </c>
      <c r="I1395" s="15">
        <v>0</v>
      </c>
      <c r="J1395" s="15">
        <v>0</v>
      </c>
      <c r="K1395" s="15">
        <v>0</v>
      </c>
      <c r="L1395" s="20">
        <v>0</v>
      </c>
      <c r="M1395" s="15">
        <v>0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0</v>
      </c>
      <c r="X1395" s="15">
        <v>0</v>
      </c>
      <c r="Y1395" s="15">
        <v>0</v>
      </c>
      <c r="Z1395" s="15">
        <v>0</v>
      </c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</row>
    <row r="1396" spans="1:43">
      <c r="A1396" s="15" t="s">
        <v>43</v>
      </c>
      <c r="B1396" s="15" t="s">
        <v>44</v>
      </c>
      <c r="C1396" s="15" t="s">
        <v>653</v>
      </c>
      <c r="D1396" s="15" t="s">
        <v>3743</v>
      </c>
      <c r="E1396" s="15" t="s">
        <v>3744</v>
      </c>
      <c r="F1396" s="16">
        <v>43551.6511458333</v>
      </c>
      <c r="G1396" s="15" t="s">
        <v>3744</v>
      </c>
      <c r="H1396" s="15" t="s">
        <v>3745</v>
      </c>
      <c r="I1396" s="15">
        <v>0</v>
      </c>
      <c r="J1396" s="15">
        <v>0</v>
      </c>
      <c r="K1396" s="15">
        <v>0</v>
      </c>
      <c r="L1396" s="20">
        <v>0</v>
      </c>
      <c r="M1396" s="15">
        <v>0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0</v>
      </c>
      <c r="X1396" s="15">
        <v>0</v>
      </c>
      <c r="Y1396" s="15">
        <v>0</v>
      </c>
      <c r="Z1396" s="15">
        <v>0</v>
      </c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</row>
    <row r="1397" spans="1:43">
      <c r="A1397" s="15" t="s">
        <v>43</v>
      </c>
      <c r="B1397" s="15" t="s">
        <v>44</v>
      </c>
      <c r="C1397" s="15" t="s">
        <v>45</v>
      </c>
      <c r="D1397" s="15" t="s">
        <v>3746</v>
      </c>
      <c r="E1397" s="15" t="s">
        <v>3747</v>
      </c>
      <c r="F1397" s="16">
        <v>42174.5148842593</v>
      </c>
      <c r="G1397" s="15" t="s">
        <v>3747</v>
      </c>
      <c r="H1397" s="15" t="s">
        <v>3748</v>
      </c>
      <c r="I1397" s="15">
        <v>0</v>
      </c>
      <c r="J1397" s="15">
        <v>0</v>
      </c>
      <c r="K1397" s="15">
        <v>0</v>
      </c>
      <c r="L1397" s="20">
        <v>0</v>
      </c>
      <c r="M1397" s="15">
        <v>0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</row>
    <row r="1398" spans="1:43">
      <c r="A1398" s="15" t="s">
        <v>49</v>
      </c>
      <c r="B1398" s="15" t="s">
        <v>50</v>
      </c>
      <c r="C1398" s="15" t="s">
        <v>61</v>
      </c>
      <c r="D1398" s="15" t="s">
        <v>3749</v>
      </c>
      <c r="E1398" s="15" t="s">
        <v>3750</v>
      </c>
      <c r="F1398" s="16">
        <v>0</v>
      </c>
      <c r="G1398" s="15" t="s">
        <v>3750</v>
      </c>
      <c r="H1398" s="15" t="s">
        <v>54</v>
      </c>
      <c r="I1398" s="15">
        <v>0</v>
      </c>
      <c r="J1398" s="15">
        <v>0</v>
      </c>
      <c r="K1398" s="15">
        <v>0</v>
      </c>
      <c r="L1398" s="20">
        <v>0</v>
      </c>
      <c r="M1398" s="15">
        <v>0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0</v>
      </c>
      <c r="X1398" s="15">
        <v>0</v>
      </c>
      <c r="Y1398" s="15">
        <v>0</v>
      </c>
      <c r="Z1398" s="15">
        <v>0</v>
      </c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</row>
    <row r="1399" spans="1:43">
      <c r="A1399" s="15" t="s">
        <v>43</v>
      </c>
      <c r="B1399" s="15" t="s">
        <v>44</v>
      </c>
      <c r="C1399" s="15" t="s">
        <v>440</v>
      </c>
      <c r="D1399" s="15" t="s">
        <v>3751</v>
      </c>
      <c r="E1399" s="15" t="s">
        <v>3752</v>
      </c>
      <c r="F1399" s="16">
        <v>43840.4374537037</v>
      </c>
      <c r="G1399" s="15" t="s">
        <v>3752</v>
      </c>
      <c r="H1399" s="15" t="s">
        <v>54</v>
      </c>
      <c r="I1399" s="15">
        <v>0</v>
      </c>
      <c r="J1399" s="15">
        <v>0</v>
      </c>
      <c r="K1399" s="15">
        <v>0</v>
      </c>
      <c r="L1399" s="20">
        <v>0</v>
      </c>
      <c r="M1399" s="15">
        <v>0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0</v>
      </c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</row>
    <row r="1400" spans="1:43">
      <c r="A1400" s="15" t="s">
        <v>43</v>
      </c>
      <c r="B1400" s="15" t="s">
        <v>44</v>
      </c>
      <c r="C1400" s="15" t="s">
        <v>45</v>
      </c>
      <c r="D1400" s="15" t="s">
        <v>3753</v>
      </c>
      <c r="E1400" s="15" t="s">
        <v>3754</v>
      </c>
      <c r="F1400" s="16">
        <v>44680.4124768519</v>
      </c>
      <c r="G1400" s="15" t="s">
        <v>3754</v>
      </c>
      <c r="H1400" s="15" t="s">
        <v>54</v>
      </c>
      <c r="I1400" s="15">
        <v>0</v>
      </c>
      <c r="J1400" s="15">
        <v>0</v>
      </c>
      <c r="K1400" s="15">
        <v>0</v>
      </c>
      <c r="L1400" s="20">
        <v>0</v>
      </c>
      <c r="M1400" s="15">
        <v>0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0</v>
      </c>
      <c r="X1400" s="15">
        <v>0</v>
      </c>
      <c r="Y1400" s="15">
        <v>0</v>
      </c>
      <c r="Z1400" s="15">
        <v>0</v>
      </c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</row>
    <row r="1401" spans="1:43">
      <c r="A1401" s="15" t="s">
        <v>49</v>
      </c>
      <c r="B1401" s="15" t="s">
        <v>50</v>
      </c>
      <c r="C1401" s="15" t="s">
        <v>61</v>
      </c>
      <c r="D1401" s="15" t="s">
        <v>3755</v>
      </c>
      <c r="E1401" s="15" t="s">
        <v>3756</v>
      </c>
      <c r="F1401" s="16">
        <v>0</v>
      </c>
      <c r="G1401" s="15" t="s">
        <v>3756</v>
      </c>
      <c r="H1401" s="15" t="s">
        <v>54</v>
      </c>
      <c r="I1401" s="15">
        <v>0</v>
      </c>
      <c r="J1401" s="15">
        <v>0</v>
      </c>
      <c r="K1401" s="15">
        <v>0</v>
      </c>
      <c r="L1401" s="20">
        <v>0</v>
      </c>
      <c r="M1401" s="15">
        <v>0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  <c r="AA1401" s="15"/>
      <c r="AB1401" s="15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/>
      <c r="AM1401" s="15"/>
      <c r="AN1401" s="15"/>
      <c r="AO1401" s="15"/>
      <c r="AP1401" s="15"/>
      <c r="AQ1401" s="15"/>
    </row>
    <row r="1402" spans="1:43">
      <c r="A1402" s="15" t="s">
        <v>43</v>
      </c>
      <c r="B1402" s="15" t="s">
        <v>44</v>
      </c>
      <c r="C1402" s="15" t="s">
        <v>45</v>
      </c>
      <c r="D1402" s="15" t="s">
        <v>3757</v>
      </c>
      <c r="E1402" s="15" t="s">
        <v>3758</v>
      </c>
      <c r="F1402" s="16">
        <v>41577.6110763889</v>
      </c>
      <c r="G1402" s="15" t="s">
        <v>3758</v>
      </c>
      <c r="H1402" s="15" t="s">
        <v>3759</v>
      </c>
      <c r="I1402" s="15">
        <v>0</v>
      </c>
      <c r="J1402" s="15">
        <v>0</v>
      </c>
      <c r="K1402" s="15">
        <v>0</v>
      </c>
      <c r="L1402" s="20">
        <v>0</v>
      </c>
      <c r="M1402" s="15">
        <v>0</v>
      </c>
      <c r="N1402" s="15">
        <v>0</v>
      </c>
      <c r="O1402" s="15">
        <v>0</v>
      </c>
      <c r="P1402" s="15">
        <v>0</v>
      </c>
      <c r="Q1402" s="15">
        <v>0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0</v>
      </c>
      <c r="X1402" s="15">
        <v>0</v>
      </c>
      <c r="Y1402" s="15">
        <v>0</v>
      </c>
      <c r="Z1402" s="15">
        <v>0</v>
      </c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</row>
    <row r="1403" spans="1:43">
      <c r="A1403" s="15" t="s">
        <v>49</v>
      </c>
      <c r="B1403" s="15" t="s">
        <v>50</v>
      </c>
      <c r="C1403" s="15" t="s">
        <v>61</v>
      </c>
      <c r="D1403" s="15" t="s">
        <v>3760</v>
      </c>
      <c r="E1403" s="15" t="s">
        <v>3761</v>
      </c>
      <c r="F1403" s="16">
        <v>0</v>
      </c>
      <c r="G1403" s="15" t="s">
        <v>3761</v>
      </c>
      <c r="H1403" s="15" t="s">
        <v>3762</v>
      </c>
      <c r="I1403" s="15">
        <v>0</v>
      </c>
      <c r="J1403" s="15">
        <v>0</v>
      </c>
      <c r="K1403" s="15">
        <v>0</v>
      </c>
      <c r="L1403" s="20">
        <v>0</v>
      </c>
      <c r="M1403" s="15">
        <v>0</v>
      </c>
      <c r="N1403" s="15">
        <v>0</v>
      </c>
      <c r="O1403" s="15">
        <v>0</v>
      </c>
      <c r="P1403" s="15">
        <v>0</v>
      </c>
      <c r="Q1403" s="15">
        <v>0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  <c r="AA1403" s="15"/>
      <c r="AB1403" s="15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/>
      <c r="AM1403" s="15"/>
      <c r="AN1403" s="15"/>
      <c r="AO1403" s="15"/>
      <c r="AP1403" s="15"/>
      <c r="AQ1403" s="15"/>
    </row>
    <row r="1404" spans="1:43">
      <c r="A1404" s="15" t="s">
        <v>49</v>
      </c>
      <c r="B1404" s="15" t="s">
        <v>50</v>
      </c>
      <c r="C1404" s="15" t="s">
        <v>61</v>
      </c>
      <c r="D1404" s="15" t="s">
        <v>3763</v>
      </c>
      <c r="E1404" s="15" t="s">
        <v>2198</v>
      </c>
      <c r="F1404" s="16">
        <v>0</v>
      </c>
      <c r="G1404" s="15" t="s">
        <v>2198</v>
      </c>
      <c r="H1404" s="15" t="s">
        <v>54</v>
      </c>
      <c r="I1404" s="15">
        <v>0</v>
      </c>
      <c r="J1404" s="15">
        <v>0</v>
      </c>
      <c r="K1404" s="15">
        <v>0</v>
      </c>
      <c r="L1404" s="20">
        <v>0</v>
      </c>
      <c r="M1404" s="15">
        <v>0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  <c r="AA1404" s="15"/>
      <c r="AB1404" s="15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/>
      <c r="AM1404" s="15"/>
      <c r="AN1404" s="15"/>
      <c r="AO1404" s="15"/>
      <c r="AP1404" s="15"/>
      <c r="AQ1404" s="15"/>
    </row>
    <row r="1405" spans="1:43">
      <c r="A1405" s="15" t="s">
        <v>49</v>
      </c>
      <c r="B1405" s="15" t="s">
        <v>50</v>
      </c>
      <c r="C1405" s="15" t="s">
        <v>61</v>
      </c>
      <c r="D1405" s="15" t="s">
        <v>3764</v>
      </c>
      <c r="E1405" s="15" t="s">
        <v>3765</v>
      </c>
      <c r="F1405" s="16">
        <v>0</v>
      </c>
      <c r="G1405" s="15" t="s">
        <v>3765</v>
      </c>
      <c r="H1405" s="15" t="s">
        <v>3766</v>
      </c>
      <c r="I1405" s="15">
        <v>0</v>
      </c>
      <c r="J1405" s="15">
        <v>0</v>
      </c>
      <c r="K1405" s="15">
        <v>0</v>
      </c>
      <c r="L1405" s="20">
        <v>0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</row>
    <row r="1406" spans="1:43">
      <c r="A1406" s="15" t="s">
        <v>43</v>
      </c>
      <c r="B1406" s="15" t="s">
        <v>44</v>
      </c>
      <c r="C1406" s="15" t="s">
        <v>45</v>
      </c>
      <c r="D1406" s="15" t="s">
        <v>3767</v>
      </c>
      <c r="E1406" s="15" t="s">
        <v>3768</v>
      </c>
      <c r="F1406" s="16">
        <v>44026.7061342593</v>
      </c>
      <c r="G1406" s="15" t="s">
        <v>3768</v>
      </c>
      <c r="H1406" s="15" t="s">
        <v>54</v>
      </c>
      <c r="I1406" s="15">
        <v>0</v>
      </c>
      <c r="J1406" s="15">
        <v>0</v>
      </c>
      <c r="K1406" s="15">
        <v>0</v>
      </c>
      <c r="L1406" s="20">
        <v>0</v>
      </c>
      <c r="M1406" s="15">
        <v>0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</row>
    <row r="1407" spans="1:43">
      <c r="A1407" s="15" t="s">
        <v>43</v>
      </c>
      <c r="B1407" s="15" t="s">
        <v>44</v>
      </c>
      <c r="C1407" s="15" t="s">
        <v>440</v>
      </c>
      <c r="D1407" s="15" t="s">
        <v>3769</v>
      </c>
      <c r="E1407" s="15" t="s">
        <v>3770</v>
      </c>
      <c r="F1407" s="16">
        <v>43371.6255439815</v>
      </c>
      <c r="G1407" s="15" t="s">
        <v>3770</v>
      </c>
      <c r="H1407" s="15" t="s">
        <v>3771</v>
      </c>
      <c r="I1407" s="15">
        <v>0</v>
      </c>
      <c r="J1407" s="15">
        <v>0</v>
      </c>
      <c r="K1407" s="15">
        <v>0</v>
      </c>
      <c r="L1407" s="20">
        <v>0</v>
      </c>
      <c r="M1407" s="15">
        <v>0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</row>
    <row r="1408" spans="1:43">
      <c r="A1408" s="15" t="s">
        <v>64</v>
      </c>
      <c r="B1408" s="15" t="s">
        <v>65</v>
      </c>
      <c r="C1408" s="15" t="s">
        <v>522</v>
      </c>
      <c r="D1408" s="15" t="s">
        <v>3772</v>
      </c>
      <c r="E1408" s="15" t="s">
        <v>3773</v>
      </c>
      <c r="F1408" s="16">
        <v>45112.6602430556</v>
      </c>
      <c r="G1408" s="15" t="s">
        <v>3773</v>
      </c>
      <c r="H1408" s="15" t="s">
        <v>3774</v>
      </c>
      <c r="I1408" s="15">
        <v>744.3</v>
      </c>
      <c r="J1408" s="15">
        <v>6</v>
      </c>
      <c r="K1408" s="15">
        <v>124.05</v>
      </c>
      <c r="L1408" s="20">
        <v>1.77214285714286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0</v>
      </c>
      <c r="T1408" s="15">
        <v>0</v>
      </c>
      <c r="U1408" s="15">
        <v>104.82</v>
      </c>
      <c r="V1408" s="15">
        <v>120.87</v>
      </c>
      <c r="W1408" s="15">
        <v>135.82</v>
      </c>
      <c r="X1408" s="15">
        <v>120.02</v>
      </c>
      <c r="Y1408" s="15">
        <v>123.68</v>
      </c>
      <c r="Z1408" s="15">
        <v>139.09</v>
      </c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</row>
    <row r="1409" spans="1:43">
      <c r="A1409" s="15" t="s">
        <v>43</v>
      </c>
      <c r="B1409" s="15" t="s">
        <v>44</v>
      </c>
      <c r="C1409" s="15" t="s">
        <v>228</v>
      </c>
      <c r="D1409" s="15" t="s">
        <v>3775</v>
      </c>
      <c r="E1409" s="15" t="s">
        <v>2156</v>
      </c>
      <c r="F1409" s="16">
        <v>44863.4615740741</v>
      </c>
      <c r="G1409" s="15" t="s">
        <v>2156</v>
      </c>
      <c r="H1409" s="15" t="s">
        <v>2157</v>
      </c>
      <c r="I1409" s="15">
        <v>0</v>
      </c>
      <c r="J1409" s="15">
        <v>0</v>
      </c>
      <c r="K1409" s="15">
        <v>0</v>
      </c>
      <c r="L1409" s="20">
        <v>0</v>
      </c>
      <c r="M1409" s="15">
        <v>0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</row>
    <row r="1410" spans="1:43">
      <c r="A1410" s="15" t="s">
        <v>64</v>
      </c>
      <c r="B1410" s="15" t="s">
        <v>65</v>
      </c>
      <c r="C1410" s="15" t="s">
        <v>401</v>
      </c>
      <c r="D1410" s="15" t="s">
        <v>3776</v>
      </c>
      <c r="E1410" s="15" t="s">
        <v>3777</v>
      </c>
      <c r="F1410" s="16">
        <v>44974.5991550926</v>
      </c>
      <c r="G1410" s="15" t="s">
        <v>3777</v>
      </c>
      <c r="H1410" s="15" t="s">
        <v>54</v>
      </c>
      <c r="I1410" s="15">
        <v>1152.72</v>
      </c>
      <c r="J1410" s="15">
        <v>10</v>
      </c>
      <c r="K1410" s="15">
        <v>115.272</v>
      </c>
      <c r="L1410" s="20">
        <v>1.64674285714286</v>
      </c>
      <c r="M1410" s="15">
        <v>147.04</v>
      </c>
      <c r="N1410" s="15">
        <v>69.77</v>
      </c>
      <c r="O1410" s="15">
        <v>93.75</v>
      </c>
      <c r="P1410" s="15">
        <v>184.19</v>
      </c>
      <c r="Q1410" s="15">
        <v>0</v>
      </c>
      <c r="R1410" s="15">
        <v>0</v>
      </c>
      <c r="S1410" s="15">
        <v>148.86</v>
      </c>
      <c r="T1410" s="15">
        <v>80.37</v>
      </c>
      <c r="U1410" s="15">
        <v>179.2</v>
      </c>
      <c r="V1410" s="15">
        <v>164.52</v>
      </c>
      <c r="W1410" s="15">
        <v>62.13</v>
      </c>
      <c r="X1410" s="15">
        <v>0</v>
      </c>
      <c r="Y1410" s="15">
        <v>0</v>
      </c>
      <c r="Z1410" s="15">
        <v>22.89</v>
      </c>
      <c r="AA1410" s="15"/>
      <c r="AB1410" s="15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</row>
    <row r="1411" spans="1:43">
      <c r="A1411" s="15" t="s">
        <v>43</v>
      </c>
      <c r="B1411" s="15" t="s">
        <v>44</v>
      </c>
      <c r="C1411" s="15" t="s">
        <v>45</v>
      </c>
      <c r="D1411" s="15" t="s">
        <v>3778</v>
      </c>
      <c r="E1411" s="15" t="s">
        <v>3779</v>
      </c>
      <c r="F1411" s="16">
        <v>42605.7196412037</v>
      </c>
      <c r="G1411" s="15" t="s">
        <v>3779</v>
      </c>
      <c r="H1411" s="15" t="s">
        <v>3780</v>
      </c>
      <c r="I1411" s="15">
        <v>0</v>
      </c>
      <c r="J1411" s="15">
        <v>0</v>
      </c>
      <c r="K1411" s="15">
        <v>0</v>
      </c>
      <c r="L1411" s="20">
        <v>0</v>
      </c>
      <c r="M1411" s="15">
        <v>0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  <c r="AA1411" s="15"/>
      <c r="AB1411" s="15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/>
      <c r="AM1411" s="15"/>
      <c r="AN1411" s="15"/>
      <c r="AO1411" s="15"/>
      <c r="AP1411" s="15"/>
      <c r="AQ1411" s="15"/>
    </row>
    <row r="1412" spans="1:43">
      <c r="A1412" s="15" t="s">
        <v>64</v>
      </c>
      <c r="B1412" s="15" t="s">
        <v>64</v>
      </c>
      <c r="C1412" s="15" t="s">
        <v>3781</v>
      </c>
      <c r="D1412" s="15" t="s">
        <v>3782</v>
      </c>
      <c r="E1412" s="15" t="s">
        <v>3783</v>
      </c>
      <c r="F1412" s="16">
        <v>42527.3975347222</v>
      </c>
      <c r="G1412" s="15" t="s">
        <v>3783</v>
      </c>
      <c r="H1412" s="15" t="s">
        <v>3784</v>
      </c>
      <c r="I1412" s="15">
        <v>0</v>
      </c>
      <c r="J1412" s="15">
        <v>0</v>
      </c>
      <c r="K1412" s="15">
        <v>0</v>
      </c>
      <c r="L1412" s="20">
        <v>0</v>
      </c>
      <c r="M1412" s="15">
        <v>0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</v>
      </c>
      <c r="U1412" s="15">
        <v>0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  <c r="AA1412" s="15"/>
      <c r="AB1412" s="15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/>
      <c r="AM1412" s="15"/>
      <c r="AN1412" s="15"/>
      <c r="AO1412" s="15"/>
      <c r="AP1412" s="15"/>
      <c r="AQ1412" s="15"/>
    </row>
    <row r="1413" spans="1:43">
      <c r="A1413" s="15" t="s">
        <v>49</v>
      </c>
      <c r="B1413" s="15" t="s">
        <v>50</v>
      </c>
      <c r="C1413" s="15" t="s">
        <v>51</v>
      </c>
      <c r="D1413" s="15" t="s">
        <v>3785</v>
      </c>
      <c r="E1413" s="15" t="s">
        <v>3786</v>
      </c>
      <c r="F1413" s="16">
        <v>44370.5968055556</v>
      </c>
      <c r="G1413" s="15" t="s">
        <v>3786</v>
      </c>
      <c r="H1413" s="15" t="s">
        <v>54</v>
      </c>
      <c r="I1413" s="15">
        <v>0</v>
      </c>
      <c r="J1413" s="15">
        <v>0</v>
      </c>
      <c r="K1413" s="15">
        <v>0</v>
      </c>
      <c r="L1413" s="20">
        <v>0</v>
      </c>
      <c r="M1413" s="15">
        <v>0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0</v>
      </c>
      <c r="V1413" s="15">
        <v>0</v>
      </c>
      <c r="W1413" s="15">
        <v>0</v>
      </c>
      <c r="X1413" s="15">
        <v>0</v>
      </c>
      <c r="Y1413" s="15">
        <v>0</v>
      </c>
      <c r="Z1413" s="15">
        <v>0</v>
      </c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</row>
    <row r="1414" spans="1:43">
      <c r="A1414" s="15" t="s">
        <v>49</v>
      </c>
      <c r="B1414" s="15" t="s">
        <v>50</v>
      </c>
      <c r="C1414" s="15" t="s">
        <v>61</v>
      </c>
      <c r="D1414" s="15" t="s">
        <v>3787</v>
      </c>
      <c r="E1414" s="15" t="s">
        <v>1416</v>
      </c>
      <c r="F1414" s="16">
        <v>0</v>
      </c>
      <c r="G1414" s="15" t="s">
        <v>1416</v>
      </c>
      <c r="H1414" s="15" t="s">
        <v>3788</v>
      </c>
      <c r="I1414" s="15">
        <v>0</v>
      </c>
      <c r="J1414" s="15">
        <v>0</v>
      </c>
      <c r="K1414" s="15">
        <v>0</v>
      </c>
      <c r="L1414" s="20">
        <v>0</v>
      </c>
      <c r="M1414" s="15">
        <v>0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0</v>
      </c>
      <c r="V1414" s="15">
        <v>0</v>
      </c>
      <c r="W1414" s="15">
        <v>0</v>
      </c>
      <c r="X1414" s="15">
        <v>0</v>
      </c>
      <c r="Y1414" s="15">
        <v>0</v>
      </c>
      <c r="Z1414" s="15">
        <v>0</v>
      </c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</row>
    <row r="1415" spans="1:43">
      <c r="A1415" s="15" t="s">
        <v>49</v>
      </c>
      <c r="B1415" s="15" t="s">
        <v>50</v>
      </c>
      <c r="C1415" s="15" t="s">
        <v>61</v>
      </c>
      <c r="D1415" s="15" t="s">
        <v>3789</v>
      </c>
      <c r="E1415" s="15" t="s">
        <v>1446</v>
      </c>
      <c r="F1415" s="16">
        <v>0</v>
      </c>
      <c r="G1415" s="15" t="s">
        <v>1446</v>
      </c>
      <c r="H1415" s="15" t="s">
        <v>54</v>
      </c>
      <c r="I1415" s="15">
        <v>0</v>
      </c>
      <c r="J1415" s="15">
        <v>0</v>
      </c>
      <c r="K1415" s="15">
        <v>0</v>
      </c>
      <c r="L1415" s="20">
        <v>0</v>
      </c>
      <c r="M1415" s="15">
        <v>0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  <c r="AA1415" s="15"/>
      <c r="AB1415" s="15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/>
      <c r="AM1415" s="15"/>
      <c r="AN1415" s="15"/>
      <c r="AO1415" s="15"/>
      <c r="AP1415" s="15"/>
      <c r="AQ1415" s="15"/>
    </row>
    <row r="1416" spans="1:43">
      <c r="A1416" s="15" t="s">
        <v>49</v>
      </c>
      <c r="B1416" s="15" t="s">
        <v>50</v>
      </c>
      <c r="C1416" s="15" t="s">
        <v>51</v>
      </c>
      <c r="D1416" s="15" t="s">
        <v>3790</v>
      </c>
      <c r="E1416" s="15" t="s">
        <v>3791</v>
      </c>
      <c r="F1416" s="16">
        <v>45020.5870486111</v>
      </c>
      <c r="G1416" s="15" t="s">
        <v>3791</v>
      </c>
      <c r="H1416" s="15" t="s">
        <v>3792</v>
      </c>
      <c r="I1416" s="15">
        <v>1665.79</v>
      </c>
      <c r="J1416" s="15">
        <v>12</v>
      </c>
      <c r="K1416" s="15">
        <v>138.815833333333</v>
      </c>
      <c r="L1416" s="20">
        <v>2.77631666666667</v>
      </c>
      <c r="M1416" s="15">
        <v>138.05</v>
      </c>
      <c r="N1416" s="15">
        <v>148.05</v>
      </c>
      <c r="O1416" s="15">
        <v>228.21</v>
      </c>
      <c r="P1416" s="15">
        <v>102.76</v>
      </c>
      <c r="Q1416" s="15">
        <v>46.78</v>
      </c>
      <c r="R1416" s="15">
        <v>0</v>
      </c>
      <c r="S1416" s="15">
        <v>105.67</v>
      </c>
      <c r="T1416" s="15">
        <v>91.88</v>
      </c>
      <c r="U1416" s="15">
        <v>159.16</v>
      </c>
      <c r="V1416" s="15">
        <v>41.71</v>
      </c>
      <c r="W1416" s="15">
        <v>169.57</v>
      </c>
      <c r="X1416" s="15">
        <v>201.64</v>
      </c>
      <c r="Y1416" s="15">
        <v>0</v>
      </c>
      <c r="Z1416" s="15">
        <v>232.31</v>
      </c>
      <c r="AA1416" s="15"/>
      <c r="AB1416" s="15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/>
      <c r="AM1416" s="15"/>
      <c r="AN1416" s="15"/>
      <c r="AO1416" s="15"/>
      <c r="AP1416" s="15"/>
      <c r="AQ1416" s="15"/>
    </row>
    <row r="1417" spans="1:43">
      <c r="A1417" s="15" t="s">
        <v>43</v>
      </c>
      <c r="B1417" s="15" t="s">
        <v>44</v>
      </c>
      <c r="C1417" s="15" t="s">
        <v>45</v>
      </c>
      <c r="D1417" s="15" t="s">
        <v>3793</v>
      </c>
      <c r="E1417" s="15" t="s">
        <v>3794</v>
      </c>
      <c r="F1417" s="16">
        <v>40268.4121759259</v>
      </c>
      <c r="G1417" s="15" t="s">
        <v>3794</v>
      </c>
      <c r="H1417" s="15" t="s">
        <v>3795</v>
      </c>
      <c r="I1417" s="15">
        <v>0</v>
      </c>
      <c r="J1417" s="15">
        <v>0</v>
      </c>
      <c r="K1417" s="15">
        <v>0</v>
      </c>
      <c r="L1417" s="20">
        <v>0</v>
      </c>
      <c r="M1417" s="15">
        <v>0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/>
      <c r="AM1417" s="15"/>
      <c r="AN1417" s="15"/>
      <c r="AO1417" s="15"/>
      <c r="AP1417" s="15"/>
      <c r="AQ1417" s="15"/>
    </row>
    <row r="1418" spans="1:43">
      <c r="A1418" s="15" t="s">
        <v>43</v>
      </c>
      <c r="B1418" s="15" t="s">
        <v>44</v>
      </c>
      <c r="C1418" s="15" t="s">
        <v>45</v>
      </c>
      <c r="D1418" s="15" t="s">
        <v>3796</v>
      </c>
      <c r="E1418" s="15" t="s">
        <v>3797</v>
      </c>
      <c r="F1418" s="16">
        <v>42160.6035069444</v>
      </c>
      <c r="G1418" s="15" t="s">
        <v>3797</v>
      </c>
      <c r="H1418" s="15" t="s">
        <v>3798</v>
      </c>
      <c r="I1418" s="15">
        <v>0</v>
      </c>
      <c r="J1418" s="15">
        <v>0</v>
      </c>
      <c r="K1418" s="15">
        <v>0</v>
      </c>
      <c r="L1418" s="20">
        <v>0</v>
      </c>
      <c r="M1418" s="15">
        <v>0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0</v>
      </c>
      <c r="T1418" s="15">
        <v>0</v>
      </c>
      <c r="U1418" s="15">
        <v>0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  <c r="AA1418" s="15"/>
      <c r="AB1418" s="15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/>
      <c r="AM1418" s="15"/>
      <c r="AN1418" s="15"/>
      <c r="AO1418" s="15"/>
      <c r="AP1418" s="15"/>
      <c r="AQ1418" s="15"/>
    </row>
    <row r="1419" spans="1:43">
      <c r="A1419" s="15" t="s">
        <v>43</v>
      </c>
      <c r="B1419" s="15" t="s">
        <v>44</v>
      </c>
      <c r="C1419" s="15" t="s">
        <v>45</v>
      </c>
      <c r="D1419" s="15" t="s">
        <v>3799</v>
      </c>
      <c r="E1419" s="15" t="s">
        <v>3800</v>
      </c>
      <c r="F1419" s="16">
        <v>43256.6599074074</v>
      </c>
      <c r="G1419" s="15" t="s">
        <v>3800</v>
      </c>
      <c r="H1419" s="15" t="s">
        <v>3801</v>
      </c>
      <c r="I1419" s="15">
        <v>0</v>
      </c>
      <c r="J1419" s="15">
        <v>0</v>
      </c>
      <c r="K1419" s="15">
        <v>0</v>
      </c>
      <c r="L1419" s="20">
        <v>0</v>
      </c>
      <c r="M1419" s="15">
        <v>0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  <c r="AA1419" s="15"/>
      <c r="AB1419" s="15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/>
      <c r="AM1419" s="15"/>
      <c r="AN1419" s="15"/>
      <c r="AO1419" s="15"/>
      <c r="AP1419" s="15"/>
      <c r="AQ1419" s="15"/>
    </row>
    <row r="1420" spans="1:43">
      <c r="A1420" s="15" t="s">
        <v>43</v>
      </c>
      <c r="B1420" s="15" t="s">
        <v>44</v>
      </c>
      <c r="C1420" s="15" t="s">
        <v>45</v>
      </c>
      <c r="D1420" s="15" t="s">
        <v>3802</v>
      </c>
      <c r="E1420" s="15" t="s">
        <v>3803</v>
      </c>
      <c r="F1420" s="16">
        <v>44299.6826273148</v>
      </c>
      <c r="G1420" s="15" t="s">
        <v>3803</v>
      </c>
      <c r="H1420" s="15" t="s">
        <v>54</v>
      </c>
      <c r="I1420" s="15">
        <v>0</v>
      </c>
      <c r="J1420" s="15">
        <v>0</v>
      </c>
      <c r="K1420" s="15">
        <v>0</v>
      </c>
      <c r="L1420" s="20">
        <v>0</v>
      </c>
      <c r="M1420" s="15">
        <v>0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</row>
    <row r="1421" spans="1:43">
      <c r="A1421" s="15" t="s">
        <v>49</v>
      </c>
      <c r="B1421" s="15" t="s">
        <v>50</v>
      </c>
      <c r="C1421" s="15" t="s">
        <v>61</v>
      </c>
      <c r="D1421" s="15" t="s">
        <v>3804</v>
      </c>
      <c r="E1421" s="15" t="s">
        <v>3805</v>
      </c>
      <c r="F1421" s="16">
        <v>0</v>
      </c>
      <c r="G1421" s="15" t="s">
        <v>3805</v>
      </c>
      <c r="H1421" s="15" t="s">
        <v>54</v>
      </c>
      <c r="I1421" s="15">
        <v>0</v>
      </c>
      <c r="J1421" s="15">
        <v>0</v>
      </c>
      <c r="K1421" s="15">
        <v>0</v>
      </c>
      <c r="L1421" s="20">
        <v>0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0</v>
      </c>
      <c r="V1421" s="15">
        <v>0</v>
      </c>
      <c r="W1421" s="15">
        <v>0</v>
      </c>
      <c r="X1421" s="15">
        <v>0</v>
      </c>
      <c r="Y1421" s="15">
        <v>0</v>
      </c>
      <c r="Z1421" s="15">
        <v>0</v>
      </c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</row>
    <row r="1422" spans="1:43">
      <c r="A1422" s="15" t="s">
        <v>43</v>
      </c>
      <c r="B1422" s="15" t="s">
        <v>44</v>
      </c>
      <c r="C1422" s="15" t="s">
        <v>45</v>
      </c>
      <c r="D1422" s="15" t="s">
        <v>3806</v>
      </c>
      <c r="E1422" s="15" t="s">
        <v>3807</v>
      </c>
      <c r="F1422" s="16">
        <v>42605.7203356481</v>
      </c>
      <c r="G1422" s="15" t="s">
        <v>3807</v>
      </c>
      <c r="H1422" s="15" t="s">
        <v>3808</v>
      </c>
      <c r="I1422" s="15">
        <v>0</v>
      </c>
      <c r="J1422" s="15">
        <v>0</v>
      </c>
      <c r="K1422" s="15">
        <v>0</v>
      </c>
      <c r="L1422" s="20">
        <v>0</v>
      </c>
      <c r="M1422" s="15">
        <v>0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>
        <v>0</v>
      </c>
      <c r="U1422" s="15">
        <v>0</v>
      </c>
      <c r="V1422" s="15">
        <v>0</v>
      </c>
      <c r="W1422" s="15">
        <v>0</v>
      </c>
      <c r="X1422" s="15">
        <v>0</v>
      </c>
      <c r="Y1422" s="15">
        <v>0</v>
      </c>
      <c r="Z1422" s="15">
        <v>0</v>
      </c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</row>
    <row r="1423" spans="1:43">
      <c r="A1423" s="15" t="s">
        <v>43</v>
      </c>
      <c r="B1423" s="15" t="s">
        <v>44</v>
      </c>
      <c r="C1423" s="15" t="s">
        <v>45</v>
      </c>
      <c r="D1423" s="15" t="s">
        <v>3809</v>
      </c>
      <c r="E1423" s="15" t="s">
        <v>3810</v>
      </c>
      <c r="F1423" s="16">
        <v>41720.3967592593</v>
      </c>
      <c r="G1423" s="15" t="s">
        <v>3810</v>
      </c>
      <c r="H1423" s="15" t="s">
        <v>3811</v>
      </c>
      <c r="I1423" s="15">
        <v>0</v>
      </c>
      <c r="J1423" s="15">
        <v>0</v>
      </c>
      <c r="K1423" s="15">
        <v>0</v>
      </c>
      <c r="L1423" s="20">
        <v>0</v>
      </c>
      <c r="M1423" s="15">
        <v>0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</row>
    <row r="1424" spans="1:43">
      <c r="A1424" s="15" t="s">
        <v>43</v>
      </c>
      <c r="B1424" s="15" t="s">
        <v>44</v>
      </c>
      <c r="C1424" s="15" t="s">
        <v>45</v>
      </c>
      <c r="D1424" s="15" t="s">
        <v>3812</v>
      </c>
      <c r="E1424" s="15" t="s">
        <v>3813</v>
      </c>
      <c r="F1424" s="16">
        <v>42857.4712152778</v>
      </c>
      <c r="G1424" s="15" t="s">
        <v>3813</v>
      </c>
      <c r="H1424" s="15" t="s">
        <v>3814</v>
      </c>
      <c r="I1424" s="15">
        <v>0</v>
      </c>
      <c r="J1424" s="15">
        <v>0</v>
      </c>
      <c r="K1424" s="15">
        <v>0</v>
      </c>
      <c r="L1424" s="20">
        <v>0</v>
      </c>
      <c r="M1424" s="15">
        <v>0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</row>
    <row r="1425" spans="1:43">
      <c r="A1425" s="15" t="s">
        <v>43</v>
      </c>
      <c r="B1425" s="15" t="s">
        <v>44</v>
      </c>
      <c r="C1425" s="15" t="s">
        <v>45</v>
      </c>
      <c r="D1425" s="15" t="s">
        <v>3815</v>
      </c>
      <c r="E1425" s="15" t="s">
        <v>3816</v>
      </c>
      <c r="F1425" s="16">
        <v>40266.6228240741</v>
      </c>
      <c r="G1425" s="15" t="s">
        <v>3816</v>
      </c>
      <c r="H1425" s="15" t="s">
        <v>3817</v>
      </c>
      <c r="I1425" s="15">
        <v>0</v>
      </c>
      <c r="J1425" s="15">
        <v>0</v>
      </c>
      <c r="K1425" s="15">
        <v>0</v>
      </c>
      <c r="L1425" s="20">
        <v>0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0</v>
      </c>
      <c r="X1425" s="15">
        <v>0</v>
      </c>
      <c r="Y1425" s="15">
        <v>0</v>
      </c>
      <c r="Z1425" s="15">
        <v>0</v>
      </c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</row>
    <row r="1426" spans="1:43">
      <c r="A1426" s="15" t="s">
        <v>43</v>
      </c>
      <c r="B1426" s="15" t="s">
        <v>44</v>
      </c>
      <c r="C1426" s="15" t="s">
        <v>45</v>
      </c>
      <c r="D1426" s="15" t="s">
        <v>3818</v>
      </c>
      <c r="E1426" s="15" t="s">
        <v>3819</v>
      </c>
      <c r="F1426" s="16">
        <v>41773.5843055556</v>
      </c>
      <c r="G1426" s="15" t="s">
        <v>3819</v>
      </c>
      <c r="H1426" s="15" t="s">
        <v>3820</v>
      </c>
      <c r="I1426" s="15">
        <v>0</v>
      </c>
      <c r="J1426" s="15">
        <v>0</v>
      </c>
      <c r="K1426" s="15">
        <v>0</v>
      </c>
      <c r="L1426" s="20">
        <v>0</v>
      </c>
      <c r="M1426" s="15">
        <v>0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0</v>
      </c>
      <c r="V1426" s="15">
        <v>0</v>
      </c>
      <c r="W1426" s="15">
        <v>0</v>
      </c>
      <c r="X1426" s="15">
        <v>0</v>
      </c>
      <c r="Y1426" s="15">
        <v>0</v>
      </c>
      <c r="Z1426" s="15">
        <v>0</v>
      </c>
      <c r="AA1426" s="15"/>
      <c r="AB1426" s="15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</row>
    <row r="1427" spans="1:43">
      <c r="A1427" s="15" t="s">
        <v>49</v>
      </c>
      <c r="B1427" s="15" t="s">
        <v>50</v>
      </c>
      <c r="C1427" s="15" t="s">
        <v>61</v>
      </c>
      <c r="D1427" s="15" t="s">
        <v>3821</v>
      </c>
      <c r="E1427" s="15" t="s">
        <v>3822</v>
      </c>
      <c r="F1427" s="16">
        <v>0</v>
      </c>
      <c r="G1427" s="15" t="s">
        <v>3822</v>
      </c>
      <c r="H1427" s="15" t="s">
        <v>3823</v>
      </c>
      <c r="I1427" s="15">
        <v>0</v>
      </c>
      <c r="J1427" s="15">
        <v>0</v>
      </c>
      <c r="K1427" s="15">
        <v>0</v>
      </c>
      <c r="L1427" s="20">
        <v>0</v>
      </c>
      <c r="M1427" s="15">
        <v>0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  <c r="AA1427" s="15"/>
      <c r="AB1427" s="15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/>
      <c r="AM1427" s="15"/>
      <c r="AN1427" s="15"/>
      <c r="AO1427" s="15"/>
      <c r="AP1427" s="15"/>
      <c r="AQ1427" s="15"/>
    </row>
    <row r="1428" spans="1:43">
      <c r="A1428" s="15" t="s">
        <v>49</v>
      </c>
      <c r="B1428" s="15" t="s">
        <v>50</v>
      </c>
      <c r="C1428" s="15" t="s">
        <v>61</v>
      </c>
      <c r="D1428" s="15" t="s">
        <v>3824</v>
      </c>
      <c r="E1428" s="15" t="s">
        <v>3825</v>
      </c>
      <c r="F1428" s="16">
        <v>0</v>
      </c>
      <c r="G1428" s="15" t="s">
        <v>3825</v>
      </c>
      <c r="H1428" s="15" t="s">
        <v>3826</v>
      </c>
      <c r="I1428" s="15">
        <v>0</v>
      </c>
      <c r="J1428" s="15">
        <v>0</v>
      </c>
      <c r="K1428" s="15">
        <v>0</v>
      </c>
      <c r="L1428" s="20">
        <v>0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0</v>
      </c>
      <c r="AA1428" s="15"/>
      <c r="AB1428" s="15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/>
      <c r="AM1428" s="15"/>
      <c r="AN1428" s="15"/>
      <c r="AO1428" s="15"/>
      <c r="AP1428" s="15"/>
      <c r="AQ1428" s="15"/>
    </row>
    <row r="1429" spans="1:43">
      <c r="A1429" s="15" t="s">
        <v>43</v>
      </c>
      <c r="B1429" s="15" t="s">
        <v>44</v>
      </c>
      <c r="C1429" s="15" t="s">
        <v>45</v>
      </c>
      <c r="D1429" s="15" t="s">
        <v>3827</v>
      </c>
      <c r="E1429" s="15" t="s">
        <v>3828</v>
      </c>
      <c r="F1429" s="16">
        <v>43343.6382060185</v>
      </c>
      <c r="G1429" s="15" t="s">
        <v>3828</v>
      </c>
      <c r="H1429" s="15" t="s">
        <v>3829</v>
      </c>
      <c r="I1429" s="15">
        <v>0</v>
      </c>
      <c r="J1429" s="15">
        <v>0</v>
      </c>
      <c r="K1429" s="15">
        <v>0</v>
      </c>
      <c r="L1429" s="20">
        <v>0</v>
      </c>
      <c r="M1429" s="15">
        <v>0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  <c r="AA1429" s="15"/>
      <c r="AB1429" s="15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/>
      <c r="AM1429" s="15"/>
      <c r="AN1429" s="15"/>
      <c r="AO1429" s="15"/>
      <c r="AP1429" s="15"/>
      <c r="AQ1429" s="15"/>
    </row>
    <row r="1430" spans="1:43">
      <c r="A1430" s="15" t="s">
        <v>49</v>
      </c>
      <c r="B1430" s="15" t="s">
        <v>50</v>
      </c>
      <c r="C1430" s="15" t="s">
        <v>61</v>
      </c>
      <c r="D1430" s="15" t="s">
        <v>3830</v>
      </c>
      <c r="E1430" s="15" t="s">
        <v>3831</v>
      </c>
      <c r="F1430" s="16">
        <v>0</v>
      </c>
      <c r="G1430" s="15" t="s">
        <v>3831</v>
      </c>
      <c r="H1430" s="15" t="s">
        <v>54</v>
      </c>
      <c r="I1430" s="15">
        <v>0</v>
      </c>
      <c r="J1430" s="15">
        <v>0</v>
      </c>
      <c r="K1430" s="15">
        <v>0</v>
      </c>
      <c r="L1430" s="20">
        <v>0</v>
      </c>
      <c r="M1430" s="15">
        <v>0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0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</row>
    <row r="1431" spans="1:43">
      <c r="A1431" s="15" t="s">
        <v>49</v>
      </c>
      <c r="B1431" s="15" t="s">
        <v>50</v>
      </c>
      <c r="C1431" s="15" t="s">
        <v>61</v>
      </c>
      <c r="D1431" s="15" t="s">
        <v>3832</v>
      </c>
      <c r="E1431" s="15" t="s">
        <v>2599</v>
      </c>
      <c r="F1431" s="16">
        <v>0</v>
      </c>
      <c r="G1431" s="15" t="s">
        <v>2599</v>
      </c>
      <c r="H1431" s="15" t="s">
        <v>3833</v>
      </c>
      <c r="I1431" s="15">
        <v>0</v>
      </c>
      <c r="J1431" s="15">
        <v>0</v>
      </c>
      <c r="K1431" s="15">
        <v>0</v>
      </c>
      <c r="L1431" s="20">
        <v>0</v>
      </c>
      <c r="M1431" s="15">
        <v>0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</row>
    <row r="1432" spans="1:43">
      <c r="A1432" s="15" t="s">
        <v>49</v>
      </c>
      <c r="B1432" s="15" t="s">
        <v>50</v>
      </c>
      <c r="C1432" s="15" t="s">
        <v>61</v>
      </c>
      <c r="D1432" s="15" t="s">
        <v>3834</v>
      </c>
      <c r="E1432" s="15" t="s">
        <v>3835</v>
      </c>
      <c r="F1432" s="16">
        <v>0</v>
      </c>
      <c r="G1432" s="15" t="s">
        <v>3835</v>
      </c>
      <c r="H1432" s="15" t="s">
        <v>3836</v>
      </c>
      <c r="I1432" s="15">
        <v>0</v>
      </c>
      <c r="J1432" s="15">
        <v>0</v>
      </c>
      <c r="K1432" s="15">
        <v>0</v>
      </c>
      <c r="L1432" s="20">
        <v>0</v>
      </c>
      <c r="M1432" s="15">
        <v>0</v>
      </c>
      <c r="N1432" s="15">
        <v>0</v>
      </c>
      <c r="O1432" s="15">
        <v>0</v>
      </c>
      <c r="P1432" s="15">
        <v>0</v>
      </c>
      <c r="Q1432" s="15">
        <v>0</v>
      </c>
      <c r="R1432" s="15">
        <v>0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0</v>
      </c>
      <c r="Z1432" s="15">
        <v>0</v>
      </c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</row>
    <row r="1433" spans="1:43">
      <c r="A1433" s="15" t="s">
        <v>43</v>
      </c>
      <c r="B1433" s="15" t="s">
        <v>44</v>
      </c>
      <c r="C1433" s="15" t="s">
        <v>45</v>
      </c>
      <c r="D1433" s="15" t="s">
        <v>3837</v>
      </c>
      <c r="E1433" s="15" t="s">
        <v>3838</v>
      </c>
      <c r="F1433" s="16">
        <v>43489.6128472222</v>
      </c>
      <c r="G1433" s="15" t="s">
        <v>3838</v>
      </c>
      <c r="H1433" s="15" t="s">
        <v>3839</v>
      </c>
      <c r="I1433" s="15">
        <v>0</v>
      </c>
      <c r="J1433" s="15">
        <v>0</v>
      </c>
      <c r="K1433" s="15">
        <v>0</v>
      </c>
      <c r="L1433" s="20">
        <v>0</v>
      </c>
      <c r="M1433" s="15">
        <v>0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  <c r="AA1433" s="15"/>
      <c r="AB1433" s="15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/>
      <c r="AM1433" s="15"/>
      <c r="AN1433" s="15"/>
      <c r="AO1433" s="15"/>
      <c r="AP1433" s="15"/>
      <c r="AQ1433" s="15"/>
    </row>
    <row r="1434" spans="1:43">
      <c r="A1434" s="15" t="s">
        <v>43</v>
      </c>
      <c r="B1434" s="15" t="s">
        <v>44</v>
      </c>
      <c r="C1434" s="15" t="s">
        <v>45</v>
      </c>
      <c r="D1434" s="15" t="s">
        <v>3840</v>
      </c>
      <c r="E1434" s="15" t="s">
        <v>3841</v>
      </c>
      <c r="F1434" s="16">
        <v>41380.4374421296</v>
      </c>
      <c r="G1434" s="15" t="s">
        <v>3841</v>
      </c>
      <c r="H1434" s="15" t="s">
        <v>3842</v>
      </c>
      <c r="I1434" s="15">
        <v>0</v>
      </c>
      <c r="J1434" s="15">
        <v>0</v>
      </c>
      <c r="K1434" s="15">
        <v>0</v>
      </c>
      <c r="L1434" s="20">
        <v>0</v>
      </c>
      <c r="M1434" s="15">
        <v>0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0</v>
      </c>
      <c r="Z1434" s="15">
        <v>0</v>
      </c>
      <c r="AA1434" s="15"/>
      <c r="AB1434" s="15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/>
      <c r="AM1434" s="15"/>
      <c r="AN1434" s="15"/>
      <c r="AO1434" s="15"/>
      <c r="AP1434" s="15"/>
      <c r="AQ1434" s="15"/>
    </row>
    <row r="1435" spans="1:43">
      <c r="A1435" s="15" t="s">
        <v>49</v>
      </c>
      <c r="B1435" s="15" t="s">
        <v>50</v>
      </c>
      <c r="C1435" s="15" t="s">
        <v>51</v>
      </c>
      <c r="D1435" s="15" t="s">
        <v>3843</v>
      </c>
      <c r="E1435" s="15" t="s">
        <v>3406</v>
      </c>
      <c r="F1435" s="16">
        <v>45035.6609722222</v>
      </c>
      <c r="G1435" s="15" t="s">
        <v>3406</v>
      </c>
      <c r="H1435" s="15" t="s">
        <v>54</v>
      </c>
      <c r="I1435" s="15">
        <v>314.38</v>
      </c>
      <c r="J1435" s="15">
        <v>3</v>
      </c>
      <c r="K1435" s="15">
        <v>104.793333333333</v>
      </c>
      <c r="L1435" s="20">
        <v>2.09586666666667</v>
      </c>
      <c r="M1435" s="15">
        <v>100.12</v>
      </c>
      <c r="N1435" s="15">
        <v>107.04</v>
      </c>
      <c r="O1435" s="15">
        <v>107.22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0</v>
      </c>
      <c r="X1435" s="15">
        <v>0</v>
      </c>
      <c r="Y1435" s="15">
        <v>0</v>
      </c>
      <c r="Z1435" s="15">
        <v>0</v>
      </c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</row>
    <row r="1436" spans="1:43">
      <c r="A1436" s="15" t="s">
        <v>43</v>
      </c>
      <c r="B1436" s="15" t="s">
        <v>44</v>
      </c>
      <c r="C1436" s="15" t="s">
        <v>45</v>
      </c>
      <c r="D1436" s="15" t="s">
        <v>3844</v>
      </c>
      <c r="E1436" s="15" t="s">
        <v>3845</v>
      </c>
      <c r="F1436" s="16">
        <v>40753.4883333333</v>
      </c>
      <c r="G1436" s="15" t="s">
        <v>3845</v>
      </c>
      <c r="H1436" s="15" t="s">
        <v>3846</v>
      </c>
      <c r="I1436" s="15">
        <v>0</v>
      </c>
      <c r="J1436" s="15">
        <v>0</v>
      </c>
      <c r="K1436" s="15">
        <v>0</v>
      </c>
      <c r="L1436" s="20">
        <v>0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0</v>
      </c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</row>
    <row r="1437" spans="1:43">
      <c r="A1437" s="15" t="s">
        <v>43</v>
      </c>
      <c r="B1437" s="15" t="s">
        <v>44</v>
      </c>
      <c r="C1437" s="15" t="s">
        <v>45</v>
      </c>
      <c r="D1437" s="15" t="s">
        <v>3847</v>
      </c>
      <c r="E1437" s="15" t="s">
        <v>3848</v>
      </c>
      <c r="F1437" s="16">
        <v>41960.6862384259</v>
      </c>
      <c r="G1437" s="15" t="s">
        <v>3848</v>
      </c>
      <c r="H1437" s="15" t="s">
        <v>3849</v>
      </c>
      <c r="I1437" s="15">
        <v>0</v>
      </c>
      <c r="J1437" s="15">
        <v>0</v>
      </c>
      <c r="K1437" s="15">
        <v>0</v>
      </c>
      <c r="L1437" s="20">
        <v>0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0</v>
      </c>
      <c r="Z1437" s="15">
        <v>0</v>
      </c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</row>
    <row r="1438" spans="1:43">
      <c r="A1438" s="15" t="s">
        <v>43</v>
      </c>
      <c r="B1438" s="15" t="s">
        <v>44</v>
      </c>
      <c r="C1438" s="15" t="s">
        <v>45</v>
      </c>
      <c r="D1438" s="15" t="s">
        <v>3850</v>
      </c>
      <c r="E1438" s="15" t="s">
        <v>3851</v>
      </c>
      <c r="F1438" s="16">
        <v>41997.4057986111</v>
      </c>
      <c r="G1438" s="15" t="s">
        <v>3851</v>
      </c>
      <c r="H1438" s="15" t="s">
        <v>3852</v>
      </c>
      <c r="I1438" s="15">
        <v>0</v>
      </c>
      <c r="J1438" s="15">
        <v>0</v>
      </c>
      <c r="K1438" s="15">
        <v>0</v>
      </c>
      <c r="L1438" s="20">
        <v>0</v>
      </c>
      <c r="M1438" s="15">
        <v>0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0</v>
      </c>
      <c r="X1438" s="15">
        <v>0</v>
      </c>
      <c r="Y1438" s="15">
        <v>0</v>
      </c>
      <c r="Z1438" s="15">
        <v>0</v>
      </c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</row>
    <row r="1439" spans="1:43">
      <c r="A1439" s="15" t="s">
        <v>43</v>
      </c>
      <c r="B1439" s="15" t="s">
        <v>44</v>
      </c>
      <c r="C1439" s="15" t="s">
        <v>45</v>
      </c>
      <c r="D1439" s="15" t="s">
        <v>3853</v>
      </c>
      <c r="E1439" s="15" t="s">
        <v>3854</v>
      </c>
      <c r="F1439" s="16">
        <v>41891.662974537</v>
      </c>
      <c r="G1439" s="15" t="s">
        <v>3854</v>
      </c>
      <c r="H1439" s="15" t="s">
        <v>3855</v>
      </c>
      <c r="I1439" s="15">
        <v>0</v>
      </c>
      <c r="J1439" s="15">
        <v>0</v>
      </c>
      <c r="K1439" s="15">
        <v>0</v>
      </c>
      <c r="L1439" s="20">
        <v>0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</row>
    <row r="1440" spans="1:43">
      <c r="A1440" s="15" t="s">
        <v>43</v>
      </c>
      <c r="B1440" s="15" t="s">
        <v>44</v>
      </c>
      <c r="C1440" s="15" t="s">
        <v>45</v>
      </c>
      <c r="D1440" s="15" t="s">
        <v>3856</v>
      </c>
      <c r="E1440" s="15" t="s">
        <v>3857</v>
      </c>
      <c r="F1440" s="16">
        <v>43738.4048958333</v>
      </c>
      <c r="G1440" s="15" t="s">
        <v>3857</v>
      </c>
      <c r="H1440" s="15" t="s">
        <v>3858</v>
      </c>
      <c r="I1440" s="15">
        <v>0</v>
      </c>
      <c r="J1440" s="15">
        <v>0</v>
      </c>
      <c r="K1440" s="15">
        <v>0</v>
      </c>
      <c r="L1440" s="20">
        <v>0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0</v>
      </c>
      <c r="V1440" s="15">
        <v>0</v>
      </c>
      <c r="W1440" s="15">
        <v>0</v>
      </c>
      <c r="X1440" s="15">
        <v>0</v>
      </c>
      <c r="Y1440" s="15">
        <v>0</v>
      </c>
      <c r="Z1440" s="15">
        <v>0</v>
      </c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</row>
    <row r="1441" spans="1:43">
      <c r="A1441" s="15" t="s">
        <v>49</v>
      </c>
      <c r="B1441" s="15" t="s">
        <v>50</v>
      </c>
      <c r="C1441" s="15" t="s">
        <v>61</v>
      </c>
      <c r="D1441" s="15" t="s">
        <v>3859</v>
      </c>
      <c r="E1441" s="15" t="s">
        <v>3860</v>
      </c>
      <c r="F1441" s="16">
        <v>0</v>
      </c>
      <c r="G1441" s="15" t="s">
        <v>3860</v>
      </c>
      <c r="H1441" s="15" t="s">
        <v>3861</v>
      </c>
      <c r="I1441" s="15">
        <v>0</v>
      </c>
      <c r="J1441" s="15">
        <v>0</v>
      </c>
      <c r="K1441" s="15">
        <v>0</v>
      </c>
      <c r="L1441" s="20">
        <v>0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0</v>
      </c>
      <c r="X1441" s="15">
        <v>0</v>
      </c>
      <c r="Y1441" s="15">
        <v>0</v>
      </c>
      <c r="Z1441" s="15">
        <v>0</v>
      </c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</row>
    <row r="1442" spans="1:43">
      <c r="A1442" s="15" t="s">
        <v>43</v>
      </c>
      <c r="B1442" s="15" t="s">
        <v>44</v>
      </c>
      <c r="C1442" s="15" t="s">
        <v>45</v>
      </c>
      <c r="D1442" s="15" t="s">
        <v>3862</v>
      </c>
      <c r="E1442" s="15" t="s">
        <v>3863</v>
      </c>
      <c r="F1442" s="16">
        <v>42998.7008680556</v>
      </c>
      <c r="G1442" s="15" t="s">
        <v>3863</v>
      </c>
      <c r="H1442" s="15" t="s">
        <v>3864</v>
      </c>
      <c r="I1442" s="15">
        <v>0</v>
      </c>
      <c r="J1442" s="15">
        <v>0</v>
      </c>
      <c r="K1442" s="15">
        <v>0</v>
      </c>
      <c r="L1442" s="20">
        <v>0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</row>
    <row r="1443" spans="1:43">
      <c r="A1443" s="15" t="s">
        <v>49</v>
      </c>
      <c r="B1443" s="15" t="s">
        <v>50</v>
      </c>
      <c r="C1443" s="15" t="s">
        <v>75</v>
      </c>
      <c r="D1443" s="15" t="s">
        <v>3865</v>
      </c>
      <c r="E1443" s="15" t="s">
        <v>3866</v>
      </c>
      <c r="F1443" s="16">
        <v>44805.6925462963</v>
      </c>
      <c r="G1443" s="15" t="s">
        <v>3866</v>
      </c>
      <c r="H1443" s="15" t="s">
        <v>54</v>
      </c>
      <c r="I1443" s="15">
        <v>0</v>
      </c>
      <c r="J1443" s="15">
        <v>0</v>
      </c>
      <c r="K1443" s="15">
        <v>0</v>
      </c>
      <c r="L1443" s="20">
        <v>0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0</v>
      </c>
      <c r="X1443" s="15">
        <v>0</v>
      </c>
      <c r="Y1443" s="15">
        <v>0</v>
      </c>
      <c r="Z1443" s="15">
        <v>0</v>
      </c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</row>
    <row r="1444" spans="1:43">
      <c r="A1444" s="15" t="s">
        <v>43</v>
      </c>
      <c r="B1444" s="15" t="s">
        <v>44</v>
      </c>
      <c r="C1444" s="15" t="s">
        <v>45</v>
      </c>
      <c r="D1444" s="15" t="s">
        <v>3867</v>
      </c>
      <c r="E1444" s="15" t="s">
        <v>3868</v>
      </c>
      <c r="F1444" s="16">
        <v>44152.6469212963</v>
      </c>
      <c r="G1444" s="15" t="s">
        <v>3868</v>
      </c>
      <c r="H1444" s="15" t="s">
        <v>54</v>
      </c>
      <c r="I1444" s="15">
        <v>0</v>
      </c>
      <c r="J1444" s="15">
        <v>0</v>
      </c>
      <c r="K1444" s="15">
        <v>0</v>
      </c>
      <c r="L1444" s="20">
        <v>0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0</v>
      </c>
      <c r="X1444" s="15">
        <v>0</v>
      </c>
      <c r="Y1444" s="15">
        <v>0</v>
      </c>
      <c r="Z1444" s="15">
        <v>0</v>
      </c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</row>
    <row r="1445" spans="1:43">
      <c r="A1445" s="15" t="s">
        <v>43</v>
      </c>
      <c r="B1445" s="15" t="s">
        <v>44</v>
      </c>
      <c r="C1445" s="15" t="s">
        <v>45</v>
      </c>
      <c r="D1445" s="15" t="s">
        <v>3869</v>
      </c>
      <c r="E1445" s="15" t="s">
        <v>3870</v>
      </c>
      <c r="F1445" s="16">
        <v>41746.6907175926</v>
      </c>
      <c r="G1445" s="15" t="s">
        <v>3870</v>
      </c>
      <c r="H1445" s="15" t="s">
        <v>3871</v>
      </c>
      <c r="I1445" s="15">
        <v>0</v>
      </c>
      <c r="J1445" s="15">
        <v>0</v>
      </c>
      <c r="K1445" s="15">
        <v>0</v>
      </c>
      <c r="L1445" s="20">
        <v>0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0</v>
      </c>
      <c r="Z1445" s="15">
        <v>0</v>
      </c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</row>
    <row r="1446" spans="1:43">
      <c r="A1446" s="15" t="s">
        <v>43</v>
      </c>
      <c r="B1446" s="15" t="s">
        <v>44</v>
      </c>
      <c r="C1446" s="15" t="s">
        <v>45</v>
      </c>
      <c r="D1446" s="15" t="s">
        <v>3872</v>
      </c>
      <c r="E1446" s="15" t="s">
        <v>3873</v>
      </c>
      <c r="F1446" s="16">
        <v>40827.7481944444</v>
      </c>
      <c r="G1446" s="15" t="s">
        <v>3873</v>
      </c>
      <c r="H1446" s="15" t="s">
        <v>3874</v>
      </c>
      <c r="I1446" s="15">
        <v>0</v>
      </c>
      <c r="J1446" s="15">
        <v>0</v>
      </c>
      <c r="K1446" s="15">
        <v>0</v>
      </c>
      <c r="L1446" s="20">
        <v>0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0</v>
      </c>
      <c r="Z1446" s="15">
        <v>0</v>
      </c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</row>
    <row r="1447" spans="1:43">
      <c r="A1447" s="15" t="s">
        <v>43</v>
      </c>
      <c r="B1447" s="15" t="s">
        <v>44</v>
      </c>
      <c r="C1447" s="15" t="s">
        <v>45</v>
      </c>
      <c r="D1447" s="15" t="s">
        <v>3875</v>
      </c>
      <c r="E1447" s="15" t="s">
        <v>3876</v>
      </c>
      <c r="F1447" s="16">
        <v>42272.4224652778</v>
      </c>
      <c r="G1447" s="15" t="s">
        <v>3876</v>
      </c>
      <c r="H1447" s="15" t="s">
        <v>3877</v>
      </c>
      <c r="I1447" s="15">
        <v>0</v>
      </c>
      <c r="J1447" s="15">
        <v>0</v>
      </c>
      <c r="K1447" s="15">
        <v>0</v>
      </c>
      <c r="L1447" s="20">
        <v>0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</row>
    <row r="1448" spans="1:43">
      <c r="A1448" s="15" t="s">
        <v>64</v>
      </c>
      <c r="B1448" s="15" t="s">
        <v>65</v>
      </c>
      <c r="C1448" s="15" t="s">
        <v>522</v>
      </c>
      <c r="D1448" s="15" t="s">
        <v>3878</v>
      </c>
      <c r="E1448" s="15" t="s">
        <v>3879</v>
      </c>
      <c r="F1448" s="16">
        <v>44452.6580902778</v>
      </c>
      <c r="G1448" s="15" t="s">
        <v>3879</v>
      </c>
      <c r="H1448" s="15" t="s">
        <v>3880</v>
      </c>
      <c r="I1448" s="15">
        <v>0</v>
      </c>
      <c r="J1448" s="15">
        <v>0</v>
      </c>
      <c r="K1448" s="15">
        <v>0</v>
      </c>
      <c r="L1448" s="20">
        <v>0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</row>
    <row r="1449" spans="1:43">
      <c r="A1449" s="15" t="s">
        <v>43</v>
      </c>
      <c r="B1449" s="15" t="s">
        <v>44</v>
      </c>
      <c r="C1449" s="15" t="s">
        <v>45</v>
      </c>
      <c r="D1449" s="15" t="s">
        <v>3881</v>
      </c>
      <c r="E1449" s="15" t="s">
        <v>3882</v>
      </c>
      <c r="F1449" s="16">
        <v>42130.7142708333</v>
      </c>
      <c r="G1449" s="15" t="s">
        <v>3882</v>
      </c>
      <c r="H1449" s="15" t="s">
        <v>3883</v>
      </c>
      <c r="I1449" s="15">
        <v>0</v>
      </c>
      <c r="J1449" s="15">
        <v>0</v>
      </c>
      <c r="K1449" s="15">
        <v>0</v>
      </c>
      <c r="L1449" s="20">
        <v>0</v>
      </c>
      <c r="M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</row>
    <row r="1450" spans="1:43">
      <c r="A1450" s="15" t="s">
        <v>49</v>
      </c>
      <c r="B1450" s="15" t="s">
        <v>50</v>
      </c>
      <c r="C1450" s="15" t="s">
        <v>61</v>
      </c>
      <c r="D1450" s="15" t="s">
        <v>3884</v>
      </c>
      <c r="E1450" s="15" t="s">
        <v>3885</v>
      </c>
      <c r="F1450" s="16">
        <v>0</v>
      </c>
      <c r="G1450" s="15" t="s">
        <v>3885</v>
      </c>
      <c r="H1450" s="15" t="s">
        <v>3886</v>
      </c>
      <c r="I1450" s="15">
        <v>0</v>
      </c>
      <c r="J1450" s="15">
        <v>0</v>
      </c>
      <c r="K1450" s="15">
        <v>0</v>
      </c>
      <c r="L1450" s="20">
        <v>0</v>
      </c>
      <c r="M1450" s="15">
        <v>0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</row>
    <row r="1451" spans="1:43">
      <c r="A1451" s="15" t="s">
        <v>43</v>
      </c>
      <c r="B1451" s="15" t="s">
        <v>44</v>
      </c>
      <c r="C1451" s="15" t="s">
        <v>45</v>
      </c>
      <c r="D1451" s="15" t="s">
        <v>3887</v>
      </c>
      <c r="E1451" s="15" t="s">
        <v>3888</v>
      </c>
      <c r="F1451" s="16">
        <v>41880.6595601852</v>
      </c>
      <c r="G1451" s="15" t="s">
        <v>3888</v>
      </c>
      <c r="H1451" s="15" t="s">
        <v>3889</v>
      </c>
      <c r="I1451" s="15">
        <v>0</v>
      </c>
      <c r="J1451" s="15">
        <v>0</v>
      </c>
      <c r="K1451" s="15">
        <v>0</v>
      </c>
      <c r="L1451" s="20">
        <v>0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</row>
    <row r="1452" spans="1:43">
      <c r="A1452" s="15" t="s">
        <v>49</v>
      </c>
      <c r="B1452" s="15" t="s">
        <v>50</v>
      </c>
      <c r="C1452" s="15" t="s">
        <v>61</v>
      </c>
      <c r="D1452" s="15" t="s">
        <v>3890</v>
      </c>
      <c r="E1452" s="15" t="s">
        <v>1664</v>
      </c>
      <c r="F1452" s="16">
        <v>0</v>
      </c>
      <c r="G1452" s="15" t="s">
        <v>1664</v>
      </c>
      <c r="H1452" s="15" t="s">
        <v>54</v>
      </c>
      <c r="I1452" s="15">
        <v>0</v>
      </c>
      <c r="J1452" s="15">
        <v>0</v>
      </c>
      <c r="K1452" s="15">
        <v>0</v>
      </c>
      <c r="L1452" s="20">
        <v>0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0</v>
      </c>
      <c r="Y1452" s="15">
        <v>0</v>
      </c>
      <c r="Z1452" s="15">
        <v>0</v>
      </c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</row>
    <row r="1453" spans="1:43">
      <c r="A1453" s="15" t="s">
        <v>49</v>
      </c>
      <c r="B1453" s="15" t="s">
        <v>50</v>
      </c>
      <c r="C1453" s="15" t="s">
        <v>61</v>
      </c>
      <c r="D1453" s="15" t="s">
        <v>3891</v>
      </c>
      <c r="E1453" s="15" t="s">
        <v>173</v>
      </c>
      <c r="F1453" s="16">
        <v>0</v>
      </c>
      <c r="G1453" s="15" t="s">
        <v>173</v>
      </c>
      <c r="H1453" s="15" t="s">
        <v>3892</v>
      </c>
      <c r="I1453" s="15">
        <v>0</v>
      </c>
      <c r="J1453" s="15">
        <v>0</v>
      </c>
      <c r="K1453" s="15">
        <v>0</v>
      </c>
      <c r="L1453" s="20">
        <v>0</v>
      </c>
      <c r="M1453" s="15">
        <v>0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</row>
    <row r="1454" spans="1:43">
      <c r="A1454" s="15" t="s">
        <v>49</v>
      </c>
      <c r="B1454" s="15" t="s">
        <v>50</v>
      </c>
      <c r="C1454" s="15" t="s">
        <v>61</v>
      </c>
      <c r="D1454" s="15" t="s">
        <v>3893</v>
      </c>
      <c r="E1454" s="15" t="s">
        <v>3894</v>
      </c>
      <c r="F1454" s="16">
        <v>0</v>
      </c>
      <c r="G1454" s="15" t="s">
        <v>3894</v>
      </c>
      <c r="H1454" s="15" t="s">
        <v>54</v>
      </c>
      <c r="I1454" s="15">
        <v>0</v>
      </c>
      <c r="J1454" s="15">
        <v>0</v>
      </c>
      <c r="K1454" s="15">
        <v>0</v>
      </c>
      <c r="L1454" s="20">
        <v>0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0</v>
      </c>
      <c r="X1454" s="15">
        <v>0</v>
      </c>
      <c r="Y1454" s="15">
        <v>0</v>
      </c>
      <c r="Z1454" s="15">
        <v>0</v>
      </c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</row>
    <row r="1455" spans="1:43">
      <c r="A1455" s="15" t="s">
        <v>49</v>
      </c>
      <c r="B1455" s="15" t="s">
        <v>50</v>
      </c>
      <c r="C1455" s="15" t="s">
        <v>75</v>
      </c>
      <c r="D1455" s="15" t="s">
        <v>3895</v>
      </c>
      <c r="E1455" s="15" t="s">
        <v>3896</v>
      </c>
      <c r="F1455" s="16">
        <v>44862.7161921296</v>
      </c>
      <c r="G1455" s="15" t="s">
        <v>3896</v>
      </c>
      <c r="H1455" s="15" t="s">
        <v>54</v>
      </c>
      <c r="I1455" s="15">
        <v>0</v>
      </c>
      <c r="J1455" s="15">
        <v>0</v>
      </c>
      <c r="K1455" s="15">
        <v>0</v>
      </c>
      <c r="L1455" s="20">
        <v>0</v>
      </c>
      <c r="M1455" s="15">
        <v>0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</row>
    <row r="1456" spans="1:43">
      <c r="A1456" s="15" t="s">
        <v>43</v>
      </c>
      <c r="B1456" s="15" t="s">
        <v>44</v>
      </c>
      <c r="C1456" s="15" t="s">
        <v>45</v>
      </c>
      <c r="D1456" s="15" t="s">
        <v>3897</v>
      </c>
      <c r="E1456" s="15" t="s">
        <v>3898</v>
      </c>
      <c r="F1456" s="16">
        <v>43297.6770949074</v>
      </c>
      <c r="G1456" s="15" t="s">
        <v>3898</v>
      </c>
      <c r="H1456" s="15" t="s">
        <v>3899</v>
      </c>
      <c r="I1456" s="15">
        <v>0</v>
      </c>
      <c r="J1456" s="15">
        <v>0</v>
      </c>
      <c r="K1456" s="15">
        <v>0</v>
      </c>
      <c r="L1456" s="20">
        <v>0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0</v>
      </c>
      <c r="X1456" s="15">
        <v>0</v>
      </c>
      <c r="Y1456" s="15">
        <v>0</v>
      </c>
      <c r="Z1456" s="15">
        <v>0</v>
      </c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</row>
    <row r="1457" spans="1:43">
      <c r="A1457" s="15" t="s">
        <v>43</v>
      </c>
      <c r="B1457" s="15" t="s">
        <v>44</v>
      </c>
      <c r="C1457" s="15" t="s">
        <v>45</v>
      </c>
      <c r="D1457" s="15" t="s">
        <v>3900</v>
      </c>
      <c r="E1457" s="15" t="s">
        <v>3901</v>
      </c>
      <c r="F1457" s="16">
        <v>42637.4687731482</v>
      </c>
      <c r="G1457" s="15" t="s">
        <v>3901</v>
      </c>
      <c r="H1457" s="15" t="s">
        <v>3902</v>
      </c>
      <c r="I1457" s="15">
        <v>0</v>
      </c>
      <c r="J1457" s="15">
        <v>0</v>
      </c>
      <c r="K1457" s="15">
        <v>0</v>
      </c>
      <c r="L1457" s="20">
        <v>0</v>
      </c>
      <c r="M1457" s="15">
        <v>0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</row>
    <row r="1458" spans="1:43">
      <c r="A1458" s="15" t="s">
        <v>49</v>
      </c>
      <c r="B1458" s="15" t="s">
        <v>50</v>
      </c>
      <c r="C1458" s="15" t="s">
        <v>61</v>
      </c>
      <c r="D1458" s="15" t="s">
        <v>3903</v>
      </c>
      <c r="E1458" s="15" t="s">
        <v>3434</v>
      </c>
      <c r="F1458" s="16">
        <v>0</v>
      </c>
      <c r="G1458" s="15" t="s">
        <v>3434</v>
      </c>
      <c r="H1458" s="15" t="s">
        <v>54</v>
      </c>
      <c r="I1458" s="15">
        <v>0</v>
      </c>
      <c r="J1458" s="15">
        <v>0</v>
      </c>
      <c r="K1458" s="15">
        <v>0</v>
      </c>
      <c r="L1458" s="20">
        <v>0</v>
      </c>
      <c r="M1458" s="15">
        <v>0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</row>
    <row r="1459" spans="1:43">
      <c r="A1459" s="15" t="s">
        <v>43</v>
      </c>
      <c r="B1459" s="15" t="s">
        <v>44</v>
      </c>
      <c r="C1459" s="15" t="s">
        <v>45</v>
      </c>
      <c r="D1459" s="15" t="s">
        <v>3904</v>
      </c>
      <c r="E1459" s="15" t="s">
        <v>3905</v>
      </c>
      <c r="F1459" s="16">
        <v>42268.6651041667</v>
      </c>
      <c r="G1459" s="15" t="s">
        <v>3905</v>
      </c>
      <c r="H1459" s="15" t="s">
        <v>3906</v>
      </c>
      <c r="I1459" s="15">
        <v>0</v>
      </c>
      <c r="J1459" s="15">
        <v>0</v>
      </c>
      <c r="K1459" s="15">
        <v>0</v>
      </c>
      <c r="L1459" s="20">
        <v>0</v>
      </c>
      <c r="M1459" s="15">
        <v>0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>
        <v>0</v>
      </c>
      <c r="Y1459" s="15">
        <v>0</v>
      </c>
      <c r="Z1459" s="15">
        <v>0</v>
      </c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</row>
    <row r="1460" spans="1:43">
      <c r="A1460" s="15" t="s">
        <v>64</v>
      </c>
      <c r="B1460" s="15" t="s">
        <v>118</v>
      </c>
      <c r="C1460" s="15" t="s">
        <v>131</v>
      </c>
      <c r="D1460" s="15" t="s">
        <v>3907</v>
      </c>
      <c r="E1460" s="15" t="s">
        <v>3908</v>
      </c>
      <c r="F1460" s="16">
        <v>44960.5905092593</v>
      </c>
      <c r="G1460" s="15" t="s">
        <v>3908</v>
      </c>
      <c r="H1460" s="15" t="s">
        <v>54</v>
      </c>
      <c r="I1460" s="15">
        <v>1059</v>
      </c>
      <c r="J1460" s="15">
        <v>14</v>
      </c>
      <c r="K1460" s="15">
        <v>75.6428571428571</v>
      </c>
      <c r="L1460" s="20">
        <v>1.08061224489796</v>
      </c>
      <c r="M1460" s="15">
        <v>74.16</v>
      </c>
      <c r="N1460" s="15">
        <v>94.78</v>
      </c>
      <c r="O1460" s="15">
        <v>109.96</v>
      </c>
      <c r="P1460" s="15">
        <v>53.13</v>
      </c>
      <c r="Q1460" s="15">
        <v>105.71</v>
      </c>
      <c r="R1460" s="15">
        <v>74.44</v>
      </c>
      <c r="S1460" s="15">
        <v>127.03</v>
      </c>
      <c r="T1460" s="15">
        <v>51.25</v>
      </c>
      <c r="U1460" s="15">
        <v>30.84</v>
      </c>
      <c r="V1460" s="15">
        <v>53.07</v>
      </c>
      <c r="W1460" s="15">
        <v>36.89</v>
      </c>
      <c r="X1460" s="15">
        <v>68.48</v>
      </c>
      <c r="Y1460" s="15">
        <v>107.27</v>
      </c>
      <c r="Z1460" s="15">
        <v>71.99</v>
      </c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</row>
    <row r="1461" spans="1:43">
      <c r="A1461" s="15" t="s">
        <v>43</v>
      </c>
      <c r="B1461" s="15" t="s">
        <v>44</v>
      </c>
      <c r="C1461" s="15" t="s">
        <v>45</v>
      </c>
      <c r="D1461" s="15" t="s">
        <v>3909</v>
      </c>
      <c r="E1461" s="15" t="s">
        <v>3910</v>
      </c>
      <c r="F1461" s="16">
        <v>41163.7062731481</v>
      </c>
      <c r="G1461" s="15" t="s">
        <v>3910</v>
      </c>
      <c r="H1461" s="15" t="s">
        <v>3911</v>
      </c>
      <c r="I1461" s="15">
        <v>0</v>
      </c>
      <c r="J1461" s="15">
        <v>0</v>
      </c>
      <c r="K1461" s="15">
        <v>0</v>
      </c>
      <c r="L1461" s="20">
        <v>0</v>
      </c>
      <c r="M1461" s="15">
        <v>0</v>
      </c>
      <c r="N1461" s="15">
        <v>0</v>
      </c>
      <c r="O1461" s="15">
        <v>0</v>
      </c>
      <c r="P1461" s="15">
        <v>0</v>
      </c>
      <c r="Q1461" s="15">
        <v>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</row>
    <row r="1462" spans="1:43">
      <c r="A1462" s="15" t="s">
        <v>43</v>
      </c>
      <c r="B1462" s="15" t="s">
        <v>44</v>
      </c>
      <c r="C1462" s="15" t="s">
        <v>45</v>
      </c>
      <c r="D1462" s="15" t="s">
        <v>3912</v>
      </c>
      <c r="E1462" s="15" t="s">
        <v>3913</v>
      </c>
      <c r="F1462" s="16">
        <v>43294.6537731482</v>
      </c>
      <c r="G1462" s="15" t="s">
        <v>3913</v>
      </c>
      <c r="H1462" s="15" t="s">
        <v>3914</v>
      </c>
      <c r="I1462" s="15">
        <v>0</v>
      </c>
      <c r="J1462" s="15">
        <v>0</v>
      </c>
      <c r="K1462" s="15">
        <v>0</v>
      </c>
      <c r="L1462" s="20">
        <v>0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0</v>
      </c>
      <c r="X1462" s="15">
        <v>0</v>
      </c>
      <c r="Y1462" s="15">
        <v>0</v>
      </c>
      <c r="Z1462" s="15">
        <v>0</v>
      </c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</row>
    <row r="1463" spans="1:43">
      <c r="A1463" s="15" t="s">
        <v>43</v>
      </c>
      <c r="B1463" s="15" t="s">
        <v>44</v>
      </c>
      <c r="C1463" s="15" t="s">
        <v>45</v>
      </c>
      <c r="D1463" s="15" t="s">
        <v>3915</v>
      </c>
      <c r="E1463" s="15" t="s">
        <v>3916</v>
      </c>
      <c r="F1463" s="16">
        <v>43538.6680439815</v>
      </c>
      <c r="G1463" s="15" t="s">
        <v>3916</v>
      </c>
      <c r="H1463" s="15" t="s">
        <v>3917</v>
      </c>
      <c r="I1463" s="15">
        <v>0</v>
      </c>
      <c r="J1463" s="15">
        <v>0</v>
      </c>
      <c r="K1463" s="15">
        <v>0</v>
      </c>
      <c r="L1463" s="20">
        <v>0</v>
      </c>
      <c r="M1463" s="15">
        <v>0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0</v>
      </c>
      <c r="X1463" s="15">
        <v>0</v>
      </c>
      <c r="Y1463" s="15">
        <v>0</v>
      </c>
      <c r="Z1463" s="15">
        <v>0</v>
      </c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</row>
    <row r="1464" spans="1:43">
      <c r="A1464" s="15" t="s">
        <v>49</v>
      </c>
      <c r="B1464" s="15" t="s">
        <v>50</v>
      </c>
      <c r="C1464" s="15" t="s">
        <v>61</v>
      </c>
      <c r="D1464" s="15" t="s">
        <v>3918</v>
      </c>
      <c r="E1464" s="15" t="s">
        <v>3919</v>
      </c>
      <c r="F1464" s="16">
        <v>0</v>
      </c>
      <c r="G1464" s="15" t="s">
        <v>3919</v>
      </c>
      <c r="H1464" s="15" t="s">
        <v>54</v>
      </c>
      <c r="I1464" s="15">
        <v>0</v>
      </c>
      <c r="J1464" s="15">
        <v>0</v>
      </c>
      <c r="K1464" s="15">
        <v>0</v>
      </c>
      <c r="L1464" s="20">
        <v>0</v>
      </c>
      <c r="M1464" s="15">
        <v>0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0</v>
      </c>
      <c r="X1464" s="15">
        <v>0</v>
      </c>
      <c r="Y1464" s="15">
        <v>0</v>
      </c>
      <c r="Z1464" s="15">
        <v>0</v>
      </c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</row>
    <row r="1465" spans="1:43">
      <c r="A1465" s="15" t="s">
        <v>43</v>
      </c>
      <c r="B1465" s="15" t="s">
        <v>44</v>
      </c>
      <c r="C1465" s="15" t="s">
        <v>45</v>
      </c>
      <c r="D1465" s="15" t="s">
        <v>3920</v>
      </c>
      <c r="E1465" s="15" t="s">
        <v>3921</v>
      </c>
      <c r="F1465" s="16">
        <v>43062.4152199074</v>
      </c>
      <c r="G1465" s="15" t="s">
        <v>3921</v>
      </c>
      <c r="H1465" s="15" t="s">
        <v>3922</v>
      </c>
      <c r="I1465" s="15">
        <v>0</v>
      </c>
      <c r="J1465" s="15">
        <v>0</v>
      </c>
      <c r="K1465" s="15">
        <v>0</v>
      </c>
      <c r="L1465" s="20">
        <v>0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0</v>
      </c>
      <c r="X1465" s="15">
        <v>0</v>
      </c>
      <c r="Y1465" s="15">
        <v>0</v>
      </c>
      <c r="Z1465" s="15">
        <v>0</v>
      </c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</row>
    <row r="1466" spans="1:43">
      <c r="A1466" s="15" t="s">
        <v>49</v>
      </c>
      <c r="B1466" s="15" t="s">
        <v>50</v>
      </c>
      <c r="C1466" s="15" t="s">
        <v>61</v>
      </c>
      <c r="D1466" s="15" t="s">
        <v>3923</v>
      </c>
      <c r="E1466" s="15" t="s">
        <v>1455</v>
      </c>
      <c r="F1466" s="16">
        <v>0</v>
      </c>
      <c r="G1466" s="15" t="s">
        <v>1455</v>
      </c>
      <c r="H1466" s="15" t="s">
        <v>54</v>
      </c>
      <c r="I1466" s="15">
        <v>0</v>
      </c>
      <c r="J1466" s="15">
        <v>0</v>
      </c>
      <c r="K1466" s="15">
        <v>0</v>
      </c>
      <c r="L1466" s="20">
        <v>0</v>
      </c>
      <c r="M1466" s="15">
        <v>0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</row>
    <row r="1467" spans="1:43">
      <c r="A1467" s="15" t="s">
        <v>49</v>
      </c>
      <c r="B1467" s="15" t="s">
        <v>50</v>
      </c>
      <c r="C1467" s="15" t="s">
        <v>61</v>
      </c>
      <c r="D1467" s="15" t="s">
        <v>3924</v>
      </c>
      <c r="E1467" s="15" t="s">
        <v>3925</v>
      </c>
      <c r="F1467" s="16">
        <v>0</v>
      </c>
      <c r="G1467" s="15" t="s">
        <v>3925</v>
      </c>
      <c r="H1467" s="15" t="s">
        <v>3926</v>
      </c>
      <c r="I1467" s="15">
        <v>0</v>
      </c>
      <c r="J1467" s="15">
        <v>0</v>
      </c>
      <c r="K1467" s="15">
        <v>0</v>
      </c>
      <c r="L1467" s="20">
        <v>0</v>
      </c>
      <c r="M1467" s="15">
        <v>0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</row>
    <row r="1468" spans="1:43">
      <c r="A1468" s="15" t="s">
        <v>43</v>
      </c>
      <c r="B1468" s="15" t="s">
        <v>44</v>
      </c>
      <c r="C1468" s="15" t="s">
        <v>228</v>
      </c>
      <c r="D1468" s="15" t="s">
        <v>3927</v>
      </c>
      <c r="E1468" s="15" t="s">
        <v>3928</v>
      </c>
      <c r="F1468" s="16">
        <v>43578.6213888889</v>
      </c>
      <c r="G1468" s="15" t="s">
        <v>3928</v>
      </c>
      <c r="H1468" s="15" t="s">
        <v>3929</v>
      </c>
      <c r="I1468" s="15">
        <v>0</v>
      </c>
      <c r="J1468" s="15">
        <v>0</v>
      </c>
      <c r="K1468" s="15">
        <v>0</v>
      </c>
      <c r="L1468" s="20">
        <v>0</v>
      </c>
      <c r="M1468" s="15">
        <v>0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0</v>
      </c>
      <c r="V1468" s="15">
        <v>0</v>
      </c>
      <c r="W1468" s="15">
        <v>0</v>
      </c>
      <c r="X1468" s="15">
        <v>0</v>
      </c>
      <c r="Y1468" s="15">
        <v>0</v>
      </c>
      <c r="Z1468" s="15">
        <v>0</v>
      </c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</row>
    <row r="1469" spans="1:43">
      <c r="A1469" s="15" t="s">
        <v>43</v>
      </c>
      <c r="B1469" s="15" t="s">
        <v>44</v>
      </c>
      <c r="C1469" s="15" t="s">
        <v>45</v>
      </c>
      <c r="D1469" s="15" t="s">
        <v>3930</v>
      </c>
      <c r="E1469" s="15" t="s">
        <v>3931</v>
      </c>
      <c r="F1469" s="16">
        <v>42591.4524768519</v>
      </c>
      <c r="G1469" s="15" t="s">
        <v>3931</v>
      </c>
      <c r="H1469" s="15" t="s">
        <v>3932</v>
      </c>
      <c r="I1469" s="15">
        <v>0</v>
      </c>
      <c r="J1469" s="15">
        <v>0</v>
      </c>
      <c r="K1469" s="15">
        <v>0</v>
      </c>
      <c r="L1469" s="20">
        <v>0</v>
      </c>
      <c r="M1469" s="15">
        <v>0</v>
      </c>
      <c r="N1469" s="15">
        <v>0</v>
      </c>
      <c r="O1469" s="15">
        <v>0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0</v>
      </c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</row>
    <row r="1470" spans="1:43">
      <c r="A1470" s="15" t="s">
        <v>49</v>
      </c>
      <c r="B1470" s="15" t="s">
        <v>50</v>
      </c>
      <c r="C1470" s="15" t="s">
        <v>61</v>
      </c>
      <c r="D1470" s="15" t="s">
        <v>3933</v>
      </c>
      <c r="E1470" s="15" t="s">
        <v>3934</v>
      </c>
      <c r="F1470" s="16">
        <v>0</v>
      </c>
      <c r="G1470" s="15" t="s">
        <v>3934</v>
      </c>
      <c r="H1470" s="15" t="s">
        <v>54</v>
      </c>
      <c r="I1470" s="15">
        <v>0</v>
      </c>
      <c r="J1470" s="15">
        <v>0</v>
      </c>
      <c r="K1470" s="15">
        <v>0</v>
      </c>
      <c r="L1470" s="20">
        <v>0</v>
      </c>
      <c r="M1470" s="15">
        <v>0</v>
      </c>
      <c r="N1470" s="15">
        <v>0</v>
      </c>
      <c r="O1470" s="15">
        <v>0</v>
      </c>
      <c r="P1470" s="15">
        <v>0</v>
      </c>
      <c r="Q1470" s="15">
        <v>0</v>
      </c>
      <c r="R1470" s="15">
        <v>0</v>
      </c>
      <c r="S1470" s="15">
        <v>0</v>
      </c>
      <c r="T1470" s="15">
        <v>0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</row>
    <row r="1471" spans="1:43">
      <c r="A1471" s="15" t="s">
        <v>43</v>
      </c>
      <c r="B1471" s="15" t="s">
        <v>44</v>
      </c>
      <c r="C1471" s="15" t="s">
        <v>45</v>
      </c>
      <c r="D1471" s="15" t="s">
        <v>3935</v>
      </c>
      <c r="E1471" s="15" t="s">
        <v>3936</v>
      </c>
      <c r="F1471" s="16">
        <v>42359.7230092593</v>
      </c>
      <c r="G1471" s="15" t="s">
        <v>3936</v>
      </c>
      <c r="H1471" s="15" t="s">
        <v>3906</v>
      </c>
      <c r="I1471" s="15">
        <v>0</v>
      </c>
      <c r="J1471" s="15">
        <v>0</v>
      </c>
      <c r="K1471" s="15">
        <v>0</v>
      </c>
      <c r="L1471" s="20">
        <v>0</v>
      </c>
      <c r="M1471" s="15">
        <v>0</v>
      </c>
      <c r="N1471" s="15">
        <v>0</v>
      </c>
      <c r="O1471" s="15">
        <v>0</v>
      </c>
      <c r="P1471" s="15">
        <v>0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</row>
    <row r="1472" spans="1:43">
      <c r="A1472" s="15" t="s">
        <v>43</v>
      </c>
      <c r="B1472" s="15" t="s">
        <v>44</v>
      </c>
      <c r="C1472" s="15" t="s">
        <v>45</v>
      </c>
      <c r="D1472" s="15" t="s">
        <v>3937</v>
      </c>
      <c r="E1472" s="15" t="s">
        <v>3938</v>
      </c>
      <c r="F1472" s="16">
        <v>40807.4634606481</v>
      </c>
      <c r="G1472" s="15" t="s">
        <v>3938</v>
      </c>
      <c r="H1472" s="15" t="s">
        <v>3939</v>
      </c>
      <c r="I1472" s="15">
        <v>0</v>
      </c>
      <c r="J1472" s="15">
        <v>0</v>
      </c>
      <c r="K1472" s="15">
        <v>0</v>
      </c>
      <c r="L1472" s="20">
        <v>0</v>
      </c>
      <c r="M1472" s="15">
        <v>0</v>
      </c>
      <c r="N1472" s="15">
        <v>0</v>
      </c>
      <c r="O1472" s="15">
        <v>0</v>
      </c>
      <c r="P1472" s="15">
        <v>0</v>
      </c>
      <c r="Q1472" s="15">
        <v>0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</row>
    <row r="1473" spans="1:43">
      <c r="A1473" s="15" t="s">
        <v>64</v>
      </c>
      <c r="B1473" s="15" t="s">
        <v>65</v>
      </c>
      <c r="C1473" s="15" t="s">
        <v>522</v>
      </c>
      <c r="D1473" s="15" t="s">
        <v>3940</v>
      </c>
      <c r="E1473" s="15" t="s">
        <v>3941</v>
      </c>
      <c r="F1473" s="16">
        <v>44991.7065393518</v>
      </c>
      <c r="G1473" s="15" t="s">
        <v>3941</v>
      </c>
      <c r="H1473" s="15" t="s">
        <v>54</v>
      </c>
      <c r="I1473" s="15">
        <v>0</v>
      </c>
      <c r="J1473" s="15">
        <v>0</v>
      </c>
      <c r="K1473" s="15">
        <v>0</v>
      </c>
      <c r="L1473" s="20">
        <v>0</v>
      </c>
      <c r="M1473" s="15">
        <v>0</v>
      </c>
      <c r="N1473" s="15">
        <v>0</v>
      </c>
      <c r="O1473" s="15">
        <v>0</v>
      </c>
      <c r="P1473" s="15">
        <v>0</v>
      </c>
      <c r="Q1473" s="15">
        <v>0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</row>
    <row r="1474" spans="1:43">
      <c r="A1474" s="15" t="s">
        <v>43</v>
      </c>
      <c r="B1474" s="15" t="s">
        <v>44</v>
      </c>
      <c r="C1474" s="15" t="s">
        <v>45</v>
      </c>
      <c r="D1474" s="15" t="s">
        <v>3942</v>
      </c>
      <c r="E1474" s="15" t="s">
        <v>3943</v>
      </c>
      <c r="F1474" s="16">
        <v>42729.4877430556</v>
      </c>
      <c r="G1474" s="15" t="s">
        <v>3943</v>
      </c>
      <c r="H1474" s="15" t="s">
        <v>3944</v>
      </c>
      <c r="I1474" s="15">
        <v>0</v>
      </c>
      <c r="J1474" s="15">
        <v>0</v>
      </c>
      <c r="K1474" s="15">
        <v>0</v>
      </c>
      <c r="L1474" s="20">
        <v>0</v>
      </c>
      <c r="M1474" s="15">
        <v>0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</row>
    <row r="1475" spans="1:43">
      <c r="A1475" s="15" t="s">
        <v>49</v>
      </c>
      <c r="B1475" s="15" t="s">
        <v>50</v>
      </c>
      <c r="C1475" s="15" t="s">
        <v>61</v>
      </c>
      <c r="D1475" s="15" t="s">
        <v>3945</v>
      </c>
      <c r="E1475" s="15" t="s">
        <v>3946</v>
      </c>
      <c r="F1475" s="16">
        <v>0</v>
      </c>
      <c r="G1475" s="15" t="s">
        <v>3946</v>
      </c>
      <c r="H1475" s="15" t="s">
        <v>54</v>
      </c>
      <c r="I1475" s="15">
        <v>0</v>
      </c>
      <c r="J1475" s="15">
        <v>0</v>
      </c>
      <c r="K1475" s="15">
        <v>0</v>
      </c>
      <c r="L1475" s="20">
        <v>0</v>
      </c>
      <c r="M1475" s="15">
        <v>0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0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</row>
    <row r="1476" spans="1:43">
      <c r="A1476" s="15" t="s">
        <v>43</v>
      </c>
      <c r="B1476" s="15" t="s">
        <v>44</v>
      </c>
      <c r="C1476" s="15" t="s">
        <v>45</v>
      </c>
      <c r="D1476" s="15" t="s">
        <v>3947</v>
      </c>
      <c r="E1476" s="15" t="s">
        <v>3948</v>
      </c>
      <c r="F1476" s="16">
        <v>42000.4830671296</v>
      </c>
      <c r="G1476" s="15" t="s">
        <v>3948</v>
      </c>
      <c r="H1476" s="15" t="s">
        <v>3949</v>
      </c>
      <c r="I1476" s="15">
        <v>0</v>
      </c>
      <c r="J1476" s="15">
        <v>0</v>
      </c>
      <c r="K1476" s="15">
        <v>0</v>
      </c>
      <c r="L1476" s="20">
        <v>0</v>
      </c>
      <c r="M1476" s="15">
        <v>0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</row>
    <row r="1477" spans="1:43">
      <c r="A1477" s="15" t="s">
        <v>49</v>
      </c>
      <c r="B1477" s="15" t="s">
        <v>50</v>
      </c>
      <c r="C1477" s="15" t="s">
        <v>75</v>
      </c>
      <c r="D1477" s="15" t="s">
        <v>3950</v>
      </c>
      <c r="E1477" s="15" t="s">
        <v>3951</v>
      </c>
      <c r="F1477" s="16">
        <v>45065.5817824074</v>
      </c>
      <c r="G1477" s="15" t="s">
        <v>3951</v>
      </c>
      <c r="H1477" s="15" t="s">
        <v>54</v>
      </c>
      <c r="I1477" s="15">
        <v>0</v>
      </c>
      <c r="J1477" s="15">
        <v>0</v>
      </c>
      <c r="K1477" s="15">
        <v>0</v>
      </c>
      <c r="L1477" s="20">
        <v>0</v>
      </c>
      <c r="M1477" s="15">
        <v>0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</row>
    <row r="1478" spans="1:43">
      <c r="A1478" s="15" t="s">
        <v>49</v>
      </c>
      <c r="B1478" s="15" t="s">
        <v>50</v>
      </c>
      <c r="C1478" s="15" t="s">
        <v>61</v>
      </c>
      <c r="D1478" s="15" t="s">
        <v>3952</v>
      </c>
      <c r="E1478" s="15" t="s">
        <v>3953</v>
      </c>
      <c r="F1478" s="16">
        <v>0</v>
      </c>
      <c r="G1478" s="15" t="s">
        <v>3953</v>
      </c>
      <c r="H1478" s="15" t="s">
        <v>3954</v>
      </c>
      <c r="I1478" s="15">
        <v>0</v>
      </c>
      <c r="J1478" s="15">
        <v>0</v>
      </c>
      <c r="K1478" s="15">
        <v>0</v>
      </c>
      <c r="L1478" s="20">
        <v>0</v>
      </c>
      <c r="M1478" s="15">
        <v>0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0</v>
      </c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</row>
    <row r="1479" spans="1:43">
      <c r="A1479" s="15" t="s">
        <v>43</v>
      </c>
      <c r="B1479" s="15" t="s">
        <v>44</v>
      </c>
      <c r="C1479" s="15" t="s">
        <v>45</v>
      </c>
      <c r="D1479" s="15" t="s">
        <v>3955</v>
      </c>
      <c r="E1479" s="15" t="s">
        <v>3956</v>
      </c>
      <c r="F1479" s="16">
        <v>43273.6021990741</v>
      </c>
      <c r="G1479" s="15" t="s">
        <v>3956</v>
      </c>
      <c r="H1479" s="15" t="s">
        <v>3957</v>
      </c>
      <c r="I1479" s="15">
        <v>0</v>
      </c>
      <c r="J1479" s="15">
        <v>0</v>
      </c>
      <c r="K1479" s="15">
        <v>0</v>
      </c>
      <c r="L1479" s="20">
        <v>0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</row>
    <row r="1480" spans="1:43">
      <c r="A1480" s="15" t="s">
        <v>49</v>
      </c>
      <c r="B1480" s="15" t="s">
        <v>50</v>
      </c>
      <c r="C1480" s="15" t="s">
        <v>61</v>
      </c>
      <c r="D1480" s="15" t="s">
        <v>3958</v>
      </c>
      <c r="E1480" s="15" t="s">
        <v>3959</v>
      </c>
      <c r="F1480" s="16">
        <v>0</v>
      </c>
      <c r="G1480" s="15" t="s">
        <v>3959</v>
      </c>
      <c r="H1480" s="15" t="s">
        <v>54</v>
      </c>
      <c r="I1480" s="15">
        <v>0</v>
      </c>
      <c r="J1480" s="15">
        <v>0</v>
      </c>
      <c r="K1480" s="15">
        <v>0</v>
      </c>
      <c r="L1480" s="20">
        <v>0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0</v>
      </c>
      <c r="X1480" s="15">
        <v>0</v>
      </c>
      <c r="Y1480" s="15">
        <v>0</v>
      </c>
      <c r="Z1480" s="15">
        <v>0</v>
      </c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</row>
    <row r="1481" spans="1:43">
      <c r="A1481" s="15" t="s">
        <v>43</v>
      </c>
      <c r="B1481" s="15" t="s">
        <v>44</v>
      </c>
      <c r="C1481" s="15" t="s">
        <v>45</v>
      </c>
      <c r="D1481" s="15" t="s">
        <v>3960</v>
      </c>
      <c r="E1481" s="15" t="s">
        <v>3961</v>
      </c>
      <c r="F1481" s="16">
        <v>0</v>
      </c>
      <c r="G1481" s="15" t="s">
        <v>3961</v>
      </c>
      <c r="H1481" s="15" t="s">
        <v>3962</v>
      </c>
      <c r="I1481" s="15">
        <v>0</v>
      </c>
      <c r="J1481" s="15">
        <v>0</v>
      </c>
      <c r="K1481" s="15">
        <v>0</v>
      </c>
      <c r="L1481" s="20">
        <v>0</v>
      </c>
      <c r="M1481" s="15">
        <v>0</v>
      </c>
      <c r="N1481" s="15">
        <v>0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</row>
    <row r="1482" spans="1:43">
      <c r="A1482" s="15" t="s">
        <v>49</v>
      </c>
      <c r="B1482" s="15" t="s">
        <v>50</v>
      </c>
      <c r="C1482" s="15" t="s">
        <v>61</v>
      </c>
      <c r="D1482" s="15" t="s">
        <v>3963</v>
      </c>
      <c r="E1482" s="15" t="s">
        <v>3964</v>
      </c>
      <c r="F1482" s="16">
        <v>0</v>
      </c>
      <c r="G1482" s="15" t="s">
        <v>3964</v>
      </c>
      <c r="H1482" s="15" t="s">
        <v>3965</v>
      </c>
      <c r="I1482" s="15">
        <v>0</v>
      </c>
      <c r="J1482" s="15">
        <v>0</v>
      </c>
      <c r="K1482" s="15">
        <v>0</v>
      </c>
      <c r="L1482" s="20">
        <v>0</v>
      </c>
      <c r="M1482" s="15">
        <v>0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0</v>
      </c>
      <c r="W1482" s="15">
        <v>0</v>
      </c>
      <c r="X1482" s="15">
        <v>0</v>
      </c>
      <c r="Y1482" s="15">
        <v>0</v>
      </c>
      <c r="Z1482" s="15">
        <v>0</v>
      </c>
      <c r="AA1482" s="15"/>
      <c r="AB1482" s="15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/>
      <c r="AM1482" s="15"/>
      <c r="AN1482" s="15"/>
      <c r="AO1482" s="15"/>
      <c r="AP1482" s="15"/>
      <c r="AQ1482" s="15"/>
    </row>
    <row r="1483" spans="1:43">
      <c r="A1483" s="15" t="s">
        <v>49</v>
      </c>
      <c r="B1483" s="15" t="s">
        <v>50</v>
      </c>
      <c r="C1483" s="15" t="s">
        <v>61</v>
      </c>
      <c r="D1483" s="15" t="s">
        <v>3966</v>
      </c>
      <c r="E1483" s="15" t="s">
        <v>3967</v>
      </c>
      <c r="F1483" s="16">
        <v>0</v>
      </c>
      <c r="G1483" s="15" t="s">
        <v>3967</v>
      </c>
      <c r="H1483" s="15" t="s">
        <v>3968</v>
      </c>
      <c r="I1483" s="15">
        <v>0</v>
      </c>
      <c r="J1483" s="15">
        <v>0</v>
      </c>
      <c r="K1483" s="15">
        <v>0</v>
      </c>
      <c r="L1483" s="20">
        <v>0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0</v>
      </c>
      <c r="X1483" s="15">
        <v>0</v>
      </c>
      <c r="Y1483" s="15">
        <v>0</v>
      </c>
      <c r="Z1483" s="15">
        <v>0</v>
      </c>
      <c r="AA1483" s="15"/>
      <c r="AB1483" s="15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/>
      <c r="AM1483" s="15"/>
      <c r="AN1483" s="15"/>
      <c r="AO1483" s="15"/>
      <c r="AP1483" s="15"/>
      <c r="AQ1483" s="15"/>
    </row>
    <row r="1484" spans="1:43">
      <c r="A1484" s="15" t="s">
        <v>43</v>
      </c>
      <c r="B1484" s="15" t="s">
        <v>44</v>
      </c>
      <c r="C1484" s="15" t="s">
        <v>45</v>
      </c>
      <c r="D1484" s="15" t="s">
        <v>3969</v>
      </c>
      <c r="E1484" s="15" t="s">
        <v>3970</v>
      </c>
      <c r="F1484" s="16">
        <v>41865.4591203704</v>
      </c>
      <c r="G1484" s="15" t="s">
        <v>3970</v>
      </c>
      <c r="H1484" s="15" t="s">
        <v>3971</v>
      </c>
      <c r="I1484" s="15">
        <v>0</v>
      </c>
      <c r="J1484" s="15">
        <v>0</v>
      </c>
      <c r="K1484" s="15">
        <v>0</v>
      </c>
      <c r="L1484" s="20">
        <v>0</v>
      </c>
      <c r="M1484" s="15">
        <v>0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0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</row>
    <row r="1485" spans="1:43">
      <c r="A1485" s="15" t="s">
        <v>49</v>
      </c>
      <c r="B1485" s="15" t="s">
        <v>50</v>
      </c>
      <c r="C1485" s="15" t="s">
        <v>61</v>
      </c>
      <c r="D1485" s="15" t="s">
        <v>3972</v>
      </c>
      <c r="E1485" s="15" t="s">
        <v>1739</v>
      </c>
      <c r="F1485" s="16">
        <v>0</v>
      </c>
      <c r="G1485" s="15" t="s">
        <v>1739</v>
      </c>
      <c r="H1485" s="15" t="s">
        <v>1740</v>
      </c>
      <c r="I1485" s="15">
        <v>0</v>
      </c>
      <c r="J1485" s="15">
        <v>0</v>
      </c>
      <c r="K1485" s="15">
        <v>0</v>
      </c>
      <c r="L1485" s="20">
        <v>0</v>
      </c>
      <c r="M1485" s="15">
        <v>0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0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</row>
    <row r="1486" spans="1:43">
      <c r="A1486" s="15" t="s">
        <v>43</v>
      </c>
      <c r="B1486" s="15" t="s">
        <v>44</v>
      </c>
      <c r="C1486" s="15" t="s">
        <v>45</v>
      </c>
      <c r="D1486" s="15" t="s">
        <v>3973</v>
      </c>
      <c r="E1486" s="15" t="s">
        <v>3974</v>
      </c>
      <c r="F1486" s="16">
        <v>41697.4229166667</v>
      </c>
      <c r="G1486" s="15" t="s">
        <v>3974</v>
      </c>
      <c r="H1486" s="15" t="s">
        <v>3975</v>
      </c>
      <c r="I1486" s="15">
        <v>0</v>
      </c>
      <c r="J1486" s="15">
        <v>0</v>
      </c>
      <c r="K1486" s="15">
        <v>0</v>
      </c>
      <c r="L1486" s="20">
        <v>0</v>
      </c>
      <c r="M1486" s="15">
        <v>0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0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</row>
    <row r="1487" spans="1:43">
      <c r="A1487" s="15" t="s">
        <v>43</v>
      </c>
      <c r="B1487" s="15" t="s">
        <v>44</v>
      </c>
      <c r="C1487" s="15" t="s">
        <v>228</v>
      </c>
      <c r="D1487" s="15" t="s">
        <v>3976</v>
      </c>
      <c r="E1487" s="15" t="s">
        <v>3977</v>
      </c>
      <c r="F1487" s="16">
        <v>45117.4621643518</v>
      </c>
      <c r="G1487" s="15" t="s">
        <v>3977</v>
      </c>
      <c r="H1487" s="15" t="s">
        <v>54</v>
      </c>
      <c r="I1487" s="15">
        <v>294.1</v>
      </c>
      <c r="J1487" s="15">
        <v>14</v>
      </c>
      <c r="K1487" s="15">
        <v>21.0071428571429</v>
      </c>
      <c r="L1487" s="20">
        <v>0.420142857142857</v>
      </c>
      <c r="M1487" s="15">
        <v>29.72</v>
      </c>
      <c r="N1487" s="15">
        <v>23.43</v>
      </c>
      <c r="O1487" s="15">
        <v>30.79</v>
      </c>
      <c r="P1487" s="15">
        <v>11.09</v>
      </c>
      <c r="Q1487" s="15">
        <v>4.22</v>
      </c>
      <c r="R1487" s="15">
        <v>4.2</v>
      </c>
      <c r="S1487" s="15">
        <v>26.22</v>
      </c>
      <c r="T1487" s="15">
        <v>25.47</v>
      </c>
      <c r="U1487" s="15">
        <v>26.44</v>
      </c>
      <c r="V1487" s="15">
        <v>27.94</v>
      </c>
      <c r="W1487" s="15">
        <v>44.93</v>
      </c>
      <c r="X1487" s="15">
        <v>13.09</v>
      </c>
      <c r="Y1487" s="15">
        <v>20.4</v>
      </c>
      <c r="Z1487" s="15">
        <v>6.16</v>
      </c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</row>
    <row r="1488" spans="1:43">
      <c r="A1488" s="15" t="s">
        <v>64</v>
      </c>
      <c r="B1488" s="15" t="s">
        <v>118</v>
      </c>
      <c r="C1488" s="15" t="s">
        <v>138</v>
      </c>
      <c r="D1488" s="15" t="s">
        <v>3978</v>
      </c>
      <c r="E1488" s="15" t="s">
        <v>3979</v>
      </c>
      <c r="F1488" s="16">
        <v>45089.4485185185</v>
      </c>
      <c r="G1488" s="15" t="s">
        <v>3979</v>
      </c>
      <c r="H1488" s="15" t="s">
        <v>54</v>
      </c>
      <c r="I1488" s="15">
        <v>0</v>
      </c>
      <c r="J1488" s="15">
        <v>0</v>
      </c>
      <c r="K1488" s="15">
        <v>0</v>
      </c>
      <c r="L1488" s="20">
        <v>0</v>
      </c>
      <c r="M1488" s="15">
        <v>0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</row>
    <row r="1489" spans="1:43">
      <c r="A1489" s="15" t="s">
        <v>49</v>
      </c>
      <c r="B1489" s="15" t="s">
        <v>50</v>
      </c>
      <c r="C1489" s="15" t="s">
        <v>61</v>
      </c>
      <c r="D1489" s="15" t="s">
        <v>3980</v>
      </c>
      <c r="E1489" s="15" t="s">
        <v>552</v>
      </c>
      <c r="F1489" s="16">
        <v>0</v>
      </c>
      <c r="G1489" s="15" t="s">
        <v>552</v>
      </c>
      <c r="H1489" s="15" t="s">
        <v>296</v>
      </c>
      <c r="I1489" s="15">
        <v>0</v>
      </c>
      <c r="J1489" s="15">
        <v>0</v>
      </c>
      <c r="K1489" s="15">
        <v>0</v>
      </c>
      <c r="L1489" s="20">
        <v>0</v>
      </c>
      <c r="M1489" s="15">
        <v>0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</row>
    <row r="1490" spans="1:43">
      <c r="A1490" s="15" t="s">
        <v>43</v>
      </c>
      <c r="B1490" s="15" t="s">
        <v>44</v>
      </c>
      <c r="C1490" s="15" t="s">
        <v>45</v>
      </c>
      <c r="D1490" s="15" t="s">
        <v>3981</v>
      </c>
      <c r="E1490" s="15" t="s">
        <v>3982</v>
      </c>
      <c r="F1490" s="16">
        <v>42510.6974189815</v>
      </c>
      <c r="G1490" s="15" t="s">
        <v>3982</v>
      </c>
      <c r="H1490" s="15" t="s">
        <v>3983</v>
      </c>
      <c r="I1490" s="15">
        <v>0</v>
      </c>
      <c r="J1490" s="15">
        <v>0</v>
      </c>
      <c r="K1490" s="15">
        <v>0</v>
      </c>
      <c r="L1490" s="20">
        <v>0</v>
      </c>
      <c r="M1490" s="15">
        <v>0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0</v>
      </c>
      <c r="T1490" s="15">
        <v>0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</row>
    <row r="1491" spans="1:43">
      <c r="A1491" s="15" t="s">
        <v>43</v>
      </c>
      <c r="B1491" s="15" t="s">
        <v>44</v>
      </c>
      <c r="C1491" s="15" t="s">
        <v>45</v>
      </c>
      <c r="D1491" s="15" t="s">
        <v>3984</v>
      </c>
      <c r="E1491" s="15" t="s">
        <v>3985</v>
      </c>
      <c r="F1491" s="16">
        <v>42908.7158796296</v>
      </c>
      <c r="G1491" s="15" t="s">
        <v>3985</v>
      </c>
      <c r="H1491" s="15" t="s">
        <v>3986</v>
      </c>
      <c r="I1491" s="15">
        <v>0</v>
      </c>
      <c r="J1491" s="15">
        <v>0</v>
      </c>
      <c r="K1491" s="15">
        <v>0</v>
      </c>
      <c r="L1491" s="20">
        <v>0</v>
      </c>
      <c r="M1491" s="15">
        <v>0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0</v>
      </c>
      <c r="Z1491" s="15">
        <v>0</v>
      </c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</row>
    <row r="1492" spans="1:43">
      <c r="A1492" s="15" t="s">
        <v>43</v>
      </c>
      <c r="B1492" s="15" t="s">
        <v>44</v>
      </c>
      <c r="C1492" s="15" t="s">
        <v>45</v>
      </c>
      <c r="D1492" s="15" t="s">
        <v>3987</v>
      </c>
      <c r="E1492" s="15" t="s">
        <v>3988</v>
      </c>
      <c r="F1492" s="16">
        <v>42205.4710185185</v>
      </c>
      <c r="G1492" s="15" t="s">
        <v>3988</v>
      </c>
      <c r="H1492" s="15" t="s">
        <v>3989</v>
      </c>
      <c r="I1492" s="15">
        <v>0</v>
      </c>
      <c r="J1492" s="15">
        <v>0</v>
      </c>
      <c r="K1492" s="15">
        <v>0</v>
      </c>
      <c r="L1492" s="20">
        <v>0</v>
      </c>
      <c r="M1492" s="15">
        <v>0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0</v>
      </c>
      <c r="V1492" s="15">
        <v>0</v>
      </c>
      <c r="W1492" s="15">
        <v>0</v>
      </c>
      <c r="X1492" s="15">
        <v>0</v>
      </c>
      <c r="Y1492" s="15">
        <v>0</v>
      </c>
      <c r="Z1492" s="15">
        <v>0</v>
      </c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</row>
    <row r="1493" spans="1:43">
      <c r="A1493" s="15" t="s">
        <v>49</v>
      </c>
      <c r="B1493" s="15" t="s">
        <v>50</v>
      </c>
      <c r="C1493" s="15" t="s">
        <v>61</v>
      </c>
      <c r="D1493" s="15" t="s">
        <v>3990</v>
      </c>
      <c r="E1493" s="15" t="s">
        <v>331</v>
      </c>
      <c r="F1493" s="16">
        <v>0</v>
      </c>
      <c r="G1493" s="15" t="s">
        <v>331</v>
      </c>
      <c r="H1493" s="15" t="s">
        <v>332</v>
      </c>
      <c r="I1493" s="15">
        <v>0</v>
      </c>
      <c r="J1493" s="15">
        <v>0</v>
      </c>
      <c r="K1493" s="15">
        <v>0</v>
      </c>
      <c r="L1493" s="20">
        <v>0</v>
      </c>
      <c r="M1493" s="15">
        <v>0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0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</row>
    <row r="1494" spans="1:43">
      <c r="A1494" s="15" t="s">
        <v>49</v>
      </c>
      <c r="B1494" s="15" t="s">
        <v>50</v>
      </c>
      <c r="C1494" s="15" t="s">
        <v>75</v>
      </c>
      <c r="D1494" s="15" t="s">
        <v>3991</v>
      </c>
      <c r="E1494" s="15" t="s">
        <v>3992</v>
      </c>
      <c r="F1494" s="16">
        <v>43658.6897569444</v>
      </c>
      <c r="G1494" s="15" t="s">
        <v>3992</v>
      </c>
      <c r="H1494" s="15" t="s">
        <v>3993</v>
      </c>
      <c r="I1494" s="15">
        <v>0</v>
      </c>
      <c r="J1494" s="15">
        <v>0</v>
      </c>
      <c r="K1494" s="15">
        <v>0</v>
      </c>
      <c r="L1494" s="20">
        <v>0</v>
      </c>
      <c r="M1494" s="15">
        <v>0</v>
      </c>
      <c r="N1494" s="15">
        <v>0</v>
      </c>
      <c r="O1494" s="15">
        <v>0</v>
      </c>
      <c r="P1494" s="15">
        <v>0</v>
      </c>
      <c r="Q1494" s="15">
        <v>0</v>
      </c>
      <c r="R1494" s="15">
        <v>0</v>
      </c>
      <c r="S1494" s="15">
        <v>0</v>
      </c>
      <c r="T1494" s="15">
        <v>0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  <c r="AA1494" s="15"/>
      <c r="AB1494" s="15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/>
      <c r="AM1494" s="15"/>
      <c r="AN1494" s="15"/>
      <c r="AO1494" s="15"/>
      <c r="AP1494" s="15"/>
      <c r="AQ1494" s="15"/>
    </row>
    <row r="1495" spans="1:43">
      <c r="A1495" s="15" t="s">
        <v>43</v>
      </c>
      <c r="B1495" s="15" t="s">
        <v>44</v>
      </c>
      <c r="C1495" s="15" t="s">
        <v>228</v>
      </c>
      <c r="D1495" s="15" t="s">
        <v>3994</v>
      </c>
      <c r="E1495" s="15" t="s">
        <v>3995</v>
      </c>
      <c r="F1495" s="16">
        <v>44977.4678356482</v>
      </c>
      <c r="G1495" s="15" t="s">
        <v>3995</v>
      </c>
      <c r="H1495" s="15" t="s">
        <v>54</v>
      </c>
      <c r="I1495" s="15">
        <v>0</v>
      </c>
      <c r="J1495" s="15">
        <v>0</v>
      </c>
      <c r="K1495" s="15">
        <v>0</v>
      </c>
      <c r="L1495" s="20">
        <v>0</v>
      </c>
      <c r="M1495" s="15">
        <v>0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  <c r="AA1495" s="15"/>
      <c r="AB1495" s="15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/>
      <c r="AM1495" s="15"/>
      <c r="AN1495" s="15"/>
      <c r="AO1495" s="15"/>
      <c r="AP1495" s="15"/>
      <c r="AQ1495" s="15"/>
    </row>
    <row r="1496" spans="1:43">
      <c r="A1496" s="15" t="s">
        <v>49</v>
      </c>
      <c r="B1496" s="15" t="s">
        <v>50</v>
      </c>
      <c r="C1496" s="15" t="s">
        <v>75</v>
      </c>
      <c r="D1496" s="15" t="s">
        <v>3996</v>
      </c>
      <c r="E1496" s="15" t="s">
        <v>3997</v>
      </c>
      <c r="F1496" s="16">
        <v>43647.7135532407</v>
      </c>
      <c r="G1496" s="15" t="s">
        <v>3997</v>
      </c>
      <c r="H1496" s="15" t="s">
        <v>3998</v>
      </c>
      <c r="I1496" s="15">
        <v>0</v>
      </c>
      <c r="J1496" s="15">
        <v>0</v>
      </c>
      <c r="K1496" s="15">
        <v>0</v>
      </c>
      <c r="L1496" s="20">
        <v>0</v>
      </c>
      <c r="M1496" s="15">
        <v>0</v>
      </c>
      <c r="N1496" s="15">
        <v>0</v>
      </c>
      <c r="O1496" s="15">
        <v>0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0</v>
      </c>
      <c r="V1496" s="15">
        <v>0</v>
      </c>
      <c r="W1496" s="15">
        <v>0</v>
      </c>
      <c r="X1496" s="15">
        <v>0</v>
      </c>
      <c r="Y1496" s="15">
        <v>0</v>
      </c>
      <c r="Z1496" s="15">
        <v>0</v>
      </c>
      <c r="AA1496" s="15"/>
      <c r="AB1496" s="15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/>
      <c r="AM1496" s="15"/>
      <c r="AN1496" s="15"/>
      <c r="AO1496" s="15"/>
      <c r="AP1496" s="15"/>
      <c r="AQ1496" s="15"/>
    </row>
    <row r="1497" spans="1:43">
      <c r="A1497" s="15" t="s">
        <v>43</v>
      </c>
      <c r="B1497" s="15" t="s">
        <v>44</v>
      </c>
      <c r="C1497" s="15" t="s">
        <v>45</v>
      </c>
      <c r="D1497" s="15" t="s">
        <v>3999</v>
      </c>
      <c r="E1497" s="15" t="s">
        <v>4000</v>
      </c>
      <c r="F1497" s="16">
        <v>41955.6692013889</v>
      </c>
      <c r="G1497" s="15" t="s">
        <v>4000</v>
      </c>
      <c r="H1497" s="15" t="s">
        <v>4001</v>
      </c>
      <c r="I1497" s="15">
        <v>0</v>
      </c>
      <c r="J1497" s="15">
        <v>0</v>
      </c>
      <c r="K1497" s="15">
        <v>0</v>
      </c>
      <c r="L1497" s="20">
        <v>0</v>
      </c>
      <c r="M1497" s="15">
        <v>0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</row>
    <row r="1498" spans="1:43">
      <c r="A1498" s="15" t="s">
        <v>43</v>
      </c>
      <c r="B1498" s="15" t="s">
        <v>44</v>
      </c>
      <c r="C1498" s="15" t="s">
        <v>440</v>
      </c>
      <c r="D1498" s="15" t="s">
        <v>4002</v>
      </c>
      <c r="E1498" s="15" t="s">
        <v>4003</v>
      </c>
      <c r="F1498" s="16">
        <v>44350.6132523148</v>
      </c>
      <c r="G1498" s="15" t="s">
        <v>4003</v>
      </c>
      <c r="H1498" s="15" t="s">
        <v>4004</v>
      </c>
      <c r="I1498" s="15">
        <v>894.17</v>
      </c>
      <c r="J1498" s="15">
        <v>14</v>
      </c>
      <c r="K1498" s="15">
        <v>63.8692857142857</v>
      </c>
      <c r="L1498" s="20">
        <v>1.27738571428571</v>
      </c>
      <c r="M1498" s="15">
        <v>54.69</v>
      </c>
      <c r="N1498" s="15">
        <v>48.65</v>
      </c>
      <c r="O1498" s="15">
        <v>66.22</v>
      </c>
      <c r="P1498" s="15">
        <v>100.36</v>
      </c>
      <c r="Q1498" s="15">
        <v>30.79</v>
      </c>
      <c r="R1498" s="15">
        <v>74.11</v>
      </c>
      <c r="S1498" s="15">
        <v>67.19</v>
      </c>
      <c r="T1498" s="15">
        <v>60.61</v>
      </c>
      <c r="U1498" s="15">
        <v>87.61</v>
      </c>
      <c r="V1498" s="15">
        <v>43.78</v>
      </c>
      <c r="W1498" s="15">
        <v>23.4</v>
      </c>
      <c r="X1498" s="15">
        <v>40.92</v>
      </c>
      <c r="Y1498" s="15">
        <v>97.58</v>
      </c>
      <c r="Z1498" s="15">
        <v>98.26</v>
      </c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</row>
    <row r="1499" spans="1:43">
      <c r="A1499" s="15" t="s">
        <v>43</v>
      </c>
      <c r="B1499" s="15" t="s">
        <v>44</v>
      </c>
      <c r="C1499" s="15" t="s">
        <v>45</v>
      </c>
      <c r="D1499" s="15" t="s">
        <v>4005</v>
      </c>
      <c r="E1499" s="15" t="s">
        <v>4006</v>
      </c>
      <c r="F1499" s="16">
        <v>42242.3635300926</v>
      </c>
      <c r="G1499" s="15" t="s">
        <v>4006</v>
      </c>
      <c r="H1499" s="15" t="s">
        <v>4007</v>
      </c>
      <c r="I1499" s="15">
        <v>0</v>
      </c>
      <c r="J1499" s="15">
        <v>0</v>
      </c>
      <c r="K1499" s="15">
        <v>0</v>
      </c>
      <c r="L1499" s="20">
        <v>0</v>
      </c>
      <c r="M1499" s="15">
        <v>0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0</v>
      </c>
      <c r="V1499" s="15">
        <v>0</v>
      </c>
      <c r="W1499" s="15">
        <v>0</v>
      </c>
      <c r="X1499" s="15">
        <v>0</v>
      </c>
      <c r="Y1499" s="15">
        <v>0</v>
      </c>
      <c r="Z1499" s="15">
        <v>0</v>
      </c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</row>
    <row r="1500" spans="1:43">
      <c r="A1500" s="15" t="s">
        <v>43</v>
      </c>
      <c r="B1500" s="15" t="s">
        <v>44</v>
      </c>
      <c r="C1500" s="15" t="s">
        <v>228</v>
      </c>
      <c r="D1500" s="15" t="s">
        <v>4008</v>
      </c>
      <c r="E1500" s="15" t="s">
        <v>3304</v>
      </c>
      <c r="F1500" s="16">
        <v>45051.4244675926</v>
      </c>
      <c r="G1500" s="15" t="s">
        <v>3304</v>
      </c>
      <c r="H1500" s="15" t="s">
        <v>54</v>
      </c>
      <c r="I1500" s="15">
        <v>671.91</v>
      </c>
      <c r="J1500" s="15">
        <v>14</v>
      </c>
      <c r="K1500" s="15">
        <v>47.9935714285714</v>
      </c>
      <c r="L1500" s="20">
        <v>0.959871428571429</v>
      </c>
      <c r="M1500" s="15">
        <v>62.09</v>
      </c>
      <c r="N1500" s="15">
        <v>100.36</v>
      </c>
      <c r="O1500" s="15">
        <v>28.95</v>
      </c>
      <c r="P1500" s="15">
        <v>101.4</v>
      </c>
      <c r="Q1500" s="15">
        <v>66.95</v>
      </c>
      <c r="R1500" s="15">
        <v>64.31</v>
      </c>
      <c r="S1500" s="15">
        <v>84.33</v>
      </c>
      <c r="T1500" s="15">
        <v>50.76</v>
      </c>
      <c r="U1500" s="15">
        <v>58.82</v>
      </c>
      <c r="V1500" s="15">
        <v>9.01</v>
      </c>
      <c r="W1500" s="15">
        <v>9.35</v>
      </c>
      <c r="X1500" s="15">
        <v>14.25</v>
      </c>
      <c r="Y1500" s="15">
        <v>8.27</v>
      </c>
      <c r="Z1500" s="15">
        <v>13.06</v>
      </c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</row>
    <row r="1501" spans="1:43">
      <c r="A1501" s="15" t="s">
        <v>64</v>
      </c>
      <c r="B1501" s="15" t="s">
        <v>65</v>
      </c>
      <c r="C1501" s="15" t="s">
        <v>401</v>
      </c>
      <c r="D1501" s="15" t="s">
        <v>4009</v>
      </c>
      <c r="E1501" s="15" t="s">
        <v>4010</v>
      </c>
      <c r="F1501" s="16">
        <v>45098.4699305556</v>
      </c>
      <c r="G1501" s="15" t="s">
        <v>4010</v>
      </c>
      <c r="H1501" s="15" t="s">
        <v>54</v>
      </c>
      <c r="I1501" s="15">
        <v>2912.72</v>
      </c>
      <c r="J1501" s="15">
        <v>14</v>
      </c>
      <c r="K1501" s="15">
        <v>208.051428571428</v>
      </c>
      <c r="L1501" s="20">
        <v>2.97216326530612</v>
      </c>
      <c r="M1501" s="15">
        <v>180.77</v>
      </c>
      <c r="N1501" s="15">
        <v>198.47</v>
      </c>
      <c r="O1501" s="15">
        <v>192.06</v>
      </c>
      <c r="P1501" s="15">
        <v>326.28</v>
      </c>
      <c r="Q1501" s="15">
        <v>93.81</v>
      </c>
      <c r="R1501" s="15">
        <v>189.64</v>
      </c>
      <c r="S1501" s="15">
        <v>260.03</v>
      </c>
      <c r="T1501" s="15">
        <v>215.03</v>
      </c>
      <c r="U1501" s="15">
        <v>417.34</v>
      </c>
      <c r="V1501" s="15">
        <v>193.33</v>
      </c>
      <c r="W1501" s="15">
        <v>194.7</v>
      </c>
      <c r="X1501" s="15">
        <v>174.72</v>
      </c>
      <c r="Y1501" s="15">
        <v>167.52</v>
      </c>
      <c r="Z1501" s="15">
        <v>109.02</v>
      </c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</row>
    <row r="1502" spans="1:43">
      <c r="A1502" s="15" t="s">
        <v>64</v>
      </c>
      <c r="B1502" s="15" t="s">
        <v>65</v>
      </c>
      <c r="C1502" s="15" t="s">
        <v>78</v>
      </c>
      <c r="D1502" s="15" t="s">
        <v>4011</v>
      </c>
      <c r="E1502" s="15" t="s">
        <v>4012</v>
      </c>
      <c r="F1502" s="16">
        <v>44930.5828703704</v>
      </c>
      <c r="G1502" s="15" t="s">
        <v>4012</v>
      </c>
      <c r="H1502" s="15" t="s">
        <v>4013</v>
      </c>
      <c r="I1502" s="15">
        <v>0</v>
      </c>
      <c r="J1502" s="15">
        <v>0</v>
      </c>
      <c r="K1502" s="15">
        <v>0</v>
      </c>
      <c r="L1502" s="20">
        <v>0</v>
      </c>
      <c r="M1502" s="15">
        <v>0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</row>
    <row r="1503" spans="1:43">
      <c r="A1503" s="15" t="s">
        <v>43</v>
      </c>
      <c r="B1503" s="15" t="s">
        <v>44</v>
      </c>
      <c r="C1503" s="15" t="s">
        <v>45</v>
      </c>
      <c r="D1503" s="15" t="s">
        <v>4014</v>
      </c>
      <c r="E1503" s="15" t="s">
        <v>4015</v>
      </c>
      <c r="F1503" s="16">
        <v>40675.7346527778</v>
      </c>
      <c r="G1503" s="15" t="s">
        <v>4015</v>
      </c>
      <c r="H1503" s="15" t="s">
        <v>4016</v>
      </c>
      <c r="I1503" s="15">
        <v>0</v>
      </c>
      <c r="J1503" s="15">
        <v>0</v>
      </c>
      <c r="K1503" s="15">
        <v>0</v>
      </c>
      <c r="L1503" s="20">
        <v>0</v>
      </c>
      <c r="M1503" s="15">
        <v>0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0</v>
      </c>
      <c r="V1503" s="15">
        <v>0</v>
      </c>
      <c r="W1503" s="15">
        <v>0</v>
      </c>
      <c r="X1503" s="15">
        <v>0</v>
      </c>
      <c r="Y1503" s="15">
        <v>0</v>
      </c>
      <c r="Z1503" s="15">
        <v>0</v>
      </c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</row>
    <row r="1504" spans="1:43">
      <c r="A1504" s="15" t="s">
        <v>49</v>
      </c>
      <c r="B1504" s="15" t="s">
        <v>50</v>
      </c>
      <c r="C1504" s="15" t="s">
        <v>61</v>
      </c>
      <c r="D1504" s="15" t="s">
        <v>4017</v>
      </c>
      <c r="E1504" s="15" t="s">
        <v>549</v>
      </c>
      <c r="F1504" s="16">
        <v>0</v>
      </c>
      <c r="G1504" s="15" t="s">
        <v>549</v>
      </c>
      <c r="H1504" s="15" t="s">
        <v>550</v>
      </c>
      <c r="I1504" s="15">
        <v>0</v>
      </c>
      <c r="J1504" s="15">
        <v>0</v>
      </c>
      <c r="K1504" s="15">
        <v>0</v>
      </c>
      <c r="L1504" s="20">
        <v>0</v>
      </c>
      <c r="M1504" s="15">
        <v>0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0</v>
      </c>
      <c r="W1504" s="15">
        <v>0</v>
      </c>
      <c r="X1504" s="15">
        <v>0</v>
      </c>
      <c r="Y1504" s="15">
        <v>0</v>
      </c>
      <c r="Z1504" s="15">
        <v>0</v>
      </c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</row>
    <row r="1505" spans="1:43">
      <c r="A1505" s="15" t="s">
        <v>49</v>
      </c>
      <c r="B1505" s="15" t="s">
        <v>50</v>
      </c>
      <c r="C1505" s="15" t="s">
        <v>61</v>
      </c>
      <c r="D1505" s="15" t="s">
        <v>4018</v>
      </c>
      <c r="E1505" s="15" t="s">
        <v>4019</v>
      </c>
      <c r="F1505" s="16">
        <v>0</v>
      </c>
      <c r="G1505" s="15" t="s">
        <v>4019</v>
      </c>
      <c r="H1505" s="15" t="s">
        <v>4020</v>
      </c>
      <c r="I1505" s="15">
        <v>0</v>
      </c>
      <c r="J1505" s="15">
        <v>0</v>
      </c>
      <c r="K1505" s="15">
        <v>0</v>
      </c>
      <c r="L1505" s="20">
        <v>0</v>
      </c>
      <c r="M1505" s="15">
        <v>0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</row>
    <row r="1506" spans="1:43">
      <c r="A1506" s="15" t="s">
        <v>49</v>
      </c>
      <c r="B1506" s="15" t="s">
        <v>50</v>
      </c>
      <c r="C1506" s="15" t="s">
        <v>61</v>
      </c>
      <c r="D1506" s="15" t="s">
        <v>4021</v>
      </c>
      <c r="E1506" s="15" t="s">
        <v>4022</v>
      </c>
      <c r="F1506" s="16">
        <v>0</v>
      </c>
      <c r="G1506" s="15" t="s">
        <v>4022</v>
      </c>
      <c r="H1506" s="15" t="s">
        <v>4023</v>
      </c>
      <c r="I1506" s="15">
        <v>0</v>
      </c>
      <c r="J1506" s="15">
        <v>0</v>
      </c>
      <c r="K1506" s="15">
        <v>0</v>
      </c>
      <c r="L1506" s="20">
        <v>0</v>
      </c>
      <c r="M1506" s="15">
        <v>0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0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</row>
    <row r="1507" spans="1:43">
      <c r="A1507" s="15" t="s">
        <v>49</v>
      </c>
      <c r="B1507" s="15" t="s">
        <v>50</v>
      </c>
      <c r="C1507" s="15" t="s">
        <v>61</v>
      </c>
      <c r="D1507" s="15" t="s">
        <v>4024</v>
      </c>
      <c r="E1507" s="15" t="s">
        <v>4025</v>
      </c>
      <c r="F1507" s="16">
        <v>0</v>
      </c>
      <c r="G1507" s="15" t="s">
        <v>4025</v>
      </c>
      <c r="H1507" s="15" t="s">
        <v>4026</v>
      </c>
      <c r="I1507" s="15">
        <v>0</v>
      </c>
      <c r="J1507" s="15">
        <v>0</v>
      </c>
      <c r="K1507" s="15">
        <v>0</v>
      </c>
      <c r="L1507" s="20">
        <v>0</v>
      </c>
      <c r="M1507" s="15">
        <v>0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</row>
    <row r="1508" spans="1:43">
      <c r="A1508" s="15" t="s">
        <v>49</v>
      </c>
      <c r="B1508" s="15" t="s">
        <v>50</v>
      </c>
      <c r="C1508" s="15" t="s">
        <v>61</v>
      </c>
      <c r="D1508" s="15" t="s">
        <v>4027</v>
      </c>
      <c r="E1508" s="15" t="s">
        <v>4028</v>
      </c>
      <c r="F1508" s="16">
        <v>0</v>
      </c>
      <c r="G1508" s="15" t="s">
        <v>4028</v>
      </c>
      <c r="H1508" s="15" t="s">
        <v>4029</v>
      </c>
      <c r="I1508" s="15">
        <v>0</v>
      </c>
      <c r="J1508" s="15">
        <v>0</v>
      </c>
      <c r="K1508" s="15">
        <v>0</v>
      </c>
      <c r="L1508" s="20">
        <v>0</v>
      </c>
      <c r="M1508" s="15">
        <v>0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0</v>
      </c>
      <c r="W1508" s="15">
        <v>0</v>
      </c>
      <c r="X1508" s="15">
        <v>0</v>
      </c>
      <c r="Y1508" s="15">
        <v>0</v>
      </c>
      <c r="Z1508" s="15">
        <v>0</v>
      </c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</row>
    <row r="1509" spans="1:43">
      <c r="A1509" s="15" t="s">
        <v>49</v>
      </c>
      <c r="B1509" s="15" t="s">
        <v>50</v>
      </c>
      <c r="C1509" s="15" t="s">
        <v>75</v>
      </c>
      <c r="D1509" s="15" t="s">
        <v>4030</v>
      </c>
      <c r="E1509" s="15" t="s">
        <v>4031</v>
      </c>
      <c r="F1509" s="16">
        <v>44692.4807523148</v>
      </c>
      <c r="G1509" s="15" t="s">
        <v>4031</v>
      </c>
      <c r="H1509" s="15" t="s">
        <v>54</v>
      </c>
      <c r="I1509" s="15">
        <v>987.11</v>
      </c>
      <c r="J1509" s="15">
        <v>9</v>
      </c>
      <c r="K1509" s="15">
        <v>109.678888888889</v>
      </c>
      <c r="L1509" s="20">
        <v>2.19357777777778</v>
      </c>
      <c r="M1509" s="15">
        <v>162.7</v>
      </c>
      <c r="N1509" s="15">
        <v>99.22</v>
      </c>
      <c r="O1509" s="15">
        <v>153.84</v>
      </c>
      <c r="P1509" s="15">
        <v>122.94</v>
      </c>
      <c r="Q1509" s="15">
        <v>77.81</v>
      </c>
      <c r="R1509" s="15">
        <v>153.8</v>
      </c>
      <c r="S1509" s="15">
        <v>14.57</v>
      </c>
      <c r="T1509" s="15">
        <v>64.44</v>
      </c>
      <c r="U1509" s="15">
        <v>137.79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</row>
    <row r="1510" spans="1:43">
      <c r="A1510" s="15" t="s">
        <v>64</v>
      </c>
      <c r="B1510" s="15" t="s">
        <v>65</v>
      </c>
      <c r="C1510" s="15" t="s">
        <v>522</v>
      </c>
      <c r="D1510" s="15" t="s">
        <v>4032</v>
      </c>
      <c r="E1510" s="15" t="s">
        <v>4033</v>
      </c>
      <c r="F1510" s="16">
        <v>44861.3887152778</v>
      </c>
      <c r="G1510" s="15" t="s">
        <v>4033</v>
      </c>
      <c r="H1510" s="15" t="s">
        <v>54</v>
      </c>
      <c r="I1510" s="15">
        <v>0</v>
      </c>
      <c r="J1510" s="15">
        <v>0</v>
      </c>
      <c r="K1510" s="15">
        <v>0</v>
      </c>
      <c r="L1510" s="20">
        <v>0</v>
      </c>
      <c r="M1510" s="15">
        <v>0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</row>
    <row r="1511" spans="1:43">
      <c r="A1511" s="15" t="s">
        <v>43</v>
      </c>
      <c r="B1511" s="15" t="s">
        <v>44</v>
      </c>
      <c r="C1511" s="15" t="s">
        <v>45</v>
      </c>
      <c r="D1511" s="15" t="s">
        <v>4034</v>
      </c>
      <c r="E1511" s="15" t="s">
        <v>4035</v>
      </c>
      <c r="F1511" s="16">
        <v>42314.466712963</v>
      </c>
      <c r="G1511" s="15" t="s">
        <v>4035</v>
      </c>
      <c r="H1511" s="15" t="s">
        <v>4036</v>
      </c>
      <c r="I1511" s="15">
        <v>0</v>
      </c>
      <c r="J1511" s="15">
        <v>0</v>
      </c>
      <c r="K1511" s="15">
        <v>0</v>
      </c>
      <c r="L1511" s="20">
        <v>0</v>
      </c>
      <c r="M1511" s="15">
        <v>0</v>
      </c>
      <c r="N1511" s="15">
        <v>0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</row>
    <row r="1512" spans="1:43">
      <c r="A1512" s="15" t="s">
        <v>43</v>
      </c>
      <c r="B1512" s="15" t="s">
        <v>44</v>
      </c>
      <c r="C1512" s="15" t="s">
        <v>45</v>
      </c>
      <c r="D1512" s="15" t="s">
        <v>4037</v>
      </c>
      <c r="E1512" s="15" t="s">
        <v>4038</v>
      </c>
      <c r="F1512" s="16">
        <v>43655.7122916667</v>
      </c>
      <c r="G1512" s="15" t="s">
        <v>4038</v>
      </c>
      <c r="H1512" s="15" t="s">
        <v>4039</v>
      </c>
      <c r="I1512" s="15">
        <v>0</v>
      </c>
      <c r="J1512" s="15">
        <v>0</v>
      </c>
      <c r="K1512" s="15">
        <v>0</v>
      </c>
      <c r="L1512" s="20">
        <v>0</v>
      </c>
      <c r="M1512" s="15">
        <v>0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0</v>
      </c>
      <c r="Y1512" s="15">
        <v>0</v>
      </c>
      <c r="Z1512" s="15">
        <v>0</v>
      </c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</row>
    <row r="1513" spans="1:43">
      <c r="A1513" s="15" t="s">
        <v>43</v>
      </c>
      <c r="B1513" s="15" t="s">
        <v>44</v>
      </c>
      <c r="C1513" s="15" t="s">
        <v>45</v>
      </c>
      <c r="D1513" s="15" t="s">
        <v>4040</v>
      </c>
      <c r="E1513" s="15" t="s">
        <v>4041</v>
      </c>
      <c r="F1513" s="16">
        <v>43874.484837963</v>
      </c>
      <c r="G1513" s="15" t="s">
        <v>4041</v>
      </c>
      <c r="H1513" s="15" t="s">
        <v>54</v>
      </c>
      <c r="I1513" s="15">
        <v>0</v>
      </c>
      <c r="J1513" s="15">
        <v>0</v>
      </c>
      <c r="K1513" s="15">
        <v>0</v>
      </c>
      <c r="L1513" s="20">
        <v>0</v>
      </c>
      <c r="M1513" s="15">
        <v>0</v>
      </c>
      <c r="N1513" s="15">
        <v>0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0</v>
      </c>
      <c r="V1513" s="15">
        <v>0</v>
      </c>
      <c r="W1513" s="15">
        <v>0</v>
      </c>
      <c r="X1513" s="15">
        <v>0</v>
      </c>
      <c r="Y1513" s="15">
        <v>0</v>
      </c>
      <c r="Z1513" s="15">
        <v>0</v>
      </c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</row>
    <row r="1514" spans="1:43">
      <c r="A1514" s="15" t="s">
        <v>43</v>
      </c>
      <c r="B1514" s="15" t="s">
        <v>44</v>
      </c>
      <c r="C1514" s="15" t="s">
        <v>45</v>
      </c>
      <c r="D1514" s="15" t="s">
        <v>4042</v>
      </c>
      <c r="E1514" s="15" t="s">
        <v>4043</v>
      </c>
      <c r="F1514" s="16">
        <v>42748.6437962963</v>
      </c>
      <c r="G1514" s="15" t="s">
        <v>4043</v>
      </c>
      <c r="H1514" s="15" t="s">
        <v>4044</v>
      </c>
      <c r="I1514" s="15">
        <v>0</v>
      </c>
      <c r="J1514" s="15">
        <v>0</v>
      </c>
      <c r="K1514" s="15">
        <v>0</v>
      </c>
      <c r="L1514" s="20">
        <v>0</v>
      </c>
      <c r="M1514" s="15">
        <v>0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0</v>
      </c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</row>
    <row r="1515" spans="1:43">
      <c r="A1515" s="15" t="s">
        <v>49</v>
      </c>
      <c r="B1515" s="15" t="s">
        <v>50</v>
      </c>
      <c r="C1515" s="15" t="s">
        <v>51</v>
      </c>
      <c r="D1515" s="15" t="s">
        <v>4045</v>
      </c>
      <c r="E1515" s="15" t="s">
        <v>4046</v>
      </c>
      <c r="F1515" s="16">
        <v>45104.4469444444</v>
      </c>
      <c r="G1515" s="15" t="s">
        <v>4046</v>
      </c>
      <c r="H1515" s="15" t="s">
        <v>54</v>
      </c>
      <c r="I1515" s="15">
        <v>3336.74</v>
      </c>
      <c r="J1515" s="15">
        <v>12</v>
      </c>
      <c r="K1515" s="15">
        <v>278.061666666667</v>
      </c>
      <c r="L1515" s="20">
        <v>5.56123333333333</v>
      </c>
      <c r="M1515" s="15">
        <v>412.88</v>
      </c>
      <c r="N1515" s="15">
        <v>105.17</v>
      </c>
      <c r="O1515" s="15">
        <v>502.75</v>
      </c>
      <c r="P1515" s="15">
        <v>239.72</v>
      </c>
      <c r="Q1515" s="15">
        <v>419.15</v>
      </c>
      <c r="R1515" s="15">
        <v>331.76</v>
      </c>
      <c r="S1515" s="15">
        <v>87.16</v>
      </c>
      <c r="T1515" s="15">
        <v>607.21</v>
      </c>
      <c r="U1515" s="15">
        <v>152.04</v>
      </c>
      <c r="V1515" s="15">
        <v>390.81</v>
      </c>
      <c r="W1515" s="15">
        <v>85.98</v>
      </c>
      <c r="X1515" s="15">
        <v>2.11</v>
      </c>
      <c r="Y1515" s="15">
        <v>0</v>
      </c>
      <c r="Z1515" s="15">
        <v>0</v>
      </c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</row>
    <row r="1516" spans="1:43">
      <c r="A1516" s="15" t="s">
        <v>49</v>
      </c>
      <c r="B1516" s="15" t="s">
        <v>50</v>
      </c>
      <c r="C1516" s="15" t="s">
        <v>61</v>
      </c>
      <c r="D1516" s="15" t="s">
        <v>4047</v>
      </c>
      <c r="E1516" s="15" t="s">
        <v>4048</v>
      </c>
      <c r="F1516" s="16">
        <v>0</v>
      </c>
      <c r="G1516" s="15" t="s">
        <v>4048</v>
      </c>
      <c r="H1516" s="15" t="s">
        <v>4049</v>
      </c>
      <c r="I1516" s="15">
        <v>0</v>
      </c>
      <c r="J1516" s="15">
        <v>0</v>
      </c>
      <c r="K1516" s="15">
        <v>0</v>
      </c>
      <c r="L1516" s="20">
        <v>0</v>
      </c>
      <c r="M1516" s="15">
        <v>0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0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</row>
    <row r="1517" spans="1:43">
      <c r="A1517" s="15" t="s">
        <v>49</v>
      </c>
      <c r="B1517" s="15" t="s">
        <v>50</v>
      </c>
      <c r="C1517" s="15" t="s">
        <v>61</v>
      </c>
      <c r="D1517" s="15" t="s">
        <v>4050</v>
      </c>
      <c r="E1517" s="15" t="s">
        <v>4051</v>
      </c>
      <c r="F1517" s="16">
        <v>0</v>
      </c>
      <c r="G1517" s="15" t="s">
        <v>4051</v>
      </c>
      <c r="H1517" s="15" t="s">
        <v>4052</v>
      </c>
      <c r="I1517" s="15">
        <v>0</v>
      </c>
      <c r="J1517" s="15">
        <v>0</v>
      </c>
      <c r="K1517" s="15">
        <v>0</v>
      </c>
      <c r="L1517" s="20">
        <v>0</v>
      </c>
      <c r="M1517" s="15">
        <v>0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</row>
    <row r="1518" spans="1:43">
      <c r="A1518" s="15" t="s">
        <v>49</v>
      </c>
      <c r="B1518" s="15" t="s">
        <v>50</v>
      </c>
      <c r="C1518" s="15" t="s">
        <v>61</v>
      </c>
      <c r="D1518" s="15" t="s">
        <v>4053</v>
      </c>
      <c r="E1518" s="15" t="s">
        <v>4054</v>
      </c>
      <c r="F1518" s="16">
        <v>0</v>
      </c>
      <c r="G1518" s="15" t="s">
        <v>4054</v>
      </c>
      <c r="H1518" s="15" t="s">
        <v>54</v>
      </c>
      <c r="I1518" s="15">
        <v>0</v>
      </c>
      <c r="J1518" s="15">
        <v>0</v>
      </c>
      <c r="K1518" s="15">
        <v>0</v>
      </c>
      <c r="L1518" s="20">
        <v>0</v>
      </c>
      <c r="M1518" s="15">
        <v>0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0</v>
      </c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</row>
    <row r="1519" spans="1:43">
      <c r="A1519" s="15" t="s">
        <v>49</v>
      </c>
      <c r="B1519" s="15" t="s">
        <v>50</v>
      </c>
      <c r="C1519" s="15" t="s">
        <v>61</v>
      </c>
      <c r="D1519" s="15" t="s">
        <v>4055</v>
      </c>
      <c r="E1519" s="15" t="s">
        <v>4056</v>
      </c>
      <c r="F1519" s="16">
        <v>0</v>
      </c>
      <c r="G1519" s="15" t="s">
        <v>4056</v>
      </c>
      <c r="H1519" s="15" t="s">
        <v>54</v>
      </c>
      <c r="I1519" s="15">
        <v>0</v>
      </c>
      <c r="J1519" s="15">
        <v>0</v>
      </c>
      <c r="K1519" s="15">
        <v>0</v>
      </c>
      <c r="L1519" s="20">
        <v>0</v>
      </c>
      <c r="M1519" s="15">
        <v>0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</row>
    <row r="1520" spans="1:43">
      <c r="A1520" s="15" t="s">
        <v>49</v>
      </c>
      <c r="B1520" s="15" t="s">
        <v>50</v>
      </c>
      <c r="C1520" s="15" t="s">
        <v>61</v>
      </c>
      <c r="D1520" s="15" t="s">
        <v>4057</v>
      </c>
      <c r="E1520" s="15" t="s">
        <v>4058</v>
      </c>
      <c r="F1520" s="16">
        <v>0</v>
      </c>
      <c r="G1520" s="15" t="s">
        <v>4058</v>
      </c>
      <c r="H1520" s="15" t="s">
        <v>4059</v>
      </c>
      <c r="I1520" s="15">
        <v>0</v>
      </c>
      <c r="J1520" s="15">
        <v>0</v>
      </c>
      <c r="K1520" s="15">
        <v>0</v>
      </c>
      <c r="L1520" s="20">
        <v>0</v>
      </c>
      <c r="M1520" s="15">
        <v>0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</row>
    <row r="1521" spans="1:43">
      <c r="A1521" s="15" t="s">
        <v>43</v>
      </c>
      <c r="B1521" s="15" t="s">
        <v>44</v>
      </c>
      <c r="C1521" s="15" t="s">
        <v>45</v>
      </c>
      <c r="D1521" s="15" t="s">
        <v>4060</v>
      </c>
      <c r="E1521" s="15" t="s">
        <v>4061</v>
      </c>
      <c r="F1521" s="16">
        <v>44405.7143634259</v>
      </c>
      <c r="G1521" s="15" t="s">
        <v>4061</v>
      </c>
      <c r="H1521" s="15" t="s">
        <v>54</v>
      </c>
      <c r="I1521" s="15">
        <v>0</v>
      </c>
      <c r="J1521" s="15">
        <v>0</v>
      </c>
      <c r="K1521" s="15">
        <v>0</v>
      </c>
      <c r="L1521" s="20">
        <v>0</v>
      </c>
      <c r="M1521" s="15">
        <v>0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0</v>
      </c>
      <c r="X1521" s="15">
        <v>0</v>
      </c>
      <c r="Y1521" s="15">
        <v>0</v>
      </c>
      <c r="Z1521" s="15">
        <v>0</v>
      </c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</row>
    <row r="1522" spans="1:43">
      <c r="A1522" s="15" t="s">
        <v>49</v>
      </c>
      <c r="B1522" s="15" t="s">
        <v>50</v>
      </c>
      <c r="C1522" s="15" t="s">
        <v>301</v>
      </c>
      <c r="D1522" s="15" t="s">
        <v>4062</v>
      </c>
      <c r="E1522" s="15" t="s">
        <v>4063</v>
      </c>
      <c r="F1522" s="16">
        <v>44971.632650463</v>
      </c>
      <c r="G1522" s="15" t="s">
        <v>4063</v>
      </c>
      <c r="H1522" s="15" t="s">
        <v>4064</v>
      </c>
      <c r="I1522" s="15">
        <v>837.84</v>
      </c>
      <c r="J1522" s="15">
        <v>14</v>
      </c>
      <c r="K1522" s="15">
        <v>59.8457142857143</v>
      </c>
      <c r="L1522" s="20">
        <v>1.19691428571429</v>
      </c>
      <c r="M1522" s="15">
        <v>71.48</v>
      </c>
      <c r="N1522" s="15">
        <v>184.18</v>
      </c>
      <c r="O1522" s="15">
        <v>27.51</v>
      </c>
      <c r="P1522" s="15">
        <v>45.46</v>
      </c>
      <c r="Q1522" s="15">
        <v>100.45</v>
      </c>
      <c r="R1522" s="15">
        <v>8.33</v>
      </c>
      <c r="S1522" s="15">
        <v>76.91</v>
      </c>
      <c r="T1522" s="15">
        <v>1.31</v>
      </c>
      <c r="U1522" s="15">
        <v>46.27</v>
      </c>
      <c r="V1522" s="15">
        <v>13.35</v>
      </c>
      <c r="W1522" s="15">
        <v>24.2</v>
      </c>
      <c r="X1522" s="15">
        <v>68.44</v>
      </c>
      <c r="Y1522" s="15">
        <v>68.52</v>
      </c>
      <c r="Z1522" s="15">
        <v>101.43</v>
      </c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</row>
    <row r="1523" spans="1:43">
      <c r="A1523" s="15" t="s">
        <v>43</v>
      </c>
      <c r="B1523" s="15" t="s">
        <v>44</v>
      </c>
      <c r="C1523" s="15" t="s">
        <v>45</v>
      </c>
      <c r="D1523" s="15" t="s">
        <v>4065</v>
      </c>
      <c r="E1523" s="15" t="s">
        <v>4066</v>
      </c>
      <c r="F1523" s="16">
        <v>43234.6261805556</v>
      </c>
      <c r="G1523" s="15" t="s">
        <v>4066</v>
      </c>
      <c r="H1523" s="15" t="s">
        <v>4067</v>
      </c>
      <c r="I1523" s="15">
        <v>0</v>
      </c>
      <c r="J1523" s="15">
        <v>0</v>
      </c>
      <c r="K1523" s="15">
        <v>0</v>
      </c>
      <c r="L1523" s="20">
        <v>0</v>
      </c>
      <c r="M1523" s="15">
        <v>0</v>
      </c>
      <c r="N1523" s="15">
        <v>0</v>
      </c>
      <c r="O1523" s="15">
        <v>0</v>
      </c>
      <c r="P1523" s="15">
        <v>0</v>
      </c>
      <c r="Q1523" s="15">
        <v>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0</v>
      </c>
      <c r="X1523" s="15">
        <v>0</v>
      </c>
      <c r="Y1523" s="15">
        <v>0</v>
      </c>
      <c r="Z1523" s="15">
        <v>0</v>
      </c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</row>
    <row r="1524" spans="1:43">
      <c r="A1524" s="15" t="s">
        <v>64</v>
      </c>
      <c r="B1524" s="15" t="s">
        <v>65</v>
      </c>
      <c r="C1524" s="15" t="s">
        <v>66</v>
      </c>
      <c r="D1524" s="15" t="s">
        <v>4068</v>
      </c>
      <c r="E1524" s="15" t="s">
        <v>4069</v>
      </c>
      <c r="F1524" s="16">
        <v>44971.6332175926</v>
      </c>
      <c r="G1524" s="15" t="s">
        <v>4069</v>
      </c>
      <c r="H1524" s="15" t="s">
        <v>54</v>
      </c>
      <c r="I1524" s="15">
        <v>0</v>
      </c>
      <c r="J1524" s="15">
        <v>0</v>
      </c>
      <c r="K1524" s="15">
        <v>0</v>
      </c>
      <c r="L1524" s="20">
        <v>0</v>
      </c>
      <c r="M1524" s="15">
        <v>0</v>
      </c>
      <c r="N1524" s="15">
        <v>0</v>
      </c>
      <c r="O1524" s="15">
        <v>0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0</v>
      </c>
      <c r="X1524" s="15">
        <v>0</v>
      </c>
      <c r="Y1524" s="15">
        <v>0</v>
      </c>
      <c r="Z1524" s="15">
        <v>0</v>
      </c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</row>
    <row r="1525" spans="1:43">
      <c r="A1525" s="15" t="s">
        <v>49</v>
      </c>
      <c r="B1525" s="15" t="s">
        <v>50</v>
      </c>
      <c r="C1525" s="15" t="s">
        <v>61</v>
      </c>
      <c r="D1525" s="15" t="s">
        <v>4070</v>
      </c>
      <c r="E1525" s="15" t="s">
        <v>4071</v>
      </c>
      <c r="F1525" s="16">
        <v>0</v>
      </c>
      <c r="G1525" s="15" t="s">
        <v>4071</v>
      </c>
      <c r="H1525" s="15" t="s">
        <v>4072</v>
      </c>
      <c r="I1525" s="15">
        <v>0</v>
      </c>
      <c r="J1525" s="15">
        <v>0</v>
      </c>
      <c r="K1525" s="15">
        <v>0</v>
      </c>
      <c r="L1525" s="20">
        <v>0</v>
      </c>
      <c r="M1525" s="15">
        <v>0</v>
      </c>
      <c r="N1525" s="15">
        <v>0</v>
      </c>
      <c r="O1525" s="15">
        <v>0</v>
      </c>
      <c r="P1525" s="15">
        <v>0</v>
      </c>
      <c r="Q1525" s="15">
        <v>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</row>
    <row r="1526" spans="1:43">
      <c r="A1526" s="15" t="s">
        <v>49</v>
      </c>
      <c r="B1526" s="15" t="s">
        <v>50</v>
      </c>
      <c r="C1526" s="15" t="s">
        <v>61</v>
      </c>
      <c r="D1526" s="15" t="s">
        <v>4073</v>
      </c>
      <c r="E1526" s="15" t="s">
        <v>4074</v>
      </c>
      <c r="F1526" s="16">
        <v>0</v>
      </c>
      <c r="G1526" s="15" t="s">
        <v>4074</v>
      </c>
      <c r="H1526" s="15" t="s">
        <v>54</v>
      </c>
      <c r="I1526" s="15">
        <v>0</v>
      </c>
      <c r="J1526" s="15">
        <v>0</v>
      </c>
      <c r="K1526" s="15">
        <v>0</v>
      </c>
      <c r="L1526" s="20">
        <v>0</v>
      </c>
      <c r="M1526" s="15">
        <v>0</v>
      </c>
      <c r="N1526" s="15">
        <v>0</v>
      </c>
      <c r="O1526" s="15">
        <v>0</v>
      </c>
      <c r="P1526" s="15">
        <v>0</v>
      </c>
      <c r="Q1526" s="15">
        <v>0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0</v>
      </c>
      <c r="X1526" s="15">
        <v>0</v>
      </c>
      <c r="Y1526" s="15">
        <v>0</v>
      </c>
      <c r="Z1526" s="15">
        <v>0</v>
      </c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</row>
    <row r="1527" spans="1:43">
      <c r="A1527" s="15" t="s">
        <v>43</v>
      </c>
      <c r="B1527" s="15" t="s">
        <v>44</v>
      </c>
      <c r="C1527" s="15" t="s">
        <v>45</v>
      </c>
      <c r="D1527" s="15" t="s">
        <v>4075</v>
      </c>
      <c r="E1527" s="15" t="s">
        <v>4076</v>
      </c>
      <c r="F1527" s="16">
        <v>42318.4639351852</v>
      </c>
      <c r="G1527" s="15" t="s">
        <v>4076</v>
      </c>
      <c r="H1527" s="15" t="s">
        <v>4077</v>
      </c>
      <c r="I1527" s="15">
        <v>0</v>
      </c>
      <c r="J1527" s="15">
        <v>0</v>
      </c>
      <c r="K1527" s="15">
        <v>0</v>
      </c>
      <c r="L1527" s="20">
        <v>0</v>
      </c>
      <c r="M1527" s="15">
        <v>0</v>
      </c>
      <c r="N1527" s="15">
        <v>0</v>
      </c>
      <c r="O1527" s="15">
        <v>0</v>
      </c>
      <c r="P1527" s="15">
        <v>0</v>
      </c>
      <c r="Q1527" s="15">
        <v>0</v>
      </c>
      <c r="R1527" s="15">
        <v>0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</row>
    <row r="1528" spans="1:43">
      <c r="A1528" s="15" t="s">
        <v>49</v>
      </c>
      <c r="B1528" s="15" t="s">
        <v>50</v>
      </c>
      <c r="C1528" s="15" t="s">
        <v>51</v>
      </c>
      <c r="D1528" s="15" t="s">
        <v>4078</v>
      </c>
      <c r="E1528" s="15" t="s">
        <v>4079</v>
      </c>
      <c r="F1528" s="16">
        <v>45027.4699421296</v>
      </c>
      <c r="G1528" s="15" t="s">
        <v>4079</v>
      </c>
      <c r="H1528" s="15" t="s">
        <v>54</v>
      </c>
      <c r="I1528" s="15">
        <v>0</v>
      </c>
      <c r="J1528" s="15">
        <v>0</v>
      </c>
      <c r="K1528" s="15">
        <v>0</v>
      </c>
      <c r="L1528" s="20">
        <v>0</v>
      </c>
      <c r="M1528" s="15">
        <v>0</v>
      </c>
      <c r="N1528" s="15">
        <v>0</v>
      </c>
      <c r="O1528" s="15">
        <v>0</v>
      </c>
      <c r="P1528" s="15">
        <v>0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</row>
    <row r="1529" spans="1:43">
      <c r="A1529" s="15" t="s">
        <v>43</v>
      </c>
      <c r="B1529" s="15" t="s">
        <v>44</v>
      </c>
      <c r="C1529" s="15" t="s">
        <v>45</v>
      </c>
      <c r="D1529" s="15" t="s">
        <v>4080</v>
      </c>
      <c r="E1529" s="15" t="s">
        <v>4081</v>
      </c>
      <c r="F1529" s="16">
        <v>43183.6647106481</v>
      </c>
      <c r="G1529" s="15" t="s">
        <v>4081</v>
      </c>
      <c r="H1529" s="15" t="s">
        <v>4082</v>
      </c>
      <c r="I1529" s="15">
        <v>0</v>
      </c>
      <c r="J1529" s="15">
        <v>0</v>
      </c>
      <c r="K1529" s="15">
        <v>0</v>
      </c>
      <c r="L1529" s="20">
        <v>0</v>
      </c>
      <c r="M1529" s="15">
        <v>0</v>
      </c>
      <c r="N1529" s="15">
        <v>0</v>
      </c>
      <c r="O1529" s="15">
        <v>0</v>
      </c>
      <c r="P1529" s="15">
        <v>0</v>
      </c>
      <c r="Q1529" s="15">
        <v>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</row>
    <row r="1530" spans="1:43">
      <c r="A1530" s="15" t="s">
        <v>43</v>
      </c>
      <c r="B1530" s="15" t="s">
        <v>44</v>
      </c>
      <c r="C1530" s="15" t="s">
        <v>45</v>
      </c>
      <c r="D1530" s="15" t="s">
        <v>4083</v>
      </c>
      <c r="E1530" s="15" t="s">
        <v>4084</v>
      </c>
      <c r="F1530" s="16">
        <v>43004.4784143519</v>
      </c>
      <c r="G1530" s="15" t="s">
        <v>4084</v>
      </c>
      <c r="H1530" s="15" t="s">
        <v>4085</v>
      </c>
      <c r="I1530" s="15">
        <v>0</v>
      </c>
      <c r="J1530" s="15">
        <v>0</v>
      </c>
      <c r="K1530" s="15">
        <v>0</v>
      </c>
      <c r="L1530" s="20">
        <v>0</v>
      </c>
      <c r="M1530" s="15">
        <v>0</v>
      </c>
      <c r="N1530" s="15">
        <v>0</v>
      </c>
      <c r="O1530" s="15">
        <v>0</v>
      </c>
      <c r="P1530" s="15">
        <v>0</v>
      </c>
      <c r="Q1530" s="15">
        <v>0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</row>
    <row r="1531" spans="1:43">
      <c r="A1531" s="15" t="s">
        <v>43</v>
      </c>
      <c r="B1531" s="15" t="s">
        <v>44</v>
      </c>
      <c r="C1531" s="15" t="s">
        <v>45</v>
      </c>
      <c r="D1531" s="15" t="s">
        <v>4086</v>
      </c>
      <c r="E1531" s="15" t="s">
        <v>4087</v>
      </c>
      <c r="F1531" s="16">
        <v>42324.6082638889</v>
      </c>
      <c r="G1531" s="15" t="s">
        <v>4087</v>
      </c>
      <c r="H1531" s="15" t="s">
        <v>4088</v>
      </c>
      <c r="I1531" s="15">
        <v>0</v>
      </c>
      <c r="J1531" s="15">
        <v>0</v>
      </c>
      <c r="K1531" s="15">
        <v>0</v>
      </c>
      <c r="L1531" s="20">
        <v>0</v>
      </c>
      <c r="M1531" s="15">
        <v>0</v>
      </c>
      <c r="N1531" s="15">
        <v>0</v>
      </c>
      <c r="O1531" s="15">
        <v>0</v>
      </c>
      <c r="P1531" s="15">
        <v>0</v>
      </c>
      <c r="Q1531" s="15">
        <v>0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</row>
    <row r="1532" spans="1:43">
      <c r="A1532" s="15" t="s">
        <v>43</v>
      </c>
      <c r="B1532" s="15" t="s">
        <v>44</v>
      </c>
      <c r="C1532" s="15" t="s">
        <v>45</v>
      </c>
      <c r="D1532" s="15" t="s">
        <v>4089</v>
      </c>
      <c r="E1532" s="15" t="s">
        <v>4090</v>
      </c>
      <c r="F1532" s="16">
        <v>42327.6454050926</v>
      </c>
      <c r="G1532" s="15" t="s">
        <v>4090</v>
      </c>
      <c r="H1532" s="15" t="s">
        <v>4091</v>
      </c>
      <c r="I1532" s="15">
        <v>0</v>
      </c>
      <c r="J1532" s="15">
        <v>0</v>
      </c>
      <c r="K1532" s="15">
        <v>0</v>
      </c>
      <c r="L1532" s="20">
        <v>0</v>
      </c>
      <c r="M1532" s="15">
        <v>0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>
        <v>0</v>
      </c>
      <c r="Z1532" s="15">
        <v>0</v>
      </c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</row>
    <row r="1533" spans="1:43">
      <c r="A1533" s="15" t="s">
        <v>43</v>
      </c>
      <c r="B1533" s="15" t="s">
        <v>44</v>
      </c>
      <c r="C1533" s="15" t="s">
        <v>45</v>
      </c>
      <c r="D1533" s="15" t="s">
        <v>4092</v>
      </c>
      <c r="E1533" s="15" t="s">
        <v>4093</v>
      </c>
      <c r="F1533" s="16">
        <v>43203.4306018518</v>
      </c>
      <c r="G1533" s="15" t="s">
        <v>4093</v>
      </c>
      <c r="H1533" s="15" t="s">
        <v>4094</v>
      </c>
      <c r="I1533" s="15">
        <v>0</v>
      </c>
      <c r="J1533" s="15">
        <v>0</v>
      </c>
      <c r="K1533" s="15">
        <v>0</v>
      </c>
      <c r="L1533" s="20">
        <v>0</v>
      </c>
      <c r="M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</row>
    <row r="1534" spans="1:43">
      <c r="A1534" s="15" t="s">
        <v>49</v>
      </c>
      <c r="B1534" s="15" t="s">
        <v>50</v>
      </c>
      <c r="C1534" s="15" t="s">
        <v>61</v>
      </c>
      <c r="D1534" s="15" t="s">
        <v>4095</v>
      </c>
      <c r="E1534" s="15" t="s">
        <v>4096</v>
      </c>
      <c r="F1534" s="16">
        <v>45078.6247337963</v>
      </c>
      <c r="G1534" s="15" t="s">
        <v>4096</v>
      </c>
      <c r="H1534" s="15" t="s">
        <v>54</v>
      </c>
      <c r="I1534" s="15">
        <v>0</v>
      </c>
      <c r="J1534" s="15">
        <v>0</v>
      </c>
      <c r="K1534" s="15">
        <v>0</v>
      </c>
      <c r="L1534" s="20">
        <v>0</v>
      </c>
      <c r="M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</row>
    <row r="1535" spans="1:43">
      <c r="A1535" s="15" t="s">
        <v>49</v>
      </c>
      <c r="B1535" s="15" t="s">
        <v>50</v>
      </c>
      <c r="C1535" s="15" t="s">
        <v>51</v>
      </c>
      <c r="D1535" s="15" t="s">
        <v>4097</v>
      </c>
      <c r="E1535" s="15" t="s">
        <v>4098</v>
      </c>
      <c r="F1535" s="16">
        <v>44124.4624652778</v>
      </c>
      <c r="G1535" s="15" t="s">
        <v>4098</v>
      </c>
      <c r="H1535" s="15" t="s">
        <v>4099</v>
      </c>
      <c r="I1535" s="15">
        <v>0</v>
      </c>
      <c r="J1535" s="15">
        <v>0</v>
      </c>
      <c r="K1535" s="15">
        <v>0</v>
      </c>
      <c r="L1535" s="20">
        <v>0</v>
      </c>
      <c r="M1535" s="15">
        <v>0</v>
      </c>
      <c r="N1535" s="15">
        <v>0</v>
      </c>
      <c r="O1535" s="15">
        <v>0</v>
      </c>
      <c r="P1535" s="15">
        <v>0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</row>
    <row r="1536" spans="1:43">
      <c r="A1536" s="15" t="s">
        <v>43</v>
      </c>
      <c r="B1536" s="15" t="s">
        <v>44</v>
      </c>
      <c r="C1536" s="15" t="s">
        <v>45</v>
      </c>
      <c r="D1536" s="15" t="s">
        <v>4100</v>
      </c>
      <c r="E1536" s="15" t="s">
        <v>4101</v>
      </c>
      <c r="F1536" s="16">
        <v>41633.718125</v>
      </c>
      <c r="G1536" s="15" t="s">
        <v>4101</v>
      </c>
      <c r="H1536" s="15" t="s">
        <v>4102</v>
      </c>
      <c r="I1536" s="15">
        <v>0</v>
      </c>
      <c r="J1536" s="15">
        <v>0</v>
      </c>
      <c r="K1536" s="15">
        <v>0</v>
      </c>
      <c r="L1536" s="20">
        <v>0</v>
      </c>
      <c r="M1536" s="15">
        <v>0</v>
      </c>
      <c r="N1536" s="15">
        <v>0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</row>
    <row r="1537" spans="1:43">
      <c r="A1537" s="15" t="s">
        <v>49</v>
      </c>
      <c r="B1537" s="15" t="s">
        <v>50</v>
      </c>
      <c r="C1537" s="15" t="s">
        <v>61</v>
      </c>
      <c r="D1537" s="15" t="s">
        <v>4103</v>
      </c>
      <c r="E1537" s="15" t="s">
        <v>4104</v>
      </c>
      <c r="F1537" s="16">
        <v>0</v>
      </c>
      <c r="G1537" s="15" t="s">
        <v>4104</v>
      </c>
      <c r="H1537" s="15" t="s">
        <v>54</v>
      </c>
      <c r="I1537" s="15">
        <v>0</v>
      </c>
      <c r="J1537" s="15">
        <v>0</v>
      </c>
      <c r="K1537" s="15">
        <v>0</v>
      </c>
      <c r="L1537" s="20">
        <v>0</v>
      </c>
      <c r="M1537" s="15">
        <v>0</v>
      </c>
      <c r="N1537" s="15">
        <v>0</v>
      </c>
      <c r="O1537" s="15">
        <v>0</v>
      </c>
      <c r="P1537" s="15">
        <v>0</v>
      </c>
      <c r="Q1537" s="15">
        <v>0</v>
      </c>
      <c r="R1537" s="15">
        <v>0</v>
      </c>
      <c r="S1537" s="15">
        <v>0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</row>
    <row r="1538" spans="1:43">
      <c r="A1538" s="15" t="s">
        <v>43</v>
      </c>
      <c r="B1538" s="15" t="s">
        <v>44</v>
      </c>
      <c r="C1538" s="15" t="s">
        <v>45</v>
      </c>
      <c r="D1538" s="15" t="s">
        <v>4105</v>
      </c>
      <c r="E1538" s="15" t="s">
        <v>4106</v>
      </c>
      <c r="F1538" s="16">
        <v>42727.7079050926</v>
      </c>
      <c r="G1538" s="15" t="s">
        <v>4106</v>
      </c>
      <c r="H1538" s="15" t="s">
        <v>4107</v>
      </c>
      <c r="I1538" s="15">
        <v>0</v>
      </c>
      <c r="J1538" s="15">
        <v>0</v>
      </c>
      <c r="K1538" s="15">
        <v>0</v>
      </c>
      <c r="L1538" s="20">
        <v>0</v>
      </c>
      <c r="M1538" s="15">
        <v>0</v>
      </c>
      <c r="N1538" s="15">
        <v>0</v>
      </c>
      <c r="O1538" s="15">
        <v>0</v>
      </c>
      <c r="P1538" s="15">
        <v>0</v>
      </c>
      <c r="Q1538" s="15">
        <v>0</v>
      </c>
      <c r="R1538" s="15">
        <v>0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>
        <v>0</v>
      </c>
      <c r="Y1538" s="15">
        <v>0</v>
      </c>
      <c r="Z1538" s="15">
        <v>0</v>
      </c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</row>
    <row r="1539" spans="1:43">
      <c r="A1539" s="15" t="s">
        <v>43</v>
      </c>
      <c r="B1539" s="15" t="s">
        <v>44</v>
      </c>
      <c r="C1539" s="15" t="s">
        <v>440</v>
      </c>
      <c r="D1539" s="15" t="s">
        <v>4108</v>
      </c>
      <c r="E1539" s="15" t="s">
        <v>4109</v>
      </c>
      <c r="F1539" s="16">
        <v>45054.3986111111</v>
      </c>
      <c r="G1539" s="15" t="s">
        <v>4109</v>
      </c>
      <c r="H1539" s="15" t="s">
        <v>54</v>
      </c>
      <c r="I1539" s="15">
        <v>786.22</v>
      </c>
      <c r="J1539" s="15">
        <v>14</v>
      </c>
      <c r="K1539" s="15">
        <v>56.1585714285714</v>
      </c>
      <c r="L1539" s="20">
        <v>1.12317142857143</v>
      </c>
      <c r="M1539" s="15">
        <v>109.02</v>
      </c>
      <c r="N1539" s="15">
        <v>85.72</v>
      </c>
      <c r="O1539" s="15">
        <v>120.58</v>
      </c>
      <c r="P1539" s="15">
        <v>183.05</v>
      </c>
      <c r="Q1539" s="15">
        <v>82.04</v>
      </c>
      <c r="R1539" s="15">
        <v>100.95</v>
      </c>
      <c r="S1539" s="15">
        <v>16.22</v>
      </c>
      <c r="T1539" s="15">
        <v>8.23</v>
      </c>
      <c r="U1539" s="15">
        <v>15.43</v>
      </c>
      <c r="V1539" s="15">
        <v>11.48</v>
      </c>
      <c r="W1539" s="15">
        <v>8.32</v>
      </c>
      <c r="X1539" s="15">
        <v>12.44</v>
      </c>
      <c r="Y1539" s="15">
        <v>15.55</v>
      </c>
      <c r="Z1539" s="15">
        <v>17.19</v>
      </c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</row>
    <row r="1540" spans="1:43">
      <c r="A1540" s="15" t="s">
        <v>49</v>
      </c>
      <c r="B1540" s="15" t="s">
        <v>50</v>
      </c>
      <c r="C1540" s="15" t="s">
        <v>61</v>
      </c>
      <c r="D1540" s="15" t="s">
        <v>4110</v>
      </c>
      <c r="E1540" s="15" t="s">
        <v>4111</v>
      </c>
      <c r="F1540" s="16">
        <v>0</v>
      </c>
      <c r="G1540" s="15" t="s">
        <v>4111</v>
      </c>
      <c r="H1540" s="15" t="s">
        <v>4112</v>
      </c>
      <c r="I1540" s="15">
        <v>0</v>
      </c>
      <c r="J1540" s="15">
        <v>0</v>
      </c>
      <c r="K1540" s="15">
        <v>0</v>
      </c>
      <c r="L1540" s="20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0</v>
      </c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</row>
    <row r="1541" spans="1:43">
      <c r="A1541" s="15" t="s">
        <v>64</v>
      </c>
      <c r="B1541" s="15" t="s">
        <v>65</v>
      </c>
      <c r="C1541" s="15" t="s">
        <v>66</v>
      </c>
      <c r="D1541" s="15" t="s">
        <v>4113</v>
      </c>
      <c r="E1541" s="15" t="s">
        <v>4114</v>
      </c>
      <c r="F1541" s="16">
        <v>44578.7289236111</v>
      </c>
      <c r="G1541" s="15" t="s">
        <v>4114</v>
      </c>
      <c r="H1541" s="15" t="s">
        <v>54</v>
      </c>
      <c r="I1541" s="15">
        <v>0</v>
      </c>
      <c r="J1541" s="15">
        <v>0</v>
      </c>
      <c r="K1541" s="15">
        <v>0</v>
      </c>
      <c r="L1541" s="20">
        <v>0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0</v>
      </c>
      <c r="Z1541" s="15">
        <v>0</v>
      </c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</row>
    <row r="1542" spans="1:43">
      <c r="A1542" s="15" t="s">
        <v>43</v>
      </c>
      <c r="B1542" s="15" t="s">
        <v>44</v>
      </c>
      <c r="C1542" s="15" t="s">
        <v>45</v>
      </c>
      <c r="D1542" s="15" t="s">
        <v>4115</v>
      </c>
      <c r="E1542" s="15" t="s">
        <v>4116</v>
      </c>
      <c r="F1542" s="16">
        <v>43633.7134837963</v>
      </c>
      <c r="G1542" s="15" t="s">
        <v>4116</v>
      </c>
      <c r="H1542" s="15" t="s">
        <v>4117</v>
      </c>
      <c r="I1542" s="15">
        <v>0</v>
      </c>
      <c r="J1542" s="15">
        <v>0</v>
      </c>
      <c r="K1542" s="15">
        <v>0</v>
      </c>
      <c r="L1542" s="20">
        <v>0</v>
      </c>
      <c r="M1542" s="15">
        <v>0</v>
      </c>
      <c r="N1542" s="15">
        <v>0</v>
      </c>
      <c r="O1542" s="15">
        <v>0</v>
      </c>
      <c r="P1542" s="15">
        <v>0</v>
      </c>
      <c r="Q1542" s="15">
        <v>0</v>
      </c>
      <c r="R1542" s="15">
        <v>0</v>
      </c>
      <c r="S1542" s="15">
        <v>0</v>
      </c>
      <c r="T1542" s="15">
        <v>0</v>
      </c>
      <c r="U1542" s="15">
        <v>0</v>
      </c>
      <c r="V1542" s="15">
        <v>0</v>
      </c>
      <c r="W1542" s="15">
        <v>0</v>
      </c>
      <c r="X1542" s="15">
        <v>0</v>
      </c>
      <c r="Y1542" s="15">
        <v>0</v>
      </c>
      <c r="Z1542" s="15">
        <v>0</v>
      </c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</row>
    <row r="1543" spans="1:43">
      <c r="A1543" s="15" t="s">
        <v>49</v>
      </c>
      <c r="B1543" s="15" t="s">
        <v>50</v>
      </c>
      <c r="C1543" s="15" t="s">
        <v>75</v>
      </c>
      <c r="D1543" s="15" t="s">
        <v>4118</v>
      </c>
      <c r="E1543" s="15" t="s">
        <v>3866</v>
      </c>
      <c r="F1543" s="16">
        <v>44805.6916203704</v>
      </c>
      <c r="G1543" s="15" t="s">
        <v>3866</v>
      </c>
      <c r="H1543" s="15" t="s">
        <v>54</v>
      </c>
      <c r="I1543" s="15">
        <v>0</v>
      </c>
      <c r="J1543" s="15">
        <v>0</v>
      </c>
      <c r="K1543" s="15">
        <v>0</v>
      </c>
      <c r="L1543" s="20">
        <v>0</v>
      </c>
      <c r="M1543" s="15">
        <v>0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0</v>
      </c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</row>
    <row r="1544" spans="1:43">
      <c r="A1544" s="15" t="s">
        <v>64</v>
      </c>
      <c r="B1544" s="15" t="s">
        <v>65</v>
      </c>
      <c r="C1544" s="15" t="s">
        <v>66</v>
      </c>
      <c r="D1544" s="15" t="s">
        <v>4119</v>
      </c>
      <c r="E1544" s="15" t="s">
        <v>4120</v>
      </c>
      <c r="F1544" s="16">
        <v>45146.6987152778</v>
      </c>
      <c r="G1544" s="15" t="s">
        <v>4120</v>
      </c>
      <c r="H1544" s="15" t="s">
        <v>54</v>
      </c>
      <c r="I1544" s="15">
        <v>468.75</v>
      </c>
      <c r="J1544" s="15">
        <v>6</v>
      </c>
      <c r="K1544" s="15">
        <v>78.125</v>
      </c>
      <c r="L1544" s="20">
        <v>1.11607142857143</v>
      </c>
      <c r="M1544" s="15">
        <v>0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58.18</v>
      </c>
      <c r="V1544" s="15">
        <v>105.21</v>
      </c>
      <c r="W1544" s="15">
        <v>55.77</v>
      </c>
      <c r="X1544" s="15">
        <v>34.34</v>
      </c>
      <c r="Y1544" s="15">
        <v>47.87</v>
      </c>
      <c r="Z1544" s="15">
        <v>167.38</v>
      </c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</row>
    <row r="1545" spans="1:43">
      <c r="A1545" s="15" t="s">
        <v>43</v>
      </c>
      <c r="B1545" s="15" t="s">
        <v>44</v>
      </c>
      <c r="C1545" s="15" t="s">
        <v>45</v>
      </c>
      <c r="D1545" s="15" t="s">
        <v>4121</v>
      </c>
      <c r="E1545" s="15" t="s">
        <v>4122</v>
      </c>
      <c r="F1545" s="16">
        <v>42453.6495833333</v>
      </c>
      <c r="G1545" s="15" t="s">
        <v>4122</v>
      </c>
      <c r="H1545" s="15" t="s">
        <v>4123</v>
      </c>
      <c r="I1545" s="15">
        <v>0</v>
      </c>
      <c r="J1545" s="15">
        <v>0</v>
      </c>
      <c r="K1545" s="15">
        <v>0</v>
      </c>
      <c r="L1545" s="20">
        <v>0</v>
      </c>
      <c r="M1545" s="15">
        <v>0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</row>
    <row r="1546" spans="1:43">
      <c r="A1546" s="15" t="s">
        <v>43</v>
      </c>
      <c r="B1546" s="15" t="s">
        <v>44</v>
      </c>
      <c r="C1546" s="15" t="s">
        <v>45</v>
      </c>
      <c r="D1546" s="15" t="s">
        <v>4124</v>
      </c>
      <c r="E1546" s="15" t="s">
        <v>4125</v>
      </c>
      <c r="F1546" s="16">
        <v>41375.6844097222</v>
      </c>
      <c r="G1546" s="15" t="s">
        <v>4125</v>
      </c>
      <c r="H1546" s="15" t="s">
        <v>4126</v>
      </c>
      <c r="I1546" s="15">
        <v>0</v>
      </c>
      <c r="J1546" s="15">
        <v>0</v>
      </c>
      <c r="K1546" s="15">
        <v>0</v>
      </c>
      <c r="L1546" s="20">
        <v>0</v>
      </c>
      <c r="M1546" s="15">
        <v>0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</row>
    <row r="1547" spans="1:43">
      <c r="A1547" s="15" t="s">
        <v>43</v>
      </c>
      <c r="B1547" s="15" t="s">
        <v>44</v>
      </c>
      <c r="C1547" s="15" t="s">
        <v>45</v>
      </c>
      <c r="D1547" s="15" t="s">
        <v>4127</v>
      </c>
      <c r="E1547" s="15" t="s">
        <v>4128</v>
      </c>
      <c r="F1547" s="16">
        <v>43061.6872685185</v>
      </c>
      <c r="G1547" s="15" t="s">
        <v>4128</v>
      </c>
      <c r="H1547" s="15" t="s">
        <v>4129</v>
      </c>
      <c r="I1547" s="15">
        <v>0</v>
      </c>
      <c r="J1547" s="15">
        <v>0</v>
      </c>
      <c r="K1547" s="15">
        <v>0</v>
      </c>
      <c r="L1547" s="20">
        <v>0</v>
      </c>
      <c r="M1547" s="15">
        <v>0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0</v>
      </c>
      <c r="T1547" s="15">
        <v>0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</row>
    <row r="1548" spans="1:43">
      <c r="A1548" s="15" t="s">
        <v>43</v>
      </c>
      <c r="B1548" s="15" t="s">
        <v>44</v>
      </c>
      <c r="C1548" s="15" t="s">
        <v>45</v>
      </c>
      <c r="D1548" s="15" t="s">
        <v>4130</v>
      </c>
      <c r="E1548" s="15" t="s">
        <v>4131</v>
      </c>
      <c r="F1548" s="16">
        <v>42903.5675115741</v>
      </c>
      <c r="G1548" s="15" t="s">
        <v>4131</v>
      </c>
      <c r="H1548" s="15" t="s">
        <v>4132</v>
      </c>
      <c r="I1548" s="15">
        <v>0</v>
      </c>
      <c r="J1548" s="15">
        <v>0</v>
      </c>
      <c r="K1548" s="15">
        <v>0</v>
      </c>
      <c r="L1548" s="20">
        <v>0</v>
      </c>
      <c r="M1548" s="15">
        <v>0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</row>
    <row r="1549" spans="1:43">
      <c r="A1549" s="15" t="s">
        <v>43</v>
      </c>
      <c r="B1549" s="15" t="s">
        <v>44</v>
      </c>
      <c r="C1549" s="15" t="s">
        <v>45</v>
      </c>
      <c r="D1549" s="15" t="s">
        <v>4133</v>
      </c>
      <c r="E1549" s="15" t="s">
        <v>655</v>
      </c>
      <c r="F1549" s="16">
        <v>44070.4428935185</v>
      </c>
      <c r="G1549" s="15" t="s">
        <v>655</v>
      </c>
      <c r="H1549" s="15" t="s">
        <v>4134</v>
      </c>
      <c r="I1549" s="15">
        <v>0</v>
      </c>
      <c r="J1549" s="15">
        <v>0</v>
      </c>
      <c r="K1549" s="15">
        <v>0</v>
      </c>
      <c r="L1549" s="20">
        <v>0</v>
      </c>
      <c r="M1549" s="15">
        <v>0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0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</row>
    <row r="1550" spans="1:43">
      <c r="A1550" s="15" t="s">
        <v>43</v>
      </c>
      <c r="B1550" s="15" t="s">
        <v>44</v>
      </c>
      <c r="C1550" s="15" t="s">
        <v>45</v>
      </c>
      <c r="D1550" s="15" t="s">
        <v>4135</v>
      </c>
      <c r="E1550" s="15" t="s">
        <v>4136</v>
      </c>
      <c r="F1550" s="16">
        <v>41410.6823611111</v>
      </c>
      <c r="G1550" s="15" t="s">
        <v>4136</v>
      </c>
      <c r="H1550" s="15" t="s">
        <v>4137</v>
      </c>
      <c r="I1550" s="15">
        <v>0</v>
      </c>
      <c r="J1550" s="15">
        <v>0</v>
      </c>
      <c r="K1550" s="15">
        <v>0</v>
      </c>
      <c r="L1550" s="20">
        <v>0</v>
      </c>
      <c r="M1550" s="15">
        <v>0</v>
      </c>
      <c r="N1550" s="15">
        <v>0</v>
      </c>
      <c r="O1550" s="15">
        <v>0</v>
      </c>
      <c r="P1550" s="15">
        <v>0</v>
      </c>
      <c r="Q1550" s="15">
        <v>0</v>
      </c>
      <c r="R1550" s="15">
        <v>0</v>
      </c>
      <c r="S1550" s="15">
        <v>0</v>
      </c>
      <c r="T1550" s="15">
        <v>0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0</v>
      </c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</row>
    <row r="1551" spans="1:43">
      <c r="A1551" s="15" t="s">
        <v>43</v>
      </c>
      <c r="B1551" s="15" t="s">
        <v>44</v>
      </c>
      <c r="C1551" s="15" t="s">
        <v>45</v>
      </c>
      <c r="D1551" s="15" t="s">
        <v>4138</v>
      </c>
      <c r="E1551" s="15" t="s">
        <v>4139</v>
      </c>
      <c r="F1551" s="16">
        <v>41005.4383796296</v>
      </c>
      <c r="G1551" s="15" t="s">
        <v>4139</v>
      </c>
      <c r="H1551" s="15" t="s">
        <v>4140</v>
      </c>
      <c r="I1551" s="15">
        <v>0</v>
      </c>
      <c r="J1551" s="15">
        <v>0</v>
      </c>
      <c r="K1551" s="15">
        <v>0</v>
      </c>
      <c r="L1551" s="20">
        <v>0</v>
      </c>
      <c r="M1551" s="15">
        <v>0</v>
      </c>
      <c r="N1551" s="15">
        <v>0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</row>
    <row r="1552" spans="1:43">
      <c r="A1552" s="15" t="s">
        <v>49</v>
      </c>
      <c r="B1552" s="15" t="s">
        <v>50</v>
      </c>
      <c r="C1552" s="15" t="s">
        <v>75</v>
      </c>
      <c r="D1552" s="15" t="s">
        <v>4141</v>
      </c>
      <c r="E1552" s="15" t="s">
        <v>4142</v>
      </c>
      <c r="F1552" s="16">
        <v>44741.636412037</v>
      </c>
      <c r="G1552" s="15" t="s">
        <v>4142</v>
      </c>
      <c r="H1552" s="15" t="s">
        <v>54</v>
      </c>
      <c r="I1552" s="15">
        <v>0</v>
      </c>
      <c r="J1552" s="15">
        <v>0</v>
      </c>
      <c r="K1552" s="15">
        <v>0</v>
      </c>
      <c r="L1552" s="20">
        <v>0</v>
      </c>
      <c r="M1552" s="15">
        <v>0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</row>
    <row r="1553" spans="1:43">
      <c r="A1553" s="15" t="s">
        <v>49</v>
      </c>
      <c r="B1553" s="15" t="s">
        <v>50</v>
      </c>
      <c r="C1553" s="15" t="s">
        <v>61</v>
      </c>
      <c r="D1553" s="15" t="s">
        <v>4143</v>
      </c>
      <c r="E1553" s="15" t="s">
        <v>4144</v>
      </c>
      <c r="F1553" s="16">
        <v>0</v>
      </c>
      <c r="G1553" s="15" t="s">
        <v>4144</v>
      </c>
      <c r="H1553" s="15" t="s">
        <v>4145</v>
      </c>
      <c r="I1553" s="15">
        <v>0</v>
      </c>
      <c r="J1553" s="15">
        <v>0</v>
      </c>
      <c r="K1553" s="15">
        <v>0</v>
      </c>
      <c r="L1553" s="20">
        <v>0</v>
      </c>
      <c r="M1553" s="15">
        <v>0</v>
      </c>
      <c r="N1553" s="15">
        <v>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</row>
    <row r="1554" spans="1:43">
      <c r="A1554" s="15" t="s">
        <v>43</v>
      </c>
      <c r="B1554" s="15" t="s">
        <v>44</v>
      </c>
      <c r="C1554" s="15" t="s">
        <v>45</v>
      </c>
      <c r="D1554" s="15" t="s">
        <v>4146</v>
      </c>
      <c r="E1554" s="15" t="s">
        <v>4147</v>
      </c>
      <c r="F1554" s="16">
        <v>43902.4810648148</v>
      </c>
      <c r="G1554" s="15" t="s">
        <v>4147</v>
      </c>
      <c r="H1554" s="15" t="s">
        <v>54</v>
      </c>
      <c r="I1554" s="15">
        <v>0</v>
      </c>
      <c r="J1554" s="15">
        <v>0</v>
      </c>
      <c r="K1554" s="15">
        <v>0</v>
      </c>
      <c r="L1554" s="20">
        <v>0</v>
      </c>
      <c r="M1554" s="15">
        <v>0</v>
      </c>
      <c r="N1554" s="15">
        <v>0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</row>
    <row r="1555" spans="1:43">
      <c r="A1555" s="15" t="s">
        <v>49</v>
      </c>
      <c r="B1555" s="15" t="s">
        <v>50</v>
      </c>
      <c r="C1555" s="15" t="s">
        <v>61</v>
      </c>
      <c r="D1555" s="15" t="s">
        <v>4148</v>
      </c>
      <c r="E1555" s="15" t="s">
        <v>4149</v>
      </c>
      <c r="F1555" s="16">
        <v>0</v>
      </c>
      <c r="G1555" s="15" t="s">
        <v>4149</v>
      </c>
      <c r="H1555" s="15" t="s">
        <v>54</v>
      </c>
      <c r="I1555" s="15">
        <v>0</v>
      </c>
      <c r="J1555" s="15">
        <v>0</v>
      </c>
      <c r="K1555" s="15">
        <v>0</v>
      </c>
      <c r="L1555" s="20">
        <v>0</v>
      </c>
      <c r="M1555" s="15">
        <v>0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0</v>
      </c>
      <c r="X1555" s="15">
        <v>0</v>
      </c>
      <c r="Y1555" s="15">
        <v>0</v>
      </c>
      <c r="Z1555" s="15">
        <v>0</v>
      </c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</row>
    <row r="1556" spans="1:43">
      <c r="A1556" s="15" t="s">
        <v>43</v>
      </c>
      <c r="B1556" s="15" t="s">
        <v>44</v>
      </c>
      <c r="C1556" s="15" t="s">
        <v>45</v>
      </c>
      <c r="D1556" s="15" t="s">
        <v>4150</v>
      </c>
      <c r="E1556" s="15" t="s">
        <v>4151</v>
      </c>
      <c r="F1556" s="16">
        <v>41283.4565509259</v>
      </c>
      <c r="G1556" s="15" t="s">
        <v>4151</v>
      </c>
      <c r="H1556" s="15" t="s">
        <v>4152</v>
      </c>
      <c r="I1556" s="15">
        <v>0</v>
      </c>
      <c r="J1556" s="15">
        <v>0</v>
      </c>
      <c r="K1556" s="15">
        <v>0</v>
      </c>
      <c r="L1556" s="20">
        <v>0</v>
      </c>
      <c r="M1556" s="15">
        <v>0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0</v>
      </c>
      <c r="X1556" s="15">
        <v>0</v>
      </c>
      <c r="Y1556" s="15">
        <v>0</v>
      </c>
      <c r="Z1556" s="15">
        <v>0</v>
      </c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</row>
    <row r="1557" spans="1:43">
      <c r="A1557" s="15" t="s">
        <v>43</v>
      </c>
      <c r="B1557" s="15" t="s">
        <v>44</v>
      </c>
      <c r="C1557" s="15" t="s">
        <v>45</v>
      </c>
      <c r="D1557" s="15" t="s">
        <v>4153</v>
      </c>
      <c r="E1557" s="15" t="s">
        <v>1336</v>
      </c>
      <c r="F1557" s="16">
        <v>42573.4696875</v>
      </c>
      <c r="G1557" s="15" t="s">
        <v>1336</v>
      </c>
      <c r="H1557" s="15" t="s">
        <v>4154</v>
      </c>
      <c r="I1557" s="15">
        <v>0</v>
      </c>
      <c r="J1557" s="15">
        <v>0</v>
      </c>
      <c r="K1557" s="15">
        <v>0</v>
      </c>
      <c r="L1557" s="20">
        <v>0</v>
      </c>
      <c r="M1557" s="15">
        <v>0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0</v>
      </c>
      <c r="U1557" s="15">
        <v>0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</row>
    <row r="1558" spans="1:43">
      <c r="A1558" s="15" t="s">
        <v>43</v>
      </c>
      <c r="B1558" s="15" t="s">
        <v>44</v>
      </c>
      <c r="C1558" s="15" t="s">
        <v>45</v>
      </c>
      <c r="D1558" s="15" t="s">
        <v>4155</v>
      </c>
      <c r="E1558" s="15" t="s">
        <v>2019</v>
      </c>
      <c r="F1558" s="16">
        <v>43762.68375</v>
      </c>
      <c r="G1558" s="15" t="s">
        <v>2019</v>
      </c>
      <c r="H1558" s="15" t="s">
        <v>4156</v>
      </c>
      <c r="I1558" s="15">
        <v>0</v>
      </c>
      <c r="J1558" s="15">
        <v>0</v>
      </c>
      <c r="K1558" s="15">
        <v>0</v>
      </c>
      <c r="L1558" s="20">
        <v>0</v>
      </c>
      <c r="M1558" s="15">
        <v>0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</row>
    <row r="1559" spans="1:43">
      <c r="A1559" s="15" t="s">
        <v>49</v>
      </c>
      <c r="B1559" s="15" t="s">
        <v>50</v>
      </c>
      <c r="C1559" s="15" t="s">
        <v>75</v>
      </c>
      <c r="D1559" s="15" t="s">
        <v>4157</v>
      </c>
      <c r="E1559" s="15" t="s">
        <v>4158</v>
      </c>
      <c r="F1559" s="16">
        <v>44803.3738425926</v>
      </c>
      <c r="G1559" s="15" t="s">
        <v>4158</v>
      </c>
      <c r="H1559" s="15" t="s">
        <v>54</v>
      </c>
      <c r="I1559" s="15">
        <v>0</v>
      </c>
      <c r="J1559" s="15">
        <v>0</v>
      </c>
      <c r="K1559" s="15">
        <v>0</v>
      </c>
      <c r="L1559" s="20">
        <v>0</v>
      </c>
      <c r="M1559" s="15">
        <v>0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</row>
    <row r="1560" spans="1:43">
      <c r="A1560" s="15" t="s">
        <v>43</v>
      </c>
      <c r="B1560" s="15" t="s">
        <v>44</v>
      </c>
      <c r="C1560" s="15" t="s">
        <v>45</v>
      </c>
      <c r="D1560" s="15" t="s">
        <v>4159</v>
      </c>
      <c r="E1560" s="15" t="s">
        <v>2605</v>
      </c>
      <c r="F1560" s="16">
        <v>43006.609212963</v>
      </c>
      <c r="G1560" s="15" t="s">
        <v>2605</v>
      </c>
      <c r="H1560" s="15" t="s">
        <v>2606</v>
      </c>
      <c r="I1560" s="15">
        <v>0</v>
      </c>
      <c r="J1560" s="15">
        <v>0</v>
      </c>
      <c r="K1560" s="15">
        <v>0</v>
      </c>
      <c r="L1560" s="20">
        <v>0</v>
      </c>
      <c r="M1560" s="15">
        <v>0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0</v>
      </c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</row>
    <row r="1561" spans="1:43">
      <c r="A1561" s="15" t="s">
        <v>64</v>
      </c>
      <c r="B1561" s="15" t="s">
        <v>65</v>
      </c>
      <c r="C1561" s="15" t="s">
        <v>522</v>
      </c>
      <c r="D1561" s="15" t="s">
        <v>4160</v>
      </c>
      <c r="E1561" s="15" t="s">
        <v>4161</v>
      </c>
      <c r="F1561" s="16">
        <v>45102.7128587963</v>
      </c>
      <c r="G1561" s="15" t="s">
        <v>4161</v>
      </c>
      <c r="H1561" s="15" t="s">
        <v>54</v>
      </c>
      <c r="I1561" s="15">
        <v>3591.21</v>
      </c>
      <c r="J1561" s="15">
        <v>14</v>
      </c>
      <c r="K1561" s="15">
        <v>256.515</v>
      </c>
      <c r="L1561" s="20">
        <v>3.6645</v>
      </c>
      <c r="M1561" s="15">
        <v>176.56</v>
      </c>
      <c r="N1561" s="15">
        <v>231.81</v>
      </c>
      <c r="O1561" s="15">
        <v>116.22</v>
      </c>
      <c r="P1561" s="15">
        <v>507.98</v>
      </c>
      <c r="Q1561" s="15">
        <v>57.14</v>
      </c>
      <c r="R1561" s="15">
        <v>106.12</v>
      </c>
      <c r="S1561" s="15">
        <v>111.93</v>
      </c>
      <c r="T1561" s="15">
        <v>245.22</v>
      </c>
      <c r="U1561" s="15">
        <v>55.87</v>
      </c>
      <c r="V1561" s="15">
        <v>64.64</v>
      </c>
      <c r="W1561" s="15">
        <v>501</v>
      </c>
      <c r="X1561" s="15">
        <v>445.39</v>
      </c>
      <c r="Y1561" s="15">
        <v>465.28</v>
      </c>
      <c r="Z1561" s="15">
        <v>506.05</v>
      </c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</row>
    <row r="1562" spans="1:43">
      <c r="A1562" s="15" t="s">
        <v>43</v>
      </c>
      <c r="B1562" s="15" t="s">
        <v>44</v>
      </c>
      <c r="C1562" s="15" t="s">
        <v>228</v>
      </c>
      <c r="D1562" s="15" t="s">
        <v>4162</v>
      </c>
      <c r="E1562" s="15" t="s">
        <v>4163</v>
      </c>
      <c r="F1562" s="16">
        <v>45015.5973842593</v>
      </c>
      <c r="G1562" s="15" t="s">
        <v>4163</v>
      </c>
      <c r="H1562" s="15" t="s">
        <v>54</v>
      </c>
      <c r="I1562" s="15">
        <v>5208.02</v>
      </c>
      <c r="J1562" s="15">
        <v>14</v>
      </c>
      <c r="K1562" s="15">
        <v>372.001428571429</v>
      </c>
      <c r="L1562" s="20">
        <v>7.44002857142857</v>
      </c>
      <c r="M1562" s="15">
        <v>484.38</v>
      </c>
      <c r="N1562" s="15">
        <v>448.31</v>
      </c>
      <c r="O1562" s="15">
        <v>453.46</v>
      </c>
      <c r="P1562" s="15">
        <v>415.39</v>
      </c>
      <c r="Q1562" s="15">
        <v>478.5</v>
      </c>
      <c r="R1562" s="15">
        <v>195.09</v>
      </c>
      <c r="S1562" s="15">
        <v>617.82</v>
      </c>
      <c r="T1562" s="15">
        <v>558.97</v>
      </c>
      <c r="U1562" s="15">
        <v>316.4</v>
      </c>
      <c r="V1562" s="15">
        <v>173.78</v>
      </c>
      <c r="W1562" s="15">
        <v>378.95</v>
      </c>
      <c r="X1562" s="15">
        <v>164.55</v>
      </c>
      <c r="Y1562" s="15">
        <v>114.67</v>
      </c>
      <c r="Z1562" s="15">
        <v>407.75</v>
      </c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</row>
    <row r="1563" spans="1:43">
      <c r="A1563" s="15" t="s">
        <v>43</v>
      </c>
      <c r="B1563" s="15" t="s">
        <v>44</v>
      </c>
      <c r="C1563" s="15" t="s">
        <v>45</v>
      </c>
      <c r="D1563" s="15" t="s">
        <v>4164</v>
      </c>
      <c r="E1563" s="15" t="s">
        <v>4165</v>
      </c>
      <c r="F1563" s="16">
        <v>43815.7203819444</v>
      </c>
      <c r="G1563" s="15" t="s">
        <v>4165</v>
      </c>
      <c r="H1563" s="15" t="s">
        <v>4166</v>
      </c>
      <c r="I1563" s="15">
        <v>0</v>
      </c>
      <c r="J1563" s="15">
        <v>0</v>
      </c>
      <c r="K1563" s="15">
        <v>0</v>
      </c>
      <c r="L1563" s="20">
        <v>0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</row>
    <row r="1564" spans="1:43">
      <c r="A1564" s="15" t="s">
        <v>43</v>
      </c>
      <c r="B1564" s="15" t="s">
        <v>44</v>
      </c>
      <c r="C1564" s="15" t="s">
        <v>45</v>
      </c>
      <c r="D1564" s="15" t="s">
        <v>4167</v>
      </c>
      <c r="E1564" s="15" t="s">
        <v>4168</v>
      </c>
      <c r="F1564" s="16">
        <v>41403.427974537</v>
      </c>
      <c r="G1564" s="15" t="s">
        <v>4168</v>
      </c>
      <c r="H1564" s="15" t="s">
        <v>1228</v>
      </c>
      <c r="I1564" s="15">
        <v>0</v>
      </c>
      <c r="J1564" s="15">
        <v>0</v>
      </c>
      <c r="K1564" s="15">
        <v>0</v>
      </c>
      <c r="L1564" s="20">
        <v>0</v>
      </c>
      <c r="M1564" s="15">
        <v>0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0</v>
      </c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</row>
    <row r="1565" spans="1:43">
      <c r="A1565" s="15" t="s">
        <v>43</v>
      </c>
      <c r="B1565" s="15" t="s">
        <v>44</v>
      </c>
      <c r="C1565" s="15" t="s">
        <v>45</v>
      </c>
      <c r="D1565" s="15" t="s">
        <v>4169</v>
      </c>
      <c r="E1565" s="15" t="s">
        <v>4170</v>
      </c>
      <c r="F1565" s="16">
        <v>42353.3980439815</v>
      </c>
      <c r="G1565" s="15" t="s">
        <v>4170</v>
      </c>
      <c r="H1565" s="15" t="s">
        <v>4171</v>
      </c>
      <c r="I1565" s="15">
        <v>0</v>
      </c>
      <c r="J1565" s="15">
        <v>0</v>
      </c>
      <c r="K1565" s="15">
        <v>0</v>
      </c>
      <c r="L1565" s="20">
        <v>0</v>
      </c>
      <c r="M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</row>
    <row r="1566" spans="1:43">
      <c r="A1566" s="15" t="s">
        <v>64</v>
      </c>
      <c r="B1566" s="15" t="s">
        <v>65</v>
      </c>
      <c r="C1566" s="15" t="s">
        <v>66</v>
      </c>
      <c r="D1566" s="15" t="s">
        <v>4172</v>
      </c>
      <c r="E1566" s="15" t="s">
        <v>4173</v>
      </c>
      <c r="F1566" s="16">
        <v>45000.698587963</v>
      </c>
      <c r="G1566" s="15" t="s">
        <v>4173</v>
      </c>
      <c r="H1566" s="15" t="s">
        <v>4174</v>
      </c>
      <c r="I1566" s="15">
        <v>620.57</v>
      </c>
      <c r="J1566" s="15">
        <v>10</v>
      </c>
      <c r="K1566" s="15">
        <v>62.057</v>
      </c>
      <c r="L1566" s="20">
        <v>0.886528571428571</v>
      </c>
      <c r="M1566" s="15">
        <v>35.84</v>
      </c>
      <c r="N1566" s="15">
        <v>19.32</v>
      </c>
      <c r="O1566" s="15">
        <v>70.09</v>
      </c>
      <c r="P1566" s="15">
        <v>70.67</v>
      </c>
      <c r="Q1566" s="15">
        <v>0</v>
      </c>
      <c r="R1566" s="15">
        <v>0</v>
      </c>
      <c r="S1566" s="15">
        <v>70.99</v>
      </c>
      <c r="T1566" s="15">
        <v>70.27</v>
      </c>
      <c r="U1566" s="15">
        <v>71.69</v>
      </c>
      <c r="V1566" s="15">
        <v>70.4</v>
      </c>
      <c r="W1566" s="15">
        <v>70.47</v>
      </c>
      <c r="X1566" s="15">
        <v>0</v>
      </c>
      <c r="Y1566" s="15">
        <v>0</v>
      </c>
      <c r="Z1566" s="15">
        <v>70.83</v>
      </c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</row>
    <row r="1567" spans="1:43">
      <c r="A1567" s="15" t="s">
        <v>43</v>
      </c>
      <c r="B1567" s="15" t="s">
        <v>44</v>
      </c>
      <c r="C1567" s="15" t="s">
        <v>45</v>
      </c>
      <c r="D1567" s="15" t="s">
        <v>4175</v>
      </c>
      <c r="E1567" s="15" t="s">
        <v>4176</v>
      </c>
      <c r="F1567" s="16">
        <v>42636.6528935185</v>
      </c>
      <c r="G1567" s="15" t="s">
        <v>4176</v>
      </c>
      <c r="H1567" s="15" t="s">
        <v>4177</v>
      </c>
      <c r="I1567" s="15">
        <v>0</v>
      </c>
      <c r="J1567" s="15">
        <v>0</v>
      </c>
      <c r="K1567" s="15">
        <v>0</v>
      </c>
      <c r="L1567" s="20">
        <v>0</v>
      </c>
      <c r="M1567" s="15">
        <v>0</v>
      </c>
      <c r="N1567" s="15">
        <v>0</v>
      </c>
      <c r="O1567" s="15">
        <v>0</v>
      </c>
      <c r="P1567" s="15">
        <v>0</v>
      </c>
      <c r="Q1567" s="15">
        <v>0</v>
      </c>
      <c r="R1567" s="15">
        <v>0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</row>
    <row r="1568" spans="1:43">
      <c r="A1568" s="15" t="s">
        <v>43</v>
      </c>
      <c r="B1568" s="15" t="s">
        <v>44</v>
      </c>
      <c r="C1568" s="15" t="s">
        <v>45</v>
      </c>
      <c r="D1568" s="15" t="s">
        <v>4178</v>
      </c>
      <c r="E1568" s="15" t="s">
        <v>4179</v>
      </c>
      <c r="F1568" s="16">
        <v>43257.5889351852</v>
      </c>
      <c r="G1568" s="15" t="s">
        <v>4179</v>
      </c>
      <c r="H1568" s="15" t="s">
        <v>4180</v>
      </c>
      <c r="I1568" s="15">
        <v>0</v>
      </c>
      <c r="J1568" s="15">
        <v>0</v>
      </c>
      <c r="K1568" s="15">
        <v>0</v>
      </c>
      <c r="L1568" s="20">
        <v>0</v>
      </c>
      <c r="M1568" s="15">
        <v>0</v>
      </c>
      <c r="N1568" s="15">
        <v>0</v>
      </c>
      <c r="O1568" s="15">
        <v>0</v>
      </c>
      <c r="P1568" s="15">
        <v>0</v>
      </c>
      <c r="Q1568" s="15">
        <v>0</v>
      </c>
      <c r="R1568" s="15">
        <v>0</v>
      </c>
      <c r="S1568" s="15">
        <v>0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</row>
    <row r="1569" spans="1:43">
      <c r="A1569" s="15" t="s">
        <v>49</v>
      </c>
      <c r="B1569" s="15" t="s">
        <v>50</v>
      </c>
      <c r="C1569" s="15" t="s">
        <v>61</v>
      </c>
      <c r="D1569" s="15" t="s">
        <v>4181</v>
      </c>
      <c r="E1569" s="15" t="s">
        <v>4182</v>
      </c>
      <c r="F1569" s="16">
        <v>0</v>
      </c>
      <c r="G1569" s="15" t="s">
        <v>4182</v>
      </c>
      <c r="H1569" s="15" t="s">
        <v>4183</v>
      </c>
      <c r="I1569" s="15">
        <v>0</v>
      </c>
      <c r="J1569" s="15">
        <v>0</v>
      </c>
      <c r="K1569" s="15">
        <v>0</v>
      </c>
      <c r="L1569" s="20">
        <v>0</v>
      </c>
      <c r="M1569" s="15">
        <v>0</v>
      </c>
      <c r="N1569" s="15">
        <v>0</v>
      </c>
      <c r="O1569" s="15">
        <v>0</v>
      </c>
      <c r="P1569" s="15">
        <v>0</v>
      </c>
      <c r="Q1569" s="15">
        <v>0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</row>
    <row r="1570" spans="1:43">
      <c r="A1570" s="15" t="s">
        <v>43</v>
      </c>
      <c r="B1570" s="15" t="s">
        <v>44</v>
      </c>
      <c r="C1570" s="15" t="s">
        <v>45</v>
      </c>
      <c r="D1570" s="15" t="s">
        <v>4184</v>
      </c>
      <c r="E1570" s="15" t="s">
        <v>4185</v>
      </c>
      <c r="F1570" s="16">
        <v>0</v>
      </c>
      <c r="G1570" s="15" t="s">
        <v>4185</v>
      </c>
      <c r="H1570" s="15" t="s">
        <v>4186</v>
      </c>
      <c r="I1570" s="15">
        <v>0</v>
      </c>
      <c r="J1570" s="15">
        <v>0</v>
      </c>
      <c r="K1570" s="15">
        <v>0</v>
      </c>
      <c r="L1570" s="20">
        <v>0</v>
      </c>
      <c r="M1570" s="15">
        <v>0</v>
      </c>
      <c r="N1570" s="15">
        <v>0</v>
      </c>
      <c r="O1570" s="15">
        <v>0</v>
      </c>
      <c r="P1570" s="15">
        <v>0</v>
      </c>
      <c r="Q1570" s="15">
        <v>0</v>
      </c>
      <c r="R1570" s="15">
        <v>0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</row>
    <row r="1571" spans="1:43">
      <c r="A1571" s="15" t="s">
        <v>49</v>
      </c>
      <c r="B1571" s="15" t="s">
        <v>50</v>
      </c>
      <c r="C1571" s="15" t="s">
        <v>61</v>
      </c>
      <c r="D1571" s="15" t="s">
        <v>4187</v>
      </c>
      <c r="E1571" s="15" t="s">
        <v>4188</v>
      </c>
      <c r="F1571" s="16">
        <v>44118.5993171296</v>
      </c>
      <c r="G1571" s="15" t="s">
        <v>4188</v>
      </c>
      <c r="H1571" s="15" t="s">
        <v>54</v>
      </c>
      <c r="I1571" s="15">
        <v>0</v>
      </c>
      <c r="J1571" s="15">
        <v>0</v>
      </c>
      <c r="K1571" s="15">
        <v>0</v>
      </c>
      <c r="L1571" s="20">
        <v>0</v>
      </c>
      <c r="M1571" s="15">
        <v>0</v>
      </c>
      <c r="N1571" s="15">
        <v>0</v>
      </c>
      <c r="O1571" s="15">
        <v>0</v>
      </c>
      <c r="P1571" s="15">
        <v>0</v>
      </c>
      <c r="Q1571" s="15">
        <v>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</row>
    <row r="1572" spans="1:43">
      <c r="A1572" s="15" t="s">
        <v>43</v>
      </c>
      <c r="B1572" s="15" t="s">
        <v>44</v>
      </c>
      <c r="C1572" s="15" t="s">
        <v>45</v>
      </c>
      <c r="D1572" s="15" t="s">
        <v>4189</v>
      </c>
      <c r="E1572" s="15" t="s">
        <v>4190</v>
      </c>
      <c r="F1572" s="16">
        <v>42728.6384722222</v>
      </c>
      <c r="G1572" s="15" t="s">
        <v>4190</v>
      </c>
      <c r="H1572" s="15" t="s">
        <v>4191</v>
      </c>
      <c r="I1572" s="15">
        <v>0</v>
      </c>
      <c r="J1572" s="15">
        <v>0</v>
      </c>
      <c r="K1572" s="15">
        <v>0</v>
      </c>
      <c r="L1572" s="20">
        <v>0</v>
      </c>
      <c r="M1572" s="15">
        <v>0</v>
      </c>
      <c r="N1572" s="15">
        <v>0</v>
      </c>
      <c r="O1572" s="15">
        <v>0</v>
      </c>
      <c r="P1572" s="15">
        <v>0</v>
      </c>
      <c r="Q1572" s="15">
        <v>0</v>
      </c>
      <c r="R1572" s="15">
        <v>0</v>
      </c>
      <c r="S1572" s="15">
        <v>0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</row>
    <row r="1573" spans="1:43">
      <c r="A1573" s="15" t="s">
        <v>49</v>
      </c>
      <c r="B1573" s="15" t="s">
        <v>50</v>
      </c>
      <c r="C1573" s="15" t="s">
        <v>75</v>
      </c>
      <c r="D1573" s="15" t="s">
        <v>4192</v>
      </c>
      <c r="E1573" s="15" t="s">
        <v>4193</v>
      </c>
      <c r="F1573" s="16">
        <v>44879.3734375</v>
      </c>
      <c r="G1573" s="15" t="s">
        <v>4193</v>
      </c>
      <c r="H1573" s="15" t="s">
        <v>54</v>
      </c>
      <c r="I1573" s="15">
        <v>0</v>
      </c>
      <c r="J1573" s="15">
        <v>0</v>
      </c>
      <c r="K1573" s="15">
        <v>0</v>
      </c>
      <c r="L1573" s="20">
        <v>0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</row>
    <row r="1574" spans="1:43">
      <c r="A1574" s="15" t="s">
        <v>49</v>
      </c>
      <c r="B1574" s="15" t="s">
        <v>50</v>
      </c>
      <c r="C1574" s="15" t="s">
        <v>301</v>
      </c>
      <c r="D1574" s="15" t="s">
        <v>4194</v>
      </c>
      <c r="E1574" s="15" t="s">
        <v>4195</v>
      </c>
      <c r="F1574" s="16">
        <v>45034.4040277778</v>
      </c>
      <c r="G1574" s="15" t="s">
        <v>4195</v>
      </c>
      <c r="H1574" s="15" t="s">
        <v>54</v>
      </c>
      <c r="I1574" s="15">
        <v>982.09</v>
      </c>
      <c r="J1574" s="15">
        <v>9</v>
      </c>
      <c r="K1574" s="15">
        <v>109.121111111111</v>
      </c>
      <c r="L1574" s="20">
        <v>2.18242222222222</v>
      </c>
      <c r="M1574" s="15">
        <v>130.02</v>
      </c>
      <c r="N1574" s="15">
        <v>166.15</v>
      </c>
      <c r="O1574" s="15">
        <v>87.67</v>
      </c>
      <c r="P1574" s="15">
        <v>151.45</v>
      </c>
      <c r="Q1574" s="15">
        <v>43.79</v>
      </c>
      <c r="R1574" s="15">
        <v>27.1</v>
      </c>
      <c r="S1574" s="15">
        <v>162.01</v>
      </c>
      <c r="T1574" s="15">
        <v>162.23</v>
      </c>
      <c r="U1574" s="15">
        <v>51.67</v>
      </c>
      <c r="V1574" s="15">
        <v>0</v>
      </c>
      <c r="W1574" s="15">
        <v>0</v>
      </c>
      <c r="X1574" s="15">
        <v>0</v>
      </c>
      <c r="Y1574" s="15">
        <v>0</v>
      </c>
      <c r="Z1574" s="15">
        <v>0</v>
      </c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</row>
    <row r="1575" spans="1:43">
      <c r="A1575" s="15" t="s">
        <v>43</v>
      </c>
      <c r="B1575" s="15" t="s">
        <v>44</v>
      </c>
      <c r="C1575" s="15" t="s">
        <v>45</v>
      </c>
      <c r="D1575" s="15" t="s">
        <v>4196</v>
      </c>
      <c r="E1575" s="15" t="s">
        <v>4197</v>
      </c>
      <c r="F1575" s="16">
        <v>41295.740162037</v>
      </c>
      <c r="G1575" s="15" t="s">
        <v>4197</v>
      </c>
      <c r="H1575" s="15" t="s">
        <v>4198</v>
      </c>
      <c r="I1575" s="15">
        <v>0</v>
      </c>
      <c r="J1575" s="15">
        <v>0</v>
      </c>
      <c r="K1575" s="15">
        <v>0</v>
      </c>
      <c r="L1575" s="20">
        <v>0</v>
      </c>
      <c r="M1575" s="15">
        <v>0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</row>
    <row r="1576" spans="1:43">
      <c r="A1576" s="15" t="s">
        <v>43</v>
      </c>
      <c r="B1576" s="15" t="s">
        <v>44</v>
      </c>
      <c r="C1576" s="15" t="s">
        <v>45</v>
      </c>
      <c r="D1576" s="15" t="s">
        <v>4199</v>
      </c>
      <c r="E1576" s="15" t="s">
        <v>4200</v>
      </c>
      <c r="F1576" s="16">
        <v>43629.4608680555</v>
      </c>
      <c r="G1576" s="15" t="s">
        <v>4200</v>
      </c>
      <c r="H1576" s="15" t="s">
        <v>4201</v>
      </c>
      <c r="I1576" s="15">
        <v>0</v>
      </c>
      <c r="J1576" s="15">
        <v>0</v>
      </c>
      <c r="K1576" s="15">
        <v>0</v>
      </c>
      <c r="L1576" s="20">
        <v>0</v>
      </c>
      <c r="M1576" s="15">
        <v>0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</row>
    <row r="1577" spans="1:43">
      <c r="A1577" s="15" t="s">
        <v>49</v>
      </c>
      <c r="B1577" s="15" t="s">
        <v>50</v>
      </c>
      <c r="C1577" s="15" t="s">
        <v>61</v>
      </c>
      <c r="D1577" s="15" t="s">
        <v>4202</v>
      </c>
      <c r="E1577" s="15" t="s">
        <v>4203</v>
      </c>
      <c r="F1577" s="16">
        <v>0</v>
      </c>
      <c r="G1577" s="15" t="s">
        <v>4203</v>
      </c>
      <c r="H1577" s="15" t="s">
        <v>54</v>
      </c>
      <c r="I1577" s="15">
        <v>0</v>
      </c>
      <c r="J1577" s="15">
        <v>0</v>
      </c>
      <c r="K1577" s="15">
        <v>0</v>
      </c>
      <c r="L1577" s="20">
        <v>0</v>
      </c>
      <c r="M1577" s="15">
        <v>0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</row>
    <row r="1578" spans="1:43">
      <c r="A1578" s="15" t="s">
        <v>49</v>
      </c>
      <c r="B1578" s="15" t="s">
        <v>50</v>
      </c>
      <c r="C1578" s="15" t="s">
        <v>61</v>
      </c>
      <c r="D1578" s="15" t="s">
        <v>4204</v>
      </c>
      <c r="E1578" s="15" t="s">
        <v>3563</v>
      </c>
      <c r="F1578" s="16">
        <v>0</v>
      </c>
      <c r="G1578" s="15" t="s">
        <v>3563</v>
      </c>
      <c r="H1578" s="15" t="s">
        <v>54</v>
      </c>
      <c r="I1578" s="15">
        <v>0</v>
      </c>
      <c r="J1578" s="15">
        <v>0</v>
      </c>
      <c r="K1578" s="15">
        <v>0</v>
      </c>
      <c r="L1578" s="20">
        <v>0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</row>
    <row r="1579" spans="1:43">
      <c r="A1579" s="15" t="s">
        <v>43</v>
      </c>
      <c r="B1579" s="15" t="s">
        <v>44</v>
      </c>
      <c r="C1579" s="15" t="s">
        <v>45</v>
      </c>
      <c r="D1579" s="15" t="s">
        <v>4205</v>
      </c>
      <c r="E1579" s="15" t="s">
        <v>4206</v>
      </c>
      <c r="F1579" s="16">
        <v>44336.6786342593</v>
      </c>
      <c r="G1579" s="15" t="s">
        <v>4206</v>
      </c>
      <c r="H1579" s="15" t="s">
        <v>54</v>
      </c>
      <c r="I1579" s="15">
        <v>0</v>
      </c>
      <c r="J1579" s="15">
        <v>0</v>
      </c>
      <c r="K1579" s="15">
        <v>0</v>
      </c>
      <c r="L1579" s="20">
        <v>0</v>
      </c>
      <c r="M1579" s="15">
        <v>0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</row>
    <row r="1580" spans="1:43">
      <c r="A1580" s="15" t="s">
        <v>49</v>
      </c>
      <c r="B1580" s="15" t="s">
        <v>50</v>
      </c>
      <c r="C1580" s="15" t="s">
        <v>61</v>
      </c>
      <c r="D1580" s="15" t="s">
        <v>4207</v>
      </c>
      <c r="E1580" s="15" t="s">
        <v>4208</v>
      </c>
      <c r="F1580" s="16">
        <v>0</v>
      </c>
      <c r="G1580" s="15" t="s">
        <v>4208</v>
      </c>
      <c r="H1580" s="15" t="s">
        <v>4209</v>
      </c>
      <c r="I1580" s="15">
        <v>0</v>
      </c>
      <c r="J1580" s="15">
        <v>0</v>
      </c>
      <c r="K1580" s="15">
        <v>0</v>
      </c>
      <c r="L1580" s="20">
        <v>0</v>
      </c>
      <c r="M1580" s="15">
        <v>0</v>
      </c>
      <c r="N1580" s="15">
        <v>0</v>
      </c>
      <c r="O1580" s="15">
        <v>0</v>
      </c>
      <c r="P1580" s="15">
        <v>0</v>
      </c>
      <c r="Q1580" s="15">
        <v>0</v>
      </c>
      <c r="R1580" s="15">
        <v>0</v>
      </c>
      <c r="S1580" s="15">
        <v>0</v>
      </c>
      <c r="T1580" s="15">
        <v>0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</row>
    <row r="1581" spans="1:43">
      <c r="A1581" s="15" t="s">
        <v>49</v>
      </c>
      <c r="B1581" s="15" t="s">
        <v>50</v>
      </c>
      <c r="C1581" s="15" t="s">
        <v>61</v>
      </c>
      <c r="D1581" s="15" t="s">
        <v>4210</v>
      </c>
      <c r="E1581" s="15" t="s">
        <v>4211</v>
      </c>
      <c r="F1581" s="16">
        <v>0</v>
      </c>
      <c r="G1581" s="15" t="s">
        <v>4211</v>
      </c>
      <c r="H1581" s="15" t="s">
        <v>54</v>
      </c>
      <c r="I1581" s="15">
        <v>0</v>
      </c>
      <c r="J1581" s="15">
        <v>0</v>
      </c>
      <c r="K1581" s="15">
        <v>0</v>
      </c>
      <c r="L1581" s="20">
        <v>0</v>
      </c>
      <c r="M1581" s="15">
        <v>0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0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</row>
    <row r="1582" spans="1:43">
      <c r="A1582" s="15" t="s">
        <v>43</v>
      </c>
      <c r="B1582" s="15" t="s">
        <v>44</v>
      </c>
      <c r="C1582" s="15" t="s">
        <v>45</v>
      </c>
      <c r="D1582" s="15" t="s">
        <v>4212</v>
      </c>
      <c r="E1582" s="15" t="s">
        <v>4213</v>
      </c>
      <c r="F1582" s="16">
        <v>40366.4685069445</v>
      </c>
      <c r="G1582" s="15" t="s">
        <v>4213</v>
      </c>
      <c r="H1582" s="15" t="s">
        <v>4214</v>
      </c>
      <c r="I1582" s="15">
        <v>0</v>
      </c>
      <c r="J1582" s="15">
        <v>0</v>
      </c>
      <c r="K1582" s="15">
        <v>0</v>
      </c>
      <c r="L1582" s="20">
        <v>0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0</v>
      </c>
      <c r="V1582" s="15">
        <v>0</v>
      </c>
      <c r="W1582" s="15">
        <v>0</v>
      </c>
      <c r="X1582" s="15">
        <v>0</v>
      </c>
      <c r="Y1582" s="15">
        <v>0</v>
      </c>
      <c r="Z1582" s="15">
        <v>0</v>
      </c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</row>
    <row r="1583" spans="1:43">
      <c r="A1583" s="15" t="s">
        <v>43</v>
      </c>
      <c r="B1583" s="15" t="s">
        <v>44</v>
      </c>
      <c r="C1583" s="15" t="s">
        <v>45</v>
      </c>
      <c r="D1583" s="15" t="s">
        <v>4215</v>
      </c>
      <c r="E1583" s="15" t="s">
        <v>4216</v>
      </c>
      <c r="F1583" s="16">
        <v>43326.6950578704</v>
      </c>
      <c r="G1583" s="15" t="s">
        <v>4216</v>
      </c>
      <c r="H1583" s="15" t="s">
        <v>4217</v>
      </c>
      <c r="I1583" s="15">
        <v>0</v>
      </c>
      <c r="J1583" s="15">
        <v>0</v>
      </c>
      <c r="K1583" s="15">
        <v>0</v>
      </c>
      <c r="L1583" s="20">
        <v>0</v>
      </c>
      <c r="M1583" s="15">
        <v>0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</row>
    <row r="1584" spans="1:43">
      <c r="A1584" s="15" t="s">
        <v>43</v>
      </c>
      <c r="B1584" s="15" t="s">
        <v>44</v>
      </c>
      <c r="C1584" s="15" t="s">
        <v>45</v>
      </c>
      <c r="D1584" s="15" t="s">
        <v>4218</v>
      </c>
      <c r="E1584" s="15" t="s">
        <v>4219</v>
      </c>
      <c r="F1584" s="16">
        <v>42726.7200231481</v>
      </c>
      <c r="G1584" s="15" t="s">
        <v>4219</v>
      </c>
      <c r="H1584" s="15" t="s">
        <v>4220</v>
      </c>
      <c r="I1584" s="15">
        <v>0</v>
      </c>
      <c r="J1584" s="15">
        <v>0</v>
      </c>
      <c r="K1584" s="15">
        <v>0</v>
      </c>
      <c r="L1584" s="20">
        <v>0</v>
      </c>
      <c r="M1584" s="15">
        <v>0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</row>
    <row r="1585" spans="1:43">
      <c r="A1585" s="15" t="s">
        <v>43</v>
      </c>
      <c r="B1585" s="15" t="s">
        <v>44</v>
      </c>
      <c r="C1585" s="15" t="s">
        <v>45</v>
      </c>
      <c r="D1585" s="15" t="s">
        <v>4221</v>
      </c>
      <c r="E1585" s="15" t="s">
        <v>4222</v>
      </c>
      <c r="F1585" s="16">
        <v>42026.7100925926</v>
      </c>
      <c r="G1585" s="15" t="s">
        <v>4222</v>
      </c>
      <c r="H1585" s="15" t="s">
        <v>4223</v>
      </c>
      <c r="I1585" s="15">
        <v>0</v>
      </c>
      <c r="J1585" s="15">
        <v>0</v>
      </c>
      <c r="K1585" s="15">
        <v>0</v>
      </c>
      <c r="L1585" s="20">
        <v>0</v>
      </c>
      <c r="M1585" s="15">
        <v>0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0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</row>
    <row r="1586" spans="1:43">
      <c r="A1586" s="15" t="s">
        <v>43</v>
      </c>
      <c r="B1586" s="15" t="s">
        <v>44</v>
      </c>
      <c r="C1586" s="15" t="s">
        <v>45</v>
      </c>
      <c r="D1586" s="15" t="s">
        <v>4224</v>
      </c>
      <c r="E1586" s="15" t="s">
        <v>4225</v>
      </c>
      <c r="F1586" s="16">
        <v>42992.4123263889</v>
      </c>
      <c r="G1586" s="15" t="s">
        <v>4225</v>
      </c>
      <c r="H1586" s="15" t="s">
        <v>4226</v>
      </c>
      <c r="I1586" s="15">
        <v>0</v>
      </c>
      <c r="J1586" s="15">
        <v>0</v>
      </c>
      <c r="K1586" s="15">
        <v>0</v>
      </c>
      <c r="L1586" s="20">
        <v>0</v>
      </c>
      <c r="M1586" s="15">
        <v>0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0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  <c r="AA1586" s="15"/>
      <c r="AB1586" s="15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/>
      <c r="AM1586" s="15"/>
      <c r="AN1586" s="15"/>
      <c r="AO1586" s="15"/>
      <c r="AP1586" s="15"/>
      <c r="AQ1586" s="15"/>
    </row>
    <row r="1587" spans="1:43">
      <c r="A1587" s="15" t="s">
        <v>49</v>
      </c>
      <c r="B1587" s="15" t="s">
        <v>50</v>
      </c>
      <c r="C1587" s="15" t="s">
        <v>61</v>
      </c>
      <c r="D1587" s="15" t="s">
        <v>4227</v>
      </c>
      <c r="E1587" s="15" t="s">
        <v>3163</v>
      </c>
      <c r="F1587" s="16">
        <v>0</v>
      </c>
      <c r="G1587" s="15" t="s">
        <v>3163</v>
      </c>
      <c r="H1587" s="15" t="s">
        <v>54</v>
      </c>
      <c r="I1587" s="15">
        <v>0</v>
      </c>
      <c r="J1587" s="15">
        <v>0</v>
      </c>
      <c r="K1587" s="15">
        <v>0</v>
      </c>
      <c r="L1587" s="20">
        <v>0</v>
      </c>
      <c r="M1587" s="15">
        <v>0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</row>
    <row r="1588" spans="1:43">
      <c r="A1588" s="15" t="s">
        <v>49</v>
      </c>
      <c r="B1588" s="15" t="s">
        <v>50</v>
      </c>
      <c r="C1588" s="15" t="s">
        <v>301</v>
      </c>
      <c r="D1588" s="15" t="s">
        <v>4228</v>
      </c>
      <c r="E1588" s="15" t="s">
        <v>4229</v>
      </c>
      <c r="F1588" s="16">
        <v>44478.6402893519</v>
      </c>
      <c r="G1588" s="15" t="s">
        <v>4229</v>
      </c>
      <c r="H1588" s="15" t="s">
        <v>54</v>
      </c>
      <c r="I1588" s="15">
        <v>0</v>
      </c>
      <c r="J1588" s="15">
        <v>0</v>
      </c>
      <c r="K1588" s="15">
        <v>0</v>
      </c>
      <c r="L1588" s="20">
        <v>0</v>
      </c>
      <c r="M1588" s="15">
        <v>0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0</v>
      </c>
      <c r="V1588" s="15">
        <v>0</v>
      </c>
      <c r="W1588" s="15">
        <v>0</v>
      </c>
      <c r="X1588" s="15">
        <v>0</v>
      </c>
      <c r="Y1588" s="15">
        <v>0</v>
      </c>
      <c r="Z1588" s="15">
        <v>0</v>
      </c>
      <c r="AA1588" s="15"/>
      <c r="AB1588" s="15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/>
      <c r="AM1588" s="15"/>
      <c r="AN1588" s="15"/>
      <c r="AO1588" s="15"/>
      <c r="AP1588" s="15"/>
      <c r="AQ1588" s="15"/>
    </row>
    <row r="1589" spans="1:43">
      <c r="A1589" s="15" t="s">
        <v>49</v>
      </c>
      <c r="B1589" s="15" t="s">
        <v>50</v>
      </c>
      <c r="C1589" s="15" t="s">
        <v>61</v>
      </c>
      <c r="D1589" s="15" t="s">
        <v>4230</v>
      </c>
      <c r="E1589" s="15" t="s">
        <v>1419</v>
      </c>
      <c r="F1589" s="16">
        <v>0</v>
      </c>
      <c r="G1589" s="15" t="s">
        <v>1419</v>
      </c>
      <c r="H1589" s="15" t="s">
        <v>54</v>
      </c>
      <c r="I1589" s="15">
        <v>0</v>
      </c>
      <c r="J1589" s="15">
        <v>0</v>
      </c>
      <c r="K1589" s="15">
        <v>0</v>
      </c>
      <c r="L1589" s="20">
        <v>0</v>
      </c>
      <c r="M1589" s="15">
        <v>0</v>
      </c>
      <c r="N1589" s="15">
        <v>0</v>
      </c>
      <c r="O1589" s="15">
        <v>0</v>
      </c>
      <c r="P1589" s="15">
        <v>0</v>
      </c>
      <c r="Q1589" s="15">
        <v>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  <c r="AA1589" s="15"/>
      <c r="AB1589" s="15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/>
      <c r="AM1589" s="15"/>
      <c r="AN1589" s="15"/>
      <c r="AO1589" s="15"/>
      <c r="AP1589" s="15"/>
      <c r="AQ1589" s="15"/>
    </row>
    <row r="1590" spans="1:43">
      <c r="A1590" s="15" t="s">
        <v>43</v>
      </c>
      <c r="B1590" s="15" t="s">
        <v>44</v>
      </c>
      <c r="C1590" s="15" t="s">
        <v>45</v>
      </c>
      <c r="D1590" s="15" t="s">
        <v>4231</v>
      </c>
      <c r="E1590" s="15" t="s">
        <v>4232</v>
      </c>
      <c r="F1590" s="16">
        <v>41598.64</v>
      </c>
      <c r="G1590" s="15" t="s">
        <v>4232</v>
      </c>
      <c r="H1590" s="15" t="s">
        <v>4233</v>
      </c>
      <c r="I1590" s="15">
        <v>0</v>
      </c>
      <c r="J1590" s="15">
        <v>0</v>
      </c>
      <c r="K1590" s="15">
        <v>0</v>
      </c>
      <c r="L1590" s="20">
        <v>0</v>
      </c>
      <c r="M1590" s="15">
        <v>0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  <c r="AA1590" s="15"/>
      <c r="AB1590" s="15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/>
      <c r="AM1590" s="15"/>
      <c r="AN1590" s="15"/>
      <c r="AO1590" s="15"/>
      <c r="AP1590" s="15"/>
      <c r="AQ1590" s="15"/>
    </row>
    <row r="1591" spans="1:43">
      <c r="A1591" s="15" t="s">
        <v>49</v>
      </c>
      <c r="B1591" s="15" t="s">
        <v>50</v>
      </c>
      <c r="C1591" s="15" t="s">
        <v>51</v>
      </c>
      <c r="D1591" s="15" t="s">
        <v>4234</v>
      </c>
      <c r="E1591" s="15" t="s">
        <v>4235</v>
      </c>
      <c r="F1591" s="16">
        <v>45029.4852662037</v>
      </c>
      <c r="G1591" s="15" t="s">
        <v>4235</v>
      </c>
      <c r="H1591" s="15" t="s">
        <v>54</v>
      </c>
      <c r="I1591" s="15">
        <v>666.59</v>
      </c>
      <c r="J1591" s="15">
        <v>7</v>
      </c>
      <c r="K1591" s="15">
        <v>95.2271428571429</v>
      </c>
      <c r="L1591" s="20">
        <v>1.90454285714286</v>
      </c>
      <c r="M1591" s="15">
        <v>148.86</v>
      </c>
      <c r="N1591" s="15">
        <v>97.38</v>
      </c>
      <c r="O1591" s="15">
        <v>28</v>
      </c>
      <c r="P1591" s="15">
        <v>62.42</v>
      </c>
      <c r="Q1591" s="15">
        <v>129.72</v>
      </c>
      <c r="R1591" s="15">
        <v>79.56</v>
      </c>
      <c r="S1591" s="15">
        <v>120.65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  <c r="AA1591" s="15"/>
      <c r="AB1591" s="15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/>
      <c r="AM1591" s="15"/>
      <c r="AN1591" s="15"/>
      <c r="AO1591" s="15"/>
      <c r="AP1591" s="15"/>
      <c r="AQ1591" s="15"/>
    </row>
    <row r="1592" spans="1:43">
      <c r="A1592" s="15" t="s">
        <v>43</v>
      </c>
      <c r="B1592" s="15" t="s">
        <v>44</v>
      </c>
      <c r="C1592" s="15" t="s">
        <v>45</v>
      </c>
      <c r="D1592" s="15" t="s">
        <v>4236</v>
      </c>
      <c r="E1592" s="15" t="s">
        <v>4237</v>
      </c>
      <c r="F1592" s="16">
        <v>42261.6539236111</v>
      </c>
      <c r="G1592" s="15" t="s">
        <v>4237</v>
      </c>
      <c r="H1592" s="15" t="s">
        <v>4238</v>
      </c>
      <c r="I1592" s="15">
        <v>0</v>
      </c>
      <c r="J1592" s="15">
        <v>0</v>
      </c>
      <c r="K1592" s="15">
        <v>0</v>
      </c>
      <c r="L1592" s="20">
        <v>0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0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>
        <v>0</v>
      </c>
      <c r="Z1592" s="15">
        <v>0</v>
      </c>
      <c r="AA1592" s="15"/>
      <c r="AB1592" s="15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/>
      <c r="AM1592" s="15"/>
      <c r="AN1592" s="15"/>
      <c r="AO1592" s="15"/>
      <c r="AP1592" s="15"/>
      <c r="AQ1592" s="15"/>
    </row>
    <row r="1593" spans="1:43">
      <c r="A1593" s="15" t="s">
        <v>49</v>
      </c>
      <c r="B1593" s="15" t="s">
        <v>50</v>
      </c>
      <c r="C1593" s="15" t="s">
        <v>61</v>
      </c>
      <c r="D1593" s="15" t="s">
        <v>4239</v>
      </c>
      <c r="E1593" s="15" t="s">
        <v>915</v>
      </c>
      <c r="F1593" s="16">
        <v>0</v>
      </c>
      <c r="G1593" s="15" t="s">
        <v>915</v>
      </c>
      <c r="H1593" s="15" t="s">
        <v>54</v>
      </c>
      <c r="I1593" s="15">
        <v>0</v>
      </c>
      <c r="J1593" s="15">
        <v>0</v>
      </c>
      <c r="K1593" s="15">
        <v>0</v>
      </c>
      <c r="L1593" s="20">
        <v>0</v>
      </c>
      <c r="M1593" s="15">
        <v>0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</row>
    <row r="1594" spans="1:43">
      <c r="A1594" s="15" t="s">
        <v>49</v>
      </c>
      <c r="B1594" s="15" t="s">
        <v>50</v>
      </c>
      <c r="C1594" s="15" t="s">
        <v>61</v>
      </c>
      <c r="D1594" s="15" t="s">
        <v>4240</v>
      </c>
      <c r="E1594" s="15" t="s">
        <v>4241</v>
      </c>
      <c r="F1594" s="16">
        <v>0</v>
      </c>
      <c r="G1594" s="15" t="s">
        <v>4241</v>
      </c>
      <c r="H1594" s="15" t="s">
        <v>4242</v>
      </c>
      <c r="I1594" s="15">
        <v>0</v>
      </c>
      <c r="J1594" s="15">
        <v>0</v>
      </c>
      <c r="K1594" s="15">
        <v>0</v>
      </c>
      <c r="L1594" s="20">
        <v>0</v>
      </c>
      <c r="M1594" s="15">
        <v>0</v>
      </c>
      <c r="N1594" s="15">
        <v>0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0</v>
      </c>
      <c r="X1594" s="15">
        <v>0</v>
      </c>
      <c r="Y1594" s="15">
        <v>0</v>
      </c>
      <c r="Z1594" s="15">
        <v>0</v>
      </c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</row>
    <row r="1595" spans="1:43">
      <c r="A1595" s="15" t="s">
        <v>49</v>
      </c>
      <c r="B1595" s="15" t="s">
        <v>50</v>
      </c>
      <c r="C1595" s="15" t="s">
        <v>61</v>
      </c>
      <c r="D1595" s="15" t="s">
        <v>4243</v>
      </c>
      <c r="E1595" s="15" t="s">
        <v>4244</v>
      </c>
      <c r="F1595" s="16">
        <v>0</v>
      </c>
      <c r="G1595" s="15" t="s">
        <v>4244</v>
      </c>
      <c r="H1595" s="15" t="s">
        <v>54</v>
      </c>
      <c r="I1595" s="15">
        <v>0</v>
      </c>
      <c r="J1595" s="15">
        <v>0</v>
      </c>
      <c r="K1595" s="15">
        <v>0</v>
      </c>
      <c r="L1595" s="20">
        <v>0</v>
      </c>
      <c r="M1595" s="15">
        <v>0</v>
      </c>
      <c r="N1595" s="15">
        <v>0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0</v>
      </c>
      <c r="X1595" s="15">
        <v>0</v>
      </c>
      <c r="Y1595" s="15">
        <v>0</v>
      </c>
      <c r="Z1595" s="15">
        <v>0</v>
      </c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</row>
    <row r="1596" spans="1:43">
      <c r="A1596" s="15" t="s">
        <v>49</v>
      </c>
      <c r="B1596" s="15" t="s">
        <v>50</v>
      </c>
      <c r="C1596" s="15" t="s">
        <v>61</v>
      </c>
      <c r="D1596" s="15" t="s">
        <v>4245</v>
      </c>
      <c r="E1596" s="15" t="s">
        <v>4246</v>
      </c>
      <c r="F1596" s="16">
        <v>0</v>
      </c>
      <c r="G1596" s="15" t="s">
        <v>4246</v>
      </c>
      <c r="H1596" s="15" t="s">
        <v>54</v>
      </c>
      <c r="I1596" s="15">
        <v>0</v>
      </c>
      <c r="J1596" s="15">
        <v>0</v>
      </c>
      <c r="K1596" s="15">
        <v>0</v>
      </c>
      <c r="L1596" s="20">
        <v>0</v>
      </c>
      <c r="M1596" s="15">
        <v>0</v>
      </c>
      <c r="N1596" s="15">
        <v>0</v>
      </c>
      <c r="O1596" s="15">
        <v>0</v>
      </c>
      <c r="P1596" s="15">
        <v>0</v>
      </c>
      <c r="Q1596" s="15">
        <v>0</v>
      </c>
      <c r="R1596" s="15">
        <v>0</v>
      </c>
      <c r="S1596" s="15">
        <v>0</v>
      </c>
      <c r="T1596" s="15">
        <v>0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0</v>
      </c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</row>
    <row r="1597" spans="1:43">
      <c r="A1597" s="15" t="s">
        <v>43</v>
      </c>
      <c r="B1597" s="15" t="s">
        <v>44</v>
      </c>
      <c r="C1597" s="15" t="s">
        <v>45</v>
      </c>
      <c r="D1597" s="15" t="s">
        <v>4247</v>
      </c>
      <c r="E1597" s="15" t="s">
        <v>4248</v>
      </c>
      <c r="F1597" s="16">
        <v>42150.7230555556</v>
      </c>
      <c r="G1597" s="15" t="s">
        <v>4248</v>
      </c>
      <c r="H1597" s="15" t="s">
        <v>4249</v>
      </c>
      <c r="I1597" s="15">
        <v>0</v>
      </c>
      <c r="J1597" s="15">
        <v>0</v>
      </c>
      <c r="K1597" s="15">
        <v>0</v>
      </c>
      <c r="L1597" s="20">
        <v>0</v>
      </c>
      <c r="M1597" s="15">
        <v>0</v>
      </c>
      <c r="N1597" s="15">
        <v>0</v>
      </c>
      <c r="O1597" s="15">
        <v>0</v>
      </c>
      <c r="P1597" s="15">
        <v>0</v>
      </c>
      <c r="Q1597" s="15">
        <v>0</v>
      </c>
      <c r="R1597" s="15">
        <v>0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  <c r="AA1597" s="15"/>
      <c r="AB1597" s="15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/>
      <c r="AM1597" s="15"/>
      <c r="AN1597" s="15"/>
      <c r="AO1597" s="15"/>
      <c r="AP1597" s="15"/>
      <c r="AQ1597" s="15"/>
    </row>
    <row r="1598" spans="1:43">
      <c r="A1598" s="15" t="s">
        <v>49</v>
      </c>
      <c r="B1598" s="15" t="s">
        <v>50</v>
      </c>
      <c r="C1598" s="15" t="s">
        <v>61</v>
      </c>
      <c r="D1598" s="15" t="s">
        <v>4250</v>
      </c>
      <c r="E1598" s="15" t="s">
        <v>4251</v>
      </c>
      <c r="F1598" s="16">
        <v>0</v>
      </c>
      <c r="G1598" s="15" t="s">
        <v>4251</v>
      </c>
      <c r="H1598" s="15" t="s">
        <v>54</v>
      </c>
      <c r="I1598" s="15">
        <v>0</v>
      </c>
      <c r="J1598" s="15">
        <v>0</v>
      </c>
      <c r="K1598" s="15">
        <v>0</v>
      </c>
      <c r="L1598" s="20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  <c r="AA1598" s="15"/>
      <c r="AB1598" s="15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/>
      <c r="AM1598" s="15"/>
      <c r="AN1598" s="15"/>
      <c r="AO1598" s="15"/>
      <c r="AP1598" s="15"/>
      <c r="AQ1598" s="15"/>
    </row>
    <row r="1599" spans="1:43">
      <c r="A1599" s="15" t="s">
        <v>43</v>
      </c>
      <c r="B1599" s="15" t="s">
        <v>44</v>
      </c>
      <c r="C1599" s="15" t="s">
        <v>45</v>
      </c>
      <c r="D1599" s="15" t="s">
        <v>4252</v>
      </c>
      <c r="E1599" s="15" t="s">
        <v>4253</v>
      </c>
      <c r="F1599" s="16">
        <v>43085.602962963</v>
      </c>
      <c r="G1599" s="15" t="s">
        <v>4253</v>
      </c>
      <c r="H1599" s="15" t="s">
        <v>4254</v>
      </c>
      <c r="I1599" s="15">
        <v>0</v>
      </c>
      <c r="J1599" s="15">
        <v>0</v>
      </c>
      <c r="K1599" s="15">
        <v>0</v>
      </c>
      <c r="L1599" s="20">
        <v>0</v>
      </c>
      <c r="M1599" s="15">
        <v>0</v>
      </c>
      <c r="N1599" s="15">
        <v>0</v>
      </c>
      <c r="O1599" s="15">
        <v>0</v>
      </c>
      <c r="P1599" s="15">
        <v>0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  <c r="AA1599" s="15"/>
      <c r="AB1599" s="15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/>
      <c r="AM1599" s="15"/>
      <c r="AN1599" s="15"/>
      <c r="AO1599" s="15"/>
      <c r="AP1599" s="15"/>
      <c r="AQ1599" s="15"/>
    </row>
    <row r="1600" spans="1:43">
      <c r="A1600" s="15" t="s">
        <v>64</v>
      </c>
      <c r="B1600" s="15" t="s">
        <v>118</v>
      </c>
      <c r="C1600" s="15" t="s">
        <v>138</v>
      </c>
      <c r="D1600" s="15" t="s">
        <v>4255</v>
      </c>
      <c r="E1600" s="15" t="s">
        <v>4256</v>
      </c>
      <c r="F1600" s="16">
        <v>45136.4623726852</v>
      </c>
      <c r="G1600" s="15" t="s">
        <v>4256</v>
      </c>
      <c r="H1600" s="15" t="s">
        <v>54</v>
      </c>
      <c r="I1600" s="15">
        <v>1814.25</v>
      </c>
      <c r="J1600" s="15">
        <v>14</v>
      </c>
      <c r="K1600" s="15">
        <v>129.589285714286</v>
      </c>
      <c r="L1600" s="20">
        <v>1.85127551020408</v>
      </c>
      <c r="M1600" s="15">
        <v>305.87</v>
      </c>
      <c r="N1600" s="15">
        <v>69.12</v>
      </c>
      <c r="O1600" s="15">
        <v>252.18</v>
      </c>
      <c r="P1600" s="15">
        <v>124.87</v>
      </c>
      <c r="Q1600" s="15">
        <v>207.69</v>
      </c>
      <c r="R1600" s="15">
        <v>29.77</v>
      </c>
      <c r="S1600" s="15">
        <v>193.38</v>
      </c>
      <c r="T1600" s="15">
        <v>97.05</v>
      </c>
      <c r="U1600" s="15">
        <v>70.24</v>
      </c>
      <c r="V1600" s="15">
        <v>4.26</v>
      </c>
      <c r="W1600" s="15">
        <v>35.48</v>
      </c>
      <c r="X1600" s="15">
        <v>86.3</v>
      </c>
      <c r="Y1600" s="15">
        <v>188.27</v>
      </c>
      <c r="Z1600" s="15">
        <v>149.77</v>
      </c>
      <c r="AA1600" s="15"/>
      <c r="AB1600" s="15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/>
      <c r="AM1600" s="15"/>
      <c r="AN1600" s="15"/>
      <c r="AO1600" s="15"/>
      <c r="AP1600" s="15"/>
      <c r="AQ1600" s="15"/>
    </row>
    <row r="1601" spans="1:43">
      <c r="A1601" s="15" t="s">
        <v>43</v>
      </c>
      <c r="B1601" s="15" t="s">
        <v>44</v>
      </c>
      <c r="C1601" s="15" t="s">
        <v>440</v>
      </c>
      <c r="D1601" s="15" t="s">
        <v>4257</v>
      </c>
      <c r="E1601" s="15" t="s">
        <v>4258</v>
      </c>
      <c r="F1601" s="16">
        <v>45030.5772106482</v>
      </c>
      <c r="G1601" s="15" t="s">
        <v>4258</v>
      </c>
      <c r="H1601" s="15" t="s">
        <v>4259</v>
      </c>
      <c r="I1601" s="15">
        <v>1023.69</v>
      </c>
      <c r="J1601" s="15">
        <v>9</v>
      </c>
      <c r="K1601" s="15">
        <v>113.743333333333</v>
      </c>
      <c r="L1601" s="20">
        <v>2.27486666666667</v>
      </c>
      <c r="M1601" s="15">
        <v>97.91</v>
      </c>
      <c r="N1601" s="15">
        <v>109</v>
      </c>
      <c r="O1601" s="15">
        <v>0</v>
      </c>
      <c r="P1601" s="15">
        <v>0</v>
      </c>
      <c r="Q1601" s="15">
        <v>0</v>
      </c>
      <c r="R1601" s="15">
        <v>0</v>
      </c>
      <c r="S1601" s="15">
        <v>0</v>
      </c>
      <c r="T1601" s="15">
        <v>87.46</v>
      </c>
      <c r="U1601" s="15">
        <v>136.13</v>
      </c>
      <c r="V1601" s="15">
        <v>77.92</v>
      </c>
      <c r="W1601" s="15">
        <v>153.83</v>
      </c>
      <c r="X1601" s="15">
        <v>102.11</v>
      </c>
      <c r="Y1601" s="15">
        <v>142.56</v>
      </c>
      <c r="Z1601" s="15">
        <v>116.77</v>
      </c>
      <c r="AA1601" s="15"/>
      <c r="AB1601" s="15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/>
      <c r="AM1601" s="15"/>
      <c r="AN1601" s="15"/>
      <c r="AO1601" s="15"/>
      <c r="AP1601" s="15"/>
      <c r="AQ1601" s="15"/>
    </row>
    <row r="1602" spans="1:43">
      <c r="A1602" s="15" t="s">
        <v>43</v>
      </c>
      <c r="B1602" s="15" t="s">
        <v>44</v>
      </c>
      <c r="C1602" s="15" t="s">
        <v>45</v>
      </c>
      <c r="D1602" s="15" t="s">
        <v>4260</v>
      </c>
      <c r="E1602" s="15" t="s">
        <v>4261</v>
      </c>
      <c r="F1602" s="16">
        <v>43093.4030208333</v>
      </c>
      <c r="G1602" s="15" t="s">
        <v>4261</v>
      </c>
      <c r="H1602" s="15" t="s">
        <v>4262</v>
      </c>
      <c r="I1602" s="15">
        <v>0</v>
      </c>
      <c r="J1602" s="15">
        <v>0</v>
      </c>
      <c r="K1602" s="15">
        <v>0</v>
      </c>
      <c r="L1602" s="20">
        <v>0</v>
      </c>
      <c r="M1602" s="15">
        <v>0</v>
      </c>
      <c r="N1602" s="15">
        <v>0</v>
      </c>
      <c r="O1602" s="15">
        <v>0</v>
      </c>
      <c r="P1602" s="15">
        <v>0</v>
      </c>
      <c r="Q1602" s="15">
        <v>0</v>
      </c>
      <c r="R1602" s="15">
        <v>0</v>
      </c>
      <c r="S1602" s="15">
        <v>0</v>
      </c>
      <c r="T1602" s="15">
        <v>0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  <c r="AA1602" s="15"/>
      <c r="AB1602" s="15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/>
      <c r="AM1602" s="15"/>
      <c r="AN1602" s="15"/>
      <c r="AO1602" s="15"/>
      <c r="AP1602" s="15"/>
      <c r="AQ1602" s="15"/>
    </row>
    <row r="1603" spans="1:43">
      <c r="A1603" s="15" t="s">
        <v>43</v>
      </c>
      <c r="B1603" s="15" t="s">
        <v>44</v>
      </c>
      <c r="C1603" s="15" t="s">
        <v>45</v>
      </c>
      <c r="D1603" s="15" t="s">
        <v>4263</v>
      </c>
      <c r="E1603" s="15" t="s">
        <v>4264</v>
      </c>
      <c r="F1603" s="16">
        <v>43808.6422453704</v>
      </c>
      <c r="G1603" s="15" t="s">
        <v>4264</v>
      </c>
      <c r="H1603" s="15" t="s">
        <v>54</v>
      </c>
      <c r="I1603" s="15">
        <v>0</v>
      </c>
      <c r="J1603" s="15">
        <v>0</v>
      </c>
      <c r="K1603" s="15">
        <v>0</v>
      </c>
      <c r="L1603" s="20">
        <v>0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</row>
    <row r="1604" spans="1:43">
      <c r="A1604" s="15" t="s">
        <v>49</v>
      </c>
      <c r="B1604" s="15" t="s">
        <v>50</v>
      </c>
      <c r="C1604" s="15" t="s">
        <v>61</v>
      </c>
      <c r="D1604" s="15" t="s">
        <v>4265</v>
      </c>
      <c r="E1604" s="15" t="s">
        <v>4266</v>
      </c>
      <c r="F1604" s="16">
        <v>0</v>
      </c>
      <c r="G1604" s="15" t="s">
        <v>4266</v>
      </c>
      <c r="H1604" s="15" t="s">
        <v>54</v>
      </c>
      <c r="I1604" s="15">
        <v>0</v>
      </c>
      <c r="J1604" s="15">
        <v>0</v>
      </c>
      <c r="K1604" s="15">
        <v>0</v>
      </c>
      <c r="L1604" s="20">
        <v>0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</row>
    <row r="1605" spans="1:43">
      <c r="A1605" s="15" t="s">
        <v>43</v>
      </c>
      <c r="B1605" s="15" t="s">
        <v>44</v>
      </c>
      <c r="C1605" s="15" t="s">
        <v>440</v>
      </c>
      <c r="D1605" s="15" t="s">
        <v>4267</v>
      </c>
      <c r="E1605" s="15" t="s">
        <v>4268</v>
      </c>
      <c r="F1605" s="16">
        <v>44923.6819675926</v>
      </c>
      <c r="G1605" s="15" t="s">
        <v>4268</v>
      </c>
      <c r="H1605" s="15" t="s">
        <v>54</v>
      </c>
      <c r="I1605" s="15">
        <v>0</v>
      </c>
      <c r="J1605" s="15">
        <v>0</v>
      </c>
      <c r="K1605" s="15">
        <v>0</v>
      </c>
      <c r="L1605" s="20">
        <v>0</v>
      </c>
      <c r="M1605" s="15">
        <v>0</v>
      </c>
      <c r="N1605" s="15">
        <v>0</v>
      </c>
      <c r="O1605" s="15">
        <v>0</v>
      </c>
      <c r="P1605" s="15">
        <v>0</v>
      </c>
      <c r="Q1605" s="15">
        <v>0</v>
      </c>
      <c r="R1605" s="15">
        <v>0</v>
      </c>
      <c r="S1605" s="15">
        <v>0</v>
      </c>
      <c r="T1605" s="15">
        <v>0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</row>
    <row r="1606" spans="1:43">
      <c r="A1606" s="15" t="s">
        <v>43</v>
      </c>
      <c r="B1606" s="15" t="s">
        <v>44</v>
      </c>
      <c r="C1606" s="15" t="s">
        <v>45</v>
      </c>
      <c r="D1606" s="15" t="s">
        <v>4269</v>
      </c>
      <c r="E1606" s="15" t="s">
        <v>4270</v>
      </c>
      <c r="F1606" s="16">
        <v>42601.7107175926</v>
      </c>
      <c r="G1606" s="15" t="s">
        <v>4270</v>
      </c>
      <c r="H1606" s="15" t="s">
        <v>4271</v>
      </c>
      <c r="I1606" s="15">
        <v>0</v>
      </c>
      <c r="J1606" s="15">
        <v>0</v>
      </c>
      <c r="K1606" s="15">
        <v>0</v>
      </c>
      <c r="L1606" s="20">
        <v>0</v>
      </c>
      <c r="M1606" s="15">
        <v>0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0</v>
      </c>
      <c r="T1606" s="15">
        <v>0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</row>
    <row r="1607" spans="1:43">
      <c r="A1607" s="15" t="s">
        <v>49</v>
      </c>
      <c r="B1607" s="15" t="s">
        <v>50</v>
      </c>
      <c r="C1607" s="15" t="s">
        <v>61</v>
      </c>
      <c r="D1607" s="15" t="s">
        <v>4272</v>
      </c>
      <c r="E1607" s="15" t="s">
        <v>4273</v>
      </c>
      <c r="F1607" s="16">
        <v>0</v>
      </c>
      <c r="G1607" s="15" t="s">
        <v>4273</v>
      </c>
      <c r="H1607" s="15" t="s">
        <v>4274</v>
      </c>
      <c r="I1607" s="15">
        <v>0</v>
      </c>
      <c r="J1607" s="15">
        <v>0</v>
      </c>
      <c r="K1607" s="15">
        <v>0</v>
      </c>
      <c r="L1607" s="20">
        <v>0</v>
      </c>
      <c r="M1607" s="15">
        <v>0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</row>
    <row r="1608" spans="1:43">
      <c r="A1608" s="15" t="s">
        <v>49</v>
      </c>
      <c r="B1608" s="15" t="s">
        <v>50</v>
      </c>
      <c r="C1608" s="15" t="s">
        <v>61</v>
      </c>
      <c r="D1608" s="15" t="s">
        <v>4275</v>
      </c>
      <c r="E1608" s="15" t="s">
        <v>4276</v>
      </c>
      <c r="F1608" s="16">
        <v>0</v>
      </c>
      <c r="G1608" s="15" t="s">
        <v>4276</v>
      </c>
      <c r="H1608" s="15" t="s">
        <v>4277</v>
      </c>
      <c r="I1608" s="15">
        <v>0</v>
      </c>
      <c r="J1608" s="15">
        <v>0</v>
      </c>
      <c r="K1608" s="15">
        <v>0</v>
      </c>
      <c r="L1608" s="20">
        <v>0</v>
      </c>
      <c r="M1608" s="15">
        <v>0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  <c r="AA1608" s="15"/>
      <c r="AB1608" s="15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/>
      <c r="AM1608" s="15"/>
      <c r="AN1608" s="15"/>
      <c r="AO1608" s="15"/>
      <c r="AP1608" s="15"/>
      <c r="AQ1608" s="15"/>
    </row>
    <row r="1609" spans="1:43">
      <c r="A1609" s="15" t="s">
        <v>43</v>
      </c>
      <c r="B1609" s="15" t="s">
        <v>44</v>
      </c>
      <c r="C1609" s="15" t="s">
        <v>45</v>
      </c>
      <c r="D1609" s="15" t="s">
        <v>4278</v>
      </c>
      <c r="E1609" s="15" t="s">
        <v>4279</v>
      </c>
      <c r="F1609" s="16">
        <v>41893.678900463</v>
      </c>
      <c r="G1609" s="15" t="s">
        <v>4279</v>
      </c>
      <c r="H1609" s="15" t="s">
        <v>4280</v>
      </c>
      <c r="I1609" s="15">
        <v>0</v>
      </c>
      <c r="J1609" s="15">
        <v>0</v>
      </c>
      <c r="K1609" s="15">
        <v>0</v>
      </c>
      <c r="L1609" s="20">
        <v>0</v>
      </c>
      <c r="M1609" s="15">
        <v>0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  <c r="AA1609" s="15"/>
      <c r="AB1609" s="15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/>
      <c r="AM1609" s="15"/>
      <c r="AN1609" s="15"/>
      <c r="AO1609" s="15"/>
      <c r="AP1609" s="15"/>
      <c r="AQ1609" s="15"/>
    </row>
    <row r="1610" spans="1:43">
      <c r="A1610" s="15" t="s">
        <v>43</v>
      </c>
      <c r="B1610" s="15" t="s">
        <v>44</v>
      </c>
      <c r="C1610" s="15" t="s">
        <v>45</v>
      </c>
      <c r="D1610" s="15" t="s">
        <v>4281</v>
      </c>
      <c r="E1610" s="15" t="s">
        <v>4282</v>
      </c>
      <c r="F1610" s="16">
        <v>43746.6274421296</v>
      </c>
      <c r="G1610" s="15" t="s">
        <v>4282</v>
      </c>
      <c r="H1610" s="15" t="s">
        <v>4283</v>
      </c>
      <c r="I1610" s="15">
        <v>0</v>
      </c>
      <c r="J1610" s="15">
        <v>0</v>
      </c>
      <c r="K1610" s="15">
        <v>0</v>
      </c>
      <c r="L1610" s="20">
        <v>0</v>
      </c>
      <c r="M1610" s="15">
        <v>0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  <c r="AA1610" s="15"/>
      <c r="AB1610" s="15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/>
      <c r="AM1610" s="15"/>
      <c r="AN1610" s="15"/>
      <c r="AO1610" s="15"/>
      <c r="AP1610" s="15"/>
      <c r="AQ1610" s="15"/>
    </row>
    <row r="1611" spans="1:43">
      <c r="A1611" s="15" t="s">
        <v>49</v>
      </c>
      <c r="B1611" s="15" t="s">
        <v>50</v>
      </c>
      <c r="C1611" s="15" t="s">
        <v>75</v>
      </c>
      <c r="D1611" s="15" t="s">
        <v>4284</v>
      </c>
      <c r="E1611" s="15" t="s">
        <v>4285</v>
      </c>
      <c r="F1611" s="16">
        <v>45140.6629861111</v>
      </c>
      <c r="G1611" s="15" t="s">
        <v>4285</v>
      </c>
      <c r="H1611" s="15" t="s">
        <v>54</v>
      </c>
      <c r="I1611" s="15">
        <v>415.6</v>
      </c>
      <c r="J1611" s="15">
        <v>8</v>
      </c>
      <c r="K1611" s="15">
        <v>51.95</v>
      </c>
      <c r="L1611" s="20">
        <v>1.039</v>
      </c>
      <c r="M1611" s="15">
        <v>0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51.04</v>
      </c>
      <c r="T1611" s="15">
        <v>53.29</v>
      </c>
      <c r="U1611" s="15">
        <v>51.18</v>
      </c>
      <c r="V1611" s="15">
        <v>53.99</v>
      </c>
      <c r="W1611" s="15">
        <v>52.15</v>
      </c>
      <c r="X1611" s="15">
        <v>51.82</v>
      </c>
      <c r="Y1611" s="15">
        <v>50.48</v>
      </c>
      <c r="Z1611" s="15">
        <v>51.65</v>
      </c>
      <c r="AA1611" s="15"/>
      <c r="AB1611" s="15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/>
      <c r="AM1611" s="15"/>
      <c r="AN1611" s="15"/>
      <c r="AO1611" s="15"/>
      <c r="AP1611" s="15"/>
      <c r="AQ1611" s="15"/>
    </row>
    <row r="1612" spans="1:43">
      <c r="A1612" s="15" t="s">
        <v>49</v>
      </c>
      <c r="B1612" s="15" t="s">
        <v>50</v>
      </c>
      <c r="C1612" s="15" t="s">
        <v>61</v>
      </c>
      <c r="D1612" s="15" t="s">
        <v>4286</v>
      </c>
      <c r="E1612" s="15" t="s">
        <v>3951</v>
      </c>
      <c r="F1612" s="16">
        <v>0</v>
      </c>
      <c r="G1612" s="15" t="s">
        <v>3951</v>
      </c>
      <c r="H1612" s="15" t="s">
        <v>54</v>
      </c>
      <c r="I1612" s="15">
        <v>0</v>
      </c>
      <c r="J1612" s="15">
        <v>0</v>
      </c>
      <c r="K1612" s="15">
        <v>0</v>
      </c>
      <c r="L1612" s="20">
        <v>0</v>
      </c>
      <c r="M1612" s="15">
        <v>0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0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  <c r="AA1612" s="15"/>
      <c r="AB1612" s="15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/>
      <c r="AM1612" s="15"/>
      <c r="AN1612" s="15"/>
      <c r="AO1612" s="15"/>
      <c r="AP1612" s="15"/>
      <c r="AQ1612" s="15"/>
    </row>
    <row r="1613" spans="1:43">
      <c r="A1613" s="15" t="s">
        <v>64</v>
      </c>
      <c r="B1613" s="15" t="s">
        <v>65</v>
      </c>
      <c r="C1613" s="15" t="s">
        <v>401</v>
      </c>
      <c r="D1613" s="15" t="s">
        <v>4287</v>
      </c>
      <c r="E1613" s="15" t="s">
        <v>4288</v>
      </c>
      <c r="F1613" s="16">
        <v>45092.4461921296</v>
      </c>
      <c r="G1613" s="15" t="s">
        <v>4288</v>
      </c>
      <c r="H1613" s="15" t="s">
        <v>4289</v>
      </c>
      <c r="I1613" s="15">
        <v>1430.9</v>
      </c>
      <c r="J1613" s="15">
        <v>14</v>
      </c>
      <c r="K1613" s="15">
        <v>102.207142857143</v>
      </c>
      <c r="L1613" s="20">
        <v>1.46010204081633</v>
      </c>
      <c r="M1613" s="15">
        <v>100.47</v>
      </c>
      <c r="N1613" s="15">
        <v>104.95</v>
      </c>
      <c r="O1613" s="15">
        <v>105.37</v>
      </c>
      <c r="P1613" s="15">
        <v>102.7</v>
      </c>
      <c r="Q1613" s="15">
        <v>101.3</v>
      </c>
      <c r="R1613" s="15">
        <v>102.82</v>
      </c>
      <c r="S1613" s="15">
        <v>118.6</v>
      </c>
      <c r="T1613" s="15">
        <v>107.72</v>
      </c>
      <c r="U1613" s="15">
        <v>109.1</v>
      </c>
      <c r="V1613" s="15">
        <v>104.01</v>
      </c>
      <c r="W1613" s="15">
        <v>102.81</v>
      </c>
      <c r="X1613" s="15">
        <v>106.59</v>
      </c>
      <c r="Y1613" s="15">
        <v>99.95</v>
      </c>
      <c r="Z1613" s="15">
        <v>64.51</v>
      </c>
      <c r="AA1613" s="15"/>
      <c r="AB1613" s="15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/>
      <c r="AM1613" s="15"/>
      <c r="AN1613" s="15"/>
      <c r="AO1613" s="15"/>
      <c r="AP1613" s="15"/>
      <c r="AQ1613" s="15"/>
    </row>
    <row r="1614" spans="1:43">
      <c r="A1614" s="15" t="s">
        <v>43</v>
      </c>
      <c r="B1614" s="15" t="s">
        <v>44</v>
      </c>
      <c r="C1614" s="15" t="s">
        <v>45</v>
      </c>
      <c r="D1614" s="15" t="s">
        <v>4290</v>
      </c>
      <c r="E1614" s="15" t="s">
        <v>4291</v>
      </c>
      <c r="F1614" s="16">
        <v>42417.6129513889</v>
      </c>
      <c r="G1614" s="15" t="s">
        <v>4291</v>
      </c>
      <c r="H1614" s="15" t="s">
        <v>4292</v>
      </c>
      <c r="I1614" s="15">
        <v>0</v>
      </c>
      <c r="J1614" s="15">
        <v>0</v>
      </c>
      <c r="K1614" s="15">
        <v>0</v>
      </c>
      <c r="L1614" s="20">
        <v>0</v>
      </c>
      <c r="M1614" s="15">
        <v>0</v>
      </c>
      <c r="N1614" s="15">
        <v>0</v>
      </c>
      <c r="O1614" s="15">
        <v>0</v>
      </c>
      <c r="P1614" s="15">
        <v>0</v>
      </c>
      <c r="Q1614" s="15">
        <v>0</v>
      </c>
      <c r="R1614" s="15">
        <v>0</v>
      </c>
      <c r="S1614" s="15">
        <v>0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</row>
    <row r="1615" spans="1:43">
      <c r="A1615" s="15" t="s">
        <v>43</v>
      </c>
      <c r="B1615" s="15" t="s">
        <v>44</v>
      </c>
      <c r="C1615" s="15" t="s">
        <v>45</v>
      </c>
      <c r="D1615" s="15" t="s">
        <v>4293</v>
      </c>
      <c r="E1615" s="15" t="s">
        <v>4294</v>
      </c>
      <c r="F1615" s="16">
        <v>43319.7230439815</v>
      </c>
      <c r="G1615" s="15" t="s">
        <v>4294</v>
      </c>
      <c r="H1615" s="15" t="s">
        <v>4295</v>
      </c>
      <c r="I1615" s="15">
        <v>0</v>
      </c>
      <c r="J1615" s="15">
        <v>0</v>
      </c>
      <c r="K1615" s="15">
        <v>0</v>
      </c>
      <c r="L1615" s="20">
        <v>0</v>
      </c>
      <c r="M1615" s="15">
        <v>0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0</v>
      </c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</row>
    <row r="1616" spans="1:43">
      <c r="A1616" s="15" t="s">
        <v>49</v>
      </c>
      <c r="B1616" s="15" t="s">
        <v>50</v>
      </c>
      <c r="C1616" s="15" t="s">
        <v>61</v>
      </c>
      <c r="D1616" s="15" t="s">
        <v>4296</v>
      </c>
      <c r="E1616" s="15" t="s">
        <v>4297</v>
      </c>
      <c r="F1616" s="16">
        <v>0</v>
      </c>
      <c r="G1616" s="15" t="s">
        <v>4297</v>
      </c>
      <c r="H1616" s="15" t="s">
        <v>54</v>
      </c>
      <c r="I1616" s="15">
        <v>0</v>
      </c>
      <c r="J1616" s="15">
        <v>0</v>
      </c>
      <c r="K1616" s="15">
        <v>0</v>
      </c>
      <c r="L1616" s="20">
        <v>0</v>
      </c>
      <c r="M1616" s="15">
        <v>0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0</v>
      </c>
      <c r="X1616" s="15">
        <v>0</v>
      </c>
      <c r="Y1616" s="15">
        <v>0</v>
      </c>
      <c r="Z1616" s="15">
        <v>0</v>
      </c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</row>
    <row r="1617" spans="1:43">
      <c r="A1617" s="15" t="s">
        <v>49</v>
      </c>
      <c r="B1617" s="15" t="s">
        <v>50</v>
      </c>
      <c r="C1617" s="15" t="s">
        <v>61</v>
      </c>
      <c r="D1617" s="15" t="s">
        <v>4298</v>
      </c>
      <c r="E1617" s="15" t="s">
        <v>4299</v>
      </c>
      <c r="F1617" s="16">
        <v>0</v>
      </c>
      <c r="G1617" s="15" t="s">
        <v>4299</v>
      </c>
      <c r="H1617" s="15" t="s">
        <v>54</v>
      </c>
      <c r="I1617" s="15">
        <v>0</v>
      </c>
      <c r="J1617" s="15">
        <v>0</v>
      </c>
      <c r="K1617" s="15">
        <v>0</v>
      </c>
      <c r="L1617" s="20">
        <v>0</v>
      </c>
      <c r="M1617" s="15">
        <v>0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</row>
    <row r="1618" spans="1:43">
      <c r="A1618" s="15" t="s">
        <v>49</v>
      </c>
      <c r="B1618" s="15" t="s">
        <v>50</v>
      </c>
      <c r="C1618" s="15" t="s">
        <v>61</v>
      </c>
      <c r="D1618" s="15" t="s">
        <v>4300</v>
      </c>
      <c r="E1618" s="15" t="s">
        <v>4301</v>
      </c>
      <c r="F1618" s="16">
        <v>0</v>
      </c>
      <c r="G1618" s="15" t="s">
        <v>4301</v>
      </c>
      <c r="H1618" s="15" t="s">
        <v>4302</v>
      </c>
      <c r="I1618" s="15">
        <v>0</v>
      </c>
      <c r="J1618" s="15">
        <v>0</v>
      </c>
      <c r="K1618" s="15">
        <v>0</v>
      </c>
      <c r="L1618" s="20">
        <v>0</v>
      </c>
      <c r="M1618" s="15">
        <v>0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0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</row>
    <row r="1619" spans="1:43">
      <c r="A1619" s="15" t="s">
        <v>49</v>
      </c>
      <c r="B1619" s="15" t="s">
        <v>50</v>
      </c>
      <c r="C1619" s="15" t="s">
        <v>61</v>
      </c>
      <c r="D1619" s="15" t="s">
        <v>4303</v>
      </c>
      <c r="E1619" s="15" t="s">
        <v>4304</v>
      </c>
      <c r="F1619" s="16">
        <v>0</v>
      </c>
      <c r="G1619" s="15" t="s">
        <v>4304</v>
      </c>
      <c r="H1619" s="15" t="s">
        <v>54</v>
      </c>
      <c r="I1619" s="15">
        <v>0</v>
      </c>
      <c r="J1619" s="15">
        <v>0</v>
      </c>
      <c r="K1619" s="15">
        <v>0</v>
      </c>
      <c r="L1619" s="20">
        <v>0</v>
      </c>
      <c r="M1619" s="15">
        <v>0</v>
      </c>
      <c r="N1619" s="15">
        <v>0</v>
      </c>
      <c r="O1619" s="15">
        <v>0</v>
      </c>
      <c r="P1619" s="15">
        <v>0</v>
      </c>
      <c r="Q1619" s="15">
        <v>0</v>
      </c>
      <c r="R1619" s="15">
        <v>0</v>
      </c>
      <c r="S1619" s="15">
        <v>0</v>
      </c>
      <c r="T1619" s="15">
        <v>0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</row>
    <row r="1620" spans="1:43">
      <c r="A1620" s="15" t="s">
        <v>49</v>
      </c>
      <c r="B1620" s="15" t="s">
        <v>50</v>
      </c>
      <c r="C1620" s="15" t="s">
        <v>61</v>
      </c>
      <c r="D1620" s="15" t="s">
        <v>4305</v>
      </c>
      <c r="E1620" s="15" t="s">
        <v>3913</v>
      </c>
      <c r="F1620" s="16">
        <v>0</v>
      </c>
      <c r="G1620" s="15" t="s">
        <v>3913</v>
      </c>
      <c r="H1620" s="15" t="s">
        <v>4306</v>
      </c>
      <c r="I1620" s="15">
        <v>0</v>
      </c>
      <c r="J1620" s="15">
        <v>0</v>
      </c>
      <c r="K1620" s="15">
        <v>0</v>
      </c>
      <c r="L1620" s="20">
        <v>0</v>
      </c>
      <c r="M1620" s="15">
        <v>0</v>
      </c>
      <c r="N1620" s="15">
        <v>0</v>
      </c>
      <c r="O1620" s="15">
        <v>0</v>
      </c>
      <c r="P1620" s="15">
        <v>0</v>
      </c>
      <c r="Q1620" s="15">
        <v>0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0</v>
      </c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</row>
    <row r="1621" spans="1:43">
      <c r="A1621" s="15" t="s">
        <v>49</v>
      </c>
      <c r="B1621" s="15" t="s">
        <v>50</v>
      </c>
      <c r="C1621" s="15" t="s">
        <v>75</v>
      </c>
      <c r="D1621" s="15" t="s">
        <v>4307</v>
      </c>
      <c r="E1621" s="15" t="s">
        <v>4308</v>
      </c>
      <c r="F1621" s="16">
        <v>45136.3941898148</v>
      </c>
      <c r="G1621" s="15" t="s">
        <v>4308</v>
      </c>
      <c r="H1621" s="15" t="s">
        <v>4309</v>
      </c>
      <c r="I1621" s="15">
        <v>1026.98</v>
      </c>
      <c r="J1621" s="15">
        <v>7</v>
      </c>
      <c r="K1621" s="15">
        <v>146.711428571429</v>
      </c>
      <c r="L1621" s="20">
        <v>2.93422857142857</v>
      </c>
      <c r="M1621" s="15">
        <v>0</v>
      </c>
      <c r="N1621" s="15">
        <v>0</v>
      </c>
      <c r="O1621" s="15">
        <v>0</v>
      </c>
      <c r="P1621" s="15">
        <v>0</v>
      </c>
      <c r="Q1621" s="15">
        <v>0</v>
      </c>
      <c r="R1621" s="15">
        <v>0</v>
      </c>
      <c r="S1621" s="15">
        <v>0</v>
      </c>
      <c r="T1621" s="15">
        <v>220.57</v>
      </c>
      <c r="U1621" s="15">
        <v>142.08</v>
      </c>
      <c r="V1621" s="15">
        <v>72.57</v>
      </c>
      <c r="W1621" s="15">
        <v>113.8</v>
      </c>
      <c r="X1621" s="15">
        <v>150.81</v>
      </c>
      <c r="Y1621" s="15">
        <v>165.5</v>
      </c>
      <c r="Z1621" s="15">
        <v>161.65</v>
      </c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</row>
    <row r="1622" spans="1:43">
      <c r="A1622" s="15" t="s">
        <v>43</v>
      </c>
      <c r="B1622" s="15" t="s">
        <v>44</v>
      </c>
      <c r="C1622" s="15" t="s">
        <v>45</v>
      </c>
      <c r="D1622" s="15" t="s">
        <v>4310</v>
      </c>
      <c r="E1622" s="15" t="s">
        <v>4311</v>
      </c>
      <c r="F1622" s="16">
        <v>43572.6119907407</v>
      </c>
      <c r="G1622" s="15" t="s">
        <v>4311</v>
      </c>
      <c r="H1622" s="15" t="s">
        <v>4312</v>
      </c>
      <c r="I1622" s="15">
        <v>0</v>
      </c>
      <c r="J1622" s="15">
        <v>0</v>
      </c>
      <c r="K1622" s="15">
        <v>0</v>
      </c>
      <c r="L1622" s="20">
        <v>0</v>
      </c>
      <c r="M1622" s="15">
        <v>0</v>
      </c>
      <c r="N1622" s="15">
        <v>0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</row>
    <row r="1623" spans="1:43">
      <c r="A1623" s="15" t="s">
        <v>49</v>
      </c>
      <c r="B1623" s="15" t="s">
        <v>50</v>
      </c>
      <c r="C1623" s="15" t="s">
        <v>61</v>
      </c>
      <c r="D1623" s="15" t="s">
        <v>4313</v>
      </c>
      <c r="E1623" s="15" t="s">
        <v>4314</v>
      </c>
      <c r="F1623" s="16">
        <v>0</v>
      </c>
      <c r="G1623" s="15" t="s">
        <v>4314</v>
      </c>
      <c r="H1623" s="15" t="s">
        <v>54</v>
      </c>
      <c r="I1623" s="15">
        <v>0</v>
      </c>
      <c r="J1623" s="15">
        <v>0</v>
      </c>
      <c r="K1623" s="15">
        <v>0</v>
      </c>
      <c r="L1623" s="20">
        <v>0</v>
      </c>
      <c r="M1623" s="15">
        <v>0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</row>
    <row r="1624" spans="1:43">
      <c r="A1624" s="15" t="s">
        <v>49</v>
      </c>
      <c r="B1624" s="15" t="s">
        <v>50</v>
      </c>
      <c r="C1624" s="15" t="s">
        <v>61</v>
      </c>
      <c r="D1624" s="15" t="s">
        <v>4315</v>
      </c>
      <c r="E1624" s="15" t="s">
        <v>4316</v>
      </c>
      <c r="F1624" s="16">
        <v>0</v>
      </c>
      <c r="G1624" s="15" t="s">
        <v>4316</v>
      </c>
      <c r="H1624" s="15" t="s">
        <v>4317</v>
      </c>
      <c r="I1624" s="15">
        <v>0</v>
      </c>
      <c r="J1624" s="15">
        <v>0</v>
      </c>
      <c r="K1624" s="15">
        <v>0</v>
      </c>
      <c r="L1624" s="20">
        <v>0</v>
      </c>
      <c r="M1624" s="15">
        <v>0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</row>
    <row r="1625" spans="1:43">
      <c r="A1625" s="15" t="s">
        <v>43</v>
      </c>
      <c r="B1625" s="15" t="s">
        <v>44</v>
      </c>
      <c r="C1625" s="15" t="s">
        <v>45</v>
      </c>
      <c r="D1625" s="15" t="s">
        <v>4318</v>
      </c>
      <c r="E1625" s="15" t="s">
        <v>4319</v>
      </c>
      <c r="F1625" s="16">
        <v>43418.7259143519</v>
      </c>
      <c r="G1625" s="15" t="s">
        <v>4319</v>
      </c>
      <c r="H1625" s="15" t="s">
        <v>4320</v>
      </c>
      <c r="I1625" s="15">
        <v>0</v>
      </c>
      <c r="J1625" s="15">
        <v>0</v>
      </c>
      <c r="K1625" s="15">
        <v>0</v>
      </c>
      <c r="L1625" s="20">
        <v>0</v>
      </c>
      <c r="M1625" s="15">
        <v>0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</row>
    <row r="1626" spans="1:43">
      <c r="A1626" s="15" t="s">
        <v>49</v>
      </c>
      <c r="B1626" s="15" t="s">
        <v>50</v>
      </c>
      <c r="C1626" s="15" t="s">
        <v>301</v>
      </c>
      <c r="D1626" s="15" t="s">
        <v>4321</v>
      </c>
      <c r="E1626" s="15" t="s">
        <v>4322</v>
      </c>
      <c r="F1626" s="16">
        <v>43432.6378240741</v>
      </c>
      <c r="G1626" s="15" t="s">
        <v>4322</v>
      </c>
      <c r="H1626" s="15" t="s">
        <v>4323</v>
      </c>
      <c r="I1626" s="15">
        <v>0</v>
      </c>
      <c r="J1626" s="15">
        <v>0</v>
      </c>
      <c r="K1626" s="15">
        <v>0</v>
      </c>
      <c r="L1626" s="20">
        <v>0</v>
      </c>
      <c r="M1626" s="15">
        <v>0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</row>
    <row r="1627" spans="1:43">
      <c r="A1627" s="15" t="s">
        <v>43</v>
      </c>
      <c r="B1627" s="15" t="s">
        <v>44</v>
      </c>
      <c r="C1627" s="15" t="s">
        <v>45</v>
      </c>
      <c r="D1627" s="15" t="s">
        <v>4324</v>
      </c>
      <c r="E1627" s="15" t="s">
        <v>4325</v>
      </c>
      <c r="F1627" s="16">
        <v>41241.4396643518</v>
      </c>
      <c r="G1627" s="15" t="s">
        <v>4325</v>
      </c>
      <c r="H1627" s="15" t="s">
        <v>4326</v>
      </c>
      <c r="I1627" s="15">
        <v>0</v>
      </c>
      <c r="J1627" s="15">
        <v>0</v>
      </c>
      <c r="K1627" s="15">
        <v>0</v>
      </c>
      <c r="L1627" s="20">
        <v>0</v>
      </c>
      <c r="M1627" s="15">
        <v>0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</row>
    <row r="1628" spans="1:43">
      <c r="A1628" s="15" t="s">
        <v>49</v>
      </c>
      <c r="B1628" s="15" t="s">
        <v>50</v>
      </c>
      <c r="C1628" s="15" t="s">
        <v>61</v>
      </c>
      <c r="D1628" s="15" t="s">
        <v>4327</v>
      </c>
      <c r="E1628" s="15" t="s">
        <v>4328</v>
      </c>
      <c r="F1628" s="16">
        <v>0</v>
      </c>
      <c r="G1628" s="15" t="s">
        <v>4328</v>
      </c>
      <c r="H1628" s="15" t="s">
        <v>4329</v>
      </c>
      <c r="I1628" s="15">
        <v>0</v>
      </c>
      <c r="J1628" s="15">
        <v>0</v>
      </c>
      <c r="K1628" s="15">
        <v>0</v>
      </c>
      <c r="L1628" s="20">
        <v>0</v>
      </c>
      <c r="M1628" s="15">
        <v>0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0</v>
      </c>
      <c r="V1628" s="15">
        <v>0</v>
      </c>
      <c r="W1628" s="15">
        <v>0</v>
      </c>
      <c r="X1628" s="15">
        <v>0</v>
      </c>
      <c r="Y1628" s="15">
        <v>0</v>
      </c>
      <c r="Z1628" s="15">
        <v>0</v>
      </c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</row>
    <row r="1629" spans="1:43">
      <c r="A1629" s="15" t="s">
        <v>43</v>
      </c>
      <c r="B1629" s="15" t="s">
        <v>44</v>
      </c>
      <c r="C1629" s="15" t="s">
        <v>45</v>
      </c>
      <c r="D1629" s="15" t="s">
        <v>4330</v>
      </c>
      <c r="E1629" s="15" t="s">
        <v>4331</v>
      </c>
      <c r="F1629" s="16">
        <v>43029.4615277778</v>
      </c>
      <c r="G1629" s="15" t="s">
        <v>4331</v>
      </c>
      <c r="H1629" s="15" t="s">
        <v>4332</v>
      </c>
      <c r="I1629" s="15">
        <v>0</v>
      </c>
      <c r="J1629" s="15">
        <v>0</v>
      </c>
      <c r="K1629" s="15">
        <v>0</v>
      </c>
      <c r="L1629" s="20">
        <v>0</v>
      </c>
      <c r="M1629" s="15">
        <v>0</v>
      </c>
      <c r="N1629" s="15">
        <v>0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</row>
    <row r="1630" spans="1:43">
      <c r="A1630" s="15" t="s">
        <v>49</v>
      </c>
      <c r="B1630" s="15" t="s">
        <v>50</v>
      </c>
      <c r="C1630" s="15" t="s">
        <v>61</v>
      </c>
      <c r="D1630" s="15" t="s">
        <v>4333</v>
      </c>
      <c r="E1630" s="15" t="s">
        <v>4334</v>
      </c>
      <c r="F1630" s="16">
        <v>0</v>
      </c>
      <c r="G1630" s="15" t="s">
        <v>4334</v>
      </c>
      <c r="H1630" s="15" t="s">
        <v>54</v>
      </c>
      <c r="I1630" s="15">
        <v>0</v>
      </c>
      <c r="J1630" s="15">
        <v>0</v>
      </c>
      <c r="K1630" s="15">
        <v>0</v>
      </c>
      <c r="L1630" s="20">
        <v>0</v>
      </c>
      <c r="M1630" s="15">
        <v>0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</row>
    <row r="1631" spans="1:43">
      <c r="A1631" s="15" t="s">
        <v>49</v>
      </c>
      <c r="B1631" s="15" t="s">
        <v>50</v>
      </c>
      <c r="C1631" s="15" t="s">
        <v>61</v>
      </c>
      <c r="D1631" s="15" t="s">
        <v>4335</v>
      </c>
      <c r="E1631" s="15" t="s">
        <v>3831</v>
      </c>
      <c r="F1631" s="16">
        <v>0</v>
      </c>
      <c r="G1631" s="15" t="s">
        <v>3831</v>
      </c>
      <c r="H1631" s="15" t="s">
        <v>54</v>
      </c>
      <c r="I1631" s="15">
        <v>0</v>
      </c>
      <c r="J1631" s="15">
        <v>0</v>
      </c>
      <c r="K1631" s="15">
        <v>0</v>
      </c>
      <c r="L1631" s="20">
        <v>0</v>
      </c>
      <c r="M1631" s="15">
        <v>0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</row>
    <row r="1632" spans="1:43">
      <c r="A1632" s="15" t="s">
        <v>43</v>
      </c>
      <c r="B1632" s="15" t="s">
        <v>44</v>
      </c>
      <c r="C1632" s="15" t="s">
        <v>440</v>
      </c>
      <c r="D1632" s="15" t="s">
        <v>4336</v>
      </c>
      <c r="E1632" s="15" t="s">
        <v>1336</v>
      </c>
      <c r="F1632" s="16">
        <v>44533.3909259259</v>
      </c>
      <c r="G1632" s="15" t="s">
        <v>1336</v>
      </c>
      <c r="H1632" s="15" t="s">
        <v>54</v>
      </c>
      <c r="I1632" s="15">
        <v>0</v>
      </c>
      <c r="J1632" s="15">
        <v>0</v>
      </c>
      <c r="K1632" s="15">
        <v>0</v>
      </c>
      <c r="L1632" s="20">
        <v>0</v>
      </c>
      <c r="M1632" s="15">
        <v>0</v>
      </c>
      <c r="N1632" s="15">
        <v>0</v>
      </c>
      <c r="O1632" s="15">
        <v>0</v>
      </c>
      <c r="P1632" s="15">
        <v>0</v>
      </c>
      <c r="Q1632" s="15">
        <v>0</v>
      </c>
      <c r="R1632" s="15">
        <v>0</v>
      </c>
      <c r="S1632" s="15">
        <v>0</v>
      </c>
      <c r="T1632" s="15">
        <v>0</v>
      </c>
      <c r="U1632" s="15">
        <v>0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</row>
    <row r="1633" spans="1:43">
      <c r="A1633" s="15" t="s">
        <v>49</v>
      </c>
      <c r="B1633" s="15" t="s">
        <v>50</v>
      </c>
      <c r="C1633" s="15" t="s">
        <v>61</v>
      </c>
      <c r="D1633" s="15" t="s">
        <v>4337</v>
      </c>
      <c r="E1633" s="15" t="s">
        <v>4338</v>
      </c>
      <c r="F1633" s="16">
        <v>0</v>
      </c>
      <c r="G1633" s="15" t="s">
        <v>4338</v>
      </c>
      <c r="H1633" s="15" t="s">
        <v>4339</v>
      </c>
      <c r="I1633" s="15">
        <v>0</v>
      </c>
      <c r="J1633" s="15">
        <v>0</v>
      </c>
      <c r="K1633" s="15">
        <v>0</v>
      </c>
      <c r="L1633" s="20">
        <v>0</v>
      </c>
      <c r="M1633" s="15">
        <v>0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</row>
    <row r="1634" spans="1:43">
      <c r="A1634" s="15" t="s">
        <v>49</v>
      </c>
      <c r="B1634" s="15" t="s">
        <v>50</v>
      </c>
      <c r="C1634" s="15" t="s">
        <v>61</v>
      </c>
      <c r="D1634" s="15" t="s">
        <v>4340</v>
      </c>
      <c r="E1634" s="15" t="s">
        <v>4341</v>
      </c>
      <c r="F1634" s="16">
        <v>0</v>
      </c>
      <c r="G1634" s="15" t="s">
        <v>4341</v>
      </c>
      <c r="H1634" s="15" t="s">
        <v>54</v>
      </c>
      <c r="I1634" s="15">
        <v>0</v>
      </c>
      <c r="J1634" s="15">
        <v>0</v>
      </c>
      <c r="K1634" s="15">
        <v>0</v>
      </c>
      <c r="L1634" s="20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</row>
    <row r="1635" spans="1:43">
      <c r="A1635" s="15" t="s">
        <v>64</v>
      </c>
      <c r="B1635" s="15" t="s">
        <v>118</v>
      </c>
      <c r="C1635" s="15" t="s">
        <v>138</v>
      </c>
      <c r="D1635" s="15" t="s">
        <v>4342</v>
      </c>
      <c r="E1635" s="15" t="s">
        <v>4343</v>
      </c>
      <c r="F1635" s="16">
        <v>45111.4169212963</v>
      </c>
      <c r="G1635" s="15" t="s">
        <v>4343</v>
      </c>
      <c r="H1635" s="15" t="s">
        <v>54</v>
      </c>
      <c r="I1635" s="15">
        <v>156</v>
      </c>
      <c r="J1635" s="15">
        <v>14</v>
      </c>
      <c r="K1635" s="15">
        <v>11.1428571428571</v>
      </c>
      <c r="L1635" s="20">
        <v>0.159183673469388</v>
      </c>
      <c r="M1635" s="15">
        <v>18.57</v>
      </c>
      <c r="N1635" s="15">
        <v>16.67</v>
      </c>
      <c r="O1635" s="15">
        <v>13.22</v>
      </c>
      <c r="P1635" s="15">
        <v>15.66</v>
      </c>
      <c r="Q1635" s="15">
        <v>9.64</v>
      </c>
      <c r="R1635" s="15">
        <v>4.14</v>
      </c>
      <c r="S1635" s="15">
        <v>5.44</v>
      </c>
      <c r="T1635" s="15">
        <v>7.48</v>
      </c>
      <c r="U1635" s="15">
        <v>17.03</v>
      </c>
      <c r="V1635" s="15">
        <v>11.39</v>
      </c>
      <c r="W1635" s="15">
        <v>14.61</v>
      </c>
      <c r="X1635" s="15">
        <v>6.86</v>
      </c>
      <c r="Y1635" s="15">
        <v>5.98</v>
      </c>
      <c r="Z1635" s="15">
        <v>9.31</v>
      </c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</row>
    <row r="1636" spans="1:43">
      <c r="A1636" s="15" t="s">
        <v>49</v>
      </c>
      <c r="B1636" s="15" t="s">
        <v>50</v>
      </c>
      <c r="C1636" s="15" t="s">
        <v>61</v>
      </c>
      <c r="D1636" s="15" t="s">
        <v>4344</v>
      </c>
      <c r="E1636" s="15" t="s">
        <v>4345</v>
      </c>
      <c r="F1636" s="16">
        <v>0</v>
      </c>
      <c r="G1636" s="15" t="s">
        <v>4345</v>
      </c>
      <c r="H1636" s="15" t="s">
        <v>4346</v>
      </c>
      <c r="I1636" s="15">
        <v>0</v>
      </c>
      <c r="J1636" s="15">
        <v>0</v>
      </c>
      <c r="K1636" s="15">
        <v>0</v>
      </c>
      <c r="L1636" s="20">
        <v>0</v>
      </c>
      <c r="M1636" s="15">
        <v>0</v>
      </c>
      <c r="N1636" s="15">
        <v>0</v>
      </c>
      <c r="O1636" s="15">
        <v>0</v>
      </c>
      <c r="P1636" s="15">
        <v>0</v>
      </c>
      <c r="Q1636" s="15">
        <v>0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0</v>
      </c>
      <c r="X1636" s="15">
        <v>0</v>
      </c>
      <c r="Y1636" s="15">
        <v>0</v>
      </c>
      <c r="Z1636" s="15">
        <v>0</v>
      </c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</row>
    <row r="1637" spans="1:43">
      <c r="A1637" s="15" t="s">
        <v>43</v>
      </c>
      <c r="B1637" s="15" t="s">
        <v>44</v>
      </c>
      <c r="C1637" s="15" t="s">
        <v>45</v>
      </c>
      <c r="D1637" s="15" t="s">
        <v>4347</v>
      </c>
      <c r="E1637" s="15" t="s">
        <v>4348</v>
      </c>
      <c r="F1637" s="16">
        <v>42740.7211458333</v>
      </c>
      <c r="G1637" s="15" t="s">
        <v>4348</v>
      </c>
      <c r="H1637" s="15" t="s">
        <v>4332</v>
      </c>
      <c r="I1637" s="15">
        <v>0</v>
      </c>
      <c r="J1637" s="15">
        <v>0</v>
      </c>
      <c r="K1637" s="15">
        <v>0</v>
      </c>
      <c r="L1637" s="20">
        <v>0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</row>
    <row r="1638" spans="1:43">
      <c r="A1638" s="15" t="s">
        <v>49</v>
      </c>
      <c r="B1638" s="15" t="s">
        <v>50</v>
      </c>
      <c r="C1638" s="15" t="s">
        <v>61</v>
      </c>
      <c r="D1638" s="15" t="s">
        <v>4349</v>
      </c>
      <c r="E1638" s="15" t="s">
        <v>4350</v>
      </c>
      <c r="F1638" s="16">
        <v>0</v>
      </c>
      <c r="G1638" s="15" t="s">
        <v>4350</v>
      </c>
      <c r="H1638" s="15" t="s">
        <v>4351</v>
      </c>
      <c r="I1638" s="15">
        <v>0</v>
      </c>
      <c r="J1638" s="15">
        <v>0</v>
      </c>
      <c r="K1638" s="15">
        <v>0</v>
      </c>
      <c r="L1638" s="20">
        <v>0</v>
      </c>
      <c r="M1638" s="15">
        <v>0</v>
      </c>
      <c r="N1638" s="15">
        <v>0</v>
      </c>
      <c r="O1638" s="15">
        <v>0</v>
      </c>
      <c r="P1638" s="15">
        <v>0</v>
      </c>
      <c r="Q1638" s="15">
        <v>0</v>
      </c>
      <c r="R1638" s="15">
        <v>0</v>
      </c>
      <c r="S1638" s="15">
        <v>0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</row>
    <row r="1639" spans="1:43">
      <c r="A1639" s="15" t="s">
        <v>49</v>
      </c>
      <c r="B1639" s="15" t="s">
        <v>50</v>
      </c>
      <c r="C1639" s="15" t="s">
        <v>61</v>
      </c>
      <c r="D1639" s="15" t="s">
        <v>4352</v>
      </c>
      <c r="E1639" s="15" t="s">
        <v>4353</v>
      </c>
      <c r="F1639" s="16">
        <v>0</v>
      </c>
      <c r="G1639" s="15" t="s">
        <v>4353</v>
      </c>
      <c r="H1639" s="15" t="s">
        <v>54</v>
      </c>
      <c r="I1639" s="15">
        <v>0</v>
      </c>
      <c r="J1639" s="15">
        <v>0</v>
      </c>
      <c r="K1639" s="15">
        <v>0</v>
      </c>
      <c r="L1639" s="20">
        <v>0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</row>
    <row r="1640" spans="1:43">
      <c r="A1640" s="15" t="s">
        <v>64</v>
      </c>
      <c r="B1640" s="15" t="s">
        <v>65</v>
      </c>
      <c r="C1640" s="15" t="s">
        <v>93</v>
      </c>
      <c r="D1640" s="15" t="s">
        <v>4354</v>
      </c>
      <c r="E1640" s="15" t="s">
        <v>4355</v>
      </c>
      <c r="F1640" s="16">
        <v>44985.4896990741</v>
      </c>
      <c r="G1640" s="15" t="s">
        <v>4355</v>
      </c>
      <c r="H1640" s="15" t="s">
        <v>54</v>
      </c>
      <c r="I1640" s="15">
        <v>0</v>
      </c>
      <c r="J1640" s="15">
        <v>0</v>
      </c>
      <c r="K1640" s="15">
        <v>0</v>
      </c>
      <c r="L1640" s="20">
        <v>0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0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</row>
    <row r="1641" spans="1:43">
      <c r="A1641" s="15" t="s">
        <v>64</v>
      </c>
      <c r="B1641" s="15" t="s">
        <v>65</v>
      </c>
      <c r="C1641" s="15" t="s">
        <v>401</v>
      </c>
      <c r="D1641" s="15" t="s">
        <v>4356</v>
      </c>
      <c r="E1641" s="15" t="s">
        <v>4357</v>
      </c>
      <c r="F1641" s="16">
        <v>45017.4141666667</v>
      </c>
      <c r="G1641" s="15" t="s">
        <v>4357</v>
      </c>
      <c r="H1641" s="15" t="s">
        <v>4358</v>
      </c>
      <c r="I1641" s="15">
        <v>2127.29</v>
      </c>
      <c r="J1641" s="15">
        <v>14</v>
      </c>
      <c r="K1641" s="15">
        <v>151.949285714286</v>
      </c>
      <c r="L1641" s="20">
        <v>2.17070408163265</v>
      </c>
      <c r="M1641" s="15">
        <v>154.07</v>
      </c>
      <c r="N1641" s="15">
        <v>150.6</v>
      </c>
      <c r="O1641" s="15">
        <v>166.03</v>
      </c>
      <c r="P1641" s="15">
        <v>150.37</v>
      </c>
      <c r="Q1641" s="15">
        <v>150.12</v>
      </c>
      <c r="R1641" s="15">
        <v>154.65</v>
      </c>
      <c r="S1641" s="15">
        <v>150.69</v>
      </c>
      <c r="T1641" s="15">
        <v>153.89</v>
      </c>
      <c r="U1641" s="15">
        <v>153.23</v>
      </c>
      <c r="V1641" s="15">
        <v>150.02</v>
      </c>
      <c r="W1641" s="15">
        <v>159.51</v>
      </c>
      <c r="X1641" s="15">
        <v>150.13</v>
      </c>
      <c r="Y1641" s="15">
        <v>150.63</v>
      </c>
      <c r="Z1641" s="15">
        <v>133.35</v>
      </c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</row>
    <row r="1642" spans="1:43">
      <c r="A1642" s="15" t="s">
        <v>43</v>
      </c>
      <c r="B1642" s="15" t="s">
        <v>44</v>
      </c>
      <c r="C1642" s="15" t="s">
        <v>440</v>
      </c>
      <c r="D1642" s="15" t="s">
        <v>4359</v>
      </c>
      <c r="E1642" s="15" t="s">
        <v>4360</v>
      </c>
      <c r="F1642" s="16">
        <v>44788.4440740741</v>
      </c>
      <c r="G1642" s="15" t="s">
        <v>4360</v>
      </c>
      <c r="H1642" s="15" t="s">
        <v>54</v>
      </c>
      <c r="I1642" s="15">
        <v>1177.85</v>
      </c>
      <c r="J1642" s="15">
        <v>14</v>
      </c>
      <c r="K1642" s="15">
        <v>84.1321428571429</v>
      </c>
      <c r="L1642" s="20">
        <v>1.68264285714286</v>
      </c>
      <c r="M1642" s="15">
        <v>75.57</v>
      </c>
      <c r="N1642" s="15">
        <v>64.9</v>
      </c>
      <c r="O1642" s="15">
        <v>86.89</v>
      </c>
      <c r="P1642" s="15">
        <v>57.32</v>
      </c>
      <c r="Q1642" s="15">
        <v>85.82</v>
      </c>
      <c r="R1642" s="15">
        <v>35.35</v>
      </c>
      <c r="S1642" s="15">
        <v>104.29</v>
      </c>
      <c r="T1642" s="15">
        <v>109.44</v>
      </c>
      <c r="U1642" s="15">
        <v>116.25</v>
      </c>
      <c r="V1642" s="15">
        <v>70.32</v>
      </c>
      <c r="W1642" s="15">
        <v>50.74</v>
      </c>
      <c r="X1642" s="15">
        <v>78.86</v>
      </c>
      <c r="Y1642" s="15">
        <v>87.34</v>
      </c>
      <c r="Z1642" s="15">
        <v>154.76</v>
      </c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</row>
    <row r="1643" spans="1:43">
      <c r="A1643" s="15" t="s">
        <v>49</v>
      </c>
      <c r="B1643" s="15" t="s">
        <v>50</v>
      </c>
      <c r="C1643" s="15" t="s">
        <v>61</v>
      </c>
      <c r="D1643" s="15" t="s">
        <v>4361</v>
      </c>
      <c r="E1643" s="15" t="s">
        <v>4362</v>
      </c>
      <c r="F1643" s="16">
        <v>0</v>
      </c>
      <c r="G1643" s="15" t="s">
        <v>4362</v>
      </c>
      <c r="H1643" s="15" t="s">
        <v>4363</v>
      </c>
      <c r="I1643" s="15">
        <v>0</v>
      </c>
      <c r="J1643" s="15">
        <v>0</v>
      </c>
      <c r="K1643" s="15">
        <v>0</v>
      </c>
      <c r="L1643" s="20">
        <v>0</v>
      </c>
      <c r="M1643" s="15">
        <v>0</v>
      </c>
      <c r="N1643" s="15">
        <v>0</v>
      </c>
      <c r="O1643" s="15">
        <v>0</v>
      </c>
      <c r="P1643" s="15">
        <v>0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</row>
    <row r="1644" spans="1:43">
      <c r="A1644" s="15" t="s">
        <v>49</v>
      </c>
      <c r="B1644" s="15" t="s">
        <v>50</v>
      </c>
      <c r="C1644" s="15" t="s">
        <v>61</v>
      </c>
      <c r="D1644" s="15" t="s">
        <v>4364</v>
      </c>
      <c r="E1644" s="15" t="s">
        <v>4365</v>
      </c>
      <c r="F1644" s="16">
        <v>0</v>
      </c>
      <c r="G1644" s="15" t="s">
        <v>4365</v>
      </c>
      <c r="H1644" s="15" t="s">
        <v>4366</v>
      </c>
      <c r="I1644" s="15">
        <v>0</v>
      </c>
      <c r="J1644" s="15">
        <v>0</v>
      </c>
      <c r="K1644" s="15">
        <v>0</v>
      </c>
      <c r="L1644" s="20">
        <v>0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0</v>
      </c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</row>
    <row r="1645" spans="1:43">
      <c r="A1645" s="15" t="s">
        <v>43</v>
      </c>
      <c r="B1645" s="15" t="s">
        <v>44</v>
      </c>
      <c r="C1645" s="15" t="s">
        <v>45</v>
      </c>
      <c r="D1645" s="15" t="s">
        <v>4367</v>
      </c>
      <c r="E1645" s="15" t="s">
        <v>4368</v>
      </c>
      <c r="F1645" s="16">
        <v>44431.6526967593</v>
      </c>
      <c r="G1645" s="15" t="s">
        <v>4368</v>
      </c>
      <c r="H1645" s="15" t="s">
        <v>54</v>
      </c>
      <c r="I1645" s="15">
        <v>0</v>
      </c>
      <c r="J1645" s="15">
        <v>0</v>
      </c>
      <c r="K1645" s="15">
        <v>0</v>
      </c>
      <c r="L1645" s="20">
        <v>0</v>
      </c>
      <c r="M1645" s="15">
        <v>0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  <c r="U1645" s="15">
        <v>0</v>
      </c>
      <c r="V1645" s="15">
        <v>0</v>
      </c>
      <c r="W1645" s="15">
        <v>0</v>
      </c>
      <c r="X1645" s="15">
        <v>0</v>
      </c>
      <c r="Y1645" s="15">
        <v>0</v>
      </c>
      <c r="Z1645" s="15">
        <v>0</v>
      </c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</row>
    <row r="1646" spans="1:43">
      <c r="A1646" s="15" t="s">
        <v>49</v>
      </c>
      <c r="B1646" s="15" t="s">
        <v>50</v>
      </c>
      <c r="C1646" s="15" t="s">
        <v>61</v>
      </c>
      <c r="D1646" s="15" t="s">
        <v>4369</v>
      </c>
      <c r="E1646" s="15" t="s">
        <v>4370</v>
      </c>
      <c r="F1646" s="16">
        <v>0</v>
      </c>
      <c r="G1646" s="15" t="s">
        <v>4370</v>
      </c>
      <c r="H1646" s="15" t="s">
        <v>54</v>
      </c>
      <c r="I1646" s="15">
        <v>0</v>
      </c>
      <c r="J1646" s="15">
        <v>0</v>
      </c>
      <c r="K1646" s="15">
        <v>0</v>
      </c>
      <c r="L1646" s="20">
        <v>0</v>
      </c>
      <c r="M1646" s="15">
        <v>0</v>
      </c>
      <c r="N1646" s="15">
        <v>0</v>
      </c>
      <c r="O1646" s="15">
        <v>0</v>
      </c>
      <c r="P1646" s="15">
        <v>0</v>
      </c>
      <c r="Q1646" s="15">
        <v>0</v>
      </c>
      <c r="R1646" s="15">
        <v>0</v>
      </c>
      <c r="S1646" s="15">
        <v>0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</row>
    <row r="1647" spans="1:43">
      <c r="A1647" s="15" t="s">
        <v>43</v>
      </c>
      <c r="B1647" s="15" t="s">
        <v>44</v>
      </c>
      <c r="C1647" s="15" t="s">
        <v>45</v>
      </c>
      <c r="D1647" s="15" t="s">
        <v>4371</v>
      </c>
      <c r="E1647" s="15" t="s">
        <v>4372</v>
      </c>
      <c r="F1647" s="16">
        <v>41479.5925578704</v>
      </c>
      <c r="G1647" s="15" t="s">
        <v>4372</v>
      </c>
      <c r="H1647" s="15" t="s">
        <v>4373</v>
      </c>
      <c r="I1647" s="15">
        <v>0</v>
      </c>
      <c r="J1647" s="15">
        <v>0</v>
      </c>
      <c r="K1647" s="15">
        <v>0</v>
      </c>
      <c r="L1647" s="20">
        <v>0</v>
      </c>
      <c r="M1647" s="15">
        <v>0</v>
      </c>
      <c r="N1647" s="15">
        <v>0</v>
      </c>
      <c r="O1647" s="15">
        <v>0</v>
      </c>
      <c r="P1647" s="15">
        <v>0</v>
      </c>
      <c r="Q1647" s="15">
        <v>0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</row>
    <row r="1648" spans="1:43">
      <c r="A1648" s="15" t="s">
        <v>49</v>
      </c>
      <c r="B1648" s="15" t="s">
        <v>50</v>
      </c>
      <c r="C1648" s="15" t="s">
        <v>75</v>
      </c>
      <c r="D1648" s="15" t="s">
        <v>4374</v>
      </c>
      <c r="E1648" s="15" t="s">
        <v>4375</v>
      </c>
      <c r="F1648" s="16">
        <v>45063.5959259259</v>
      </c>
      <c r="G1648" s="15" t="s">
        <v>4375</v>
      </c>
      <c r="H1648" s="15" t="s">
        <v>54</v>
      </c>
      <c r="I1648" s="15">
        <v>0</v>
      </c>
      <c r="J1648" s="15">
        <v>0</v>
      </c>
      <c r="K1648" s="15">
        <v>0</v>
      </c>
      <c r="L1648" s="20">
        <v>0</v>
      </c>
      <c r="M1648" s="15">
        <v>0</v>
      </c>
      <c r="N1648" s="15">
        <v>0</v>
      </c>
      <c r="O1648" s="15">
        <v>0</v>
      </c>
      <c r="P1648" s="15">
        <v>0</v>
      </c>
      <c r="Q1648" s="15">
        <v>0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0</v>
      </c>
      <c r="Z1648" s="15">
        <v>0</v>
      </c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</row>
    <row r="1649" spans="1:43">
      <c r="A1649" s="15" t="s">
        <v>43</v>
      </c>
      <c r="B1649" s="15" t="s">
        <v>44</v>
      </c>
      <c r="C1649" s="15" t="s">
        <v>45</v>
      </c>
      <c r="D1649" s="15" t="s">
        <v>4376</v>
      </c>
      <c r="E1649" s="15" t="s">
        <v>4377</v>
      </c>
      <c r="F1649" s="16">
        <v>42046.6199305556</v>
      </c>
      <c r="G1649" s="15" t="s">
        <v>4377</v>
      </c>
      <c r="H1649" s="15" t="s">
        <v>4378</v>
      </c>
      <c r="I1649" s="15">
        <v>0</v>
      </c>
      <c r="J1649" s="15">
        <v>0</v>
      </c>
      <c r="K1649" s="15">
        <v>0</v>
      </c>
      <c r="L1649" s="20">
        <v>0</v>
      </c>
      <c r="M1649" s="15">
        <v>0</v>
      </c>
      <c r="N1649" s="15">
        <v>0</v>
      </c>
      <c r="O1649" s="15">
        <v>0</v>
      </c>
      <c r="P1649" s="15">
        <v>0</v>
      </c>
      <c r="Q1649" s="15">
        <v>0</v>
      </c>
      <c r="R1649" s="15">
        <v>0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</row>
    <row r="1650" spans="1:43">
      <c r="A1650" s="15" t="s">
        <v>43</v>
      </c>
      <c r="B1650" s="15" t="s">
        <v>44</v>
      </c>
      <c r="C1650" s="15" t="s">
        <v>45</v>
      </c>
      <c r="D1650" s="15" t="s">
        <v>4379</v>
      </c>
      <c r="E1650" s="15" t="s">
        <v>4380</v>
      </c>
      <c r="F1650" s="16">
        <v>42727.4470023148</v>
      </c>
      <c r="G1650" s="15" t="s">
        <v>4380</v>
      </c>
      <c r="H1650" s="15" t="s">
        <v>4381</v>
      </c>
      <c r="I1650" s="15">
        <v>0</v>
      </c>
      <c r="J1650" s="15">
        <v>0</v>
      </c>
      <c r="K1650" s="15">
        <v>0</v>
      </c>
      <c r="L1650" s="20">
        <v>0</v>
      </c>
      <c r="M1650" s="15">
        <v>0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0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</row>
    <row r="1651" spans="1:43">
      <c r="A1651" s="15" t="s">
        <v>43</v>
      </c>
      <c r="B1651" s="15" t="s">
        <v>44</v>
      </c>
      <c r="C1651" s="15" t="s">
        <v>228</v>
      </c>
      <c r="D1651" s="15" t="s">
        <v>4382</v>
      </c>
      <c r="E1651" s="15" t="s">
        <v>4383</v>
      </c>
      <c r="F1651" s="16">
        <v>44667.4489814815</v>
      </c>
      <c r="G1651" s="15" t="s">
        <v>4383</v>
      </c>
      <c r="H1651" s="15" t="s">
        <v>54</v>
      </c>
      <c r="I1651" s="15">
        <v>0</v>
      </c>
      <c r="J1651" s="15">
        <v>0</v>
      </c>
      <c r="K1651" s="15">
        <v>0</v>
      </c>
      <c r="L1651" s="20">
        <v>0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0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</row>
    <row r="1652" spans="1:43">
      <c r="A1652" s="15" t="s">
        <v>43</v>
      </c>
      <c r="B1652" s="15" t="s">
        <v>44</v>
      </c>
      <c r="C1652" s="15" t="s">
        <v>45</v>
      </c>
      <c r="D1652" s="15" t="s">
        <v>4384</v>
      </c>
      <c r="E1652" s="15" t="s">
        <v>4385</v>
      </c>
      <c r="F1652" s="16">
        <v>43005.6133333333</v>
      </c>
      <c r="G1652" s="15" t="s">
        <v>4385</v>
      </c>
      <c r="H1652" s="15" t="s">
        <v>4386</v>
      </c>
      <c r="I1652" s="15">
        <v>0</v>
      </c>
      <c r="J1652" s="15">
        <v>0</v>
      </c>
      <c r="K1652" s="15">
        <v>0</v>
      </c>
      <c r="L1652" s="20">
        <v>0</v>
      </c>
      <c r="M1652" s="15">
        <v>0</v>
      </c>
      <c r="N1652" s="15">
        <v>0</v>
      </c>
      <c r="O1652" s="15">
        <v>0</v>
      </c>
      <c r="P1652" s="15">
        <v>0</v>
      </c>
      <c r="Q1652" s="15">
        <v>0</v>
      </c>
      <c r="R1652" s="15">
        <v>0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</row>
    <row r="1653" spans="1:43">
      <c r="A1653" s="15" t="s">
        <v>49</v>
      </c>
      <c r="B1653" s="15" t="s">
        <v>50</v>
      </c>
      <c r="C1653" s="15" t="s">
        <v>61</v>
      </c>
      <c r="D1653" s="15" t="s">
        <v>4387</v>
      </c>
      <c r="E1653" s="15" t="s">
        <v>4388</v>
      </c>
      <c r="F1653" s="16">
        <v>0</v>
      </c>
      <c r="G1653" s="15" t="s">
        <v>4388</v>
      </c>
      <c r="H1653" s="15" t="s">
        <v>54</v>
      </c>
      <c r="I1653" s="15">
        <v>0</v>
      </c>
      <c r="J1653" s="15">
        <v>0</v>
      </c>
      <c r="K1653" s="15">
        <v>0</v>
      </c>
      <c r="L1653" s="20">
        <v>0</v>
      </c>
      <c r="M1653" s="15">
        <v>0</v>
      </c>
      <c r="N1653" s="15">
        <v>0</v>
      </c>
      <c r="O1653" s="15">
        <v>0</v>
      </c>
      <c r="P1653" s="15">
        <v>0</v>
      </c>
      <c r="Q1653" s="15">
        <v>0</v>
      </c>
      <c r="R1653" s="15">
        <v>0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</row>
    <row r="1654" spans="1:43">
      <c r="A1654" s="15" t="s">
        <v>43</v>
      </c>
      <c r="B1654" s="15" t="s">
        <v>44</v>
      </c>
      <c r="C1654" s="15" t="s">
        <v>45</v>
      </c>
      <c r="D1654" s="15" t="s">
        <v>4389</v>
      </c>
      <c r="E1654" s="15" t="s">
        <v>4390</v>
      </c>
      <c r="F1654" s="16">
        <v>41720.3963194444</v>
      </c>
      <c r="G1654" s="15" t="s">
        <v>4390</v>
      </c>
      <c r="H1654" s="15" t="s">
        <v>4391</v>
      </c>
      <c r="I1654" s="15">
        <v>0</v>
      </c>
      <c r="J1654" s="15">
        <v>0</v>
      </c>
      <c r="K1654" s="15">
        <v>0</v>
      </c>
      <c r="L1654" s="20">
        <v>0</v>
      </c>
      <c r="M1654" s="15">
        <v>0</v>
      </c>
      <c r="N1654" s="15">
        <v>0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0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</row>
    <row r="1655" spans="1:43">
      <c r="A1655" s="15" t="s">
        <v>43</v>
      </c>
      <c r="B1655" s="15" t="s">
        <v>44</v>
      </c>
      <c r="C1655" s="15" t="s">
        <v>45</v>
      </c>
      <c r="D1655" s="15" t="s">
        <v>4392</v>
      </c>
      <c r="E1655" s="15" t="s">
        <v>4393</v>
      </c>
      <c r="F1655" s="16">
        <v>42727.5864351852</v>
      </c>
      <c r="G1655" s="15" t="s">
        <v>4393</v>
      </c>
      <c r="H1655" s="15" t="s">
        <v>4394</v>
      </c>
      <c r="I1655" s="15">
        <v>0</v>
      </c>
      <c r="J1655" s="15">
        <v>0</v>
      </c>
      <c r="K1655" s="15">
        <v>0</v>
      </c>
      <c r="L1655" s="20">
        <v>0</v>
      </c>
      <c r="M1655" s="15">
        <v>0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</row>
    <row r="1656" spans="1:43">
      <c r="A1656" s="15" t="s">
        <v>49</v>
      </c>
      <c r="B1656" s="15" t="s">
        <v>50</v>
      </c>
      <c r="C1656" s="15" t="s">
        <v>61</v>
      </c>
      <c r="D1656" s="15" t="s">
        <v>4395</v>
      </c>
      <c r="E1656" s="15" t="s">
        <v>4396</v>
      </c>
      <c r="F1656" s="16">
        <v>0</v>
      </c>
      <c r="G1656" s="15" t="s">
        <v>4396</v>
      </c>
      <c r="H1656" s="15" t="s">
        <v>54</v>
      </c>
      <c r="I1656" s="15">
        <v>0</v>
      </c>
      <c r="J1656" s="15">
        <v>0</v>
      </c>
      <c r="K1656" s="15">
        <v>0</v>
      </c>
      <c r="L1656" s="20">
        <v>0</v>
      </c>
      <c r="M1656" s="15">
        <v>0</v>
      </c>
      <c r="N1656" s="15">
        <v>0</v>
      </c>
      <c r="O1656" s="15">
        <v>0</v>
      </c>
      <c r="P1656" s="15">
        <v>0</v>
      </c>
      <c r="Q1656" s="15">
        <v>0</v>
      </c>
      <c r="R1656" s="15">
        <v>0</v>
      </c>
      <c r="S1656" s="15">
        <v>0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</row>
    <row r="1657" spans="1:43">
      <c r="A1657" s="15" t="s">
        <v>43</v>
      </c>
      <c r="B1657" s="15" t="s">
        <v>44</v>
      </c>
      <c r="C1657" s="15" t="s">
        <v>45</v>
      </c>
      <c r="D1657" s="15" t="s">
        <v>4397</v>
      </c>
      <c r="E1657" s="15" t="s">
        <v>4398</v>
      </c>
      <c r="F1657" s="16">
        <v>42207.7116203704</v>
      </c>
      <c r="G1657" s="15" t="s">
        <v>4398</v>
      </c>
      <c r="H1657" s="15" t="s">
        <v>4399</v>
      </c>
      <c r="I1657" s="15">
        <v>0</v>
      </c>
      <c r="J1657" s="15">
        <v>0</v>
      </c>
      <c r="K1657" s="15">
        <v>0</v>
      </c>
      <c r="L1657" s="20">
        <v>0</v>
      </c>
      <c r="M1657" s="15">
        <v>0</v>
      </c>
      <c r="N1657" s="15">
        <v>0</v>
      </c>
      <c r="O1657" s="15">
        <v>0</v>
      </c>
      <c r="P1657" s="15">
        <v>0</v>
      </c>
      <c r="Q1657" s="15">
        <v>0</v>
      </c>
      <c r="R1657" s="15">
        <v>0</v>
      </c>
      <c r="S1657" s="15">
        <v>0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</row>
    <row r="1658" spans="1:43">
      <c r="A1658" s="15" t="s">
        <v>49</v>
      </c>
      <c r="B1658" s="15" t="s">
        <v>50</v>
      </c>
      <c r="C1658" s="15" t="s">
        <v>61</v>
      </c>
      <c r="D1658" s="15" t="s">
        <v>4400</v>
      </c>
      <c r="E1658" s="15" t="s">
        <v>4401</v>
      </c>
      <c r="F1658" s="16">
        <v>0</v>
      </c>
      <c r="G1658" s="15" t="s">
        <v>4401</v>
      </c>
      <c r="H1658" s="15" t="s">
        <v>54</v>
      </c>
      <c r="I1658" s="15">
        <v>0</v>
      </c>
      <c r="J1658" s="15">
        <v>0</v>
      </c>
      <c r="K1658" s="15">
        <v>0</v>
      </c>
      <c r="L1658" s="20">
        <v>0</v>
      </c>
      <c r="M1658" s="15">
        <v>0</v>
      </c>
      <c r="N1658" s="15">
        <v>0</v>
      </c>
      <c r="O1658" s="15">
        <v>0</v>
      </c>
      <c r="P1658" s="15">
        <v>0</v>
      </c>
      <c r="Q1658" s="15">
        <v>0</v>
      </c>
      <c r="R1658" s="15">
        <v>0</v>
      </c>
      <c r="S1658" s="15">
        <v>0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</row>
    <row r="1659" spans="1:43">
      <c r="A1659" s="15" t="s">
        <v>43</v>
      </c>
      <c r="B1659" s="15" t="s">
        <v>44</v>
      </c>
      <c r="C1659" s="15" t="s">
        <v>45</v>
      </c>
      <c r="D1659" s="15" t="s">
        <v>4402</v>
      </c>
      <c r="E1659" s="15" t="s">
        <v>4403</v>
      </c>
      <c r="F1659" s="16">
        <v>41557.6720138889</v>
      </c>
      <c r="G1659" s="15" t="s">
        <v>4403</v>
      </c>
      <c r="H1659" s="15" t="s">
        <v>4404</v>
      </c>
      <c r="I1659" s="15">
        <v>0</v>
      </c>
      <c r="J1659" s="15">
        <v>0</v>
      </c>
      <c r="K1659" s="15">
        <v>0</v>
      </c>
      <c r="L1659" s="20">
        <v>0</v>
      </c>
      <c r="M1659" s="15">
        <v>0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</row>
    <row r="1660" spans="1:43">
      <c r="A1660" s="15" t="s">
        <v>49</v>
      </c>
      <c r="B1660" s="15" t="s">
        <v>50</v>
      </c>
      <c r="C1660" s="15" t="s">
        <v>61</v>
      </c>
      <c r="D1660" s="15" t="s">
        <v>4405</v>
      </c>
      <c r="E1660" s="15" t="s">
        <v>4406</v>
      </c>
      <c r="F1660" s="16">
        <v>0</v>
      </c>
      <c r="G1660" s="15" t="s">
        <v>4406</v>
      </c>
      <c r="H1660" s="15" t="s">
        <v>54</v>
      </c>
      <c r="I1660" s="15">
        <v>0</v>
      </c>
      <c r="J1660" s="15">
        <v>0</v>
      </c>
      <c r="K1660" s="15">
        <v>0</v>
      </c>
      <c r="L1660" s="20">
        <v>0</v>
      </c>
      <c r="M1660" s="15">
        <v>0</v>
      </c>
      <c r="N1660" s="15">
        <v>0</v>
      </c>
      <c r="O1660" s="15">
        <v>0</v>
      </c>
      <c r="P1660" s="15">
        <v>0</v>
      </c>
      <c r="Q1660" s="15">
        <v>0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</row>
    <row r="1661" spans="1:43">
      <c r="A1661" s="15" t="s">
        <v>49</v>
      </c>
      <c r="B1661" s="15" t="s">
        <v>50</v>
      </c>
      <c r="C1661" s="15" t="s">
        <v>61</v>
      </c>
      <c r="D1661" s="15" t="s">
        <v>4407</v>
      </c>
      <c r="E1661" s="15" t="s">
        <v>3482</v>
      </c>
      <c r="F1661" s="16">
        <v>0</v>
      </c>
      <c r="G1661" s="15" t="s">
        <v>3482</v>
      </c>
      <c r="H1661" s="15" t="s">
        <v>54</v>
      </c>
      <c r="I1661" s="15">
        <v>0</v>
      </c>
      <c r="J1661" s="15">
        <v>0</v>
      </c>
      <c r="K1661" s="15">
        <v>0</v>
      </c>
      <c r="L1661" s="20">
        <v>0</v>
      </c>
      <c r="M1661" s="15">
        <v>0</v>
      </c>
      <c r="N1661" s="15">
        <v>0</v>
      </c>
      <c r="O1661" s="15">
        <v>0</v>
      </c>
      <c r="P1661" s="15">
        <v>0</v>
      </c>
      <c r="Q1661" s="15">
        <v>0</v>
      </c>
      <c r="R1661" s="15">
        <v>0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</row>
    <row r="1662" spans="1:43">
      <c r="A1662" s="15" t="s">
        <v>43</v>
      </c>
      <c r="B1662" s="15" t="s">
        <v>44</v>
      </c>
      <c r="C1662" s="15" t="s">
        <v>45</v>
      </c>
      <c r="D1662" s="15" t="s">
        <v>4408</v>
      </c>
      <c r="E1662" s="15" t="s">
        <v>4409</v>
      </c>
      <c r="F1662" s="16">
        <v>43635.4801736111</v>
      </c>
      <c r="G1662" s="15" t="s">
        <v>4409</v>
      </c>
      <c r="H1662" s="15" t="s">
        <v>4410</v>
      </c>
      <c r="I1662" s="15">
        <v>0</v>
      </c>
      <c r="J1662" s="15">
        <v>0</v>
      </c>
      <c r="K1662" s="15">
        <v>0</v>
      </c>
      <c r="L1662" s="20">
        <v>0</v>
      </c>
      <c r="M1662" s="15">
        <v>0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</row>
    <row r="1663" spans="1:43">
      <c r="A1663" s="15" t="s">
        <v>49</v>
      </c>
      <c r="B1663" s="15" t="s">
        <v>50</v>
      </c>
      <c r="C1663" s="15" t="s">
        <v>61</v>
      </c>
      <c r="D1663" s="15" t="s">
        <v>4411</v>
      </c>
      <c r="E1663" s="15" t="s">
        <v>4412</v>
      </c>
      <c r="F1663" s="16">
        <v>0</v>
      </c>
      <c r="G1663" s="15" t="s">
        <v>4412</v>
      </c>
      <c r="H1663" s="15" t="s">
        <v>4413</v>
      </c>
      <c r="I1663" s="15">
        <v>0</v>
      </c>
      <c r="J1663" s="15">
        <v>0</v>
      </c>
      <c r="K1663" s="15">
        <v>0</v>
      </c>
      <c r="L1663" s="20">
        <v>0</v>
      </c>
      <c r="M1663" s="15">
        <v>0</v>
      </c>
      <c r="N1663" s="15">
        <v>0</v>
      </c>
      <c r="O1663" s="15">
        <v>0</v>
      </c>
      <c r="P1663" s="15">
        <v>0</v>
      </c>
      <c r="Q1663" s="15">
        <v>0</v>
      </c>
      <c r="R1663" s="15">
        <v>0</v>
      </c>
      <c r="S1663" s="15">
        <v>0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</row>
    <row r="1664" spans="1:43">
      <c r="A1664" s="15" t="s">
        <v>49</v>
      </c>
      <c r="B1664" s="15" t="s">
        <v>50</v>
      </c>
      <c r="C1664" s="15" t="s">
        <v>61</v>
      </c>
      <c r="D1664" s="15" t="s">
        <v>4414</v>
      </c>
      <c r="E1664" s="15" t="s">
        <v>1416</v>
      </c>
      <c r="F1664" s="16">
        <v>0</v>
      </c>
      <c r="G1664" s="15" t="s">
        <v>1416</v>
      </c>
      <c r="H1664" s="15" t="s">
        <v>4415</v>
      </c>
      <c r="I1664" s="15">
        <v>0</v>
      </c>
      <c r="J1664" s="15">
        <v>0</v>
      </c>
      <c r="K1664" s="15">
        <v>0</v>
      </c>
      <c r="L1664" s="20">
        <v>0</v>
      </c>
      <c r="M1664" s="15">
        <v>0</v>
      </c>
      <c r="N1664" s="15">
        <v>0</v>
      </c>
      <c r="O1664" s="15">
        <v>0</v>
      </c>
      <c r="P1664" s="15">
        <v>0</v>
      </c>
      <c r="Q1664" s="15">
        <v>0</v>
      </c>
      <c r="R1664" s="15">
        <v>0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</row>
    <row r="1665" spans="1:43">
      <c r="A1665" s="15" t="s">
        <v>43</v>
      </c>
      <c r="B1665" s="15" t="s">
        <v>44</v>
      </c>
      <c r="C1665" s="15" t="s">
        <v>45</v>
      </c>
      <c r="D1665" s="15" t="s">
        <v>4416</v>
      </c>
      <c r="E1665" s="15" t="s">
        <v>4417</v>
      </c>
      <c r="F1665" s="16">
        <v>40128.6444328704</v>
      </c>
      <c r="G1665" s="15" t="s">
        <v>4417</v>
      </c>
      <c r="H1665" s="15" t="s">
        <v>4418</v>
      </c>
      <c r="I1665" s="15">
        <v>0</v>
      </c>
      <c r="J1665" s="15">
        <v>0</v>
      </c>
      <c r="K1665" s="15">
        <v>0</v>
      </c>
      <c r="L1665" s="20">
        <v>0</v>
      </c>
      <c r="M1665" s="15">
        <v>0</v>
      </c>
      <c r="N1665" s="15">
        <v>0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0</v>
      </c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</row>
    <row r="1666" spans="1:43">
      <c r="A1666" s="15" t="s">
        <v>49</v>
      </c>
      <c r="B1666" s="15" t="s">
        <v>50</v>
      </c>
      <c r="C1666" s="15" t="s">
        <v>61</v>
      </c>
      <c r="D1666" s="15" t="s">
        <v>4419</v>
      </c>
      <c r="E1666" s="15" t="s">
        <v>4420</v>
      </c>
      <c r="F1666" s="16">
        <v>0</v>
      </c>
      <c r="G1666" s="15" t="s">
        <v>4420</v>
      </c>
      <c r="H1666" s="15" t="s">
        <v>4421</v>
      </c>
      <c r="I1666" s="15">
        <v>0</v>
      </c>
      <c r="J1666" s="15">
        <v>0</v>
      </c>
      <c r="K1666" s="15">
        <v>0</v>
      </c>
      <c r="L1666" s="20">
        <v>0</v>
      </c>
      <c r="M1666" s="15">
        <v>0</v>
      </c>
      <c r="N1666" s="15">
        <v>0</v>
      </c>
      <c r="O1666" s="15">
        <v>0</v>
      </c>
      <c r="P1666" s="15">
        <v>0</v>
      </c>
      <c r="Q1666" s="15">
        <v>0</v>
      </c>
      <c r="R1666" s="15">
        <v>0</v>
      </c>
      <c r="S1666" s="15">
        <v>0</v>
      </c>
      <c r="T1666" s="15">
        <v>0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</row>
    <row r="1667" spans="1:43">
      <c r="A1667" s="15" t="s">
        <v>49</v>
      </c>
      <c r="B1667" s="15" t="s">
        <v>50</v>
      </c>
      <c r="C1667" s="15" t="s">
        <v>61</v>
      </c>
      <c r="D1667" s="15" t="s">
        <v>4422</v>
      </c>
      <c r="E1667" s="15" t="s">
        <v>4423</v>
      </c>
      <c r="F1667" s="16">
        <v>0</v>
      </c>
      <c r="G1667" s="15" t="s">
        <v>4423</v>
      </c>
      <c r="H1667" s="15" t="s">
        <v>4424</v>
      </c>
      <c r="I1667" s="15">
        <v>0</v>
      </c>
      <c r="J1667" s="15">
        <v>0</v>
      </c>
      <c r="K1667" s="15">
        <v>0</v>
      </c>
      <c r="L1667" s="20">
        <v>0</v>
      </c>
      <c r="M1667" s="15">
        <v>0</v>
      </c>
      <c r="N1667" s="15">
        <v>0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</row>
    <row r="1668" spans="1:43">
      <c r="A1668" s="15" t="s">
        <v>43</v>
      </c>
      <c r="B1668" s="15" t="s">
        <v>44</v>
      </c>
      <c r="C1668" s="15" t="s">
        <v>45</v>
      </c>
      <c r="D1668" s="15" t="s">
        <v>4425</v>
      </c>
      <c r="E1668" s="15" t="s">
        <v>4426</v>
      </c>
      <c r="F1668" s="16">
        <v>43003.8125115741</v>
      </c>
      <c r="G1668" s="15" t="s">
        <v>4426</v>
      </c>
      <c r="H1668" s="15" t="s">
        <v>4427</v>
      </c>
      <c r="I1668" s="15">
        <v>0</v>
      </c>
      <c r="J1668" s="15">
        <v>0</v>
      </c>
      <c r="K1668" s="15">
        <v>0</v>
      </c>
      <c r="L1668" s="20">
        <v>0</v>
      </c>
      <c r="M1668" s="15">
        <v>0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0</v>
      </c>
      <c r="X1668" s="15">
        <v>0</v>
      </c>
      <c r="Y1668" s="15">
        <v>0</v>
      </c>
      <c r="Z1668" s="15">
        <v>0</v>
      </c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</row>
    <row r="1669" spans="1:43">
      <c r="A1669" s="15" t="s">
        <v>43</v>
      </c>
      <c r="B1669" s="15" t="s">
        <v>44</v>
      </c>
      <c r="C1669" s="15" t="s">
        <v>228</v>
      </c>
      <c r="D1669" s="15" t="s">
        <v>4428</v>
      </c>
      <c r="E1669" s="15" t="s">
        <v>4429</v>
      </c>
      <c r="F1669" s="16">
        <v>45096.3644212963</v>
      </c>
      <c r="G1669" s="15" t="s">
        <v>4429</v>
      </c>
      <c r="H1669" s="15" t="s">
        <v>54</v>
      </c>
      <c r="I1669" s="15">
        <v>297.48</v>
      </c>
      <c r="J1669" s="15">
        <v>3</v>
      </c>
      <c r="K1669" s="15">
        <v>99.16</v>
      </c>
      <c r="L1669" s="20">
        <v>1.9832</v>
      </c>
      <c r="M1669" s="15">
        <v>101.49</v>
      </c>
      <c r="N1669" s="15">
        <v>95.92</v>
      </c>
      <c r="O1669" s="15">
        <v>100.07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0</v>
      </c>
      <c r="X1669" s="15">
        <v>0</v>
      </c>
      <c r="Y1669" s="15">
        <v>0</v>
      </c>
      <c r="Z1669" s="15">
        <v>0</v>
      </c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</row>
    <row r="1670" spans="1:43">
      <c r="A1670" s="15" t="s">
        <v>49</v>
      </c>
      <c r="B1670" s="15" t="s">
        <v>50</v>
      </c>
      <c r="C1670" s="15" t="s">
        <v>61</v>
      </c>
      <c r="D1670" s="15" t="s">
        <v>4430</v>
      </c>
      <c r="E1670" s="15" t="s">
        <v>4431</v>
      </c>
      <c r="F1670" s="16">
        <v>0</v>
      </c>
      <c r="G1670" s="15" t="s">
        <v>4431</v>
      </c>
      <c r="H1670" s="15" t="s">
        <v>4432</v>
      </c>
      <c r="I1670" s="15">
        <v>0</v>
      </c>
      <c r="J1670" s="15">
        <v>0</v>
      </c>
      <c r="K1670" s="15">
        <v>0</v>
      </c>
      <c r="L1670" s="20">
        <v>0</v>
      </c>
      <c r="M1670" s="15">
        <v>0</v>
      </c>
      <c r="N1670" s="15">
        <v>0</v>
      </c>
      <c r="O1670" s="15">
        <v>0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</row>
    <row r="1671" spans="1:43">
      <c r="A1671" s="15" t="s">
        <v>49</v>
      </c>
      <c r="B1671" s="15" t="s">
        <v>50</v>
      </c>
      <c r="C1671" s="15" t="s">
        <v>61</v>
      </c>
      <c r="D1671" s="15" t="s">
        <v>4433</v>
      </c>
      <c r="E1671" s="15" t="s">
        <v>4434</v>
      </c>
      <c r="F1671" s="16">
        <v>0</v>
      </c>
      <c r="G1671" s="15" t="s">
        <v>4434</v>
      </c>
      <c r="H1671" s="15" t="s">
        <v>4435</v>
      </c>
      <c r="I1671" s="15">
        <v>0</v>
      </c>
      <c r="J1671" s="15">
        <v>0</v>
      </c>
      <c r="K1671" s="15">
        <v>0</v>
      </c>
      <c r="L1671" s="20">
        <v>0</v>
      </c>
      <c r="M1671" s="15">
        <v>0</v>
      </c>
      <c r="N1671" s="15">
        <v>0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</row>
    <row r="1672" spans="1:43">
      <c r="A1672" s="15" t="s">
        <v>49</v>
      </c>
      <c r="B1672" s="15" t="s">
        <v>50</v>
      </c>
      <c r="C1672" s="15" t="s">
        <v>61</v>
      </c>
      <c r="D1672" s="15" t="s">
        <v>4436</v>
      </c>
      <c r="E1672" s="15" t="s">
        <v>4437</v>
      </c>
      <c r="F1672" s="16">
        <v>0</v>
      </c>
      <c r="G1672" s="15" t="s">
        <v>4437</v>
      </c>
      <c r="H1672" s="15" t="s">
        <v>4438</v>
      </c>
      <c r="I1672" s="15">
        <v>0</v>
      </c>
      <c r="J1672" s="15">
        <v>0</v>
      </c>
      <c r="K1672" s="15">
        <v>0</v>
      </c>
      <c r="L1672" s="20">
        <v>0</v>
      </c>
      <c r="M1672" s="15">
        <v>0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0</v>
      </c>
      <c r="Z1672" s="15">
        <v>0</v>
      </c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</row>
    <row r="1673" spans="1:43">
      <c r="A1673" s="15" t="s">
        <v>43</v>
      </c>
      <c r="B1673" s="15" t="s">
        <v>44</v>
      </c>
      <c r="C1673" s="15" t="s">
        <v>45</v>
      </c>
      <c r="D1673" s="15" t="s">
        <v>4439</v>
      </c>
      <c r="E1673" s="15" t="s">
        <v>4440</v>
      </c>
      <c r="F1673" s="16">
        <v>41598.6405092593</v>
      </c>
      <c r="G1673" s="15" t="s">
        <v>4440</v>
      </c>
      <c r="H1673" s="15" t="s">
        <v>4441</v>
      </c>
      <c r="I1673" s="15">
        <v>0</v>
      </c>
      <c r="J1673" s="15">
        <v>0</v>
      </c>
      <c r="K1673" s="15">
        <v>0</v>
      </c>
      <c r="L1673" s="20">
        <v>0</v>
      </c>
      <c r="M1673" s="15">
        <v>0</v>
      </c>
      <c r="N1673" s="15">
        <v>0</v>
      </c>
      <c r="O1673" s="15">
        <v>0</v>
      </c>
      <c r="P1673" s="15">
        <v>0</v>
      </c>
      <c r="Q1673" s="15">
        <v>0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</row>
    <row r="1674" spans="1:43">
      <c r="A1674" s="15" t="s">
        <v>43</v>
      </c>
      <c r="B1674" s="15" t="s">
        <v>44</v>
      </c>
      <c r="C1674" s="15" t="s">
        <v>45</v>
      </c>
      <c r="D1674" s="15" t="s">
        <v>4442</v>
      </c>
      <c r="E1674" s="15" t="s">
        <v>4443</v>
      </c>
      <c r="F1674" s="16">
        <v>43173.4479166667</v>
      </c>
      <c r="G1674" s="15" t="s">
        <v>4443</v>
      </c>
      <c r="H1674" s="15" t="s">
        <v>4444</v>
      </c>
      <c r="I1674" s="15">
        <v>0</v>
      </c>
      <c r="J1674" s="15">
        <v>0</v>
      </c>
      <c r="K1674" s="15">
        <v>0</v>
      </c>
      <c r="L1674" s="20">
        <v>0</v>
      </c>
      <c r="M1674" s="15">
        <v>0</v>
      </c>
      <c r="N1674" s="15">
        <v>0</v>
      </c>
      <c r="O1674" s="15">
        <v>0</v>
      </c>
      <c r="P1674" s="15">
        <v>0</v>
      </c>
      <c r="Q1674" s="15">
        <v>0</v>
      </c>
      <c r="R1674" s="15">
        <v>0</v>
      </c>
      <c r="S1674" s="15">
        <v>0</v>
      </c>
      <c r="T1674" s="15">
        <v>0</v>
      </c>
      <c r="U1674" s="15">
        <v>0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</row>
    <row r="1675" spans="1:43">
      <c r="A1675" s="15" t="s">
        <v>43</v>
      </c>
      <c r="B1675" s="15" t="s">
        <v>44</v>
      </c>
      <c r="C1675" s="15" t="s">
        <v>440</v>
      </c>
      <c r="D1675" s="15" t="s">
        <v>4445</v>
      </c>
      <c r="E1675" s="15" t="s">
        <v>4446</v>
      </c>
      <c r="F1675" s="16">
        <v>44124.4006712963</v>
      </c>
      <c r="G1675" s="15" t="s">
        <v>4446</v>
      </c>
      <c r="H1675" s="15" t="s">
        <v>54</v>
      </c>
      <c r="I1675" s="15">
        <v>0</v>
      </c>
      <c r="J1675" s="15">
        <v>0</v>
      </c>
      <c r="K1675" s="15">
        <v>0</v>
      </c>
      <c r="L1675" s="20">
        <v>0</v>
      </c>
      <c r="M1675" s="15">
        <v>0</v>
      </c>
      <c r="N1675" s="15">
        <v>0</v>
      </c>
      <c r="O1675" s="15">
        <v>0</v>
      </c>
      <c r="P1675" s="15">
        <v>0</v>
      </c>
      <c r="Q1675" s="15">
        <v>0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</row>
    <row r="1676" spans="1:43">
      <c r="A1676" s="15" t="s">
        <v>43</v>
      </c>
      <c r="B1676" s="15" t="s">
        <v>44</v>
      </c>
      <c r="C1676" s="15" t="s">
        <v>45</v>
      </c>
      <c r="D1676" s="15" t="s">
        <v>4447</v>
      </c>
      <c r="E1676" s="15" t="s">
        <v>4448</v>
      </c>
      <c r="F1676" s="16">
        <v>42425.6604050926</v>
      </c>
      <c r="G1676" s="15" t="s">
        <v>4448</v>
      </c>
      <c r="H1676" s="15" t="s">
        <v>4449</v>
      </c>
      <c r="I1676" s="15">
        <v>0</v>
      </c>
      <c r="J1676" s="15">
        <v>0</v>
      </c>
      <c r="K1676" s="15">
        <v>0</v>
      </c>
      <c r="L1676" s="20">
        <v>0</v>
      </c>
      <c r="M1676" s="15">
        <v>0</v>
      </c>
      <c r="N1676" s="15">
        <v>0</v>
      </c>
      <c r="O1676" s="15">
        <v>0</v>
      </c>
      <c r="P1676" s="15">
        <v>0</v>
      </c>
      <c r="Q1676" s="15">
        <v>0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</row>
    <row r="1677" spans="1:43">
      <c r="A1677" s="15" t="s">
        <v>49</v>
      </c>
      <c r="B1677" s="15" t="s">
        <v>50</v>
      </c>
      <c r="C1677" s="15" t="s">
        <v>61</v>
      </c>
      <c r="D1677" s="15" t="s">
        <v>4450</v>
      </c>
      <c r="E1677" s="15" t="s">
        <v>4451</v>
      </c>
      <c r="F1677" s="16">
        <v>0</v>
      </c>
      <c r="G1677" s="15" t="s">
        <v>4451</v>
      </c>
      <c r="H1677" s="15" t="s">
        <v>54</v>
      </c>
      <c r="I1677" s="15">
        <v>0</v>
      </c>
      <c r="J1677" s="15">
        <v>0</v>
      </c>
      <c r="K1677" s="15">
        <v>0</v>
      </c>
      <c r="L1677" s="20">
        <v>0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</row>
    <row r="1678" spans="1:43">
      <c r="A1678" s="15" t="s">
        <v>43</v>
      </c>
      <c r="B1678" s="15" t="s">
        <v>44</v>
      </c>
      <c r="C1678" s="15" t="s">
        <v>45</v>
      </c>
      <c r="D1678" s="15" t="s">
        <v>4452</v>
      </c>
      <c r="E1678" s="15" t="s">
        <v>4453</v>
      </c>
      <c r="F1678" s="16">
        <v>43559.4693981481</v>
      </c>
      <c r="G1678" s="15" t="s">
        <v>4453</v>
      </c>
      <c r="H1678" s="15" t="s">
        <v>4454</v>
      </c>
      <c r="I1678" s="15">
        <v>0</v>
      </c>
      <c r="J1678" s="15">
        <v>0</v>
      </c>
      <c r="K1678" s="15">
        <v>0</v>
      </c>
      <c r="L1678" s="20">
        <v>0</v>
      </c>
      <c r="M1678" s="15">
        <v>0</v>
      </c>
      <c r="N1678" s="15">
        <v>0</v>
      </c>
      <c r="O1678" s="15">
        <v>0</v>
      </c>
      <c r="P1678" s="15">
        <v>0</v>
      </c>
      <c r="Q1678" s="15">
        <v>0</v>
      </c>
      <c r="R1678" s="15">
        <v>0</v>
      </c>
      <c r="S1678" s="15">
        <v>0</v>
      </c>
      <c r="T1678" s="15">
        <v>0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</row>
    <row r="1679" spans="1:43">
      <c r="A1679" s="15" t="s">
        <v>43</v>
      </c>
      <c r="B1679" s="15" t="s">
        <v>44</v>
      </c>
      <c r="C1679" s="15" t="s">
        <v>45</v>
      </c>
      <c r="D1679" s="15" t="s">
        <v>4455</v>
      </c>
      <c r="E1679" s="15" t="s">
        <v>4456</v>
      </c>
      <c r="F1679" s="16">
        <v>44414.6001851852</v>
      </c>
      <c r="G1679" s="15" t="s">
        <v>4456</v>
      </c>
      <c r="H1679" s="15" t="s">
        <v>54</v>
      </c>
      <c r="I1679" s="15">
        <v>0</v>
      </c>
      <c r="J1679" s="15">
        <v>0</v>
      </c>
      <c r="K1679" s="15">
        <v>0</v>
      </c>
      <c r="L1679" s="20">
        <v>0</v>
      </c>
      <c r="M1679" s="15">
        <v>0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</row>
    <row r="1680" spans="1:43">
      <c r="A1680" s="15" t="s">
        <v>43</v>
      </c>
      <c r="B1680" s="15" t="s">
        <v>44</v>
      </c>
      <c r="C1680" s="15" t="s">
        <v>45</v>
      </c>
      <c r="D1680" s="15" t="s">
        <v>4457</v>
      </c>
      <c r="E1680" s="15" t="s">
        <v>4458</v>
      </c>
      <c r="F1680" s="16">
        <v>43532.7281597222</v>
      </c>
      <c r="G1680" s="15" t="s">
        <v>4458</v>
      </c>
      <c r="H1680" s="15" t="s">
        <v>4459</v>
      </c>
      <c r="I1680" s="15">
        <v>0</v>
      </c>
      <c r="J1680" s="15">
        <v>0</v>
      </c>
      <c r="K1680" s="15">
        <v>0</v>
      </c>
      <c r="L1680" s="20">
        <v>0</v>
      </c>
      <c r="M1680" s="15">
        <v>0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0</v>
      </c>
      <c r="T1680" s="15">
        <v>0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</row>
    <row r="1681" spans="1:43">
      <c r="A1681" s="15" t="s">
        <v>43</v>
      </c>
      <c r="B1681" s="15" t="s">
        <v>44</v>
      </c>
      <c r="C1681" s="15" t="s">
        <v>45</v>
      </c>
      <c r="D1681" s="15" t="s">
        <v>4460</v>
      </c>
      <c r="E1681" s="15" t="s">
        <v>4461</v>
      </c>
      <c r="F1681" s="16">
        <v>42129.5841898148</v>
      </c>
      <c r="G1681" s="15" t="s">
        <v>4461</v>
      </c>
      <c r="H1681" s="15" t="s">
        <v>4462</v>
      </c>
      <c r="I1681" s="15">
        <v>0</v>
      </c>
      <c r="J1681" s="15">
        <v>0</v>
      </c>
      <c r="K1681" s="15">
        <v>0</v>
      </c>
      <c r="L1681" s="20">
        <v>0</v>
      </c>
      <c r="M1681" s="15">
        <v>0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0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</row>
    <row r="1682" spans="1:43">
      <c r="A1682" s="15" t="s">
        <v>43</v>
      </c>
      <c r="B1682" s="15" t="s">
        <v>44</v>
      </c>
      <c r="C1682" s="15" t="s">
        <v>45</v>
      </c>
      <c r="D1682" s="15" t="s">
        <v>4463</v>
      </c>
      <c r="E1682" s="15" t="s">
        <v>4464</v>
      </c>
      <c r="F1682" s="16">
        <v>43277.4440625</v>
      </c>
      <c r="G1682" s="15" t="s">
        <v>4464</v>
      </c>
      <c r="H1682" s="15" t="s">
        <v>4465</v>
      </c>
      <c r="I1682" s="15">
        <v>0</v>
      </c>
      <c r="J1682" s="15">
        <v>0</v>
      </c>
      <c r="K1682" s="15">
        <v>0</v>
      </c>
      <c r="L1682" s="20">
        <v>0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0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</row>
    <row r="1683" spans="1:43">
      <c r="A1683" s="15" t="s">
        <v>49</v>
      </c>
      <c r="B1683" s="15" t="s">
        <v>50</v>
      </c>
      <c r="C1683" s="15" t="s">
        <v>61</v>
      </c>
      <c r="D1683" s="15" t="s">
        <v>4466</v>
      </c>
      <c r="E1683" s="15" t="s">
        <v>4467</v>
      </c>
      <c r="F1683" s="16">
        <v>0</v>
      </c>
      <c r="G1683" s="15" t="s">
        <v>4467</v>
      </c>
      <c r="H1683" s="15" t="s">
        <v>54</v>
      </c>
      <c r="I1683" s="15">
        <v>0</v>
      </c>
      <c r="J1683" s="15">
        <v>0</v>
      </c>
      <c r="K1683" s="15">
        <v>0</v>
      </c>
      <c r="L1683" s="20">
        <v>0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</row>
    <row r="1684" spans="1:43">
      <c r="A1684" s="15" t="s">
        <v>49</v>
      </c>
      <c r="B1684" s="15" t="s">
        <v>50</v>
      </c>
      <c r="C1684" s="15" t="s">
        <v>61</v>
      </c>
      <c r="D1684" s="15" t="s">
        <v>4468</v>
      </c>
      <c r="E1684" s="15" t="s">
        <v>4469</v>
      </c>
      <c r="F1684" s="16">
        <v>0</v>
      </c>
      <c r="G1684" s="15" t="s">
        <v>4469</v>
      </c>
      <c r="H1684" s="15" t="s">
        <v>4470</v>
      </c>
      <c r="I1684" s="15">
        <v>0</v>
      </c>
      <c r="J1684" s="15">
        <v>0</v>
      </c>
      <c r="K1684" s="15">
        <v>0</v>
      </c>
      <c r="L1684" s="20">
        <v>0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</row>
    <row r="1685" spans="1:43">
      <c r="A1685" s="15" t="s">
        <v>43</v>
      </c>
      <c r="B1685" s="15" t="s">
        <v>44</v>
      </c>
      <c r="C1685" s="15" t="s">
        <v>45</v>
      </c>
      <c r="D1685" s="15" t="s">
        <v>4471</v>
      </c>
      <c r="E1685" s="15" t="s">
        <v>4472</v>
      </c>
      <c r="F1685" s="16">
        <v>44270.6349074074</v>
      </c>
      <c r="G1685" s="15" t="s">
        <v>4472</v>
      </c>
      <c r="H1685" s="15" t="s">
        <v>4473</v>
      </c>
      <c r="I1685" s="15">
        <v>0</v>
      </c>
      <c r="J1685" s="15">
        <v>0</v>
      </c>
      <c r="K1685" s="15">
        <v>0</v>
      </c>
      <c r="L1685" s="20">
        <v>0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</row>
    <row r="1686" spans="1:43">
      <c r="A1686" s="15" t="s">
        <v>49</v>
      </c>
      <c r="B1686" s="15" t="s">
        <v>50</v>
      </c>
      <c r="C1686" s="15" t="s">
        <v>61</v>
      </c>
      <c r="D1686" s="15" t="s">
        <v>4474</v>
      </c>
      <c r="E1686" s="15" t="s">
        <v>4475</v>
      </c>
      <c r="F1686" s="16">
        <v>0</v>
      </c>
      <c r="G1686" s="15" t="s">
        <v>4475</v>
      </c>
      <c r="H1686" s="15" t="s">
        <v>4476</v>
      </c>
      <c r="I1686" s="15">
        <v>0</v>
      </c>
      <c r="J1686" s="15">
        <v>0</v>
      </c>
      <c r="K1686" s="15">
        <v>0</v>
      </c>
      <c r="L1686" s="20">
        <v>0</v>
      </c>
      <c r="M1686" s="15">
        <v>0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</row>
    <row r="1687" spans="1:43">
      <c r="A1687" s="15" t="s">
        <v>49</v>
      </c>
      <c r="B1687" s="15" t="s">
        <v>50</v>
      </c>
      <c r="C1687" s="15" t="s">
        <v>61</v>
      </c>
      <c r="D1687" s="15" t="s">
        <v>4477</v>
      </c>
      <c r="E1687" s="15" t="s">
        <v>2374</v>
      </c>
      <c r="F1687" s="16">
        <v>0</v>
      </c>
      <c r="G1687" s="15" t="s">
        <v>2374</v>
      </c>
      <c r="H1687" s="15" t="s">
        <v>54</v>
      </c>
      <c r="I1687" s="15">
        <v>0</v>
      </c>
      <c r="J1687" s="15">
        <v>0</v>
      </c>
      <c r="K1687" s="15">
        <v>0</v>
      </c>
      <c r="L1687" s="20">
        <v>0</v>
      </c>
      <c r="M1687" s="15">
        <v>0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</row>
    <row r="1688" spans="1:43">
      <c r="A1688" s="15" t="s">
        <v>43</v>
      </c>
      <c r="B1688" s="15" t="s">
        <v>44</v>
      </c>
      <c r="C1688" s="15" t="s">
        <v>45</v>
      </c>
      <c r="D1688" s="15" t="s">
        <v>4478</v>
      </c>
      <c r="E1688" s="15" t="s">
        <v>4479</v>
      </c>
      <c r="F1688" s="16">
        <v>41810.7215509259</v>
      </c>
      <c r="G1688" s="15" t="s">
        <v>4479</v>
      </c>
      <c r="H1688" s="15" t="s">
        <v>4480</v>
      </c>
      <c r="I1688" s="15">
        <v>0</v>
      </c>
      <c r="J1688" s="15">
        <v>0</v>
      </c>
      <c r="K1688" s="15">
        <v>0</v>
      </c>
      <c r="L1688" s="20">
        <v>0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0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</row>
    <row r="1689" spans="1:43">
      <c r="A1689" s="15" t="s">
        <v>49</v>
      </c>
      <c r="B1689" s="15" t="s">
        <v>50</v>
      </c>
      <c r="C1689" s="15" t="s">
        <v>61</v>
      </c>
      <c r="D1689" s="15" t="s">
        <v>4481</v>
      </c>
      <c r="E1689" s="15" t="s">
        <v>4482</v>
      </c>
      <c r="F1689" s="16">
        <v>0</v>
      </c>
      <c r="G1689" s="15" t="s">
        <v>4482</v>
      </c>
      <c r="H1689" s="15" t="s">
        <v>4483</v>
      </c>
      <c r="I1689" s="15">
        <v>0</v>
      </c>
      <c r="J1689" s="15">
        <v>0</v>
      </c>
      <c r="K1689" s="15">
        <v>0</v>
      </c>
      <c r="L1689" s="20">
        <v>0</v>
      </c>
      <c r="M1689" s="15">
        <v>0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</row>
    <row r="1690" spans="1:43">
      <c r="A1690" s="15" t="s">
        <v>43</v>
      </c>
      <c r="B1690" s="15" t="s">
        <v>44</v>
      </c>
      <c r="C1690" s="15" t="s">
        <v>45</v>
      </c>
      <c r="D1690" s="15" t="s">
        <v>4484</v>
      </c>
      <c r="E1690" s="15" t="s">
        <v>4485</v>
      </c>
      <c r="F1690" s="16">
        <v>43544.4709606481</v>
      </c>
      <c r="G1690" s="15" t="s">
        <v>4485</v>
      </c>
      <c r="H1690" s="15" t="s">
        <v>4486</v>
      </c>
      <c r="I1690" s="15">
        <v>0</v>
      </c>
      <c r="J1690" s="15">
        <v>0</v>
      </c>
      <c r="K1690" s="15">
        <v>0</v>
      </c>
      <c r="L1690" s="20">
        <v>0</v>
      </c>
      <c r="M1690" s="15">
        <v>0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</row>
    <row r="1691" spans="1:43">
      <c r="A1691" s="15" t="s">
        <v>49</v>
      </c>
      <c r="B1691" s="15" t="s">
        <v>50</v>
      </c>
      <c r="C1691" s="15" t="s">
        <v>61</v>
      </c>
      <c r="D1691" s="15" t="s">
        <v>4487</v>
      </c>
      <c r="E1691" s="15" t="s">
        <v>4488</v>
      </c>
      <c r="F1691" s="16">
        <v>0</v>
      </c>
      <c r="G1691" s="15" t="s">
        <v>4488</v>
      </c>
      <c r="H1691" s="15" t="s">
        <v>4489</v>
      </c>
      <c r="I1691" s="15">
        <v>0</v>
      </c>
      <c r="J1691" s="15">
        <v>0</v>
      </c>
      <c r="K1691" s="15">
        <v>0</v>
      </c>
      <c r="L1691" s="20">
        <v>0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</row>
    <row r="1692" spans="1:43">
      <c r="A1692" s="15" t="s">
        <v>43</v>
      </c>
      <c r="B1692" s="15" t="s">
        <v>44</v>
      </c>
      <c r="C1692" s="15" t="s">
        <v>45</v>
      </c>
      <c r="D1692" s="15" t="s">
        <v>4490</v>
      </c>
      <c r="E1692" s="15" t="s">
        <v>4491</v>
      </c>
      <c r="F1692" s="16">
        <v>42382.4897916667</v>
      </c>
      <c r="G1692" s="15" t="s">
        <v>4491</v>
      </c>
      <c r="H1692" s="15" t="s">
        <v>4492</v>
      </c>
      <c r="I1692" s="15">
        <v>0</v>
      </c>
      <c r="J1692" s="15">
        <v>0</v>
      </c>
      <c r="K1692" s="15">
        <v>0</v>
      </c>
      <c r="L1692" s="20">
        <v>0</v>
      </c>
      <c r="M1692" s="15">
        <v>0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</row>
    <row r="1693" spans="1:43">
      <c r="A1693" s="15" t="s">
        <v>49</v>
      </c>
      <c r="B1693" s="15" t="s">
        <v>50</v>
      </c>
      <c r="C1693" s="15" t="s">
        <v>61</v>
      </c>
      <c r="D1693" s="15" t="s">
        <v>4493</v>
      </c>
      <c r="E1693" s="15" t="s">
        <v>4494</v>
      </c>
      <c r="F1693" s="16">
        <v>0</v>
      </c>
      <c r="G1693" s="15" t="s">
        <v>4494</v>
      </c>
      <c r="H1693" s="15" t="s">
        <v>54</v>
      </c>
      <c r="I1693" s="15">
        <v>0</v>
      </c>
      <c r="J1693" s="15">
        <v>0</v>
      </c>
      <c r="K1693" s="15">
        <v>0</v>
      </c>
      <c r="L1693" s="20">
        <v>0</v>
      </c>
      <c r="M1693" s="15">
        <v>0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</row>
    <row r="1694" spans="1:43">
      <c r="A1694" s="15" t="s">
        <v>49</v>
      </c>
      <c r="B1694" s="15" t="s">
        <v>50</v>
      </c>
      <c r="C1694" s="15" t="s">
        <v>61</v>
      </c>
      <c r="D1694" s="15" t="s">
        <v>4495</v>
      </c>
      <c r="E1694" s="15" t="s">
        <v>4496</v>
      </c>
      <c r="F1694" s="16">
        <v>0</v>
      </c>
      <c r="G1694" s="15" t="s">
        <v>4496</v>
      </c>
      <c r="H1694" s="15" t="s">
        <v>4497</v>
      </c>
      <c r="I1694" s="15">
        <v>0</v>
      </c>
      <c r="J1694" s="15">
        <v>0</v>
      </c>
      <c r="K1694" s="15">
        <v>0</v>
      </c>
      <c r="L1694" s="20">
        <v>0</v>
      </c>
      <c r="M1694" s="15">
        <v>0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</row>
    <row r="1695" spans="1:43">
      <c r="A1695" s="15" t="s">
        <v>49</v>
      </c>
      <c r="B1695" s="15" t="s">
        <v>50</v>
      </c>
      <c r="C1695" s="15" t="s">
        <v>61</v>
      </c>
      <c r="D1695" s="15" t="s">
        <v>4498</v>
      </c>
      <c r="E1695" s="15" t="s">
        <v>4499</v>
      </c>
      <c r="F1695" s="16">
        <v>0</v>
      </c>
      <c r="G1695" s="15" t="s">
        <v>4499</v>
      </c>
      <c r="H1695" s="15" t="s">
        <v>4500</v>
      </c>
      <c r="I1695" s="15">
        <v>0</v>
      </c>
      <c r="J1695" s="15">
        <v>0</v>
      </c>
      <c r="K1695" s="15">
        <v>0</v>
      </c>
      <c r="L1695" s="20">
        <v>0</v>
      </c>
      <c r="M1695" s="15">
        <v>0</v>
      </c>
      <c r="N1695" s="15">
        <v>0</v>
      </c>
      <c r="O1695" s="15">
        <v>0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</row>
    <row r="1696" spans="1:43">
      <c r="A1696" s="15" t="s">
        <v>43</v>
      </c>
      <c r="B1696" s="15" t="s">
        <v>44</v>
      </c>
      <c r="C1696" s="15" t="s">
        <v>45</v>
      </c>
      <c r="D1696" s="15" t="s">
        <v>4501</v>
      </c>
      <c r="E1696" s="15" t="s">
        <v>4502</v>
      </c>
      <c r="F1696" s="16">
        <v>42374.4773726852</v>
      </c>
      <c r="G1696" s="15" t="s">
        <v>4502</v>
      </c>
      <c r="H1696" s="15" t="s">
        <v>4503</v>
      </c>
      <c r="I1696" s="15">
        <v>0</v>
      </c>
      <c r="J1696" s="15">
        <v>0</v>
      </c>
      <c r="K1696" s="15">
        <v>0</v>
      </c>
      <c r="L1696" s="20">
        <v>0</v>
      </c>
      <c r="M1696" s="15">
        <v>0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</row>
    <row r="1697" spans="1:43">
      <c r="A1697" s="15" t="s">
        <v>43</v>
      </c>
      <c r="B1697" s="15" t="s">
        <v>44</v>
      </c>
      <c r="C1697" s="15" t="s">
        <v>440</v>
      </c>
      <c r="D1697" s="15" t="s">
        <v>4504</v>
      </c>
      <c r="E1697" s="15" t="s">
        <v>4505</v>
      </c>
      <c r="F1697" s="16">
        <v>41725.3867939815</v>
      </c>
      <c r="G1697" s="15" t="s">
        <v>4505</v>
      </c>
      <c r="H1697" s="15" t="s">
        <v>4506</v>
      </c>
      <c r="I1697" s="15">
        <v>0</v>
      </c>
      <c r="J1697" s="15">
        <v>0</v>
      </c>
      <c r="K1697" s="15">
        <v>0</v>
      </c>
      <c r="L1697" s="20">
        <v>0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</row>
    <row r="1698" spans="1:43">
      <c r="A1698" s="15" t="s">
        <v>43</v>
      </c>
      <c r="B1698" s="15" t="s">
        <v>44</v>
      </c>
      <c r="C1698" s="15" t="s">
        <v>45</v>
      </c>
      <c r="D1698" s="15" t="s">
        <v>4507</v>
      </c>
      <c r="E1698" s="15" t="s">
        <v>4508</v>
      </c>
      <c r="F1698" s="16">
        <v>41892.6666898148</v>
      </c>
      <c r="G1698" s="15" t="s">
        <v>4508</v>
      </c>
      <c r="H1698" s="15" t="s">
        <v>4509</v>
      </c>
      <c r="I1698" s="15">
        <v>0</v>
      </c>
      <c r="J1698" s="15">
        <v>0</v>
      </c>
      <c r="K1698" s="15">
        <v>0</v>
      </c>
      <c r="L1698" s="20">
        <v>0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</row>
    <row r="1699" spans="1:43">
      <c r="A1699" s="15" t="s">
        <v>64</v>
      </c>
      <c r="B1699" s="15" t="s">
        <v>65</v>
      </c>
      <c r="C1699" s="15" t="s">
        <v>66</v>
      </c>
      <c r="D1699" s="15" t="s">
        <v>4510</v>
      </c>
      <c r="E1699" s="15" t="s">
        <v>1368</v>
      </c>
      <c r="F1699" s="16">
        <v>0</v>
      </c>
      <c r="G1699" s="15" t="s">
        <v>1368</v>
      </c>
      <c r="H1699" s="15" t="s">
        <v>2713</v>
      </c>
      <c r="I1699" s="15">
        <v>0</v>
      </c>
      <c r="J1699" s="15">
        <v>0</v>
      </c>
      <c r="K1699" s="15">
        <v>0</v>
      </c>
      <c r="L1699" s="20">
        <v>0</v>
      </c>
      <c r="M1699" s="15">
        <v>0</v>
      </c>
      <c r="N1699" s="15">
        <v>0</v>
      </c>
      <c r="O1699" s="15">
        <v>0</v>
      </c>
      <c r="P1699" s="15">
        <v>0</v>
      </c>
      <c r="Q1699" s="15">
        <v>0</v>
      </c>
      <c r="R1699" s="15">
        <v>0</v>
      </c>
      <c r="S1699" s="15">
        <v>0</v>
      </c>
      <c r="T1699" s="15">
        <v>0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</row>
    <row r="1700" spans="1:43">
      <c r="A1700" s="15" t="s">
        <v>43</v>
      </c>
      <c r="B1700" s="15" t="s">
        <v>44</v>
      </c>
      <c r="C1700" s="15" t="s">
        <v>45</v>
      </c>
      <c r="D1700" s="15" t="s">
        <v>4511</v>
      </c>
      <c r="E1700" s="15" t="s">
        <v>4512</v>
      </c>
      <c r="F1700" s="16">
        <v>43621.6535532407</v>
      </c>
      <c r="G1700" s="15" t="s">
        <v>4512</v>
      </c>
      <c r="H1700" s="15" t="s">
        <v>54</v>
      </c>
      <c r="I1700" s="15">
        <v>0</v>
      </c>
      <c r="J1700" s="15">
        <v>0</v>
      </c>
      <c r="K1700" s="15">
        <v>0</v>
      </c>
      <c r="L1700" s="20">
        <v>0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0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0</v>
      </c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</row>
    <row r="1701" spans="1:43">
      <c r="A1701" s="15" t="s">
        <v>64</v>
      </c>
      <c r="B1701" s="15" t="s">
        <v>65</v>
      </c>
      <c r="C1701" s="15" t="s">
        <v>522</v>
      </c>
      <c r="D1701" s="15" t="s">
        <v>4513</v>
      </c>
      <c r="E1701" s="15" t="s">
        <v>1610</v>
      </c>
      <c r="F1701" s="16">
        <v>45107.4426273148</v>
      </c>
      <c r="G1701" s="15" t="s">
        <v>1610</v>
      </c>
      <c r="H1701" s="15" t="s">
        <v>54</v>
      </c>
      <c r="I1701" s="15">
        <v>613.71</v>
      </c>
      <c r="J1701" s="15">
        <v>14</v>
      </c>
      <c r="K1701" s="15">
        <v>43.8364285714286</v>
      </c>
      <c r="L1701" s="20">
        <v>0.626234693877551</v>
      </c>
      <c r="M1701" s="15">
        <v>6.61</v>
      </c>
      <c r="N1701" s="15">
        <v>6.99</v>
      </c>
      <c r="O1701" s="15">
        <v>9.23</v>
      </c>
      <c r="P1701" s="15">
        <v>6.26</v>
      </c>
      <c r="Q1701" s="15">
        <v>6.19</v>
      </c>
      <c r="R1701" s="15">
        <v>5.7</v>
      </c>
      <c r="S1701" s="15">
        <v>9.3</v>
      </c>
      <c r="T1701" s="15">
        <v>8.61</v>
      </c>
      <c r="U1701" s="15">
        <v>42.94</v>
      </c>
      <c r="V1701" s="15">
        <v>103.49</v>
      </c>
      <c r="W1701" s="15">
        <v>101.33</v>
      </c>
      <c r="X1701" s="15">
        <v>104.81</v>
      </c>
      <c r="Y1701" s="15">
        <v>101.89</v>
      </c>
      <c r="Z1701" s="15">
        <v>100.36</v>
      </c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</row>
    <row r="1702" spans="1:43">
      <c r="A1702" s="15" t="s">
        <v>49</v>
      </c>
      <c r="B1702" s="15" t="s">
        <v>50</v>
      </c>
      <c r="C1702" s="15" t="s">
        <v>61</v>
      </c>
      <c r="D1702" s="15" t="s">
        <v>4514</v>
      </c>
      <c r="E1702" s="15" t="s">
        <v>4515</v>
      </c>
      <c r="F1702" s="16">
        <v>44523.7257523148</v>
      </c>
      <c r="G1702" s="15" t="s">
        <v>4515</v>
      </c>
      <c r="H1702" s="15" t="s">
        <v>54</v>
      </c>
      <c r="I1702" s="15">
        <v>0</v>
      </c>
      <c r="J1702" s="15">
        <v>0</v>
      </c>
      <c r="K1702" s="15">
        <v>0</v>
      </c>
      <c r="L1702" s="20">
        <v>0</v>
      </c>
      <c r="M1702" s="15">
        <v>0</v>
      </c>
      <c r="N1702" s="15">
        <v>0</v>
      </c>
      <c r="O1702" s="15">
        <v>0</v>
      </c>
      <c r="P1702" s="15">
        <v>0</v>
      </c>
      <c r="Q1702" s="15">
        <v>0</v>
      </c>
      <c r="R1702" s="15">
        <v>0</v>
      </c>
      <c r="S1702" s="15">
        <v>0</v>
      </c>
      <c r="T1702" s="15">
        <v>0</v>
      </c>
      <c r="U1702" s="15">
        <v>0</v>
      </c>
      <c r="V1702" s="15">
        <v>0</v>
      </c>
      <c r="W1702" s="15">
        <v>0</v>
      </c>
      <c r="X1702" s="15">
        <v>0</v>
      </c>
      <c r="Y1702" s="15">
        <v>0</v>
      </c>
      <c r="Z1702" s="15">
        <v>0</v>
      </c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</row>
    <row r="1703" spans="1:43">
      <c r="A1703" s="15" t="s">
        <v>43</v>
      </c>
      <c r="B1703" s="15" t="s">
        <v>44</v>
      </c>
      <c r="C1703" s="15" t="s">
        <v>45</v>
      </c>
      <c r="D1703" s="15" t="s">
        <v>4516</v>
      </c>
      <c r="E1703" s="15" t="s">
        <v>2901</v>
      </c>
      <c r="F1703" s="16">
        <v>43697.581087963</v>
      </c>
      <c r="G1703" s="15" t="s">
        <v>2901</v>
      </c>
      <c r="H1703" s="15" t="s">
        <v>2902</v>
      </c>
      <c r="I1703" s="15">
        <v>0</v>
      </c>
      <c r="J1703" s="15">
        <v>0</v>
      </c>
      <c r="K1703" s="15">
        <v>0</v>
      </c>
      <c r="L1703" s="20">
        <v>0</v>
      </c>
      <c r="M1703" s="15">
        <v>0</v>
      </c>
      <c r="N1703" s="15">
        <v>0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  <c r="U1703" s="15">
        <v>0</v>
      </c>
      <c r="V1703" s="15">
        <v>0</v>
      </c>
      <c r="W1703" s="15">
        <v>0</v>
      </c>
      <c r="X1703" s="15">
        <v>0</v>
      </c>
      <c r="Y1703" s="15">
        <v>0</v>
      </c>
      <c r="Z1703" s="15">
        <v>0</v>
      </c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</row>
    <row r="1704" spans="1:43">
      <c r="A1704" s="15" t="s">
        <v>43</v>
      </c>
      <c r="B1704" s="15" t="s">
        <v>44</v>
      </c>
      <c r="C1704" s="15" t="s">
        <v>45</v>
      </c>
      <c r="D1704" s="15" t="s">
        <v>4517</v>
      </c>
      <c r="E1704" s="15" t="s">
        <v>4518</v>
      </c>
      <c r="F1704" s="16">
        <v>43167.6784606482</v>
      </c>
      <c r="G1704" s="15" t="s">
        <v>4518</v>
      </c>
      <c r="H1704" s="15" t="s">
        <v>4519</v>
      </c>
      <c r="I1704" s="15">
        <v>0</v>
      </c>
      <c r="J1704" s="15">
        <v>0</v>
      </c>
      <c r="K1704" s="15">
        <v>0</v>
      </c>
      <c r="L1704" s="20">
        <v>0</v>
      </c>
      <c r="M1704" s="15">
        <v>0</v>
      </c>
      <c r="N1704" s="15">
        <v>0</v>
      </c>
      <c r="O1704" s="15">
        <v>0</v>
      </c>
      <c r="P1704" s="15">
        <v>0</v>
      </c>
      <c r="Q1704" s="15">
        <v>0</v>
      </c>
      <c r="R1704" s="15">
        <v>0</v>
      </c>
      <c r="S1704" s="15">
        <v>0</v>
      </c>
      <c r="T1704" s="15">
        <v>0</v>
      </c>
      <c r="U1704" s="15">
        <v>0</v>
      </c>
      <c r="V1704" s="15">
        <v>0</v>
      </c>
      <c r="W1704" s="15">
        <v>0</v>
      </c>
      <c r="X1704" s="15">
        <v>0</v>
      </c>
      <c r="Y1704" s="15">
        <v>0</v>
      </c>
      <c r="Z1704" s="15">
        <v>0</v>
      </c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</row>
    <row r="1705" spans="1:43">
      <c r="A1705" s="15" t="s">
        <v>43</v>
      </c>
      <c r="B1705" s="15" t="s">
        <v>44</v>
      </c>
      <c r="C1705" s="15" t="s">
        <v>45</v>
      </c>
      <c r="D1705" s="15" t="s">
        <v>4520</v>
      </c>
      <c r="E1705" s="15" t="s">
        <v>4521</v>
      </c>
      <c r="F1705" s="16">
        <v>40262.6059375</v>
      </c>
      <c r="G1705" s="15" t="s">
        <v>4521</v>
      </c>
      <c r="H1705" s="15" t="s">
        <v>4522</v>
      </c>
      <c r="I1705" s="15">
        <v>0</v>
      </c>
      <c r="J1705" s="15">
        <v>0</v>
      </c>
      <c r="K1705" s="15">
        <v>0</v>
      </c>
      <c r="L1705" s="20">
        <v>0</v>
      </c>
      <c r="M1705" s="15">
        <v>0</v>
      </c>
      <c r="N1705" s="15">
        <v>0</v>
      </c>
      <c r="O1705" s="15">
        <v>0</v>
      </c>
      <c r="P1705" s="15">
        <v>0</v>
      </c>
      <c r="Q1705" s="15">
        <v>0</v>
      </c>
      <c r="R1705" s="15">
        <v>0</v>
      </c>
      <c r="S1705" s="15">
        <v>0</v>
      </c>
      <c r="T1705" s="15">
        <v>0</v>
      </c>
      <c r="U1705" s="15">
        <v>0</v>
      </c>
      <c r="V1705" s="15">
        <v>0</v>
      </c>
      <c r="W1705" s="15">
        <v>0</v>
      </c>
      <c r="X1705" s="15">
        <v>0</v>
      </c>
      <c r="Y1705" s="15">
        <v>0</v>
      </c>
      <c r="Z1705" s="15">
        <v>0</v>
      </c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</row>
    <row r="1706" spans="1:43">
      <c r="A1706" s="15" t="s">
        <v>43</v>
      </c>
      <c r="B1706" s="15" t="s">
        <v>44</v>
      </c>
      <c r="C1706" s="15" t="s">
        <v>45</v>
      </c>
      <c r="D1706" s="15" t="s">
        <v>4523</v>
      </c>
      <c r="E1706" s="15" t="s">
        <v>4524</v>
      </c>
      <c r="F1706" s="16">
        <v>43088.5936226852</v>
      </c>
      <c r="G1706" s="15" t="s">
        <v>4524</v>
      </c>
      <c r="H1706" s="15" t="s">
        <v>4525</v>
      </c>
      <c r="I1706" s="15">
        <v>0</v>
      </c>
      <c r="J1706" s="15">
        <v>0</v>
      </c>
      <c r="K1706" s="15">
        <v>0</v>
      </c>
      <c r="L1706" s="20">
        <v>0</v>
      </c>
      <c r="M1706" s="15">
        <v>0</v>
      </c>
      <c r="N1706" s="15">
        <v>0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0</v>
      </c>
      <c r="V1706" s="15">
        <v>0</v>
      </c>
      <c r="W1706" s="15">
        <v>0</v>
      </c>
      <c r="X1706" s="15">
        <v>0</v>
      </c>
      <c r="Y1706" s="15">
        <v>0</v>
      </c>
      <c r="Z1706" s="15">
        <v>0</v>
      </c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</row>
    <row r="1707" spans="1:43">
      <c r="A1707" s="15" t="s">
        <v>49</v>
      </c>
      <c r="B1707" s="15" t="s">
        <v>50</v>
      </c>
      <c r="C1707" s="15" t="s">
        <v>61</v>
      </c>
      <c r="D1707" s="15" t="s">
        <v>4526</v>
      </c>
      <c r="E1707" s="15" t="s">
        <v>4527</v>
      </c>
      <c r="F1707" s="16">
        <v>0</v>
      </c>
      <c r="G1707" s="15" t="s">
        <v>4527</v>
      </c>
      <c r="H1707" s="15" t="s">
        <v>4528</v>
      </c>
      <c r="I1707" s="15">
        <v>0</v>
      </c>
      <c r="J1707" s="15">
        <v>0</v>
      </c>
      <c r="K1707" s="15">
        <v>0</v>
      </c>
      <c r="L1707" s="20">
        <v>0</v>
      </c>
      <c r="M1707" s="15">
        <v>0</v>
      </c>
      <c r="N1707" s="15">
        <v>0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0</v>
      </c>
      <c r="V1707" s="15">
        <v>0</v>
      </c>
      <c r="W1707" s="15">
        <v>0</v>
      </c>
      <c r="X1707" s="15">
        <v>0</v>
      </c>
      <c r="Y1707" s="15">
        <v>0</v>
      </c>
      <c r="Z1707" s="15">
        <v>0</v>
      </c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</row>
    <row r="1708" spans="1:43">
      <c r="A1708" s="15" t="s">
        <v>43</v>
      </c>
      <c r="B1708" s="15" t="s">
        <v>44</v>
      </c>
      <c r="C1708" s="15" t="s">
        <v>45</v>
      </c>
      <c r="D1708" s="15" t="s">
        <v>4529</v>
      </c>
      <c r="E1708" s="15" t="s">
        <v>4530</v>
      </c>
      <c r="F1708" s="16">
        <v>42727.7046180556</v>
      </c>
      <c r="G1708" s="15" t="s">
        <v>4530</v>
      </c>
      <c r="H1708" s="15" t="s">
        <v>4531</v>
      </c>
      <c r="I1708" s="15">
        <v>0</v>
      </c>
      <c r="J1708" s="15">
        <v>0</v>
      </c>
      <c r="K1708" s="15">
        <v>0</v>
      </c>
      <c r="L1708" s="20">
        <v>0</v>
      </c>
      <c r="M1708" s="15">
        <v>0</v>
      </c>
      <c r="N1708" s="15">
        <v>0</v>
      </c>
      <c r="O1708" s="15">
        <v>0</v>
      </c>
      <c r="P1708" s="15">
        <v>0</v>
      </c>
      <c r="Q1708" s="15">
        <v>0</v>
      </c>
      <c r="R1708" s="15">
        <v>0</v>
      </c>
      <c r="S1708" s="15">
        <v>0</v>
      </c>
      <c r="T1708" s="15">
        <v>0</v>
      </c>
      <c r="U1708" s="15">
        <v>0</v>
      </c>
      <c r="V1708" s="15">
        <v>0</v>
      </c>
      <c r="W1708" s="15">
        <v>0</v>
      </c>
      <c r="X1708" s="15">
        <v>0</v>
      </c>
      <c r="Y1708" s="15">
        <v>0</v>
      </c>
      <c r="Z1708" s="15">
        <v>0</v>
      </c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</row>
    <row r="1709" spans="1:43">
      <c r="A1709" s="15" t="s">
        <v>43</v>
      </c>
      <c r="B1709" s="15" t="s">
        <v>44</v>
      </c>
      <c r="C1709" s="15" t="s">
        <v>45</v>
      </c>
      <c r="D1709" s="15" t="s">
        <v>4532</v>
      </c>
      <c r="E1709" s="15" t="s">
        <v>4533</v>
      </c>
      <c r="F1709" s="16">
        <v>42721.9469328704</v>
      </c>
      <c r="G1709" s="15" t="s">
        <v>4533</v>
      </c>
      <c r="H1709" s="15" t="s">
        <v>4534</v>
      </c>
      <c r="I1709" s="15">
        <v>0</v>
      </c>
      <c r="J1709" s="15">
        <v>0</v>
      </c>
      <c r="K1709" s="15">
        <v>0</v>
      </c>
      <c r="L1709" s="20">
        <v>0</v>
      </c>
      <c r="M1709" s="15">
        <v>0</v>
      </c>
      <c r="N1709" s="15">
        <v>0</v>
      </c>
      <c r="O1709" s="15">
        <v>0</v>
      </c>
      <c r="P1709" s="15">
        <v>0</v>
      </c>
      <c r="Q1709" s="15">
        <v>0</v>
      </c>
      <c r="R1709" s="15">
        <v>0</v>
      </c>
      <c r="S1709" s="15">
        <v>0</v>
      </c>
      <c r="T1709" s="15">
        <v>0</v>
      </c>
      <c r="U1709" s="15">
        <v>0</v>
      </c>
      <c r="V1709" s="15">
        <v>0</v>
      </c>
      <c r="W1709" s="15">
        <v>0</v>
      </c>
      <c r="X1709" s="15">
        <v>0</v>
      </c>
      <c r="Y1709" s="15">
        <v>0</v>
      </c>
      <c r="Z1709" s="15">
        <v>0</v>
      </c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</row>
    <row r="1710" spans="1:43">
      <c r="A1710" s="15" t="s">
        <v>43</v>
      </c>
      <c r="B1710" s="15" t="s">
        <v>44</v>
      </c>
      <c r="C1710" s="15" t="s">
        <v>45</v>
      </c>
      <c r="D1710" s="15" t="s">
        <v>4535</v>
      </c>
      <c r="E1710" s="15" t="s">
        <v>4536</v>
      </c>
      <c r="F1710" s="16">
        <v>43299.6628240741</v>
      </c>
      <c r="G1710" s="15" t="s">
        <v>4536</v>
      </c>
      <c r="H1710" s="15" t="s">
        <v>4537</v>
      </c>
      <c r="I1710" s="15">
        <v>0</v>
      </c>
      <c r="J1710" s="15">
        <v>0</v>
      </c>
      <c r="K1710" s="15">
        <v>0</v>
      </c>
      <c r="L1710" s="20">
        <v>0</v>
      </c>
      <c r="M1710" s="15">
        <v>0</v>
      </c>
      <c r="N1710" s="15">
        <v>0</v>
      </c>
      <c r="O1710" s="15">
        <v>0</v>
      </c>
      <c r="P1710" s="15">
        <v>0</v>
      </c>
      <c r="Q1710" s="15">
        <v>0</v>
      </c>
      <c r="R1710" s="15">
        <v>0</v>
      </c>
      <c r="S1710" s="15">
        <v>0</v>
      </c>
      <c r="T1710" s="15">
        <v>0</v>
      </c>
      <c r="U1710" s="15">
        <v>0</v>
      </c>
      <c r="V1710" s="15">
        <v>0</v>
      </c>
      <c r="W1710" s="15">
        <v>0</v>
      </c>
      <c r="X1710" s="15">
        <v>0</v>
      </c>
      <c r="Y1710" s="15">
        <v>0</v>
      </c>
      <c r="Z1710" s="15">
        <v>0</v>
      </c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</row>
    <row r="1711" spans="1:43">
      <c r="A1711" s="15" t="s">
        <v>64</v>
      </c>
      <c r="B1711" s="15" t="s">
        <v>65</v>
      </c>
      <c r="C1711" s="15" t="s">
        <v>78</v>
      </c>
      <c r="D1711" s="15" t="s">
        <v>4538</v>
      </c>
      <c r="E1711" s="15" t="s">
        <v>4539</v>
      </c>
      <c r="F1711" s="16">
        <v>45063.5963773148</v>
      </c>
      <c r="G1711" s="15" t="s">
        <v>4539</v>
      </c>
      <c r="H1711" s="15" t="s">
        <v>54</v>
      </c>
      <c r="I1711" s="15">
        <v>2679.78</v>
      </c>
      <c r="J1711" s="15">
        <v>14</v>
      </c>
      <c r="K1711" s="15">
        <v>191.412857142857</v>
      </c>
      <c r="L1711" s="20">
        <v>2.7344693877551</v>
      </c>
      <c r="M1711" s="15">
        <v>11.93</v>
      </c>
      <c r="N1711" s="15">
        <v>47.4</v>
      </c>
      <c r="O1711" s="15">
        <v>61.85</v>
      </c>
      <c r="P1711" s="15">
        <v>309.52</v>
      </c>
      <c r="Q1711" s="15">
        <v>391.85</v>
      </c>
      <c r="R1711" s="15">
        <v>331.92</v>
      </c>
      <c r="S1711" s="15">
        <v>20.01</v>
      </c>
      <c r="T1711" s="15">
        <v>238.64</v>
      </c>
      <c r="U1711" s="15">
        <v>325.3</v>
      </c>
      <c r="V1711" s="15">
        <v>51.04</v>
      </c>
      <c r="W1711" s="15">
        <v>55.11</v>
      </c>
      <c r="X1711" s="15">
        <v>357.72</v>
      </c>
      <c r="Y1711" s="15">
        <v>241.72</v>
      </c>
      <c r="Z1711" s="15">
        <v>235.77</v>
      </c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</row>
    <row r="1712" spans="1:43">
      <c r="A1712" s="15" t="s">
        <v>49</v>
      </c>
      <c r="B1712" s="15" t="s">
        <v>50</v>
      </c>
      <c r="C1712" s="15" t="s">
        <v>61</v>
      </c>
      <c r="D1712" s="15" t="s">
        <v>4540</v>
      </c>
      <c r="E1712" s="15" t="s">
        <v>4541</v>
      </c>
      <c r="F1712" s="16">
        <v>0</v>
      </c>
      <c r="G1712" s="15" t="s">
        <v>4541</v>
      </c>
      <c r="H1712" s="15" t="s">
        <v>54</v>
      </c>
      <c r="I1712" s="15">
        <v>0</v>
      </c>
      <c r="J1712" s="15">
        <v>0</v>
      </c>
      <c r="K1712" s="15">
        <v>0</v>
      </c>
      <c r="L1712" s="20">
        <v>0</v>
      </c>
      <c r="M1712" s="15">
        <v>0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  <c r="U1712" s="15">
        <v>0</v>
      </c>
      <c r="V1712" s="15">
        <v>0</v>
      </c>
      <c r="W1712" s="15">
        <v>0</v>
      </c>
      <c r="X1712" s="15">
        <v>0</v>
      </c>
      <c r="Y1712" s="15">
        <v>0</v>
      </c>
      <c r="Z1712" s="15">
        <v>0</v>
      </c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</row>
    <row r="1713" spans="1:43">
      <c r="A1713" s="15" t="s">
        <v>49</v>
      </c>
      <c r="B1713" s="15" t="s">
        <v>50</v>
      </c>
      <c r="C1713" s="15" t="s">
        <v>301</v>
      </c>
      <c r="D1713" s="15" t="s">
        <v>4542</v>
      </c>
      <c r="E1713" s="15" t="s">
        <v>4543</v>
      </c>
      <c r="F1713" s="16">
        <v>45102.4689467593</v>
      </c>
      <c r="G1713" s="15" t="s">
        <v>4543</v>
      </c>
      <c r="H1713" s="15" t="s">
        <v>54</v>
      </c>
      <c r="I1713" s="15">
        <v>666.99</v>
      </c>
      <c r="J1713" s="15">
        <v>14</v>
      </c>
      <c r="K1713" s="15">
        <v>47.6421428571429</v>
      </c>
      <c r="L1713" s="20">
        <v>0.952842857142857</v>
      </c>
      <c r="M1713" s="15">
        <v>50.09</v>
      </c>
      <c r="N1713" s="15">
        <v>44.61</v>
      </c>
      <c r="O1713" s="15">
        <v>55.77</v>
      </c>
      <c r="P1713" s="15">
        <v>50.79</v>
      </c>
      <c r="Q1713" s="15">
        <v>37.66</v>
      </c>
      <c r="R1713" s="15">
        <v>25.41</v>
      </c>
      <c r="S1713" s="15">
        <v>51.63</v>
      </c>
      <c r="T1713" s="15">
        <v>52.87</v>
      </c>
      <c r="U1713" s="15">
        <v>63.42</v>
      </c>
      <c r="V1713" s="15">
        <v>50.54</v>
      </c>
      <c r="W1713" s="15">
        <v>53.53</v>
      </c>
      <c r="X1713" s="15">
        <v>37.07</v>
      </c>
      <c r="Y1713" s="15">
        <v>48.16</v>
      </c>
      <c r="Z1713" s="15">
        <v>45.44</v>
      </c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</row>
    <row r="1714" spans="1:43">
      <c r="A1714" s="15" t="s">
        <v>43</v>
      </c>
      <c r="B1714" s="15" t="s">
        <v>44</v>
      </c>
      <c r="C1714" s="15" t="s">
        <v>45</v>
      </c>
      <c r="D1714" s="15" t="s">
        <v>4544</v>
      </c>
      <c r="E1714" s="15" t="s">
        <v>4545</v>
      </c>
      <c r="F1714" s="16">
        <v>44368.6491666667</v>
      </c>
      <c r="G1714" s="15" t="s">
        <v>4545</v>
      </c>
      <c r="H1714" s="15" t="s">
        <v>4546</v>
      </c>
      <c r="I1714" s="15">
        <v>0</v>
      </c>
      <c r="J1714" s="15">
        <v>0</v>
      </c>
      <c r="K1714" s="15">
        <v>0</v>
      </c>
      <c r="L1714" s="20">
        <v>0</v>
      </c>
      <c r="M1714" s="15">
        <v>0</v>
      </c>
      <c r="N1714" s="15">
        <v>0</v>
      </c>
      <c r="O1714" s="15">
        <v>0</v>
      </c>
      <c r="P1714" s="15">
        <v>0</v>
      </c>
      <c r="Q1714" s="15">
        <v>0</v>
      </c>
      <c r="R1714" s="15">
        <v>0</v>
      </c>
      <c r="S1714" s="15">
        <v>0</v>
      </c>
      <c r="T1714" s="15">
        <v>0</v>
      </c>
      <c r="U1714" s="15">
        <v>0</v>
      </c>
      <c r="V1714" s="15">
        <v>0</v>
      </c>
      <c r="W1714" s="15">
        <v>0</v>
      </c>
      <c r="X1714" s="15">
        <v>0</v>
      </c>
      <c r="Y1714" s="15">
        <v>0</v>
      </c>
      <c r="Z1714" s="15">
        <v>0</v>
      </c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</row>
    <row r="1715" spans="1:43">
      <c r="A1715" s="15" t="s">
        <v>49</v>
      </c>
      <c r="B1715" s="15" t="s">
        <v>50</v>
      </c>
      <c r="C1715" s="15" t="s">
        <v>61</v>
      </c>
      <c r="D1715" s="15" t="s">
        <v>4547</v>
      </c>
      <c r="E1715" s="15" t="s">
        <v>3238</v>
      </c>
      <c r="F1715" s="16">
        <v>0</v>
      </c>
      <c r="G1715" s="15" t="s">
        <v>3238</v>
      </c>
      <c r="H1715" s="15" t="s">
        <v>4548</v>
      </c>
      <c r="I1715" s="15">
        <v>0</v>
      </c>
      <c r="J1715" s="15">
        <v>0</v>
      </c>
      <c r="K1715" s="15">
        <v>0</v>
      </c>
      <c r="L1715" s="20">
        <v>0</v>
      </c>
      <c r="M1715" s="15">
        <v>0</v>
      </c>
      <c r="N1715" s="15">
        <v>0</v>
      </c>
      <c r="O1715" s="15">
        <v>0</v>
      </c>
      <c r="P1715" s="15">
        <v>0</v>
      </c>
      <c r="Q1715" s="15">
        <v>0</v>
      </c>
      <c r="R1715" s="15">
        <v>0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</row>
    <row r="1716" spans="1:43">
      <c r="A1716" s="15" t="s">
        <v>64</v>
      </c>
      <c r="B1716" s="15" t="s">
        <v>65</v>
      </c>
      <c r="C1716" s="15" t="s">
        <v>66</v>
      </c>
      <c r="D1716" s="15" t="s">
        <v>4549</v>
      </c>
      <c r="E1716" s="15" t="s">
        <v>4550</v>
      </c>
      <c r="F1716" s="16">
        <v>45102.6732060185</v>
      </c>
      <c r="G1716" s="15" t="s">
        <v>4550</v>
      </c>
      <c r="H1716" s="15" t="s">
        <v>54</v>
      </c>
      <c r="I1716" s="15">
        <v>2343.68</v>
      </c>
      <c r="J1716" s="15">
        <v>12</v>
      </c>
      <c r="K1716" s="15">
        <v>195.306666666667</v>
      </c>
      <c r="L1716" s="20">
        <v>2.79009523809524</v>
      </c>
      <c r="M1716" s="15">
        <v>218.1</v>
      </c>
      <c r="N1716" s="15">
        <v>207.65</v>
      </c>
      <c r="O1716" s="15">
        <v>198.2</v>
      </c>
      <c r="P1716" s="15">
        <v>192.84</v>
      </c>
      <c r="Q1716" s="15">
        <v>209.79</v>
      </c>
      <c r="R1716" s="15">
        <v>0</v>
      </c>
      <c r="S1716" s="15">
        <v>146.5</v>
      </c>
      <c r="T1716" s="15">
        <v>213.99</v>
      </c>
      <c r="U1716" s="15">
        <v>170.01</v>
      </c>
      <c r="V1716" s="15">
        <v>213.28</v>
      </c>
      <c r="W1716" s="15">
        <v>204.82</v>
      </c>
      <c r="X1716" s="15">
        <v>181.49</v>
      </c>
      <c r="Y1716" s="15">
        <v>0</v>
      </c>
      <c r="Z1716" s="15">
        <v>187.01</v>
      </c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</row>
    <row r="1717" spans="1:43">
      <c r="A1717" s="15" t="s">
        <v>43</v>
      </c>
      <c r="B1717" s="15" t="s">
        <v>44</v>
      </c>
      <c r="C1717" s="15" t="s">
        <v>45</v>
      </c>
      <c r="D1717" s="15" t="s">
        <v>4551</v>
      </c>
      <c r="E1717" s="15" t="s">
        <v>4552</v>
      </c>
      <c r="F1717" s="16">
        <v>43830.6249421296</v>
      </c>
      <c r="G1717" s="15" t="s">
        <v>4552</v>
      </c>
      <c r="H1717" s="15" t="s">
        <v>54</v>
      </c>
      <c r="I1717" s="15">
        <v>0</v>
      </c>
      <c r="J1717" s="15">
        <v>0</v>
      </c>
      <c r="K1717" s="15">
        <v>0</v>
      </c>
      <c r="L1717" s="20">
        <v>0</v>
      </c>
      <c r="M1717" s="15">
        <v>0</v>
      </c>
      <c r="N1717" s="15">
        <v>0</v>
      </c>
      <c r="O1717" s="15">
        <v>0</v>
      </c>
      <c r="P1717" s="15">
        <v>0</v>
      </c>
      <c r="Q1717" s="15">
        <v>0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0</v>
      </c>
      <c r="X1717" s="15">
        <v>0</v>
      </c>
      <c r="Y1717" s="15">
        <v>0</v>
      </c>
      <c r="Z1717" s="15">
        <v>0</v>
      </c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</row>
    <row r="1718" spans="1:43">
      <c r="A1718" s="15" t="s">
        <v>49</v>
      </c>
      <c r="B1718" s="15" t="s">
        <v>50</v>
      </c>
      <c r="C1718" s="15" t="s">
        <v>61</v>
      </c>
      <c r="D1718" s="15" t="s">
        <v>4553</v>
      </c>
      <c r="E1718" s="15" t="s">
        <v>4554</v>
      </c>
      <c r="F1718" s="16">
        <v>0</v>
      </c>
      <c r="G1718" s="15" t="s">
        <v>4554</v>
      </c>
      <c r="H1718" s="15" t="s">
        <v>54</v>
      </c>
      <c r="I1718" s="15">
        <v>0</v>
      </c>
      <c r="J1718" s="15">
        <v>0</v>
      </c>
      <c r="K1718" s="15">
        <v>0</v>
      </c>
      <c r="L1718" s="20">
        <v>0</v>
      </c>
      <c r="M1718" s="15">
        <v>0</v>
      </c>
      <c r="N1718" s="15">
        <v>0</v>
      </c>
      <c r="O1718" s="15">
        <v>0</v>
      </c>
      <c r="P1718" s="15">
        <v>0</v>
      </c>
      <c r="Q1718" s="15">
        <v>0</v>
      </c>
      <c r="R1718" s="15">
        <v>0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0</v>
      </c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</row>
    <row r="1719" spans="1:43">
      <c r="A1719" s="15" t="s">
        <v>43</v>
      </c>
      <c r="B1719" s="15" t="s">
        <v>44</v>
      </c>
      <c r="C1719" s="15" t="s">
        <v>45</v>
      </c>
      <c r="D1719" s="15" t="s">
        <v>4555</v>
      </c>
      <c r="E1719" s="15" t="s">
        <v>4556</v>
      </c>
      <c r="F1719" s="16">
        <v>41443.6551041667</v>
      </c>
      <c r="G1719" s="15" t="s">
        <v>4556</v>
      </c>
      <c r="H1719" s="15" t="s">
        <v>4557</v>
      </c>
      <c r="I1719" s="15">
        <v>0</v>
      </c>
      <c r="J1719" s="15">
        <v>0</v>
      </c>
      <c r="K1719" s="15">
        <v>0</v>
      </c>
      <c r="L1719" s="20">
        <v>0</v>
      </c>
      <c r="M1719" s="15">
        <v>0</v>
      </c>
      <c r="N1719" s="15">
        <v>0</v>
      </c>
      <c r="O1719" s="15">
        <v>0</v>
      </c>
      <c r="P1719" s="15">
        <v>0</v>
      </c>
      <c r="Q1719" s="15">
        <v>0</v>
      </c>
      <c r="R1719" s="15">
        <v>0</v>
      </c>
      <c r="S1719" s="15">
        <v>0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</row>
    <row r="1720" spans="1:43">
      <c r="A1720" s="15" t="s">
        <v>43</v>
      </c>
      <c r="B1720" s="15" t="s">
        <v>44</v>
      </c>
      <c r="C1720" s="15" t="s">
        <v>45</v>
      </c>
      <c r="D1720" s="15" t="s">
        <v>4558</v>
      </c>
      <c r="E1720" s="15" t="s">
        <v>4559</v>
      </c>
      <c r="F1720" s="16">
        <v>41606.6471759259</v>
      </c>
      <c r="G1720" s="15" t="s">
        <v>4559</v>
      </c>
      <c r="H1720" s="15" t="s">
        <v>2945</v>
      </c>
      <c r="I1720" s="15">
        <v>0</v>
      </c>
      <c r="J1720" s="15">
        <v>0</v>
      </c>
      <c r="K1720" s="15">
        <v>0</v>
      </c>
      <c r="L1720" s="20">
        <v>0</v>
      </c>
      <c r="M1720" s="15">
        <v>0</v>
      </c>
      <c r="N1720" s="15">
        <v>0</v>
      </c>
      <c r="O1720" s="15">
        <v>0</v>
      </c>
      <c r="P1720" s="15">
        <v>0</v>
      </c>
      <c r="Q1720" s="15">
        <v>0</v>
      </c>
      <c r="R1720" s="15">
        <v>0</v>
      </c>
      <c r="S1720" s="15">
        <v>0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</row>
    <row r="1721" spans="1:43">
      <c r="A1721" s="15" t="s">
        <v>43</v>
      </c>
      <c r="B1721" s="15" t="s">
        <v>44</v>
      </c>
      <c r="C1721" s="15" t="s">
        <v>45</v>
      </c>
      <c r="D1721" s="15" t="s">
        <v>4560</v>
      </c>
      <c r="E1721" s="15" t="s">
        <v>837</v>
      </c>
      <c r="F1721" s="16">
        <v>44348.6875347222</v>
      </c>
      <c r="G1721" s="15" t="s">
        <v>837</v>
      </c>
      <c r="H1721" s="15" t="s">
        <v>54</v>
      </c>
      <c r="I1721" s="15">
        <v>0</v>
      </c>
      <c r="J1721" s="15">
        <v>0</v>
      </c>
      <c r="K1721" s="15">
        <v>0</v>
      </c>
      <c r="L1721" s="20">
        <v>0</v>
      </c>
      <c r="M1721" s="15">
        <v>0</v>
      </c>
      <c r="N1721" s="15">
        <v>0</v>
      </c>
      <c r="O1721" s="15">
        <v>0</v>
      </c>
      <c r="P1721" s="15">
        <v>0</v>
      </c>
      <c r="Q1721" s="15">
        <v>0</v>
      </c>
      <c r="R1721" s="15">
        <v>0</v>
      </c>
      <c r="S1721" s="15">
        <v>0</v>
      </c>
      <c r="T1721" s="15">
        <v>0</v>
      </c>
      <c r="U1721" s="15">
        <v>0</v>
      </c>
      <c r="V1721" s="15">
        <v>0</v>
      </c>
      <c r="W1721" s="15">
        <v>0</v>
      </c>
      <c r="X1721" s="15">
        <v>0</v>
      </c>
      <c r="Y1721" s="15">
        <v>0</v>
      </c>
      <c r="Z1721" s="15">
        <v>0</v>
      </c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</row>
    <row r="1722" spans="1:43">
      <c r="A1722" s="15" t="s">
        <v>43</v>
      </c>
      <c r="B1722" s="15" t="s">
        <v>44</v>
      </c>
      <c r="C1722" s="15" t="s">
        <v>440</v>
      </c>
      <c r="D1722" s="15" t="s">
        <v>4561</v>
      </c>
      <c r="E1722" s="15" t="s">
        <v>4562</v>
      </c>
      <c r="F1722" s="16">
        <v>44819.6824537037</v>
      </c>
      <c r="G1722" s="15" t="s">
        <v>4562</v>
      </c>
      <c r="H1722" s="15" t="s">
        <v>54</v>
      </c>
      <c r="I1722" s="15">
        <v>293.96</v>
      </c>
      <c r="J1722" s="15">
        <v>3</v>
      </c>
      <c r="K1722" s="15">
        <v>97.9866666666667</v>
      </c>
      <c r="L1722" s="20">
        <v>1.95973333333333</v>
      </c>
      <c r="M1722" s="15">
        <v>104.24</v>
      </c>
      <c r="N1722" s="15">
        <v>100.27</v>
      </c>
      <c r="O1722" s="15">
        <v>89.45</v>
      </c>
      <c r="P1722" s="15">
        <v>0</v>
      </c>
      <c r="Q1722" s="15">
        <v>0</v>
      </c>
      <c r="R1722" s="15">
        <v>0</v>
      </c>
      <c r="S1722" s="15">
        <v>0</v>
      </c>
      <c r="T1722" s="15">
        <v>0</v>
      </c>
      <c r="U1722" s="15">
        <v>0</v>
      </c>
      <c r="V1722" s="15">
        <v>0</v>
      </c>
      <c r="W1722" s="15">
        <v>0</v>
      </c>
      <c r="X1722" s="15">
        <v>0</v>
      </c>
      <c r="Y1722" s="15">
        <v>0</v>
      </c>
      <c r="Z1722" s="15">
        <v>0</v>
      </c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</row>
    <row r="1723" spans="1:43">
      <c r="A1723" s="15" t="s">
        <v>49</v>
      </c>
      <c r="B1723" s="15" t="s">
        <v>50</v>
      </c>
      <c r="C1723" s="15" t="s">
        <v>61</v>
      </c>
      <c r="D1723" s="15" t="s">
        <v>4563</v>
      </c>
      <c r="E1723" s="15" t="s">
        <v>4564</v>
      </c>
      <c r="F1723" s="16">
        <v>0</v>
      </c>
      <c r="G1723" s="15" t="s">
        <v>4564</v>
      </c>
      <c r="H1723" s="15" t="s">
        <v>54</v>
      </c>
      <c r="I1723" s="15">
        <v>0</v>
      </c>
      <c r="J1723" s="15">
        <v>0</v>
      </c>
      <c r="K1723" s="15">
        <v>0</v>
      </c>
      <c r="L1723" s="20">
        <v>0</v>
      </c>
      <c r="M1723" s="15">
        <v>0</v>
      </c>
      <c r="N1723" s="15">
        <v>0</v>
      </c>
      <c r="O1723" s="15">
        <v>0</v>
      </c>
      <c r="P1723" s="15">
        <v>0</v>
      </c>
      <c r="Q1723" s="15">
        <v>0</v>
      </c>
      <c r="R1723" s="15">
        <v>0</v>
      </c>
      <c r="S1723" s="15">
        <v>0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</row>
    <row r="1724" spans="1:43">
      <c r="A1724" s="15" t="s">
        <v>64</v>
      </c>
      <c r="B1724" s="15" t="s">
        <v>65</v>
      </c>
      <c r="C1724" s="15" t="s">
        <v>93</v>
      </c>
      <c r="D1724" s="15" t="s">
        <v>4565</v>
      </c>
      <c r="E1724" s="15" t="s">
        <v>4566</v>
      </c>
      <c r="F1724" s="16">
        <v>45107.4664814815</v>
      </c>
      <c r="G1724" s="15" t="s">
        <v>4566</v>
      </c>
      <c r="H1724" s="15" t="s">
        <v>54</v>
      </c>
      <c r="I1724" s="15">
        <v>1068.78</v>
      </c>
      <c r="J1724" s="15">
        <v>14</v>
      </c>
      <c r="K1724" s="15">
        <v>76.3414285714286</v>
      </c>
      <c r="L1724" s="20">
        <v>1.09059183673469</v>
      </c>
      <c r="M1724" s="15">
        <v>81.66</v>
      </c>
      <c r="N1724" s="15">
        <v>73.55</v>
      </c>
      <c r="O1724" s="15">
        <v>92.46</v>
      </c>
      <c r="P1724" s="15">
        <v>80.03</v>
      </c>
      <c r="Q1724" s="15">
        <v>49.29</v>
      </c>
      <c r="R1724" s="15">
        <v>50.46</v>
      </c>
      <c r="S1724" s="15">
        <v>79.49</v>
      </c>
      <c r="T1724" s="15">
        <v>105.27</v>
      </c>
      <c r="U1724" s="15">
        <v>81.75</v>
      </c>
      <c r="V1724" s="15">
        <v>84.8</v>
      </c>
      <c r="W1724" s="15">
        <v>75.6</v>
      </c>
      <c r="X1724" s="15">
        <v>51.07</v>
      </c>
      <c r="Y1724" s="15">
        <v>82.34</v>
      </c>
      <c r="Z1724" s="15">
        <v>81.01</v>
      </c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</row>
    <row r="1725" spans="1:43">
      <c r="A1725" s="15" t="s">
        <v>49</v>
      </c>
      <c r="B1725" s="15" t="s">
        <v>50</v>
      </c>
      <c r="C1725" s="15" t="s">
        <v>61</v>
      </c>
      <c r="D1725" s="15" t="s">
        <v>4567</v>
      </c>
      <c r="E1725" s="15" t="s">
        <v>4568</v>
      </c>
      <c r="F1725" s="16">
        <v>0</v>
      </c>
      <c r="G1725" s="15" t="s">
        <v>4568</v>
      </c>
      <c r="H1725" s="15" t="s">
        <v>4569</v>
      </c>
      <c r="I1725" s="15">
        <v>0</v>
      </c>
      <c r="J1725" s="15">
        <v>0</v>
      </c>
      <c r="K1725" s="15">
        <v>0</v>
      </c>
      <c r="L1725" s="20">
        <v>0</v>
      </c>
      <c r="M1725" s="15">
        <v>0</v>
      </c>
      <c r="N1725" s="15">
        <v>0</v>
      </c>
      <c r="O1725" s="15">
        <v>0</v>
      </c>
      <c r="P1725" s="15">
        <v>0</v>
      </c>
      <c r="Q1725" s="15">
        <v>0</v>
      </c>
      <c r="R1725" s="15">
        <v>0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0</v>
      </c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</row>
    <row r="1726" spans="1:43">
      <c r="A1726" s="15" t="s">
        <v>64</v>
      </c>
      <c r="B1726" s="15" t="s">
        <v>118</v>
      </c>
      <c r="C1726" s="15" t="s">
        <v>138</v>
      </c>
      <c r="D1726" s="15" t="s">
        <v>4570</v>
      </c>
      <c r="E1726" s="15" t="s">
        <v>4571</v>
      </c>
      <c r="F1726" s="16">
        <v>44972.6786689815</v>
      </c>
      <c r="G1726" s="15" t="s">
        <v>4571</v>
      </c>
      <c r="H1726" s="15" t="s">
        <v>54</v>
      </c>
      <c r="I1726" s="15">
        <v>1096.58</v>
      </c>
      <c r="J1726" s="15">
        <v>10</v>
      </c>
      <c r="K1726" s="15">
        <v>109.658</v>
      </c>
      <c r="L1726" s="20">
        <v>1.56654285714286</v>
      </c>
      <c r="M1726" s="15">
        <v>158.54</v>
      </c>
      <c r="N1726" s="15">
        <v>165.25</v>
      </c>
      <c r="O1726" s="15">
        <v>98.62</v>
      </c>
      <c r="P1726" s="15">
        <v>89.73</v>
      </c>
      <c r="Q1726" s="15">
        <v>0</v>
      </c>
      <c r="R1726" s="15">
        <v>0</v>
      </c>
      <c r="S1726" s="15">
        <v>118.96</v>
      </c>
      <c r="T1726" s="15">
        <v>146.03</v>
      </c>
      <c r="U1726" s="15">
        <v>138.08</v>
      </c>
      <c r="V1726" s="15">
        <v>78.77</v>
      </c>
      <c r="W1726" s="15">
        <v>50.8</v>
      </c>
      <c r="X1726" s="15">
        <v>0</v>
      </c>
      <c r="Y1726" s="15">
        <v>0</v>
      </c>
      <c r="Z1726" s="15">
        <v>51.8</v>
      </c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</row>
    <row r="1727" spans="1:43">
      <c r="A1727" s="15" t="s">
        <v>43</v>
      </c>
      <c r="B1727" s="15" t="s">
        <v>44</v>
      </c>
      <c r="C1727" s="15" t="s">
        <v>45</v>
      </c>
      <c r="D1727" s="15" t="s">
        <v>4572</v>
      </c>
      <c r="E1727" s="15" t="s">
        <v>4573</v>
      </c>
      <c r="F1727" s="16">
        <v>42265.4158912037</v>
      </c>
      <c r="G1727" s="15" t="s">
        <v>4573</v>
      </c>
      <c r="H1727" s="15" t="s">
        <v>4574</v>
      </c>
      <c r="I1727" s="15">
        <v>0</v>
      </c>
      <c r="J1727" s="15">
        <v>0</v>
      </c>
      <c r="K1727" s="15">
        <v>0</v>
      </c>
      <c r="L1727" s="20">
        <v>0</v>
      </c>
      <c r="M1727" s="15">
        <v>0</v>
      </c>
      <c r="N1727" s="15">
        <v>0</v>
      </c>
      <c r="O1727" s="15">
        <v>0</v>
      </c>
      <c r="P1727" s="15">
        <v>0</v>
      </c>
      <c r="Q1727" s="15">
        <v>0</v>
      </c>
      <c r="R1727" s="15">
        <v>0</v>
      </c>
      <c r="S1727" s="15">
        <v>0</v>
      </c>
      <c r="T1727" s="15">
        <v>0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0</v>
      </c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</row>
    <row r="1728" spans="1:43">
      <c r="A1728" s="15" t="s">
        <v>43</v>
      </c>
      <c r="B1728" s="15" t="s">
        <v>44</v>
      </c>
      <c r="C1728" s="15" t="s">
        <v>45</v>
      </c>
      <c r="D1728" s="15" t="s">
        <v>4575</v>
      </c>
      <c r="E1728" s="15" t="s">
        <v>4576</v>
      </c>
      <c r="F1728" s="16">
        <v>42167.6375</v>
      </c>
      <c r="G1728" s="15" t="s">
        <v>4576</v>
      </c>
      <c r="H1728" s="15" t="s">
        <v>4577</v>
      </c>
      <c r="I1728" s="15">
        <v>0</v>
      </c>
      <c r="J1728" s="15">
        <v>0</v>
      </c>
      <c r="K1728" s="15">
        <v>0</v>
      </c>
      <c r="L1728" s="20">
        <v>0</v>
      </c>
      <c r="M1728" s="15">
        <v>0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0</v>
      </c>
      <c r="T1728" s="15">
        <v>0</v>
      </c>
      <c r="U1728" s="15">
        <v>0</v>
      </c>
      <c r="V1728" s="15">
        <v>0</v>
      </c>
      <c r="W1728" s="15">
        <v>0</v>
      </c>
      <c r="X1728" s="15">
        <v>0</v>
      </c>
      <c r="Y1728" s="15">
        <v>0</v>
      </c>
      <c r="Z1728" s="15">
        <v>0</v>
      </c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</row>
    <row r="1729" spans="1:43">
      <c r="A1729" s="15" t="s">
        <v>43</v>
      </c>
      <c r="B1729" s="15" t="s">
        <v>44</v>
      </c>
      <c r="C1729" s="15" t="s">
        <v>45</v>
      </c>
      <c r="D1729" s="15" t="s">
        <v>4578</v>
      </c>
      <c r="E1729" s="15" t="s">
        <v>4579</v>
      </c>
      <c r="F1729" s="16">
        <v>42450.6185300926</v>
      </c>
      <c r="G1729" s="15" t="s">
        <v>4579</v>
      </c>
      <c r="H1729" s="15" t="s">
        <v>4580</v>
      </c>
      <c r="I1729" s="15">
        <v>0</v>
      </c>
      <c r="J1729" s="15">
        <v>0</v>
      </c>
      <c r="K1729" s="15">
        <v>0</v>
      </c>
      <c r="L1729" s="20">
        <v>0</v>
      </c>
      <c r="M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0</v>
      </c>
      <c r="T1729" s="15">
        <v>0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</row>
    <row r="1730" spans="1:43">
      <c r="A1730" s="15" t="s">
        <v>49</v>
      </c>
      <c r="B1730" s="15" t="s">
        <v>50</v>
      </c>
      <c r="C1730" s="15" t="s">
        <v>61</v>
      </c>
      <c r="D1730" s="15" t="s">
        <v>4581</v>
      </c>
      <c r="E1730" s="15" t="s">
        <v>4582</v>
      </c>
      <c r="F1730" s="16">
        <v>0</v>
      </c>
      <c r="G1730" s="15" t="s">
        <v>4582</v>
      </c>
      <c r="H1730" s="15" t="s">
        <v>4583</v>
      </c>
      <c r="I1730" s="15">
        <v>0</v>
      </c>
      <c r="J1730" s="15">
        <v>0</v>
      </c>
      <c r="K1730" s="15">
        <v>0</v>
      </c>
      <c r="L1730" s="20">
        <v>0</v>
      </c>
      <c r="M1730" s="15">
        <v>0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0</v>
      </c>
      <c r="T1730" s="15">
        <v>0</v>
      </c>
      <c r="U1730" s="15">
        <v>0</v>
      </c>
      <c r="V1730" s="15">
        <v>0</v>
      </c>
      <c r="W1730" s="15">
        <v>0</v>
      </c>
      <c r="X1730" s="15">
        <v>0</v>
      </c>
      <c r="Y1730" s="15">
        <v>0</v>
      </c>
      <c r="Z1730" s="15">
        <v>0</v>
      </c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</row>
    <row r="1731" spans="1:43">
      <c r="A1731" s="15" t="s">
        <v>49</v>
      </c>
      <c r="B1731" s="15" t="s">
        <v>50</v>
      </c>
      <c r="C1731" s="15" t="s">
        <v>61</v>
      </c>
      <c r="D1731" s="15" t="s">
        <v>4584</v>
      </c>
      <c r="E1731" s="15" t="s">
        <v>4585</v>
      </c>
      <c r="F1731" s="16">
        <v>0</v>
      </c>
      <c r="G1731" s="15" t="s">
        <v>4585</v>
      </c>
      <c r="H1731" s="15" t="s">
        <v>4586</v>
      </c>
      <c r="I1731" s="15">
        <v>0</v>
      </c>
      <c r="J1731" s="15">
        <v>0</v>
      </c>
      <c r="K1731" s="15">
        <v>0</v>
      </c>
      <c r="L1731" s="20">
        <v>0</v>
      </c>
      <c r="M1731" s="15">
        <v>0</v>
      </c>
      <c r="N1731" s="15">
        <v>0</v>
      </c>
      <c r="O1731" s="15">
        <v>0</v>
      </c>
      <c r="P1731" s="15">
        <v>0</v>
      </c>
      <c r="Q1731" s="15">
        <v>0</v>
      </c>
      <c r="R1731" s="15">
        <v>0</v>
      </c>
      <c r="S1731" s="15">
        <v>0</v>
      </c>
      <c r="T1731" s="15">
        <v>0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</row>
    <row r="1732" spans="1:43">
      <c r="A1732" s="15" t="s">
        <v>49</v>
      </c>
      <c r="B1732" s="15" t="s">
        <v>50</v>
      </c>
      <c r="C1732" s="15" t="s">
        <v>61</v>
      </c>
      <c r="D1732" s="15" t="s">
        <v>4587</v>
      </c>
      <c r="E1732" s="15" t="s">
        <v>4588</v>
      </c>
      <c r="F1732" s="16">
        <v>0</v>
      </c>
      <c r="G1732" s="15" t="s">
        <v>4588</v>
      </c>
      <c r="H1732" s="15" t="s">
        <v>4589</v>
      </c>
      <c r="I1732" s="15">
        <v>0</v>
      </c>
      <c r="J1732" s="15">
        <v>0</v>
      </c>
      <c r="K1732" s="15">
        <v>0</v>
      </c>
      <c r="L1732" s="20">
        <v>0</v>
      </c>
      <c r="M1732" s="15">
        <v>0</v>
      </c>
      <c r="N1732" s="15">
        <v>0</v>
      </c>
      <c r="O1732" s="15">
        <v>0</v>
      </c>
      <c r="P1732" s="15">
        <v>0</v>
      </c>
      <c r="Q1732" s="15">
        <v>0</v>
      </c>
      <c r="R1732" s="15">
        <v>0</v>
      </c>
      <c r="S1732" s="15">
        <v>0</v>
      </c>
      <c r="T1732" s="15">
        <v>0</v>
      </c>
      <c r="U1732" s="15">
        <v>0</v>
      </c>
      <c r="V1732" s="15">
        <v>0</v>
      </c>
      <c r="W1732" s="15">
        <v>0</v>
      </c>
      <c r="X1732" s="15">
        <v>0</v>
      </c>
      <c r="Y1732" s="15">
        <v>0</v>
      </c>
      <c r="Z1732" s="15">
        <v>0</v>
      </c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</row>
    <row r="1733" spans="1:43">
      <c r="A1733" s="15" t="s">
        <v>49</v>
      </c>
      <c r="B1733" s="15" t="s">
        <v>50</v>
      </c>
      <c r="C1733" s="15" t="s">
        <v>61</v>
      </c>
      <c r="D1733" s="15" t="s">
        <v>4590</v>
      </c>
      <c r="E1733" s="15" t="s">
        <v>4591</v>
      </c>
      <c r="F1733" s="16">
        <v>0</v>
      </c>
      <c r="G1733" s="15" t="s">
        <v>4591</v>
      </c>
      <c r="H1733" s="15" t="s">
        <v>4592</v>
      </c>
      <c r="I1733" s="15">
        <v>0</v>
      </c>
      <c r="J1733" s="15">
        <v>0</v>
      </c>
      <c r="K1733" s="15">
        <v>0</v>
      </c>
      <c r="L1733" s="20">
        <v>0</v>
      </c>
      <c r="M1733" s="15">
        <v>0</v>
      </c>
      <c r="N1733" s="15">
        <v>0</v>
      </c>
      <c r="O1733" s="15">
        <v>0</v>
      </c>
      <c r="P1733" s="15">
        <v>0</v>
      </c>
      <c r="Q1733" s="15">
        <v>0</v>
      </c>
      <c r="R1733" s="15">
        <v>0</v>
      </c>
      <c r="S1733" s="15">
        <v>0</v>
      </c>
      <c r="T1733" s="15">
        <v>0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0</v>
      </c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</row>
    <row r="1734" spans="1:43">
      <c r="A1734" s="15" t="s">
        <v>43</v>
      </c>
      <c r="B1734" s="15" t="s">
        <v>44</v>
      </c>
      <c r="C1734" s="15" t="s">
        <v>45</v>
      </c>
      <c r="D1734" s="15" t="s">
        <v>4593</v>
      </c>
      <c r="E1734" s="15" t="s">
        <v>4594</v>
      </c>
      <c r="F1734" s="16">
        <v>41401.6135069444</v>
      </c>
      <c r="G1734" s="15" t="s">
        <v>4594</v>
      </c>
      <c r="H1734" s="15" t="s">
        <v>4595</v>
      </c>
      <c r="I1734" s="15">
        <v>0</v>
      </c>
      <c r="J1734" s="15">
        <v>0</v>
      </c>
      <c r="K1734" s="15">
        <v>0</v>
      </c>
      <c r="L1734" s="20">
        <v>0</v>
      </c>
      <c r="M1734" s="15">
        <v>0</v>
      </c>
      <c r="N1734" s="15">
        <v>0</v>
      </c>
      <c r="O1734" s="15">
        <v>0</v>
      </c>
      <c r="P1734" s="15">
        <v>0</v>
      </c>
      <c r="Q1734" s="15">
        <v>0</v>
      </c>
      <c r="R1734" s="15">
        <v>0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>
        <v>0</v>
      </c>
      <c r="Y1734" s="15">
        <v>0</v>
      </c>
      <c r="Z1734" s="15">
        <v>0</v>
      </c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</row>
    <row r="1735" spans="1:43">
      <c r="A1735" s="15" t="s">
        <v>49</v>
      </c>
      <c r="B1735" s="15" t="s">
        <v>50</v>
      </c>
      <c r="C1735" s="15" t="s">
        <v>61</v>
      </c>
      <c r="D1735" s="15" t="s">
        <v>4596</v>
      </c>
      <c r="E1735" s="15" t="s">
        <v>4597</v>
      </c>
      <c r="F1735" s="16">
        <v>0</v>
      </c>
      <c r="G1735" s="15" t="s">
        <v>4597</v>
      </c>
      <c r="H1735" s="15" t="s">
        <v>4598</v>
      </c>
      <c r="I1735" s="15">
        <v>0</v>
      </c>
      <c r="J1735" s="15">
        <v>0</v>
      </c>
      <c r="K1735" s="15">
        <v>0</v>
      </c>
      <c r="L1735" s="20">
        <v>0</v>
      </c>
      <c r="M1735" s="15">
        <v>0</v>
      </c>
      <c r="N1735" s="15">
        <v>0</v>
      </c>
      <c r="O1735" s="15">
        <v>0</v>
      </c>
      <c r="P1735" s="15">
        <v>0</v>
      </c>
      <c r="Q1735" s="15">
        <v>0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>
        <v>0</v>
      </c>
      <c r="Y1735" s="15">
        <v>0</v>
      </c>
      <c r="Z1735" s="15">
        <v>0</v>
      </c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</row>
    <row r="1736" spans="1:43">
      <c r="A1736" s="15" t="s">
        <v>43</v>
      </c>
      <c r="B1736" s="15" t="s">
        <v>44</v>
      </c>
      <c r="C1736" s="15" t="s">
        <v>45</v>
      </c>
      <c r="D1736" s="15" t="s">
        <v>4599</v>
      </c>
      <c r="E1736" s="15" t="s">
        <v>4600</v>
      </c>
      <c r="F1736" s="16">
        <v>43559.6015972222</v>
      </c>
      <c r="G1736" s="15" t="s">
        <v>4600</v>
      </c>
      <c r="H1736" s="15" t="s">
        <v>3682</v>
      </c>
      <c r="I1736" s="15">
        <v>0</v>
      </c>
      <c r="J1736" s="15">
        <v>0</v>
      </c>
      <c r="K1736" s="15">
        <v>0</v>
      </c>
      <c r="L1736" s="20">
        <v>0</v>
      </c>
      <c r="M1736" s="15">
        <v>0</v>
      </c>
      <c r="N1736" s="15">
        <v>0</v>
      </c>
      <c r="O1736" s="15">
        <v>0</v>
      </c>
      <c r="P1736" s="15">
        <v>0</v>
      </c>
      <c r="Q1736" s="15">
        <v>0</v>
      </c>
      <c r="R1736" s="15">
        <v>0</v>
      </c>
      <c r="S1736" s="15">
        <v>0</v>
      </c>
      <c r="T1736" s="15">
        <v>0</v>
      </c>
      <c r="U1736" s="15">
        <v>0</v>
      </c>
      <c r="V1736" s="15">
        <v>0</v>
      </c>
      <c r="W1736" s="15">
        <v>0</v>
      </c>
      <c r="X1736" s="15">
        <v>0</v>
      </c>
      <c r="Y1736" s="15">
        <v>0</v>
      </c>
      <c r="Z1736" s="15">
        <v>0</v>
      </c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</row>
    <row r="1737" spans="1:43">
      <c r="A1737" s="15" t="s">
        <v>43</v>
      </c>
      <c r="B1737" s="15" t="s">
        <v>44</v>
      </c>
      <c r="C1737" s="15" t="s">
        <v>228</v>
      </c>
      <c r="D1737" s="15" t="s">
        <v>4601</v>
      </c>
      <c r="E1737" s="15" t="s">
        <v>4602</v>
      </c>
      <c r="F1737" s="16">
        <v>45069.6864467593</v>
      </c>
      <c r="G1737" s="15" t="s">
        <v>4602</v>
      </c>
      <c r="H1737" s="15" t="s">
        <v>4603</v>
      </c>
      <c r="I1737" s="15">
        <v>1023.11</v>
      </c>
      <c r="J1737" s="15">
        <v>14</v>
      </c>
      <c r="K1737" s="15">
        <v>73.0792857142857</v>
      </c>
      <c r="L1737" s="20">
        <v>1.46158571428571</v>
      </c>
      <c r="M1737" s="15">
        <v>55.86</v>
      </c>
      <c r="N1737" s="15">
        <v>55.79</v>
      </c>
      <c r="O1737" s="15">
        <v>87.14</v>
      </c>
      <c r="P1737" s="15">
        <v>99.31</v>
      </c>
      <c r="Q1737" s="15">
        <v>100.19</v>
      </c>
      <c r="R1737" s="15">
        <v>88.88</v>
      </c>
      <c r="S1737" s="15">
        <v>79.82</v>
      </c>
      <c r="T1737" s="15">
        <v>24.3</v>
      </c>
      <c r="U1737" s="15">
        <v>81.24</v>
      </c>
      <c r="V1737" s="15">
        <v>63.57</v>
      </c>
      <c r="W1737" s="15">
        <v>87.37</v>
      </c>
      <c r="X1737" s="15">
        <v>55.71</v>
      </c>
      <c r="Y1737" s="15">
        <v>70.46</v>
      </c>
      <c r="Z1737" s="15">
        <v>73.47</v>
      </c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</row>
    <row r="1738" spans="1:43">
      <c r="A1738" s="15" t="s">
        <v>43</v>
      </c>
      <c r="B1738" s="15" t="s">
        <v>44</v>
      </c>
      <c r="C1738" s="15" t="s">
        <v>45</v>
      </c>
      <c r="D1738" s="15" t="s">
        <v>4604</v>
      </c>
      <c r="E1738" s="15" t="s">
        <v>4605</v>
      </c>
      <c r="F1738" s="16">
        <v>41999.5918402778</v>
      </c>
      <c r="G1738" s="15" t="s">
        <v>4605</v>
      </c>
      <c r="H1738" s="15" t="s">
        <v>4606</v>
      </c>
      <c r="I1738" s="15">
        <v>0</v>
      </c>
      <c r="J1738" s="15">
        <v>0</v>
      </c>
      <c r="K1738" s="15">
        <v>0</v>
      </c>
      <c r="L1738" s="20">
        <v>0</v>
      </c>
      <c r="M1738" s="15">
        <v>0</v>
      </c>
      <c r="N1738" s="15">
        <v>0</v>
      </c>
      <c r="O1738" s="15">
        <v>0</v>
      </c>
      <c r="P1738" s="15">
        <v>0</v>
      </c>
      <c r="Q1738" s="15">
        <v>0</v>
      </c>
      <c r="R1738" s="15">
        <v>0</v>
      </c>
      <c r="S1738" s="15">
        <v>0</v>
      </c>
      <c r="T1738" s="15">
        <v>0</v>
      </c>
      <c r="U1738" s="15">
        <v>0</v>
      </c>
      <c r="V1738" s="15">
        <v>0</v>
      </c>
      <c r="W1738" s="15">
        <v>0</v>
      </c>
      <c r="X1738" s="15">
        <v>0</v>
      </c>
      <c r="Y1738" s="15">
        <v>0</v>
      </c>
      <c r="Z1738" s="15">
        <v>0</v>
      </c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</row>
    <row r="1739" spans="1:43">
      <c r="A1739" s="15" t="s">
        <v>49</v>
      </c>
      <c r="B1739" s="15" t="s">
        <v>50</v>
      </c>
      <c r="C1739" s="15" t="s">
        <v>61</v>
      </c>
      <c r="D1739" s="15" t="s">
        <v>4607</v>
      </c>
      <c r="E1739" s="15" t="s">
        <v>4608</v>
      </c>
      <c r="F1739" s="16">
        <v>0</v>
      </c>
      <c r="G1739" s="15" t="s">
        <v>4608</v>
      </c>
      <c r="H1739" s="15" t="s">
        <v>4609</v>
      </c>
      <c r="I1739" s="15">
        <v>0</v>
      </c>
      <c r="J1739" s="15">
        <v>0</v>
      </c>
      <c r="K1739" s="15">
        <v>0</v>
      </c>
      <c r="L1739" s="20">
        <v>0</v>
      </c>
      <c r="M1739" s="15">
        <v>0</v>
      </c>
      <c r="N1739" s="15">
        <v>0</v>
      </c>
      <c r="O1739" s="15">
        <v>0</v>
      </c>
      <c r="P1739" s="15">
        <v>0</v>
      </c>
      <c r="Q1739" s="15">
        <v>0</v>
      </c>
      <c r="R1739" s="15">
        <v>0</v>
      </c>
      <c r="S1739" s="15">
        <v>0</v>
      </c>
      <c r="T1739" s="15">
        <v>0</v>
      </c>
      <c r="U1739" s="15">
        <v>0</v>
      </c>
      <c r="V1739" s="15">
        <v>0</v>
      </c>
      <c r="W1739" s="15">
        <v>0</v>
      </c>
      <c r="X1739" s="15">
        <v>0</v>
      </c>
      <c r="Y1739" s="15">
        <v>0</v>
      </c>
      <c r="Z1739" s="15">
        <v>0</v>
      </c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</row>
    <row r="1740" spans="1:43">
      <c r="A1740" s="15" t="s">
        <v>43</v>
      </c>
      <c r="B1740" s="15" t="s">
        <v>44</v>
      </c>
      <c r="C1740" s="15" t="s">
        <v>45</v>
      </c>
      <c r="D1740" s="15" t="s">
        <v>4610</v>
      </c>
      <c r="E1740" s="15" t="s">
        <v>4611</v>
      </c>
      <c r="F1740" s="16">
        <v>42635.3936921296</v>
      </c>
      <c r="G1740" s="15" t="s">
        <v>4611</v>
      </c>
      <c r="H1740" s="15" t="s">
        <v>4612</v>
      </c>
      <c r="I1740" s="15">
        <v>0</v>
      </c>
      <c r="J1740" s="15">
        <v>0</v>
      </c>
      <c r="K1740" s="15">
        <v>0</v>
      </c>
      <c r="L1740" s="20">
        <v>0</v>
      </c>
      <c r="M1740" s="15">
        <v>0</v>
      </c>
      <c r="N1740" s="15">
        <v>0</v>
      </c>
      <c r="O1740" s="15">
        <v>0</v>
      </c>
      <c r="P1740" s="15">
        <v>0</v>
      </c>
      <c r="Q1740" s="15">
        <v>0</v>
      </c>
      <c r="R1740" s="15">
        <v>0</v>
      </c>
      <c r="S1740" s="15">
        <v>0</v>
      </c>
      <c r="T1740" s="15">
        <v>0</v>
      </c>
      <c r="U1740" s="15">
        <v>0</v>
      </c>
      <c r="V1740" s="15">
        <v>0</v>
      </c>
      <c r="W1740" s="15">
        <v>0</v>
      </c>
      <c r="X1740" s="15">
        <v>0</v>
      </c>
      <c r="Y1740" s="15">
        <v>0</v>
      </c>
      <c r="Z1740" s="15">
        <v>0</v>
      </c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</row>
    <row r="1741" spans="1:43">
      <c r="A1741" s="15" t="s">
        <v>43</v>
      </c>
      <c r="B1741" s="15" t="s">
        <v>44</v>
      </c>
      <c r="C1741" s="15" t="s">
        <v>45</v>
      </c>
      <c r="D1741" s="15" t="s">
        <v>4613</v>
      </c>
      <c r="E1741" s="15" t="s">
        <v>4614</v>
      </c>
      <c r="F1741" s="16">
        <v>40893.6452199074</v>
      </c>
      <c r="G1741" s="15" t="s">
        <v>4614</v>
      </c>
      <c r="H1741" s="15" t="s">
        <v>4615</v>
      </c>
      <c r="I1741" s="15">
        <v>0</v>
      </c>
      <c r="J1741" s="15">
        <v>0</v>
      </c>
      <c r="K1741" s="15">
        <v>0</v>
      </c>
      <c r="L1741" s="20">
        <v>0</v>
      </c>
      <c r="M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0</v>
      </c>
      <c r="S1741" s="15">
        <v>0</v>
      </c>
      <c r="T1741" s="15">
        <v>0</v>
      </c>
      <c r="U1741" s="15">
        <v>0</v>
      </c>
      <c r="V1741" s="15">
        <v>0</v>
      </c>
      <c r="W1741" s="15">
        <v>0</v>
      </c>
      <c r="X1741" s="15">
        <v>0</v>
      </c>
      <c r="Y1741" s="15">
        <v>0</v>
      </c>
      <c r="Z1741" s="15">
        <v>0</v>
      </c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</row>
    <row r="1742" spans="1:43">
      <c r="A1742" s="15" t="s">
        <v>43</v>
      </c>
      <c r="B1742" s="15" t="s">
        <v>44</v>
      </c>
      <c r="C1742" s="15" t="s">
        <v>45</v>
      </c>
      <c r="D1742" s="15" t="s">
        <v>4616</v>
      </c>
      <c r="E1742" s="15" t="s">
        <v>4617</v>
      </c>
      <c r="F1742" s="16">
        <v>44343.6614930556</v>
      </c>
      <c r="G1742" s="15" t="s">
        <v>4617</v>
      </c>
      <c r="H1742" s="15" t="s">
        <v>54</v>
      </c>
      <c r="I1742" s="15">
        <v>0</v>
      </c>
      <c r="J1742" s="15">
        <v>0</v>
      </c>
      <c r="K1742" s="15">
        <v>0</v>
      </c>
      <c r="L1742" s="20">
        <v>0</v>
      </c>
      <c r="M1742" s="15">
        <v>0</v>
      </c>
      <c r="N1742" s="15">
        <v>0</v>
      </c>
      <c r="O1742" s="15">
        <v>0</v>
      </c>
      <c r="P1742" s="15">
        <v>0</v>
      </c>
      <c r="Q1742" s="15">
        <v>0</v>
      </c>
      <c r="R1742" s="15">
        <v>0</v>
      </c>
      <c r="S1742" s="15">
        <v>0</v>
      </c>
      <c r="T1742" s="15">
        <v>0</v>
      </c>
      <c r="U1742" s="15">
        <v>0</v>
      </c>
      <c r="V1742" s="15">
        <v>0</v>
      </c>
      <c r="W1742" s="15">
        <v>0</v>
      </c>
      <c r="X1742" s="15">
        <v>0</v>
      </c>
      <c r="Y1742" s="15">
        <v>0</v>
      </c>
      <c r="Z1742" s="15">
        <v>0</v>
      </c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</row>
    <row r="1743" spans="1:43">
      <c r="A1743" s="15" t="s">
        <v>49</v>
      </c>
      <c r="B1743" s="15" t="s">
        <v>50</v>
      </c>
      <c r="C1743" s="15" t="s">
        <v>61</v>
      </c>
      <c r="D1743" s="15" t="s">
        <v>4618</v>
      </c>
      <c r="E1743" s="15" t="s">
        <v>4619</v>
      </c>
      <c r="F1743" s="16">
        <v>0</v>
      </c>
      <c r="G1743" s="15" t="s">
        <v>4619</v>
      </c>
      <c r="H1743" s="15" t="s">
        <v>4620</v>
      </c>
      <c r="I1743" s="15">
        <v>0</v>
      </c>
      <c r="J1743" s="15">
        <v>0</v>
      </c>
      <c r="K1743" s="15">
        <v>0</v>
      </c>
      <c r="L1743" s="20">
        <v>0</v>
      </c>
      <c r="M1743" s="15">
        <v>0</v>
      </c>
      <c r="N1743" s="15">
        <v>0</v>
      </c>
      <c r="O1743" s="15">
        <v>0</v>
      </c>
      <c r="P1743" s="15">
        <v>0</v>
      </c>
      <c r="Q1743" s="15">
        <v>0</v>
      </c>
      <c r="R1743" s="15">
        <v>0</v>
      </c>
      <c r="S1743" s="15">
        <v>0</v>
      </c>
      <c r="T1743" s="15">
        <v>0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</row>
    <row r="1744" spans="1:43">
      <c r="A1744" s="15" t="s">
        <v>43</v>
      </c>
      <c r="B1744" s="15" t="s">
        <v>44</v>
      </c>
      <c r="C1744" s="15" t="s">
        <v>45</v>
      </c>
      <c r="D1744" s="15" t="s">
        <v>4621</v>
      </c>
      <c r="E1744" s="15" t="s">
        <v>4622</v>
      </c>
      <c r="F1744" s="16">
        <v>42192.4515046296</v>
      </c>
      <c r="G1744" s="15" t="s">
        <v>4622</v>
      </c>
      <c r="H1744" s="15" t="s">
        <v>4623</v>
      </c>
      <c r="I1744" s="15">
        <v>0</v>
      </c>
      <c r="J1744" s="15">
        <v>0</v>
      </c>
      <c r="K1744" s="15">
        <v>0</v>
      </c>
      <c r="L1744" s="20">
        <v>0</v>
      </c>
      <c r="M1744" s="15">
        <v>0</v>
      </c>
      <c r="N1744" s="15">
        <v>0</v>
      </c>
      <c r="O1744" s="15">
        <v>0</v>
      </c>
      <c r="P1744" s="15">
        <v>0</v>
      </c>
      <c r="Q1744" s="15">
        <v>0</v>
      </c>
      <c r="R1744" s="15">
        <v>0</v>
      </c>
      <c r="S1744" s="15">
        <v>0</v>
      </c>
      <c r="T1744" s="15">
        <v>0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</row>
    <row r="1745" spans="1:43">
      <c r="A1745" s="15" t="s">
        <v>64</v>
      </c>
      <c r="B1745" s="15" t="s">
        <v>65</v>
      </c>
      <c r="C1745" s="15" t="s">
        <v>66</v>
      </c>
      <c r="D1745" s="15" t="s">
        <v>4624</v>
      </c>
      <c r="E1745" s="15" t="s">
        <v>4625</v>
      </c>
      <c r="F1745" s="16">
        <v>45105.5754398148</v>
      </c>
      <c r="G1745" s="15" t="s">
        <v>4625</v>
      </c>
      <c r="H1745" s="15" t="s">
        <v>4626</v>
      </c>
      <c r="I1745" s="15">
        <v>521.76</v>
      </c>
      <c r="J1745" s="15">
        <v>10</v>
      </c>
      <c r="K1745" s="15">
        <v>52.176</v>
      </c>
      <c r="L1745" s="20">
        <v>0.745371428571429</v>
      </c>
      <c r="M1745" s="15">
        <v>5.03</v>
      </c>
      <c r="N1745" s="15">
        <v>16.27</v>
      </c>
      <c r="O1745" s="15">
        <v>44.65</v>
      </c>
      <c r="P1745" s="15">
        <v>27.43</v>
      </c>
      <c r="Q1745" s="15">
        <v>0</v>
      </c>
      <c r="R1745" s="15">
        <v>0</v>
      </c>
      <c r="S1745" s="15">
        <v>15.99</v>
      </c>
      <c r="T1745" s="15">
        <v>90.17</v>
      </c>
      <c r="U1745" s="15">
        <v>77.71</v>
      </c>
      <c r="V1745" s="15">
        <v>83</v>
      </c>
      <c r="W1745" s="15">
        <v>57.83</v>
      </c>
      <c r="X1745" s="15">
        <v>0</v>
      </c>
      <c r="Y1745" s="15">
        <v>0</v>
      </c>
      <c r="Z1745" s="15">
        <v>103.68</v>
      </c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</row>
    <row r="1746" spans="1:43">
      <c r="A1746" s="15" t="s">
        <v>49</v>
      </c>
      <c r="B1746" s="15" t="s">
        <v>50</v>
      </c>
      <c r="C1746" s="15" t="s">
        <v>61</v>
      </c>
      <c r="D1746" s="15" t="s">
        <v>4627</v>
      </c>
      <c r="E1746" s="15" t="s">
        <v>4628</v>
      </c>
      <c r="F1746" s="16">
        <v>0</v>
      </c>
      <c r="G1746" s="15" t="s">
        <v>4628</v>
      </c>
      <c r="H1746" s="15" t="s">
        <v>4629</v>
      </c>
      <c r="I1746" s="15">
        <v>0</v>
      </c>
      <c r="J1746" s="15">
        <v>0</v>
      </c>
      <c r="K1746" s="15">
        <v>0</v>
      </c>
      <c r="L1746" s="20">
        <v>0</v>
      </c>
      <c r="M1746" s="15">
        <v>0</v>
      </c>
      <c r="N1746" s="15">
        <v>0</v>
      </c>
      <c r="O1746" s="15">
        <v>0</v>
      </c>
      <c r="P1746" s="15">
        <v>0</v>
      </c>
      <c r="Q1746" s="15">
        <v>0</v>
      </c>
      <c r="R1746" s="15">
        <v>0</v>
      </c>
      <c r="S1746" s="15">
        <v>0</v>
      </c>
      <c r="T1746" s="15">
        <v>0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</row>
    <row r="1747" spans="1:43">
      <c r="A1747" s="15" t="s">
        <v>43</v>
      </c>
      <c r="B1747" s="15" t="s">
        <v>44</v>
      </c>
      <c r="C1747" s="15" t="s">
        <v>45</v>
      </c>
      <c r="D1747" s="15" t="s">
        <v>4630</v>
      </c>
      <c r="E1747" s="15" t="s">
        <v>4631</v>
      </c>
      <c r="F1747" s="16">
        <v>41942.6826851852</v>
      </c>
      <c r="G1747" s="15" t="s">
        <v>4631</v>
      </c>
      <c r="H1747" s="15" t="s">
        <v>4632</v>
      </c>
      <c r="I1747" s="15">
        <v>0</v>
      </c>
      <c r="J1747" s="15">
        <v>0</v>
      </c>
      <c r="K1747" s="15">
        <v>0</v>
      </c>
      <c r="L1747" s="20">
        <v>0</v>
      </c>
      <c r="M1747" s="15">
        <v>0</v>
      </c>
      <c r="N1747" s="15">
        <v>0</v>
      </c>
      <c r="O1747" s="15">
        <v>0</v>
      </c>
      <c r="P1747" s="15">
        <v>0</v>
      </c>
      <c r="Q1747" s="15">
        <v>0</v>
      </c>
      <c r="R1747" s="15">
        <v>0</v>
      </c>
      <c r="S1747" s="15">
        <v>0</v>
      </c>
      <c r="T1747" s="15">
        <v>0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0</v>
      </c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</row>
    <row r="1748" spans="1:43">
      <c r="A1748" s="15" t="s">
        <v>49</v>
      </c>
      <c r="B1748" s="15" t="s">
        <v>50</v>
      </c>
      <c r="C1748" s="15" t="s">
        <v>61</v>
      </c>
      <c r="D1748" s="15" t="s">
        <v>4633</v>
      </c>
      <c r="E1748" s="15" t="s">
        <v>334</v>
      </c>
      <c r="F1748" s="16">
        <v>0</v>
      </c>
      <c r="G1748" s="15" t="s">
        <v>334</v>
      </c>
      <c r="H1748" s="15" t="s">
        <v>335</v>
      </c>
      <c r="I1748" s="15">
        <v>0</v>
      </c>
      <c r="J1748" s="15">
        <v>0</v>
      </c>
      <c r="K1748" s="15">
        <v>0</v>
      </c>
      <c r="L1748" s="20">
        <v>0</v>
      </c>
      <c r="M1748" s="15">
        <v>0</v>
      </c>
      <c r="N1748" s="15">
        <v>0</v>
      </c>
      <c r="O1748" s="15">
        <v>0</v>
      </c>
      <c r="P1748" s="15">
        <v>0</v>
      </c>
      <c r="Q1748" s="15">
        <v>0</v>
      </c>
      <c r="R1748" s="15">
        <v>0</v>
      </c>
      <c r="S1748" s="15">
        <v>0</v>
      </c>
      <c r="T1748" s="15">
        <v>0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</row>
    <row r="1749" spans="1:43">
      <c r="A1749" s="15" t="s">
        <v>43</v>
      </c>
      <c r="B1749" s="15" t="s">
        <v>44</v>
      </c>
      <c r="C1749" s="15" t="s">
        <v>45</v>
      </c>
      <c r="D1749" s="15" t="s">
        <v>4634</v>
      </c>
      <c r="E1749" s="15" t="s">
        <v>4635</v>
      </c>
      <c r="F1749" s="16">
        <v>41869.6441319444</v>
      </c>
      <c r="G1749" s="15" t="s">
        <v>4635</v>
      </c>
      <c r="H1749" s="15" t="s">
        <v>4636</v>
      </c>
      <c r="I1749" s="15">
        <v>0</v>
      </c>
      <c r="J1749" s="15">
        <v>0</v>
      </c>
      <c r="K1749" s="15">
        <v>0</v>
      </c>
      <c r="L1749" s="20">
        <v>0</v>
      </c>
      <c r="M1749" s="15">
        <v>0</v>
      </c>
      <c r="N1749" s="15">
        <v>0</v>
      </c>
      <c r="O1749" s="15">
        <v>0</v>
      </c>
      <c r="P1749" s="15">
        <v>0</v>
      </c>
      <c r="Q1749" s="15">
        <v>0</v>
      </c>
      <c r="R1749" s="15">
        <v>0</v>
      </c>
      <c r="S1749" s="15">
        <v>0</v>
      </c>
      <c r="T1749" s="15">
        <v>0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</row>
    <row r="1750" spans="1:43">
      <c r="A1750" s="15" t="s">
        <v>43</v>
      </c>
      <c r="B1750" s="15" t="s">
        <v>44</v>
      </c>
      <c r="C1750" s="15" t="s">
        <v>45</v>
      </c>
      <c r="D1750" s="15" t="s">
        <v>4637</v>
      </c>
      <c r="E1750" s="15" t="s">
        <v>4638</v>
      </c>
      <c r="F1750" s="16">
        <v>40660.4616550926</v>
      </c>
      <c r="G1750" s="15" t="s">
        <v>4638</v>
      </c>
      <c r="H1750" s="15" t="s">
        <v>4639</v>
      </c>
      <c r="I1750" s="15">
        <v>0</v>
      </c>
      <c r="J1750" s="15">
        <v>0</v>
      </c>
      <c r="K1750" s="15">
        <v>0</v>
      </c>
      <c r="L1750" s="20">
        <v>0</v>
      </c>
      <c r="M1750" s="15">
        <v>0</v>
      </c>
      <c r="N1750" s="15">
        <v>0</v>
      </c>
      <c r="O1750" s="15">
        <v>0</v>
      </c>
      <c r="P1750" s="15">
        <v>0</v>
      </c>
      <c r="Q1750" s="15">
        <v>0</v>
      </c>
      <c r="R1750" s="15">
        <v>0</v>
      </c>
      <c r="S1750" s="15">
        <v>0</v>
      </c>
      <c r="T1750" s="15">
        <v>0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</row>
    <row r="1751" spans="1:43">
      <c r="A1751" s="15" t="s">
        <v>64</v>
      </c>
      <c r="B1751" s="15" t="s">
        <v>65</v>
      </c>
      <c r="C1751" s="15" t="s">
        <v>93</v>
      </c>
      <c r="D1751" s="15" t="s">
        <v>4640</v>
      </c>
      <c r="E1751" s="15" t="s">
        <v>4641</v>
      </c>
      <c r="F1751" s="16">
        <v>45029.6360648148</v>
      </c>
      <c r="G1751" s="15" t="s">
        <v>4641</v>
      </c>
      <c r="H1751" s="15" t="s">
        <v>4642</v>
      </c>
      <c r="I1751" s="15">
        <v>0</v>
      </c>
      <c r="J1751" s="15">
        <v>0</v>
      </c>
      <c r="K1751" s="15">
        <v>0</v>
      </c>
      <c r="L1751" s="20">
        <v>0</v>
      </c>
      <c r="M1751" s="15">
        <v>0</v>
      </c>
      <c r="N1751" s="15">
        <v>0</v>
      </c>
      <c r="O1751" s="15">
        <v>0</v>
      </c>
      <c r="P1751" s="15">
        <v>0</v>
      </c>
      <c r="Q1751" s="15">
        <v>0</v>
      </c>
      <c r="R1751" s="15">
        <v>0</v>
      </c>
      <c r="S1751" s="15">
        <v>0</v>
      </c>
      <c r="T1751" s="15">
        <v>0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</row>
    <row r="1752" spans="1:43">
      <c r="A1752" s="15" t="s">
        <v>49</v>
      </c>
      <c r="B1752" s="15" t="s">
        <v>50</v>
      </c>
      <c r="C1752" s="15" t="s">
        <v>301</v>
      </c>
      <c r="D1752" s="15" t="s">
        <v>4643</v>
      </c>
      <c r="E1752" s="15" t="s">
        <v>4644</v>
      </c>
      <c r="F1752" s="16">
        <v>45139.3980787037</v>
      </c>
      <c r="G1752" s="15" t="s">
        <v>4644</v>
      </c>
      <c r="H1752" s="15" t="s">
        <v>54</v>
      </c>
      <c r="I1752" s="15">
        <v>1009.72</v>
      </c>
      <c r="J1752" s="15">
        <v>13</v>
      </c>
      <c r="K1752" s="15">
        <v>77.6707692307692</v>
      </c>
      <c r="L1752" s="20">
        <v>1.55341538461538</v>
      </c>
      <c r="M1752" s="15">
        <v>17.41</v>
      </c>
      <c r="N1752" s="15">
        <v>106.94</v>
      </c>
      <c r="O1752" s="15">
        <v>204.68</v>
      </c>
      <c r="P1752" s="15">
        <v>19.25</v>
      </c>
      <c r="Q1752" s="15">
        <v>49.98</v>
      </c>
      <c r="R1752" s="15">
        <v>24.43</v>
      </c>
      <c r="S1752" s="15">
        <v>133.58</v>
      </c>
      <c r="T1752" s="15">
        <v>114.79</v>
      </c>
      <c r="U1752" s="15">
        <v>47.17</v>
      </c>
      <c r="V1752" s="15">
        <v>273.15</v>
      </c>
      <c r="W1752" s="15">
        <v>6.33</v>
      </c>
      <c r="X1752" s="15">
        <v>0.76</v>
      </c>
      <c r="Y1752" s="15">
        <v>0</v>
      </c>
      <c r="Z1752" s="15">
        <v>11.25</v>
      </c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</row>
    <row r="1753" spans="1:43">
      <c r="A1753" s="15" t="s">
        <v>64</v>
      </c>
      <c r="B1753" s="15" t="s">
        <v>65</v>
      </c>
      <c r="C1753" s="15" t="s">
        <v>401</v>
      </c>
      <c r="D1753" s="15" t="s">
        <v>4645</v>
      </c>
      <c r="E1753" s="15" t="s">
        <v>4646</v>
      </c>
      <c r="F1753" s="16">
        <v>44995.4400462963</v>
      </c>
      <c r="G1753" s="15" t="s">
        <v>4646</v>
      </c>
      <c r="H1753" s="15" t="s">
        <v>54</v>
      </c>
      <c r="I1753" s="15">
        <v>0</v>
      </c>
      <c r="J1753" s="15">
        <v>0</v>
      </c>
      <c r="K1753" s="15">
        <v>0</v>
      </c>
      <c r="L1753" s="20">
        <v>0</v>
      </c>
      <c r="M1753" s="15">
        <v>0</v>
      </c>
      <c r="N1753" s="15">
        <v>0</v>
      </c>
      <c r="O1753" s="15">
        <v>0</v>
      </c>
      <c r="P1753" s="15">
        <v>0</v>
      </c>
      <c r="Q1753" s="15">
        <v>0</v>
      </c>
      <c r="R1753" s="15">
        <v>0</v>
      </c>
      <c r="S1753" s="15">
        <v>0</v>
      </c>
      <c r="T1753" s="15">
        <v>0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</row>
    <row r="1754" spans="1:43">
      <c r="A1754" s="15" t="s">
        <v>49</v>
      </c>
      <c r="B1754" s="15" t="s">
        <v>50</v>
      </c>
      <c r="C1754" s="15" t="s">
        <v>61</v>
      </c>
      <c r="D1754" s="15" t="s">
        <v>4647</v>
      </c>
      <c r="E1754" s="15" t="s">
        <v>4648</v>
      </c>
      <c r="F1754" s="16">
        <v>0</v>
      </c>
      <c r="G1754" s="15" t="s">
        <v>4648</v>
      </c>
      <c r="H1754" s="15" t="s">
        <v>4649</v>
      </c>
      <c r="I1754" s="15">
        <v>0</v>
      </c>
      <c r="J1754" s="15">
        <v>0</v>
      </c>
      <c r="K1754" s="15">
        <v>0</v>
      </c>
      <c r="L1754" s="20">
        <v>0</v>
      </c>
      <c r="M1754" s="15">
        <v>0</v>
      </c>
      <c r="N1754" s="15">
        <v>0</v>
      </c>
      <c r="O1754" s="15">
        <v>0</v>
      </c>
      <c r="P1754" s="15">
        <v>0</v>
      </c>
      <c r="Q1754" s="15">
        <v>0</v>
      </c>
      <c r="R1754" s="15">
        <v>0</v>
      </c>
      <c r="S1754" s="15">
        <v>0</v>
      </c>
      <c r="T1754" s="15">
        <v>0</v>
      </c>
      <c r="U1754" s="15">
        <v>0</v>
      </c>
      <c r="V1754" s="15">
        <v>0</v>
      </c>
      <c r="W1754" s="15">
        <v>0</v>
      </c>
      <c r="X1754" s="15">
        <v>0</v>
      </c>
      <c r="Y1754" s="15">
        <v>0</v>
      </c>
      <c r="Z1754" s="15">
        <v>0</v>
      </c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</row>
    <row r="1755" spans="1:43">
      <c r="A1755" s="15" t="s">
        <v>43</v>
      </c>
      <c r="B1755" s="15" t="s">
        <v>44</v>
      </c>
      <c r="C1755" s="15" t="s">
        <v>45</v>
      </c>
      <c r="D1755" s="15" t="s">
        <v>4650</v>
      </c>
      <c r="E1755" s="15" t="s">
        <v>4651</v>
      </c>
      <c r="F1755" s="16">
        <v>42438.4051736111</v>
      </c>
      <c r="G1755" s="15" t="s">
        <v>4651</v>
      </c>
      <c r="H1755" s="15" t="s">
        <v>4652</v>
      </c>
      <c r="I1755" s="15">
        <v>0</v>
      </c>
      <c r="J1755" s="15">
        <v>0</v>
      </c>
      <c r="K1755" s="15">
        <v>0</v>
      </c>
      <c r="L1755" s="20">
        <v>0</v>
      </c>
      <c r="M1755" s="15">
        <v>0</v>
      </c>
      <c r="N1755" s="15">
        <v>0</v>
      </c>
      <c r="O1755" s="15">
        <v>0</v>
      </c>
      <c r="P1755" s="15">
        <v>0</v>
      </c>
      <c r="Q1755" s="15">
        <v>0</v>
      </c>
      <c r="R1755" s="15">
        <v>0</v>
      </c>
      <c r="S1755" s="15">
        <v>0</v>
      </c>
      <c r="T1755" s="15">
        <v>0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</row>
    <row r="1756" spans="1:43">
      <c r="A1756" s="15" t="s">
        <v>43</v>
      </c>
      <c r="B1756" s="15" t="s">
        <v>44</v>
      </c>
      <c r="C1756" s="15" t="s">
        <v>45</v>
      </c>
      <c r="D1756" s="15" t="s">
        <v>4653</v>
      </c>
      <c r="E1756" s="15" t="s">
        <v>4654</v>
      </c>
      <c r="F1756" s="16">
        <v>39638.7000694444</v>
      </c>
      <c r="G1756" s="15" t="s">
        <v>4654</v>
      </c>
      <c r="H1756" s="15" t="s">
        <v>4655</v>
      </c>
      <c r="I1756" s="15">
        <v>0</v>
      </c>
      <c r="J1756" s="15">
        <v>0</v>
      </c>
      <c r="K1756" s="15">
        <v>0</v>
      </c>
      <c r="L1756" s="20">
        <v>0</v>
      </c>
      <c r="M1756" s="15">
        <v>0</v>
      </c>
      <c r="N1756" s="15">
        <v>0</v>
      </c>
      <c r="O1756" s="15">
        <v>0</v>
      </c>
      <c r="P1756" s="15">
        <v>0</v>
      </c>
      <c r="Q1756" s="15">
        <v>0</v>
      </c>
      <c r="R1756" s="15">
        <v>0</v>
      </c>
      <c r="S1756" s="15">
        <v>0</v>
      </c>
      <c r="T1756" s="15">
        <v>0</v>
      </c>
      <c r="U1756" s="15">
        <v>0</v>
      </c>
      <c r="V1756" s="15">
        <v>0</v>
      </c>
      <c r="W1756" s="15">
        <v>0</v>
      </c>
      <c r="X1756" s="15">
        <v>0</v>
      </c>
      <c r="Y1756" s="15">
        <v>0</v>
      </c>
      <c r="Z1756" s="15">
        <v>0</v>
      </c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</row>
    <row r="1757" spans="1:43">
      <c r="A1757" s="15" t="s">
        <v>43</v>
      </c>
      <c r="B1757" s="15" t="s">
        <v>44</v>
      </c>
      <c r="C1757" s="15" t="s">
        <v>45</v>
      </c>
      <c r="D1757" s="15" t="s">
        <v>4656</v>
      </c>
      <c r="E1757" s="15" t="s">
        <v>4657</v>
      </c>
      <c r="F1757" s="16">
        <v>44539.6802083333</v>
      </c>
      <c r="G1757" s="15" t="s">
        <v>4657</v>
      </c>
      <c r="H1757" s="15" t="s">
        <v>54</v>
      </c>
      <c r="I1757" s="15">
        <v>0</v>
      </c>
      <c r="J1757" s="15">
        <v>0</v>
      </c>
      <c r="K1757" s="15">
        <v>0</v>
      </c>
      <c r="L1757" s="20">
        <v>0</v>
      </c>
      <c r="M1757" s="15">
        <v>0</v>
      </c>
      <c r="N1757" s="15">
        <v>0</v>
      </c>
      <c r="O1757" s="15">
        <v>0</v>
      </c>
      <c r="P1757" s="15">
        <v>0</v>
      </c>
      <c r="Q1757" s="15">
        <v>0</v>
      </c>
      <c r="R1757" s="15">
        <v>0</v>
      </c>
      <c r="S1757" s="15">
        <v>0</v>
      </c>
      <c r="T1757" s="15">
        <v>0</v>
      </c>
      <c r="U1757" s="15">
        <v>0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</row>
    <row r="1758" spans="1:43">
      <c r="A1758" s="15" t="s">
        <v>49</v>
      </c>
      <c r="B1758" s="15" t="s">
        <v>50</v>
      </c>
      <c r="C1758" s="15" t="s">
        <v>61</v>
      </c>
      <c r="D1758" s="15" t="s">
        <v>4658</v>
      </c>
      <c r="E1758" s="15" t="s">
        <v>4659</v>
      </c>
      <c r="F1758" s="16">
        <v>0</v>
      </c>
      <c r="G1758" s="15" t="s">
        <v>4659</v>
      </c>
      <c r="H1758" s="15" t="s">
        <v>4660</v>
      </c>
      <c r="I1758" s="15">
        <v>0</v>
      </c>
      <c r="J1758" s="15">
        <v>0</v>
      </c>
      <c r="K1758" s="15">
        <v>0</v>
      </c>
      <c r="L1758" s="20">
        <v>0</v>
      </c>
      <c r="M1758" s="15">
        <v>0</v>
      </c>
      <c r="N1758" s="15">
        <v>0</v>
      </c>
      <c r="O1758" s="15">
        <v>0</v>
      </c>
      <c r="P1758" s="15">
        <v>0</v>
      </c>
      <c r="Q1758" s="15">
        <v>0</v>
      </c>
      <c r="R1758" s="15">
        <v>0</v>
      </c>
      <c r="S1758" s="15">
        <v>0</v>
      </c>
      <c r="T1758" s="15">
        <v>0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0</v>
      </c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</row>
    <row r="1759" spans="1:43">
      <c r="A1759" s="15" t="s">
        <v>49</v>
      </c>
      <c r="B1759" s="15" t="s">
        <v>50</v>
      </c>
      <c r="C1759" s="15" t="s">
        <v>75</v>
      </c>
      <c r="D1759" s="15" t="s">
        <v>4661</v>
      </c>
      <c r="E1759" s="15" t="s">
        <v>4662</v>
      </c>
      <c r="F1759" s="16">
        <v>41799.5858564815</v>
      </c>
      <c r="G1759" s="15" t="s">
        <v>4662</v>
      </c>
      <c r="H1759" s="15" t="s">
        <v>4663</v>
      </c>
      <c r="I1759" s="15">
        <v>0</v>
      </c>
      <c r="J1759" s="15">
        <v>0</v>
      </c>
      <c r="K1759" s="15">
        <v>0</v>
      </c>
      <c r="L1759" s="20">
        <v>0</v>
      </c>
      <c r="M1759" s="15">
        <v>0</v>
      </c>
      <c r="N1759" s="15">
        <v>0</v>
      </c>
      <c r="O1759" s="15">
        <v>0</v>
      </c>
      <c r="P1759" s="15">
        <v>0</v>
      </c>
      <c r="Q1759" s="15">
        <v>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0</v>
      </c>
      <c r="X1759" s="15">
        <v>0</v>
      </c>
      <c r="Y1759" s="15">
        <v>0</v>
      </c>
      <c r="Z1759" s="15">
        <v>0</v>
      </c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</row>
    <row r="1760" spans="1:43">
      <c r="A1760" s="15" t="s">
        <v>43</v>
      </c>
      <c r="B1760" s="15" t="s">
        <v>44</v>
      </c>
      <c r="C1760" s="15" t="s">
        <v>45</v>
      </c>
      <c r="D1760" s="15" t="s">
        <v>4664</v>
      </c>
      <c r="E1760" s="15" t="s">
        <v>4665</v>
      </c>
      <c r="F1760" s="16">
        <v>42347.6250925926</v>
      </c>
      <c r="G1760" s="15" t="s">
        <v>4665</v>
      </c>
      <c r="H1760" s="15" t="s">
        <v>4666</v>
      </c>
      <c r="I1760" s="15">
        <v>0</v>
      </c>
      <c r="J1760" s="15">
        <v>0</v>
      </c>
      <c r="K1760" s="15">
        <v>0</v>
      </c>
      <c r="L1760" s="20">
        <v>0</v>
      </c>
      <c r="M1760" s="15">
        <v>0</v>
      </c>
      <c r="N1760" s="15">
        <v>0</v>
      </c>
      <c r="O1760" s="15">
        <v>0</v>
      </c>
      <c r="P1760" s="15">
        <v>0</v>
      </c>
      <c r="Q1760" s="15">
        <v>0</v>
      </c>
      <c r="R1760" s="15">
        <v>0</v>
      </c>
      <c r="S1760" s="15">
        <v>0</v>
      </c>
      <c r="T1760" s="15">
        <v>0</v>
      </c>
      <c r="U1760" s="15">
        <v>0</v>
      </c>
      <c r="V1760" s="15">
        <v>0</v>
      </c>
      <c r="W1760" s="15">
        <v>0</v>
      </c>
      <c r="X1760" s="15">
        <v>0</v>
      </c>
      <c r="Y1760" s="15">
        <v>0</v>
      </c>
      <c r="Z1760" s="15">
        <v>0</v>
      </c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</row>
    <row r="1761" spans="1:43">
      <c r="A1761" s="15" t="s">
        <v>43</v>
      </c>
      <c r="B1761" s="15" t="s">
        <v>44</v>
      </c>
      <c r="C1761" s="15" t="s">
        <v>45</v>
      </c>
      <c r="D1761" s="15" t="s">
        <v>4667</v>
      </c>
      <c r="E1761" s="15" t="s">
        <v>4668</v>
      </c>
      <c r="F1761" s="16">
        <v>42000.4974421296</v>
      </c>
      <c r="G1761" s="15" t="s">
        <v>4668</v>
      </c>
      <c r="H1761" s="15" t="s">
        <v>4669</v>
      </c>
      <c r="I1761" s="15">
        <v>0</v>
      </c>
      <c r="J1761" s="15">
        <v>0</v>
      </c>
      <c r="K1761" s="15">
        <v>0</v>
      </c>
      <c r="L1761" s="20">
        <v>0</v>
      </c>
      <c r="M1761" s="15">
        <v>0</v>
      </c>
      <c r="N1761" s="15">
        <v>0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0</v>
      </c>
      <c r="V1761" s="15">
        <v>0</v>
      </c>
      <c r="W1761" s="15">
        <v>0</v>
      </c>
      <c r="X1761" s="15">
        <v>0</v>
      </c>
      <c r="Y1761" s="15">
        <v>0</v>
      </c>
      <c r="Z1761" s="15">
        <v>0</v>
      </c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</row>
    <row r="1762" spans="1:43">
      <c r="A1762" s="15" t="s">
        <v>43</v>
      </c>
      <c r="B1762" s="15" t="s">
        <v>44</v>
      </c>
      <c r="C1762" s="15" t="s">
        <v>45</v>
      </c>
      <c r="D1762" s="15" t="s">
        <v>4670</v>
      </c>
      <c r="E1762" s="15" t="s">
        <v>4671</v>
      </c>
      <c r="F1762" s="16">
        <v>42812.6319560185</v>
      </c>
      <c r="G1762" s="15" t="s">
        <v>4671</v>
      </c>
      <c r="H1762" s="15" t="s">
        <v>4672</v>
      </c>
      <c r="I1762" s="15">
        <v>0</v>
      </c>
      <c r="J1762" s="15">
        <v>0</v>
      </c>
      <c r="K1762" s="15">
        <v>0</v>
      </c>
      <c r="L1762" s="20">
        <v>0</v>
      </c>
      <c r="M1762" s="15">
        <v>0</v>
      </c>
      <c r="N1762" s="15">
        <v>0</v>
      </c>
      <c r="O1762" s="15">
        <v>0</v>
      </c>
      <c r="P1762" s="15">
        <v>0</v>
      </c>
      <c r="Q1762" s="15">
        <v>0</v>
      </c>
      <c r="R1762" s="15">
        <v>0</v>
      </c>
      <c r="S1762" s="15">
        <v>0</v>
      </c>
      <c r="T1762" s="15">
        <v>0</v>
      </c>
      <c r="U1762" s="15">
        <v>0</v>
      </c>
      <c r="V1762" s="15">
        <v>0</v>
      </c>
      <c r="W1762" s="15">
        <v>0</v>
      </c>
      <c r="X1762" s="15">
        <v>0</v>
      </c>
      <c r="Y1762" s="15">
        <v>0</v>
      </c>
      <c r="Z1762" s="15">
        <v>0</v>
      </c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</row>
    <row r="1763" spans="1:43">
      <c r="A1763" s="15" t="s">
        <v>49</v>
      </c>
      <c r="B1763" s="15" t="s">
        <v>50</v>
      </c>
      <c r="C1763" s="15" t="s">
        <v>75</v>
      </c>
      <c r="D1763" s="15" t="s">
        <v>4673</v>
      </c>
      <c r="E1763" s="15" t="s">
        <v>4674</v>
      </c>
      <c r="F1763" s="16">
        <v>44281.4306944444</v>
      </c>
      <c r="G1763" s="15" t="s">
        <v>4674</v>
      </c>
      <c r="H1763" s="15" t="s">
        <v>54</v>
      </c>
      <c r="I1763" s="15">
        <v>0</v>
      </c>
      <c r="J1763" s="15">
        <v>0</v>
      </c>
      <c r="K1763" s="15">
        <v>0</v>
      </c>
      <c r="L1763" s="20">
        <v>0</v>
      </c>
      <c r="M1763" s="15">
        <v>0</v>
      </c>
      <c r="N1763" s="15">
        <v>0</v>
      </c>
      <c r="O1763" s="15">
        <v>0</v>
      </c>
      <c r="P1763" s="15">
        <v>0</v>
      </c>
      <c r="Q1763" s="15">
        <v>0</v>
      </c>
      <c r="R1763" s="15">
        <v>0</v>
      </c>
      <c r="S1763" s="15">
        <v>0</v>
      </c>
      <c r="T1763" s="15">
        <v>0</v>
      </c>
      <c r="U1763" s="15">
        <v>0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</row>
    <row r="1764" spans="1:43">
      <c r="A1764" s="15" t="s">
        <v>64</v>
      </c>
      <c r="B1764" s="15" t="s">
        <v>64</v>
      </c>
      <c r="C1764" s="15" t="s">
        <v>3781</v>
      </c>
      <c r="D1764" s="15" t="s">
        <v>4675</v>
      </c>
      <c r="E1764" s="15" t="s">
        <v>4676</v>
      </c>
      <c r="F1764" s="16">
        <v>44966.4715625</v>
      </c>
      <c r="G1764" s="15" t="s">
        <v>4676</v>
      </c>
      <c r="H1764" s="15" t="s">
        <v>54</v>
      </c>
      <c r="I1764" s="15">
        <v>0</v>
      </c>
      <c r="J1764" s="15">
        <v>0</v>
      </c>
      <c r="K1764" s="15">
        <v>0</v>
      </c>
      <c r="L1764" s="20">
        <v>0</v>
      </c>
      <c r="M1764" s="15">
        <v>0</v>
      </c>
      <c r="N1764" s="15">
        <v>0</v>
      </c>
      <c r="O1764" s="15">
        <v>0</v>
      </c>
      <c r="P1764" s="15">
        <v>0</v>
      </c>
      <c r="Q1764" s="15">
        <v>0</v>
      </c>
      <c r="R1764" s="15">
        <v>0</v>
      </c>
      <c r="S1764" s="15">
        <v>0</v>
      </c>
      <c r="T1764" s="15">
        <v>0</v>
      </c>
      <c r="U1764" s="15">
        <v>0</v>
      </c>
      <c r="V1764" s="15">
        <v>0</v>
      </c>
      <c r="W1764" s="15">
        <v>0</v>
      </c>
      <c r="X1764" s="15">
        <v>0</v>
      </c>
      <c r="Y1764" s="15">
        <v>0</v>
      </c>
      <c r="Z1764" s="15">
        <v>0</v>
      </c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</row>
    <row r="1765" spans="1:43">
      <c r="A1765" s="15" t="s">
        <v>43</v>
      </c>
      <c r="B1765" s="15" t="s">
        <v>44</v>
      </c>
      <c r="C1765" s="15" t="s">
        <v>45</v>
      </c>
      <c r="D1765" s="15" t="s">
        <v>4677</v>
      </c>
      <c r="E1765" s="15" t="s">
        <v>4678</v>
      </c>
      <c r="F1765" s="16">
        <v>43823.6341550926</v>
      </c>
      <c r="G1765" s="15" t="s">
        <v>4678</v>
      </c>
      <c r="H1765" s="15" t="s">
        <v>54</v>
      </c>
      <c r="I1765" s="15">
        <v>0</v>
      </c>
      <c r="J1765" s="15">
        <v>0</v>
      </c>
      <c r="K1765" s="15">
        <v>0</v>
      </c>
      <c r="L1765" s="20">
        <v>0</v>
      </c>
      <c r="M1765" s="15">
        <v>0</v>
      </c>
      <c r="N1765" s="15">
        <v>0</v>
      </c>
      <c r="O1765" s="15">
        <v>0</v>
      </c>
      <c r="P1765" s="15">
        <v>0</v>
      </c>
      <c r="Q1765" s="15">
        <v>0</v>
      </c>
      <c r="R1765" s="15">
        <v>0</v>
      </c>
      <c r="S1765" s="15">
        <v>0</v>
      </c>
      <c r="T1765" s="15">
        <v>0</v>
      </c>
      <c r="U1765" s="15">
        <v>0</v>
      </c>
      <c r="V1765" s="15">
        <v>0</v>
      </c>
      <c r="W1765" s="15">
        <v>0</v>
      </c>
      <c r="X1765" s="15">
        <v>0</v>
      </c>
      <c r="Y1765" s="15">
        <v>0</v>
      </c>
      <c r="Z1765" s="15">
        <v>0</v>
      </c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</row>
    <row r="1766" spans="1:43">
      <c r="A1766" s="15" t="s">
        <v>43</v>
      </c>
      <c r="B1766" s="15" t="s">
        <v>44</v>
      </c>
      <c r="C1766" s="15" t="s">
        <v>45</v>
      </c>
      <c r="D1766" s="15" t="s">
        <v>4679</v>
      </c>
      <c r="E1766" s="15" t="s">
        <v>4680</v>
      </c>
      <c r="F1766" s="16">
        <v>40868.7259606482</v>
      </c>
      <c r="G1766" s="15" t="s">
        <v>4680</v>
      </c>
      <c r="H1766" s="15" t="s">
        <v>4681</v>
      </c>
      <c r="I1766" s="15">
        <v>0</v>
      </c>
      <c r="J1766" s="15">
        <v>0</v>
      </c>
      <c r="K1766" s="15">
        <v>0</v>
      </c>
      <c r="L1766" s="20">
        <v>0</v>
      </c>
      <c r="M1766" s="15">
        <v>0</v>
      </c>
      <c r="N1766" s="15">
        <v>0</v>
      </c>
      <c r="O1766" s="15">
        <v>0</v>
      </c>
      <c r="P1766" s="15">
        <v>0</v>
      </c>
      <c r="Q1766" s="15">
        <v>0</v>
      </c>
      <c r="R1766" s="15">
        <v>0</v>
      </c>
      <c r="S1766" s="15">
        <v>0</v>
      </c>
      <c r="T1766" s="15">
        <v>0</v>
      </c>
      <c r="U1766" s="15">
        <v>0</v>
      </c>
      <c r="V1766" s="15">
        <v>0</v>
      </c>
      <c r="W1766" s="15">
        <v>0</v>
      </c>
      <c r="X1766" s="15">
        <v>0</v>
      </c>
      <c r="Y1766" s="15">
        <v>0</v>
      </c>
      <c r="Z1766" s="15">
        <v>0</v>
      </c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</row>
    <row r="1767" spans="1:43">
      <c r="A1767" s="15" t="s">
        <v>43</v>
      </c>
      <c r="B1767" s="15" t="s">
        <v>44</v>
      </c>
      <c r="C1767" s="15" t="s">
        <v>45</v>
      </c>
      <c r="D1767" s="15" t="s">
        <v>4682</v>
      </c>
      <c r="E1767" s="15" t="s">
        <v>4683</v>
      </c>
      <c r="F1767" s="16">
        <v>42724.3945949074</v>
      </c>
      <c r="G1767" s="15" t="s">
        <v>4683</v>
      </c>
      <c r="H1767" s="15" t="s">
        <v>4684</v>
      </c>
      <c r="I1767" s="15">
        <v>0</v>
      </c>
      <c r="J1767" s="15">
        <v>0</v>
      </c>
      <c r="K1767" s="15">
        <v>0</v>
      </c>
      <c r="L1767" s="20">
        <v>0</v>
      </c>
      <c r="M1767" s="15">
        <v>0</v>
      </c>
      <c r="N1767" s="15">
        <v>0</v>
      </c>
      <c r="O1767" s="15">
        <v>0</v>
      </c>
      <c r="P1767" s="15">
        <v>0</v>
      </c>
      <c r="Q1767" s="15">
        <v>0</v>
      </c>
      <c r="R1767" s="15">
        <v>0</v>
      </c>
      <c r="S1767" s="15">
        <v>0</v>
      </c>
      <c r="T1767" s="15">
        <v>0</v>
      </c>
      <c r="U1767" s="15">
        <v>0</v>
      </c>
      <c r="V1767" s="15">
        <v>0</v>
      </c>
      <c r="W1767" s="15">
        <v>0</v>
      </c>
      <c r="X1767" s="15">
        <v>0</v>
      </c>
      <c r="Y1767" s="15">
        <v>0</v>
      </c>
      <c r="Z1767" s="15">
        <v>0</v>
      </c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</row>
    <row r="1768" spans="1:43">
      <c r="A1768" s="15" t="s">
        <v>43</v>
      </c>
      <c r="B1768" s="15" t="s">
        <v>44</v>
      </c>
      <c r="C1768" s="15" t="s">
        <v>45</v>
      </c>
      <c r="D1768" s="15" t="s">
        <v>4685</v>
      </c>
      <c r="E1768" s="15" t="s">
        <v>4686</v>
      </c>
      <c r="F1768" s="16">
        <v>41085.7136689815</v>
      </c>
      <c r="G1768" s="15" t="s">
        <v>4686</v>
      </c>
      <c r="H1768" s="15" t="s">
        <v>4687</v>
      </c>
      <c r="I1768" s="15">
        <v>0</v>
      </c>
      <c r="J1768" s="15">
        <v>0</v>
      </c>
      <c r="K1768" s="15">
        <v>0</v>
      </c>
      <c r="L1768" s="20">
        <v>0</v>
      </c>
      <c r="M1768" s="15">
        <v>0</v>
      </c>
      <c r="N1768" s="15">
        <v>0</v>
      </c>
      <c r="O1768" s="15">
        <v>0</v>
      </c>
      <c r="P1768" s="15">
        <v>0</v>
      </c>
      <c r="Q1768" s="15">
        <v>0</v>
      </c>
      <c r="R1768" s="15">
        <v>0</v>
      </c>
      <c r="S1768" s="15">
        <v>0</v>
      </c>
      <c r="T1768" s="15">
        <v>0</v>
      </c>
      <c r="U1768" s="15">
        <v>0</v>
      </c>
      <c r="V1768" s="15">
        <v>0</v>
      </c>
      <c r="W1768" s="15">
        <v>0</v>
      </c>
      <c r="X1768" s="15">
        <v>0</v>
      </c>
      <c r="Y1768" s="15">
        <v>0</v>
      </c>
      <c r="Z1768" s="15">
        <v>0</v>
      </c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</row>
    <row r="1769" spans="1:43">
      <c r="A1769" s="15" t="s">
        <v>43</v>
      </c>
      <c r="B1769" s="15" t="s">
        <v>44</v>
      </c>
      <c r="C1769" s="15" t="s">
        <v>45</v>
      </c>
      <c r="D1769" s="15" t="s">
        <v>4688</v>
      </c>
      <c r="E1769" s="15" t="s">
        <v>4689</v>
      </c>
      <c r="F1769" s="16">
        <v>42374.658287037</v>
      </c>
      <c r="G1769" s="15" t="s">
        <v>4689</v>
      </c>
      <c r="H1769" s="15" t="s">
        <v>4690</v>
      </c>
      <c r="I1769" s="15">
        <v>0</v>
      </c>
      <c r="J1769" s="15">
        <v>0</v>
      </c>
      <c r="K1769" s="15">
        <v>0</v>
      </c>
      <c r="L1769" s="20">
        <v>0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0</v>
      </c>
      <c r="U1769" s="15">
        <v>0</v>
      </c>
      <c r="V1769" s="15">
        <v>0</v>
      </c>
      <c r="W1769" s="15">
        <v>0</v>
      </c>
      <c r="X1769" s="15">
        <v>0</v>
      </c>
      <c r="Y1769" s="15">
        <v>0</v>
      </c>
      <c r="Z1769" s="15">
        <v>0</v>
      </c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</row>
    <row r="1770" spans="1:43">
      <c r="A1770" s="15" t="s">
        <v>43</v>
      </c>
      <c r="B1770" s="15" t="s">
        <v>44</v>
      </c>
      <c r="C1770" s="15" t="s">
        <v>45</v>
      </c>
      <c r="D1770" s="15" t="s">
        <v>4691</v>
      </c>
      <c r="E1770" s="15" t="s">
        <v>4692</v>
      </c>
      <c r="F1770" s="16">
        <v>43178.4717361111</v>
      </c>
      <c r="G1770" s="15" t="s">
        <v>4692</v>
      </c>
      <c r="H1770" s="15" t="s">
        <v>4693</v>
      </c>
      <c r="I1770" s="15">
        <v>0</v>
      </c>
      <c r="J1770" s="15">
        <v>0</v>
      </c>
      <c r="K1770" s="15">
        <v>0</v>
      </c>
      <c r="L1770" s="20">
        <v>0</v>
      </c>
      <c r="M1770" s="15">
        <v>0</v>
      </c>
      <c r="N1770" s="15">
        <v>0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0</v>
      </c>
      <c r="V1770" s="15">
        <v>0</v>
      </c>
      <c r="W1770" s="15">
        <v>0</v>
      </c>
      <c r="X1770" s="15">
        <v>0</v>
      </c>
      <c r="Y1770" s="15">
        <v>0</v>
      </c>
      <c r="Z1770" s="15">
        <v>0</v>
      </c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</row>
    <row r="1771" spans="1:43">
      <c r="A1771" s="15" t="s">
        <v>43</v>
      </c>
      <c r="B1771" s="15" t="s">
        <v>44</v>
      </c>
      <c r="C1771" s="15" t="s">
        <v>45</v>
      </c>
      <c r="D1771" s="15" t="s">
        <v>4694</v>
      </c>
      <c r="E1771" s="15" t="s">
        <v>4695</v>
      </c>
      <c r="F1771" s="16">
        <v>41678.445150463</v>
      </c>
      <c r="G1771" s="15" t="s">
        <v>4695</v>
      </c>
      <c r="H1771" s="15" t="s">
        <v>4696</v>
      </c>
      <c r="I1771" s="15">
        <v>0</v>
      </c>
      <c r="J1771" s="15">
        <v>0</v>
      </c>
      <c r="K1771" s="15">
        <v>0</v>
      </c>
      <c r="L1771" s="20">
        <v>0</v>
      </c>
      <c r="M1771" s="15">
        <v>0</v>
      </c>
      <c r="N1771" s="15">
        <v>0</v>
      </c>
      <c r="O1771" s="15">
        <v>0</v>
      </c>
      <c r="P1771" s="15">
        <v>0</v>
      </c>
      <c r="Q1771" s="15">
        <v>0</v>
      </c>
      <c r="R1771" s="15">
        <v>0</v>
      </c>
      <c r="S1771" s="15">
        <v>0</v>
      </c>
      <c r="T1771" s="15">
        <v>0</v>
      </c>
      <c r="U1771" s="15">
        <v>0</v>
      </c>
      <c r="V1771" s="15">
        <v>0</v>
      </c>
      <c r="W1771" s="15">
        <v>0</v>
      </c>
      <c r="X1771" s="15">
        <v>0</v>
      </c>
      <c r="Y1771" s="15">
        <v>0</v>
      </c>
      <c r="Z1771" s="15">
        <v>0</v>
      </c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</row>
    <row r="1772" spans="1:43">
      <c r="A1772" s="15" t="s">
        <v>49</v>
      </c>
      <c r="B1772" s="15" t="s">
        <v>50</v>
      </c>
      <c r="C1772" s="15" t="s">
        <v>61</v>
      </c>
      <c r="D1772" s="15" t="s">
        <v>4697</v>
      </c>
      <c r="E1772" s="15" t="s">
        <v>4698</v>
      </c>
      <c r="F1772" s="16">
        <v>0</v>
      </c>
      <c r="G1772" s="15" t="s">
        <v>4698</v>
      </c>
      <c r="H1772" s="15" t="s">
        <v>54</v>
      </c>
      <c r="I1772" s="15">
        <v>0</v>
      </c>
      <c r="J1772" s="15">
        <v>0</v>
      </c>
      <c r="K1772" s="15">
        <v>0</v>
      </c>
      <c r="L1772" s="20">
        <v>0</v>
      </c>
      <c r="M1772" s="15">
        <v>0</v>
      </c>
      <c r="N1772" s="15">
        <v>0</v>
      </c>
      <c r="O1772" s="15">
        <v>0</v>
      </c>
      <c r="P1772" s="15">
        <v>0</v>
      </c>
      <c r="Q1772" s="15">
        <v>0</v>
      </c>
      <c r="R1772" s="15">
        <v>0</v>
      </c>
      <c r="S1772" s="15">
        <v>0</v>
      </c>
      <c r="T1772" s="15">
        <v>0</v>
      </c>
      <c r="U1772" s="15">
        <v>0</v>
      </c>
      <c r="V1772" s="15">
        <v>0</v>
      </c>
      <c r="W1772" s="15">
        <v>0</v>
      </c>
      <c r="X1772" s="15">
        <v>0</v>
      </c>
      <c r="Y1772" s="15">
        <v>0</v>
      </c>
      <c r="Z1772" s="15">
        <v>0</v>
      </c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</row>
    <row r="1773" spans="1:43">
      <c r="A1773" s="15" t="s">
        <v>49</v>
      </c>
      <c r="B1773" s="15" t="s">
        <v>50</v>
      </c>
      <c r="C1773" s="15" t="s">
        <v>51</v>
      </c>
      <c r="D1773" s="15" t="s">
        <v>4699</v>
      </c>
      <c r="E1773" s="15" t="s">
        <v>4700</v>
      </c>
      <c r="F1773" s="16">
        <v>45126.5878356481</v>
      </c>
      <c r="G1773" s="15" t="s">
        <v>4700</v>
      </c>
      <c r="H1773" s="15" t="s">
        <v>54</v>
      </c>
      <c r="I1773" s="15">
        <v>609.22</v>
      </c>
      <c r="J1773" s="15">
        <v>14</v>
      </c>
      <c r="K1773" s="15">
        <v>43.5157142857143</v>
      </c>
      <c r="L1773" s="20">
        <v>0.870314285714286</v>
      </c>
      <c r="M1773" s="15">
        <v>25.87</v>
      </c>
      <c r="N1773" s="15">
        <v>15.17</v>
      </c>
      <c r="O1773" s="15">
        <v>7.25</v>
      </c>
      <c r="P1773" s="15">
        <v>52.16</v>
      </c>
      <c r="Q1773" s="15">
        <v>51.44</v>
      </c>
      <c r="R1773" s="15">
        <v>50.97</v>
      </c>
      <c r="S1773" s="15">
        <v>51.98</v>
      </c>
      <c r="T1773" s="15">
        <v>55.1</v>
      </c>
      <c r="U1773" s="15">
        <v>54.27</v>
      </c>
      <c r="V1773" s="15">
        <v>51.73</v>
      </c>
      <c r="W1773" s="15">
        <v>47.72</v>
      </c>
      <c r="X1773" s="15">
        <v>52.64</v>
      </c>
      <c r="Y1773" s="15">
        <v>52.62</v>
      </c>
      <c r="Z1773" s="15">
        <v>40.3</v>
      </c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</row>
    <row r="1774" spans="1:43">
      <c r="A1774" s="15" t="s">
        <v>43</v>
      </c>
      <c r="B1774" s="15" t="s">
        <v>44</v>
      </c>
      <c r="C1774" s="15" t="s">
        <v>45</v>
      </c>
      <c r="D1774" s="15" t="s">
        <v>4701</v>
      </c>
      <c r="E1774" s="15" t="s">
        <v>4702</v>
      </c>
      <c r="F1774" s="16">
        <v>41089.4215393519</v>
      </c>
      <c r="G1774" s="15" t="s">
        <v>4702</v>
      </c>
      <c r="H1774" s="15" t="s">
        <v>4703</v>
      </c>
      <c r="I1774" s="15">
        <v>0</v>
      </c>
      <c r="J1774" s="15">
        <v>0</v>
      </c>
      <c r="K1774" s="15">
        <v>0</v>
      </c>
      <c r="L1774" s="20">
        <v>0</v>
      </c>
      <c r="M1774" s="15">
        <v>0</v>
      </c>
      <c r="N1774" s="15">
        <v>0</v>
      </c>
      <c r="O1774" s="15">
        <v>0</v>
      </c>
      <c r="P1774" s="15">
        <v>0</v>
      </c>
      <c r="Q1774" s="15">
        <v>0</v>
      </c>
      <c r="R1774" s="15">
        <v>0</v>
      </c>
      <c r="S1774" s="15">
        <v>0</v>
      </c>
      <c r="T1774" s="15">
        <v>0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</row>
    <row r="1775" spans="1:43">
      <c r="A1775" s="15" t="s">
        <v>49</v>
      </c>
      <c r="B1775" s="15" t="s">
        <v>50</v>
      </c>
      <c r="C1775" s="15" t="s">
        <v>51</v>
      </c>
      <c r="D1775" s="15" t="s">
        <v>4704</v>
      </c>
      <c r="E1775" s="15" t="s">
        <v>4705</v>
      </c>
      <c r="F1775" s="16">
        <v>43418.7296412037</v>
      </c>
      <c r="G1775" s="15" t="s">
        <v>4705</v>
      </c>
      <c r="H1775" s="15" t="s">
        <v>4706</v>
      </c>
      <c r="I1775" s="15">
        <v>0</v>
      </c>
      <c r="J1775" s="15">
        <v>0</v>
      </c>
      <c r="K1775" s="15">
        <v>0</v>
      </c>
      <c r="L1775" s="20">
        <v>0</v>
      </c>
      <c r="M1775" s="15">
        <v>0</v>
      </c>
      <c r="N1775" s="15">
        <v>0</v>
      </c>
      <c r="O1775" s="15">
        <v>0</v>
      </c>
      <c r="P1775" s="15">
        <v>0</v>
      </c>
      <c r="Q1775" s="15">
        <v>0</v>
      </c>
      <c r="R1775" s="15">
        <v>0</v>
      </c>
      <c r="S1775" s="15">
        <v>0</v>
      </c>
      <c r="T1775" s="15">
        <v>0</v>
      </c>
      <c r="U1775" s="15">
        <v>0</v>
      </c>
      <c r="V1775" s="15">
        <v>0</v>
      </c>
      <c r="W1775" s="15">
        <v>0</v>
      </c>
      <c r="X1775" s="15">
        <v>0</v>
      </c>
      <c r="Y1775" s="15">
        <v>0</v>
      </c>
      <c r="Z1775" s="15">
        <v>0</v>
      </c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</row>
    <row r="1776" spans="1:43">
      <c r="A1776" s="15" t="s">
        <v>49</v>
      </c>
      <c r="B1776" s="15" t="s">
        <v>50</v>
      </c>
      <c r="C1776" s="15" t="s">
        <v>61</v>
      </c>
      <c r="D1776" s="15" t="s">
        <v>4707</v>
      </c>
      <c r="E1776" s="15" t="s">
        <v>1884</v>
      </c>
      <c r="F1776" s="16">
        <v>0</v>
      </c>
      <c r="G1776" s="15" t="s">
        <v>1884</v>
      </c>
      <c r="H1776" s="15" t="s">
        <v>1885</v>
      </c>
      <c r="I1776" s="15">
        <v>0</v>
      </c>
      <c r="J1776" s="15">
        <v>0</v>
      </c>
      <c r="K1776" s="15">
        <v>0</v>
      </c>
      <c r="L1776" s="20">
        <v>0</v>
      </c>
      <c r="M1776" s="15">
        <v>0</v>
      </c>
      <c r="N1776" s="15">
        <v>0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5">
        <v>0</v>
      </c>
      <c r="W1776" s="15">
        <v>0</v>
      </c>
      <c r="X1776" s="15">
        <v>0</v>
      </c>
      <c r="Y1776" s="15">
        <v>0</v>
      </c>
      <c r="Z1776" s="15">
        <v>0</v>
      </c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</row>
    <row r="1777" spans="1:43">
      <c r="A1777" s="15" t="s">
        <v>43</v>
      </c>
      <c r="B1777" s="15" t="s">
        <v>44</v>
      </c>
      <c r="C1777" s="15" t="s">
        <v>45</v>
      </c>
      <c r="D1777" s="15" t="s">
        <v>4708</v>
      </c>
      <c r="E1777" s="15" t="s">
        <v>4709</v>
      </c>
      <c r="F1777" s="16">
        <v>41391.4777662037</v>
      </c>
      <c r="G1777" s="15" t="s">
        <v>4709</v>
      </c>
      <c r="H1777" s="15" t="s">
        <v>4710</v>
      </c>
      <c r="I1777" s="15">
        <v>0</v>
      </c>
      <c r="J1777" s="15">
        <v>0</v>
      </c>
      <c r="K1777" s="15">
        <v>0</v>
      </c>
      <c r="L1777" s="20">
        <v>0</v>
      </c>
      <c r="M1777" s="15">
        <v>0</v>
      </c>
      <c r="N1777" s="15">
        <v>0</v>
      </c>
      <c r="O1777" s="15">
        <v>0</v>
      </c>
      <c r="P1777" s="15">
        <v>0</v>
      </c>
      <c r="Q1777" s="15">
        <v>0</v>
      </c>
      <c r="R1777" s="15">
        <v>0</v>
      </c>
      <c r="S1777" s="15">
        <v>0</v>
      </c>
      <c r="T1777" s="15">
        <v>0</v>
      </c>
      <c r="U1777" s="15">
        <v>0</v>
      </c>
      <c r="V1777" s="15">
        <v>0</v>
      </c>
      <c r="W1777" s="15">
        <v>0</v>
      </c>
      <c r="X1777" s="15">
        <v>0</v>
      </c>
      <c r="Y1777" s="15">
        <v>0</v>
      </c>
      <c r="Z1777" s="15">
        <v>0</v>
      </c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</row>
    <row r="1778" spans="1:43">
      <c r="A1778" s="15" t="s">
        <v>43</v>
      </c>
      <c r="B1778" s="15" t="s">
        <v>44</v>
      </c>
      <c r="C1778" s="15" t="s">
        <v>45</v>
      </c>
      <c r="D1778" s="15" t="s">
        <v>4711</v>
      </c>
      <c r="E1778" s="15" t="s">
        <v>4712</v>
      </c>
      <c r="F1778" s="16">
        <v>42808.6409722222</v>
      </c>
      <c r="G1778" s="15" t="s">
        <v>4712</v>
      </c>
      <c r="H1778" s="15" t="s">
        <v>4713</v>
      </c>
      <c r="I1778" s="15">
        <v>0</v>
      </c>
      <c r="J1778" s="15">
        <v>0</v>
      </c>
      <c r="K1778" s="15">
        <v>0</v>
      </c>
      <c r="L1778" s="20">
        <v>0</v>
      </c>
      <c r="M1778" s="15">
        <v>0</v>
      </c>
      <c r="N1778" s="15">
        <v>0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5">
        <v>0</v>
      </c>
      <c r="W1778" s="15">
        <v>0</v>
      </c>
      <c r="X1778" s="15">
        <v>0</v>
      </c>
      <c r="Y1778" s="15">
        <v>0</v>
      </c>
      <c r="Z1778" s="15">
        <v>0</v>
      </c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</row>
    <row r="1779" spans="1:43">
      <c r="A1779" s="15" t="s">
        <v>43</v>
      </c>
      <c r="B1779" s="15" t="s">
        <v>44</v>
      </c>
      <c r="C1779" s="15" t="s">
        <v>45</v>
      </c>
      <c r="D1779" s="15" t="s">
        <v>4714</v>
      </c>
      <c r="E1779" s="15" t="s">
        <v>4715</v>
      </c>
      <c r="F1779" s="16">
        <v>42461.4305092593</v>
      </c>
      <c r="G1779" s="15" t="s">
        <v>4715</v>
      </c>
      <c r="H1779" s="15" t="s">
        <v>4716</v>
      </c>
      <c r="I1779" s="15">
        <v>0</v>
      </c>
      <c r="J1779" s="15">
        <v>0</v>
      </c>
      <c r="K1779" s="15">
        <v>0</v>
      </c>
      <c r="L1779" s="20">
        <v>0</v>
      </c>
      <c r="M1779" s="15">
        <v>0</v>
      </c>
      <c r="N1779" s="15">
        <v>0</v>
      </c>
      <c r="O1779" s="15">
        <v>0</v>
      </c>
      <c r="P1779" s="15">
        <v>0</v>
      </c>
      <c r="Q1779" s="15">
        <v>0</v>
      </c>
      <c r="R1779" s="15">
        <v>0</v>
      </c>
      <c r="S1779" s="15">
        <v>0</v>
      </c>
      <c r="T1779" s="15">
        <v>0</v>
      </c>
      <c r="U1779" s="15">
        <v>0</v>
      </c>
      <c r="V1779" s="15">
        <v>0</v>
      </c>
      <c r="W1779" s="15">
        <v>0</v>
      </c>
      <c r="X1779" s="15">
        <v>0</v>
      </c>
      <c r="Y1779" s="15">
        <v>0</v>
      </c>
      <c r="Z1779" s="15">
        <v>0</v>
      </c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</row>
    <row r="1780" spans="1:43">
      <c r="A1780" s="15" t="s">
        <v>43</v>
      </c>
      <c r="B1780" s="15" t="s">
        <v>44</v>
      </c>
      <c r="C1780" s="15" t="s">
        <v>228</v>
      </c>
      <c r="D1780" s="15" t="s">
        <v>4717</v>
      </c>
      <c r="E1780" s="15" t="s">
        <v>4718</v>
      </c>
      <c r="F1780" s="16">
        <v>44923.6808680556</v>
      </c>
      <c r="G1780" s="15" t="s">
        <v>4718</v>
      </c>
      <c r="H1780" s="15" t="s">
        <v>54</v>
      </c>
      <c r="I1780" s="15">
        <v>0</v>
      </c>
      <c r="J1780" s="15">
        <v>0</v>
      </c>
      <c r="K1780" s="15">
        <v>0</v>
      </c>
      <c r="L1780" s="20">
        <v>0</v>
      </c>
      <c r="M1780" s="15">
        <v>0</v>
      </c>
      <c r="N1780" s="15">
        <v>0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0</v>
      </c>
      <c r="X1780" s="15">
        <v>0</v>
      </c>
      <c r="Y1780" s="15">
        <v>0</v>
      </c>
      <c r="Z1780" s="15">
        <v>0</v>
      </c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</row>
    <row r="1781" spans="1:43">
      <c r="A1781" s="15" t="s">
        <v>43</v>
      </c>
      <c r="B1781" s="15" t="s">
        <v>44</v>
      </c>
      <c r="C1781" s="15" t="s">
        <v>45</v>
      </c>
      <c r="D1781" s="15" t="s">
        <v>4719</v>
      </c>
      <c r="E1781" s="15" t="s">
        <v>4720</v>
      </c>
      <c r="F1781" s="16">
        <v>41380.6720486111</v>
      </c>
      <c r="G1781" s="15" t="s">
        <v>4720</v>
      </c>
      <c r="H1781" s="15" t="s">
        <v>4721</v>
      </c>
      <c r="I1781" s="15">
        <v>0</v>
      </c>
      <c r="J1781" s="15">
        <v>0</v>
      </c>
      <c r="K1781" s="15">
        <v>0</v>
      </c>
      <c r="L1781" s="20">
        <v>0</v>
      </c>
      <c r="M1781" s="15">
        <v>0</v>
      </c>
      <c r="N1781" s="15">
        <v>0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0</v>
      </c>
      <c r="X1781" s="15">
        <v>0</v>
      </c>
      <c r="Y1781" s="15">
        <v>0</v>
      </c>
      <c r="Z1781" s="15">
        <v>0</v>
      </c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</row>
    <row r="1782" spans="1:43">
      <c r="A1782" s="15" t="s">
        <v>43</v>
      </c>
      <c r="B1782" s="15" t="s">
        <v>44</v>
      </c>
      <c r="C1782" s="15" t="s">
        <v>45</v>
      </c>
      <c r="D1782" s="15" t="s">
        <v>4722</v>
      </c>
      <c r="E1782" s="15" t="s">
        <v>4723</v>
      </c>
      <c r="F1782" s="16">
        <v>43435.4656134259</v>
      </c>
      <c r="G1782" s="15" t="s">
        <v>4723</v>
      </c>
      <c r="H1782" s="15" t="s">
        <v>4724</v>
      </c>
      <c r="I1782" s="15">
        <v>0</v>
      </c>
      <c r="J1782" s="15">
        <v>0</v>
      </c>
      <c r="K1782" s="15">
        <v>0</v>
      </c>
      <c r="L1782" s="20">
        <v>0</v>
      </c>
      <c r="M1782" s="15">
        <v>0</v>
      </c>
      <c r="N1782" s="15">
        <v>0</v>
      </c>
      <c r="O1782" s="15">
        <v>0</v>
      </c>
      <c r="P1782" s="15">
        <v>0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5">
        <v>0</v>
      </c>
      <c r="W1782" s="15">
        <v>0</v>
      </c>
      <c r="X1782" s="15">
        <v>0</v>
      </c>
      <c r="Y1782" s="15">
        <v>0</v>
      </c>
      <c r="Z1782" s="15">
        <v>0</v>
      </c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</row>
    <row r="1783" spans="1:43">
      <c r="A1783" s="15" t="s">
        <v>49</v>
      </c>
      <c r="B1783" s="15" t="s">
        <v>50</v>
      </c>
      <c r="C1783" s="15" t="s">
        <v>61</v>
      </c>
      <c r="D1783" s="15" t="s">
        <v>4725</v>
      </c>
      <c r="E1783" s="15" t="s">
        <v>4726</v>
      </c>
      <c r="F1783" s="16">
        <v>0</v>
      </c>
      <c r="G1783" s="15" t="s">
        <v>4726</v>
      </c>
      <c r="H1783" s="15" t="s">
        <v>54</v>
      </c>
      <c r="I1783" s="15">
        <v>0</v>
      </c>
      <c r="J1783" s="15">
        <v>0</v>
      </c>
      <c r="K1783" s="15">
        <v>0</v>
      </c>
      <c r="L1783" s="20">
        <v>0</v>
      </c>
      <c r="M1783" s="15">
        <v>0</v>
      </c>
      <c r="N1783" s="15">
        <v>0</v>
      </c>
      <c r="O1783" s="15">
        <v>0</v>
      </c>
      <c r="P1783" s="15">
        <v>0</v>
      </c>
      <c r="Q1783" s="15">
        <v>0</v>
      </c>
      <c r="R1783" s="15">
        <v>0</v>
      </c>
      <c r="S1783" s="15">
        <v>0</v>
      </c>
      <c r="T1783" s="15">
        <v>0</v>
      </c>
      <c r="U1783" s="15">
        <v>0</v>
      </c>
      <c r="V1783" s="15">
        <v>0</v>
      </c>
      <c r="W1783" s="15">
        <v>0</v>
      </c>
      <c r="X1783" s="15">
        <v>0</v>
      </c>
      <c r="Y1783" s="15">
        <v>0</v>
      </c>
      <c r="Z1783" s="15">
        <v>0</v>
      </c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</row>
    <row r="1784" spans="1:43">
      <c r="A1784" s="15" t="s">
        <v>49</v>
      </c>
      <c r="B1784" s="15" t="s">
        <v>50</v>
      </c>
      <c r="C1784" s="15" t="s">
        <v>61</v>
      </c>
      <c r="D1784" s="15" t="s">
        <v>4727</v>
      </c>
      <c r="E1784" s="15" t="s">
        <v>4728</v>
      </c>
      <c r="F1784" s="16">
        <v>0</v>
      </c>
      <c r="G1784" s="15" t="s">
        <v>4728</v>
      </c>
      <c r="H1784" s="15" t="s">
        <v>54</v>
      </c>
      <c r="I1784" s="15">
        <v>0</v>
      </c>
      <c r="J1784" s="15">
        <v>0</v>
      </c>
      <c r="K1784" s="15">
        <v>0</v>
      </c>
      <c r="L1784" s="20">
        <v>0</v>
      </c>
      <c r="M1784" s="15">
        <v>0</v>
      </c>
      <c r="N1784" s="15">
        <v>0</v>
      </c>
      <c r="O1784" s="15">
        <v>0</v>
      </c>
      <c r="P1784" s="15">
        <v>0</v>
      </c>
      <c r="Q1784" s="15">
        <v>0</v>
      </c>
      <c r="R1784" s="15">
        <v>0</v>
      </c>
      <c r="S1784" s="15">
        <v>0</v>
      </c>
      <c r="T1784" s="15">
        <v>0</v>
      </c>
      <c r="U1784" s="15">
        <v>0</v>
      </c>
      <c r="V1784" s="15">
        <v>0</v>
      </c>
      <c r="W1784" s="15">
        <v>0</v>
      </c>
      <c r="X1784" s="15">
        <v>0</v>
      </c>
      <c r="Y1784" s="15">
        <v>0</v>
      </c>
      <c r="Z1784" s="15">
        <v>0</v>
      </c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</row>
    <row r="1785" spans="1:43">
      <c r="A1785" s="15" t="s">
        <v>43</v>
      </c>
      <c r="B1785" s="15" t="s">
        <v>44</v>
      </c>
      <c r="C1785" s="15" t="s">
        <v>45</v>
      </c>
      <c r="D1785" s="15" t="s">
        <v>4729</v>
      </c>
      <c r="E1785" s="15" t="s">
        <v>4730</v>
      </c>
      <c r="F1785" s="16">
        <v>43088.7186805555</v>
      </c>
      <c r="G1785" s="15" t="s">
        <v>4730</v>
      </c>
      <c r="H1785" s="15" t="s">
        <v>4731</v>
      </c>
      <c r="I1785" s="15">
        <v>0</v>
      </c>
      <c r="J1785" s="15">
        <v>0</v>
      </c>
      <c r="K1785" s="15">
        <v>0</v>
      </c>
      <c r="L1785" s="20">
        <v>0</v>
      </c>
      <c r="M1785" s="15">
        <v>0</v>
      </c>
      <c r="N1785" s="15">
        <v>0</v>
      </c>
      <c r="O1785" s="15">
        <v>0</v>
      </c>
      <c r="P1785" s="15">
        <v>0</v>
      </c>
      <c r="Q1785" s="15">
        <v>0</v>
      </c>
      <c r="R1785" s="15">
        <v>0</v>
      </c>
      <c r="S1785" s="15">
        <v>0</v>
      </c>
      <c r="T1785" s="15">
        <v>0</v>
      </c>
      <c r="U1785" s="15">
        <v>0</v>
      </c>
      <c r="V1785" s="15">
        <v>0</v>
      </c>
      <c r="W1785" s="15">
        <v>0</v>
      </c>
      <c r="X1785" s="15">
        <v>0</v>
      </c>
      <c r="Y1785" s="15">
        <v>0</v>
      </c>
      <c r="Z1785" s="15">
        <v>0</v>
      </c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</row>
    <row r="1786" spans="1:43">
      <c r="A1786" s="15" t="s">
        <v>49</v>
      </c>
      <c r="B1786" s="15" t="s">
        <v>50</v>
      </c>
      <c r="C1786" s="15" t="s">
        <v>61</v>
      </c>
      <c r="D1786" s="15" t="s">
        <v>4732</v>
      </c>
      <c r="E1786" s="15" t="s">
        <v>4733</v>
      </c>
      <c r="F1786" s="16">
        <v>0</v>
      </c>
      <c r="G1786" s="15" t="s">
        <v>4733</v>
      </c>
      <c r="H1786" s="15" t="s">
        <v>54</v>
      </c>
      <c r="I1786" s="15">
        <v>0</v>
      </c>
      <c r="J1786" s="15">
        <v>0</v>
      </c>
      <c r="K1786" s="15">
        <v>0</v>
      </c>
      <c r="L1786" s="20">
        <v>0</v>
      </c>
      <c r="M1786" s="15">
        <v>0</v>
      </c>
      <c r="N1786" s="15">
        <v>0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0</v>
      </c>
      <c r="V1786" s="15">
        <v>0</v>
      </c>
      <c r="W1786" s="15">
        <v>0</v>
      </c>
      <c r="X1786" s="15">
        <v>0</v>
      </c>
      <c r="Y1786" s="15">
        <v>0</v>
      </c>
      <c r="Z1786" s="15">
        <v>0</v>
      </c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</row>
    <row r="1787" spans="1:43">
      <c r="A1787" s="15" t="s">
        <v>49</v>
      </c>
      <c r="B1787" s="15" t="s">
        <v>50</v>
      </c>
      <c r="C1787" s="15" t="s">
        <v>61</v>
      </c>
      <c r="D1787" s="15" t="s">
        <v>4734</v>
      </c>
      <c r="E1787" s="15" t="s">
        <v>4735</v>
      </c>
      <c r="F1787" s="16">
        <v>0</v>
      </c>
      <c r="G1787" s="15" t="s">
        <v>4735</v>
      </c>
      <c r="H1787" s="15" t="s">
        <v>4736</v>
      </c>
      <c r="I1787" s="15">
        <v>0</v>
      </c>
      <c r="J1787" s="15">
        <v>0</v>
      </c>
      <c r="K1787" s="15">
        <v>0</v>
      </c>
      <c r="L1787" s="20">
        <v>0</v>
      </c>
      <c r="M1787" s="15">
        <v>0</v>
      </c>
      <c r="N1787" s="15">
        <v>0</v>
      </c>
      <c r="O1787" s="15">
        <v>0</v>
      </c>
      <c r="P1787" s="15">
        <v>0</v>
      </c>
      <c r="Q1787" s="15">
        <v>0</v>
      </c>
      <c r="R1787" s="15">
        <v>0</v>
      </c>
      <c r="S1787" s="15">
        <v>0</v>
      </c>
      <c r="T1787" s="15">
        <v>0</v>
      </c>
      <c r="U1787" s="15">
        <v>0</v>
      </c>
      <c r="V1787" s="15">
        <v>0</v>
      </c>
      <c r="W1787" s="15">
        <v>0</v>
      </c>
      <c r="X1787" s="15">
        <v>0</v>
      </c>
      <c r="Y1787" s="15">
        <v>0</v>
      </c>
      <c r="Z1787" s="15">
        <v>0</v>
      </c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</row>
    <row r="1788" spans="1:43">
      <c r="A1788" s="15" t="s">
        <v>43</v>
      </c>
      <c r="B1788" s="15" t="s">
        <v>44</v>
      </c>
      <c r="C1788" s="15" t="s">
        <v>45</v>
      </c>
      <c r="D1788" s="15" t="s">
        <v>4737</v>
      </c>
      <c r="E1788" s="15" t="s">
        <v>4738</v>
      </c>
      <c r="F1788" s="16">
        <v>44441.6536226852</v>
      </c>
      <c r="G1788" s="15" t="s">
        <v>4738</v>
      </c>
      <c r="H1788" s="15" t="s">
        <v>54</v>
      </c>
      <c r="I1788" s="15">
        <v>0</v>
      </c>
      <c r="J1788" s="15">
        <v>0</v>
      </c>
      <c r="K1788" s="15">
        <v>0</v>
      </c>
      <c r="L1788" s="20">
        <v>0</v>
      </c>
      <c r="M1788" s="15">
        <v>0</v>
      </c>
      <c r="N1788" s="15">
        <v>0</v>
      </c>
      <c r="O1788" s="15">
        <v>0</v>
      </c>
      <c r="P1788" s="15">
        <v>0</v>
      </c>
      <c r="Q1788" s="15">
        <v>0</v>
      </c>
      <c r="R1788" s="15">
        <v>0</v>
      </c>
      <c r="S1788" s="15">
        <v>0</v>
      </c>
      <c r="T1788" s="15">
        <v>0</v>
      </c>
      <c r="U1788" s="15">
        <v>0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</row>
    <row r="1789" spans="1:43">
      <c r="A1789" s="15" t="s">
        <v>43</v>
      </c>
      <c r="B1789" s="15" t="s">
        <v>44</v>
      </c>
      <c r="C1789" s="15" t="s">
        <v>45</v>
      </c>
      <c r="D1789" s="15" t="s">
        <v>4739</v>
      </c>
      <c r="E1789" s="15" t="s">
        <v>4740</v>
      </c>
      <c r="F1789" s="16">
        <v>41689.7119328704</v>
      </c>
      <c r="G1789" s="15" t="s">
        <v>4740</v>
      </c>
      <c r="H1789" s="15" t="s">
        <v>4741</v>
      </c>
      <c r="I1789" s="15">
        <v>0</v>
      </c>
      <c r="J1789" s="15">
        <v>0</v>
      </c>
      <c r="K1789" s="15">
        <v>0</v>
      </c>
      <c r="L1789" s="20">
        <v>0</v>
      </c>
      <c r="M1789" s="15">
        <v>0</v>
      </c>
      <c r="N1789" s="15">
        <v>0</v>
      </c>
      <c r="O1789" s="15">
        <v>0</v>
      </c>
      <c r="P1789" s="15">
        <v>0</v>
      </c>
      <c r="Q1789" s="15">
        <v>0</v>
      </c>
      <c r="R1789" s="15">
        <v>0</v>
      </c>
      <c r="S1789" s="15">
        <v>0</v>
      </c>
      <c r="T1789" s="15">
        <v>0</v>
      </c>
      <c r="U1789" s="15">
        <v>0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</row>
    <row r="1790" spans="1:43">
      <c r="A1790" s="15" t="s">
        <v>49</v>
      </c>
      <c r="B1790" s="15" t="s">
        <v>50</v>
      </c>
      <c r="C1790" s="15" t="s">
        <v>61</v>
      </c>
      <c r="D1790" s="15" t="s">
        <v>4742</v>
      </c>
      <c r="E1790" s="15" t="s">
        <v>4743</v>
      </c>
      <c r="F1790" s="16">
        <v>0</v>
      </c>
      <c r="G1790" s="15" t="s">
        <v>4743</v>
      </c>
      <c r="H1790" s="15" t="s">
        <v>4744</v>
      </c>
      <c r="I1790" s="15">
        <v>0</v>
      </c>
      <c r="J1790" s="15">
        <v>0</v>
      </c>
      <c r="K1790" s="15">
        <v>0</v>
      </c>
      <c r="L1790" s="20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0</v>
      </c>
      <c r="R1790" s="15">
        <v>0</v>
      </c>
      <c r="S1790" s="15">
        <v>0</v>
      </c>
      <c r="T1790" s="15">
        <v>0</v>
      </c>
      <c r="U1790" s="15">
        <v>0</v>
      </c>
      <c r="V1790" s="15">
        <v>0</v>
      </c>
      <c r="W1790" s="15">
        <v>0</v>
      </c>
      <c r="X1790" s="15">
        <v>0</v>
      </c>
      <c r="Y1790" s="15">
        <v>0</v>
      </c>
      <c r="Z1790" s="15">
        <v>0</v>
      </c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</row>
    <row r="1791" spans="1:43">
      <c r="A1791" s="15" t="s">
        <v>49</v>
      </c>
      <c r="B1791" s="15" t="s">
        <v>50</v>
      </c>
      <c r="C1791" s="15" t="s">
        <v>61</v>
      </c>
      <c r="D1791" s="15" t="s">
        <v>4745</v>
      </c>
      <c r="E1791" s="15" t="s">
        <v>4746</v>
      </c>
      <c r="F1791" s="16">
        <v>0</v>
      </c>
      <c r="G1791" s="15" t="s">
        <v>4746</v>
      </c>
      <c r="H1791" s="15" t="s">
        <v>4747</v>
      </c>
      <c r="I1791" s="15">
        <v>0</v>
      </c>
      <c r="J1791" s="15">
        <v>0</v>
      </c>
      <c r="K1791" s="15">
        <v>0</v>
      </c>
      <c r="L1791" s="20">
        <v>0</v>
      </c>
      <c r="M1791" s="15">
        <v>0</v>
      </c>
      <c r="N1791" s="15">
        <v>0</v>
      </c>
      <c r="O1791" s="15">
        <v>0</v>
      </c>
      <c r="P1791" s="15">
        <v>0</v>
      </c>
      <c r="Q1791" s="15">
        <v>0</v>
      </c>
      <c r="R1791" s="15">
        <v>0</v>
      </c>
      <c r="S1791" s="15">
        <v>0</v>
      </c>
      <c r="T1791" s="15">
        <v>0</v>
      </c>
      <c r="U1791" s="15">
        <v>0</v>
      </c>
      <c r="V1791" s="15">
        <v>0</v>
      </c>
      <c r="W1791" s="15">
        <v>0</v>
      </c>
      <c r="X1791" s="15">
        <v>0</v>
      </c>
      <c r="Y1791" s="15">
        <v>0</v>
      </c>
      <c r="Z1791" s="15">
        <v>0</v>
      </c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</row>
    <row r="1792" spans="1:43">
      <c r="A1792" s="15" t="s">
        <v>49</v>
      </c>
      <c r="B1792" s="15" t="s">
        <v>50</v>
      </c>
      <c r="C1792" s="15" t="s">
        <v>61</v>
      </c>
      <c r="D1792" s="15" t="s">
        <v>4748</v>
      </c>
      <c r="E1792" s="15" t="s">
        <v>4749</v>
      </c>
      <c r="F1792" s="16">
        <v>0</v>
      </c>
      <c r="G1792" s="15" t="s">
        <v>4749</v>
      </c>
      <c r="H1792" s="15" t="s">
        <v>4750</v>
      </c>
      <c r="I1792" s="15">
        <v>0</v>
      </c>
      <c r="J1792" s="15">
        <v>0</v>
      </c>
      <c r="K1792" s="15">
        <v>0</v>
      </c>
      <c r="L1792" s="20">
        <v>0</v>
      </c>
      <c r="M1792" s="15">
        <v>0</v>
      </c>
      <c r="N1792" s="15">
        <v>0</v>
      </c>
      <c r="O1792" s="15">
        <v>0</v>
      </c>
      <c r="P1792" s="15">
        <v>0</v>
      </c>
      <c r="Q1792" s="15">
        <v>0</v>
      </c>
      <c r="R1792" s="15">
        <v>0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0</v>
      </c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</row>
    <row r="1793" spans="1:43">
      <c r="A1793" s="15" t="s">
        <v>43</v>
      </c>
      <c r="B1793" s="15" t="s">
        <v>44</v>
      </c>
      <c r="C1793" s="15" t="s">
        <v>45</v>
      </c>
      <c r="D1793" s="15" t="s">
        <v>4751</v>
      </c>
      <c r="E1793" s="15" t="s">
        <v>4752</v>
      </c>
      <c r="F1793" s="16">
        <v>42726.7013773148</v>
      </c>
      <c r="G1793" s="15" t="s">
        <v>4752</v>
      </c>
      <c r="H1793" s="15" t="s">
        <v>4753</v>
      </c>
      <c r="I1793" s="15">
        <v>0</v>
      </c>
      <c r="J1793" s="15">
        <v>0</v>
      </c>
      <c r="K1793" s="15">
        <v>0</v>
      </c>
      <c r="L1793" s="20">
        <v>0</v>
      </c>
      <c r="M1793" s="15">
        <v>0</v>
      </c>
      <c r="N1793" s="15">
        <v>0</v>
      </c>
      <c r="O1793" s="15">
        <v>0</v>
      </c>
      <c r="P1793" s="15">
        <v>0</v>
      </c>
      <c r="Q1793" s="15">
        <v>0</v>
      </c>
      <c r="R1793" s="15">
        <v>0</v>
      </c>
      <c r="S1793" s="15">
        <v>0</v>
      </c>
      <c r="T1793" s="15">
        <v>0</v>
      </c>
      <c r="U1793" s="15">
        <v>0</v>
      </c>
      <c r="V1793" s="15">
        <v>0</v>
      </c>
      <c r="W1793" s="15">
        <v>0</v>
      </c>
      <c r="X1793" s="15">
        <v>0</v>
      </c>
      <c r="Y1793" s="15">
        <v>0</v>
      </c>
      <c r="Z1793" s="15">
        <v>0</v>
      </c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</row>
    <row r="1794" spans="1:43">
      <c r="A1794" s="15" t="s">
        <v>49</v>
      </c>
      <c r="B1794" s="15" t="s">
        <v>50</v>
      </c>
      <c r="C1794" s="15" t="s">
        <v>61</v>
      </c>
      <c r="D1794" s="15" t="s">
        <v>4754</v>
      </c>
      <c r="E1794" s="15" t="s">
        <v>4755</v>
      </c>
      <c r="F1794" s="16">
        <v>0</v>
      </c>
      <c r="G1794" s="15" t="s">
        <v>4755</v>
      </c>
      <c r="H1794" s="15" t="s">
        <v>4756</v>
      </c>
      <c r="I1794" s="15">
        <v>0</v>
      </c>
      <c r="J1794" s="15">
        <v>0</v>
      </c>
      <c r="K1794" s="15">
        <v>0</v>
      </c>
      <c r="L1794" s="20">
        <v>0</v>
      </c>
      <c r="M1794" s="15">
        <v>0</v>
      </c>
      <c r="N1794" s="15">
        <v>0</v>
      </c>
      <c r="O1794" s="15">
        <v>0</v>
      </c>
      <c r="P1794" s="15">
        <v>0</v>
      </c>
      <c r="Q1794" s="15">
        <v>0</v>
      </c>
      <c r="R1794" s="15">
        <v>0</v>
      </c>
      <c r="S1794" s="15">
        <v>0</v>
      </c>
      <c r="T1794" s="15">
        <v>0</v>
      </c>
      <c r="U1794" s="15">
        <v>0</v>
      </c>
      <c r="V1794" s="15">
        <v>0</v>
      </c>
      <c r="W1794" s="15">
        <v>0</v>
      </c>
      <c r="X1794" s="15">
        <v>0</v>
      </c>
      <c r="Y1794" s="15">
        <v>0</v>
      </c>
      <c r="Z1794" s="15">
        <v>0</v>
      </c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</row>
    <row r="1795" spans="1:43">
      <c r="A1795" s="15" t="s">
        <v>64</v>
      </c>
      <c r="B1795" s="15" t="s">
        <v>118</v>
      </c>
      <c r="C1795" s="15" t="s">
        <v>138</v>
      </c>
      <c r="D1795" s="15" t="s">
        <v>4757</v>
      </c>
      <c r="E1795" s="15" t="s">
        <v>4758</v>
      </c>
      <c r="F1795" s="16">
        <v>44868.6611921296</v>
      </c>
      <c r="G1795" s="15" t="s">
        <v>4758</v>
      </c>
      <c r="H1795" s="15" t="s">
        <v>4759</v>
      </c>
      <c r="I1795" s="15">
        <v>0</v>
      </c>
      <c r="J1795" s="15">
        <v>0</v>
      </c>
      <c r="K1795" s="15">
        <v>0</v>
      </c>
      <c r="L1795" s="20">
        <v>0</v>
      </c>
      <c r="M1795" s="15">
        <v>0</v>
      </c>
      <c r="N1795" s="15">
        <v>0</v>
      </c>
      <c r="O1795" s="15">
        <v>0</v>
      </c>
      <c r="P1795" s="15">
        <v>0</v>
      </c>
      <c r="Q1795" s="15">
        <v>0</v>
      </c>
      <c r="R1795" s="15">
        <v>0</v>
      </c>
      <c r="S1795" s="15">
        <v>0</v>
      </c>
      <c r="T1795" s="15">
        <v>0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</row>
    <row r="1796" spans="1:43">
      <c r="A1796" s="15" t="s">
        <v>49</v>
      </c>
      <c r="B1796" s="15" t="s">
        <v>50</v>
      </c>
      <c r="C1796" s="15" t="s">
        <v>61</v>
      </c>
      <c r="D1796" s="15" t="s">
        <v>4760</v>
      </c>
      <c r="E1796" s="15" t="s">
        <v>4761</v>
      </c>
      <c r="F1796" s="16">
        <v>0</v>
      </c>
      <c r="G1796" s="15" t="s">
        <v>4761</v>
      </c>
      <c r="H1796" s="15" t="s">
        <v>54</v>
      </c>
      <c r="I1796" s="15">
        <v>0</v>
      </c>
      <c r="J1796" s="15">
        <v>0</v>
      </c>
      <c r="K1796" s="15">
        <v>0</v>
      </c>
      <c r="L1796" s="20">
        <v>0</v>
      </c>
      <c r="M1796" s="15">
        <v>0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0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0</v>
      </c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</row>
    <row r="1797" spans="1:43">
      <c r="A1797" s="15" t="s">
        <v>49</v>
      </c>
      <c r="B1797" s="15" t="s">
        <v>50</v>
      </c>
      <c r="C1797" s="15" t="s">
        <v>61</v>
      </c>
      <c r="D1797" s="15" t="s">
        <v>4762</v>
      </c>
      <c r="E1797" s="15" t="s">
        <v>4069</v>
      </c>
      <c r="F1797" s="16">
        <v>0</v>
      </c>
      <c r="G1797" s="15" t="s">
        <v>4069</v>
      </c>
      <c r="H1797" s="15" t="s">
        <v>54</v>
      </c>
      <c r="I1797" s="15">
        <v>0</v>
      </c>
      <c r="J1797" s="15">
        <v>0</v>
      </c>
      <c r="K1797" s="15">
        <v>0</v>
      </c>
      <c r="L1797" s="20">
        <v>0</v>
      </c>
      <c r="M1797" s="15">
        <v>0</v>
      </c>
      <c r="N1797" s="15">
        <v>0</v>
      </c>
      <c r="O1797" s="15">
        <v>0</v>
      </c>
      <c r="P1797" s="15">
        <v>0</v>
      </c>
      <c r="Q1797" s="15">
        <v>0</v>
      </c>
      <c r="R1797" s="15">
        <v>0</v>
      </c>
      <c r="S1797" s="15">
        <v>0</v>
      </c>
      <c r="T1797" s="15">
        <v>0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</row>
    <row r="1798" spans="1:43">
      <c r="A1798" s="15" t="s">
        <v>43</v>
      </c>
      <c r="B1798" s="15" t="s">
        <v>44</v>
      </c>
      <c r="C1798" s="15" t="s">
        <v>45</v>
      </c>
      <c r="D1798" s="15" t="s">
        <v>4763</v>
      </c>
      <c r="E1798" s="15" t="s">
        <v>4764</v>
      </c>
      <c r="F1798" s="16">
        <v>42724.3908796296</v>
      </c>
      <c r="G1798" s="15" t="s">
        <v>4764</v>
      </c>
      <c r="H1798" s="15" t="s">
        <v>4765</v>
      </c>
      <c r="I1798" s="15">
        <v>0</v>
      </c>
      <c r="J1798" s="15">
        <v>0</v>
      </c>
      <c r="K1798" s="15">
        <v>0</v>
      </c>
      <c r="L1798" s="20">
        <v>0</v>
      </c>
      <c r="M1798" s="15">
        <v>0</v>
      </c>
      <c r="N1798" s="15">
        <v>0</v>
      </c>
      <c r="O1798" s="15">
        <v>0</v>
      </c>
      <c r="P1798" s="15">
        <v>0</v>
      </c>
      <c r="Q1798" s="15">
        <v>0</v>
      </c>
      <c r="R1798" s="15">
        <v>0</v>
      </c>
      <c r="S1798" s="15">
        <v>0</v>
      </c>
      <c r="T1798" s="15">
        <v>0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0</v>
      </c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</row>
    <row r="1799" spans="1:43">
      <c r="A1799" s="15" t="s">
        <v>43</v>
      </c>
      <c r="B1799" s="15" t="s">
        <v>44</v>
      </c>
      <c r="C1799" s="15" t="s">
        <v>45</v>
      </c>
      <c r="D1799" s="15" t="s">
        <v>4766</v>
      </c>
      <c r="E1799" s="15" t="s">
        <v>4767</v>
      </c>
      <c r="F1799" s="16">
        <v>43939.3934490741</v>
      </c>
      <c r="G1799" s="15" t="s">
        <v>4767</v>
      </c>
      <c r="H1799" s="15" t="s">
        <v>54</v>
      </c>
      <c r="I1799" s="15">
        <v>0</v>
      </c>
      <c r="J1799" s="15">
        <v>0</v>
      </c>
      <c r="K1799" s="15">
        <v>0</v>
      </c>
      <c r="L1799" s="20">
        <v>0</v>
      </c>
      <c r="M1799" s="15">
        <v>0</v>
      </c>
      <c r="N1799" s="15">
        <v>0</v>
      </c>
      <c r="O1799" s="15">
        <v>0</v>
      </c>
      <c r="P1799" s="15">
        <v>0</v>
      </c>
      <c r="Q1799" s="15">
        <v>0</v>
      </c>
      <c r="R1799" s="15">
        <v>0</v>
      </c>
      <c r="S1799" s="15">
        <v>0</v>
      </c>
      <c r="T1799" s="15">
        <v>0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</row>
    <row r="1800" spans="1:43">
      <c r="A1800" s="15" t="s">
        <v>49</v>
      </c>
      <c r="B1800" s="15" t="s">
        <v>50</v>
      </c>
      <c r="C1800" s="15" t="s">
        <v>61</v>
      </c>
      <c r="D1800" s="15" t="s">
        <v>4768</v>
      </c>
      <c r="E1800" s="15" t="s">
        <v>4769</v>
      </c>
      <c r="F1800" s="16">
        <v>0</v>
      </c>
      <c r="G1800" s="15" t="s">
        <v>4769</v>
      </c>
      <c r="H1800" s="15" t="s">
        <v>54</v>
      </c>
      <c r="I1800" s="15">
        <v>0</v>
      </c>
      <c r="J1800" s="15">
        <v>0</v>
      </c>
      <c r="K1800" s="15">
        <v>0</v>
      </c>
      <c r="L1800" s="20">
        <v>0</v>
      </c>
      <c r="M1800" s="15">
        <v>0</v>
      </c>
      <c r="N1800" s="15">
        <v>0</v>
      </c>
      <c r="O1800" s="15">
        <v>0</v>
      </c>
      <c r="P1800" s="15">
        <v>0</v>
      </c>
      <c r="Q1800" s="15">
        <v>0</v>
      </c>
      <c r="R1800" s="15">
        <v>0</v>
      </c>
      <c r="S1800" s="15">
        <v>0</v>
      </c>
      <c r="T1800" s="15">
        <v>0</v>
      </c>
      <c r="U1800" s="15">
        <v>0</v>
      </c>
      <c r="V1800" s="15">
        <v>0</v>
      </c>
      <c r="W1800" s="15">
        <v>0</v>
      </c>
      <c r="X1800" s="15">
        <v>0</v>
      </c>
      <c r="Y1800" s="15">
        <v>0</v>
      </c>
      <c r="Z1800" s="15">
        <v>0</v>
      </c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</row>
    <row r="1801" spans="1:43">
      <c r="A1801" s="15" t="s">
        <v>43</v>
      </c>
      <c r="B1801" s="15" t="s">
        <v>44</v>
      </c>
      <c r="C1801" s="15" t="s">
        <v>45</v>
      </c>
      <c r="D1801" s="15" t="s">
        <v>4770</v>
      </c>
      <c r="E1801" s="15" t="s">
        <v>4771</v>
      </c>
      <c r="F1801" s="16">
        <v>42875.4309722222</v>
      </c>
      <c r="G1801" s="15" t="s">
        <v>4771</v>
      </c>
      <c r="H1801" s="15" t="s">
        <v>4772</v>
      </c>
      <c r="I1801" s="15">
        <v>0</v>
      </c>
      <c r="J1801" s="15">
        <v>0</v>
      </c>
      <c r="K1801" s="15">
        <v>0</v>
      </c>
      <c r="L1801" s="20">
        <v>0</v>
      </c>
      <c r="M1801" s="15">
        <v>0</v>
      </c>
      <c r="N1801" s="15">
        <v>0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5">
        <v>0</v>
      </c>
      <c r="W1801" s="15">
        <v>0</v>
      </c>
      <c r="X1801" s="15">
        <v>0</v>
      </c>
      <c r="Y1801" s="15">
        <v>0</v>
      </c>
      <c r="Z1801" s="15">
        <v>0</v>
      </c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</row>
    <row r="1802" spans="1:43">
      <c r="A1802" s="15" t="s">
        <v>49</v>
      </c>
      <c r="B1802" s="15" t="s">
        <v>50</v>
      </c>
      <c r="C1802" s="15" t="s">
        <v>61</v>
      </c>
      <c r="D1802" s="15" t="s">
        <v>4773</v>
      </c>
      <c r="E1802" s="15" t="s">
        <v>4774</v>
      </c>
      <c r="F1802" s="16">
        <v>0</v>
      </c>
      <c r="G1802" s="15" t="s">
        <v>4774</v>
      </c>
      <c r="H1802" s="15" t="s">
        <v>54</v>
      </c>
      <c r="I1802" s="15">
        <v>0</v>
      </c>
      <c r="J1802" s="15">
        <v>0</v>
      </c>
      <c r="K1802" s="15">
        <v>0</v>
      </c>
      <c r="L1802" s="20">
        <v>0</v>
      </c>
      <c r="M1802" s="15">
        <v>0</v>
      </c>
      <c r="N1802" s="15">
        <v>0</v>
      </c>
      <c r="O1802" s="15">
        <v>0</v>
      </c>
      <c r="P1802" s="15">
        <v>0</v>
      </c>
      <c r="Q1802" s="15">
        <v>0</v>
      </c>
      <c r="R1802" s="15">
        <v>0</v>
      </c>
      <c r="S1802" s="15">
        <v>0</v>
      </c>
      <c r="T1802" s="15">
        <v>0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0</v>
      </c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</row>
    <row r="1803" spans="1:43">
      <c r="A1803" s="15" t="s">
        <v>49</v>
      </c>
      <c r="B1803" s="15" t="s">
        <v>50</v>
      </c>
      <c r="C1803" s="15" t="s">
        <v>61</v>
      </c>
      <c r="D1803" s="15" t="s">
        <v>4775</v>
      </c>
      <c r="E1803" s="15" t="s">
        <v>4776</v>
      </c>
      <c r="F1803" s="16">
        <v>0</v>
      </c>
      <c r="G1803" s="15" t="s">
        <v>4776</v>
      </c>
      <c r="H1803" s="15" t="s">
        <v>4777</v>
      </c>
      <c r="I1803" s="15">
        <v>0</v>
      </c>
      <c r="J1803" s="15">
        <v>0</v>
      </c>
      <c r="K1803" s="15">
        <v>0</v>
      </c>
      <c r="L1803" s="20">
        <v>0</v>
      </c>
      <c r="M1803" s="15">
        <v>0</v>
      </c>
      <c r="N1803" s="15">
        <v>0</v>
      </c>
      <c r="O1803" s="15">
        <v>0</v>
      </c>
      <c r="P1803" s="15">
        <v>0</v>
      </c>
      <c r="Q1803" s="15">
        <v>0</v>
      </c>
      <c r="R1803" s="15">
        <v>0</v>
      </c>
      <c r="S1803" s="15">
        <v>0</v>
      </c>
      <c r="T1803" s="15">
        <v>0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</row>
    <row r="1804" spans="1:43">
      <c r="A1804" s="15" t="s">
        <v>49</v>
      </c>
      <c r="B1804" s="15" t="s">
        <v>50</v>
      </c>
      <c r="C1804" s="15" t="s">
        <v>61</v>
      </c>
      <c r="D1804" s="15" t="s">
        <v>4778</v>
      </c>
      <c r="E1804" s="15" t="s">
        <v>4779</v>
      </c>
      <c r="F1804" s="16">
        <v>0</v>
      </c>
      <c r="G1804" s="15" t="s">
        <v>4779</v>
      </c>
      <c r="H1804" s="15" t="s">
        <v>4780</v>
      </c>
      <c r="I1804" s="15">
        <v>0</v>
      </c>
      <c r="J1804" s="15">
        <v>0</v>
      </c>
      <c r="K1804" s="15">
        <v>0</v>
      </c>
      <c r="L1804" s="20">
        <v>0</v>
      </c>
      <c r="M1804" s="15">
        <v>0</v>
      </c>
      <c r="N1804" s="15">
        <v>0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0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0</v>
      </c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</row>
    <row r="1805" spans="1:43">
      <c r="A1805" s="15" t="s">
        <v>49</v>
      </c>
      <c r="B1805" s="15" t="s">
        <v>50</v>
      </c>
      <c r="C1805" s="15" t="s">
        <v>61</v>
      </c>
      <c r="D1805" s="15" t="s">
        <v>4781</v>
      </c>
      <c r="E1805" s="15" t="s">
        <v>4782</v>
      </c>
      <c r="F1805" s="16">
        <v>0</v>
      </c>
      <c r="G1805" s="15" t="s">
        <v>4782</v>
      </c>
      <c r="H1805" s="15" t="s">
        <v>4783</v>
      </c>
      <c r="I1805" s="15">
        <v>0</v>
      </c>
      <c r="J1805" s="15">
        <v>0</v>
      </c>
      <c r="K1805" s="15">
        <v>0</v>
      </c>
      <c r="L1805" s="20">
        <v>0</v>
      </c>
      <c r="M1805" s="15">
        <v>0</v>
      </c>
      <c r="N1805" s="15">
        <v>0</v>
      </c>
      <c r="O1805" s="15">
        <v>0</v>
      </c>
      <c r="P1805" s="15">
        <v>0</v>
      </c>
      <c r="Q1805" s="15">
        <v>0</v>
      </c>
      <c r="R1805" s="15">
        <v>0</v>
      </c>
      <c r="S1805" s="15">
        <v>0</v>
      </c>
      <c r="T1805" s="15">
        <v>0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0</v>
      </c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</row>
    <row r="1806" spans="1:43">
      <c r="A1806" s="15" t="s">
        <v>43</v>
      </c>
      <c r="B1806" s="15" t="s">
        <v>44</v>
      </c>
      <c r="C1806" s="15" t="s">
        <v>653</v>
      </c>
      <c r="D1806" s="15" t="s">
        <v>4784</v>
      </c>
      <c r="E1806" s="15" t="s">
        <v>4785</v>
      </c>
      <c r="F1806" s="16">
        <v>40967.4687152778</v>
      </c>
      <c r="G1806" s="15" t="s">
        <v>4785</v>
      </c>
      <c r="H1806" s="15" t="s">
        <v>4786</v>
      </c>
      <c r="I1806" s="15">
        <v>0</v>
      </c>
      <c r="J1806" s="15">
        <v>0</v>
      </c>
      <c r="K1806" s="15">
        <v>0</v>
      </c>
      <c r="L1806" s="20">
        <v>0</v>
      </c>
      <c r="M1806" s="15">
        <v>0</v>
      </c>
      <c r="N1806" s="15">
        <v>0</v>
      </c>
      <c r="O1806" s="15">
        <v>0</v>
      </c>
      <c r="P1806" s="15">
        <v>0</v>
      </c>
      <c r="Q1806" s="15">
        <v>0</v>
      </c>
      <c r="R1806" s="15">
        <v>0</v>
      </c>
      <c r="S1806" s="15">
        <v>0</v>
      </c>
      <c r="T1806" s="15">
        <v>0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0</v>
      </c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</row>
    <row r="1807" spans="1:43">
      <c r="A1807" s="15" t="s">
        <v>49</v>
      </c>
      <c r="B1807" s="15" t="s">
        <v>50</v>
      </c>
      <c r="C1807" s="15" t="s">
        <v>61</v>
      </c>
      <c r="D1807" s="15" t="s">
        <v>4787</v>
      </c>
      <c r="E1807" s="15" t="s">
        <v>1443</v>
      </c>
      <c r="F1807" s="16">
        <v>0</v>
      </c>
      <c r="G1807" s="15" t="s">
        <v>1443</v>
      </c>
      <c r="H1807" s="15" t="s">
        <v>4788</v>
      </c>
      <c r="I1807" s="15">
        <v>0</v>
      </c>
      <c r="J1807" s="15">
        <v>0</v>
      </c>
      <c r="K1807" s="15">
        <v>0</v>
      </c>
      <c r="L1807" s="20">
        <v>0</v>
      </c>
      <c r="M1807" s="15">
        <v>0</v>
      </c>
      <c r="N1807" s="15">
        <v>0</v>
      </c>
      <c r="O1807" s="15">
        <v>0</v>
      </c>
      <c r="P1807" s="15">
        <v>0</v>
      </c>
      <c r="Q1807" s="15">
        <v>0</v>
      </c>
      <c r="R1807" s="15">
        <v>0</v>
      </c>
      <c r="S1807" s="15">
        <v>0</v>
      </c>
      <c r="T1807" s="15">
        <v>0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</row>
    <row r="1808" spans="1:43">
      <c r="A1808" s="15" t="s">
        <v>43</v>
      </c>
      <c r="B1808" s="15" t="s">
        <v>44</v>
      </c>
      <c r="C1808" s="15" t="s">
        <v>45</v>
      </c>
      <c r="D1808" s="15" t="s">
        <v>4789</v>
      </c>
      <c r="E1808" s="15" t="s">
        <v>4790</v>
      </c>
      <c r="F1808" s="16">
        <v>42367.6026851852</v>
      </c>
      <c r="G1808" s="15" t="s">
        <v>4790</v>
      </c>
      <c r="H1808" s="15" t="s">
        <v>4791</v>
      </c>
      <c r="I1808" s="15">
        <v>0</v>
      </c>
      <c r="J1808" s="15">
        <v>0</v>
      </c>
      <c r="K1808" s="15">
        <v>0</v>
      </c>
      <c r="L1808" s="20">
        <v>0</v>
      </c>
      <c r="M1808" s="15">
        <v>0</v>
      </c>
      <c r="N1808" s="15">
        <v>0</v>
      </c>
      <c r="O1808" s="15">
        <v>0</v>
      </c>
      <c r="P1808" s="15">
        <v>0</v>
      </c>
      <c r="Q1808" s="15">
        <v>0</v>
      </c>
      <c r="R1808" s="15">
        <v>0</v>
      </c>
      <c r="S1808" s="15">
        <v>0</v>
      </c>
      <c r="T1808" s="15">
        <v>0</v>
      </c>
      <c r="U1808" s="15">
        <v>0</v>
      </c>
      <c r="V1808" s="15">
        <v>0</v>
      </c>
      <c r="W1808" s="15">
        <v>0</v>
      </c>
      <c r="X1808" s="15">
        <v>0</v>
      </c>
      <c r="Y1808" s="15">
        <v>0</v>
      </c>
      <c r="Z1808" s="15">
        <v>0</v>
      </c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</row>
    <row r="1809" spans="1:43">
      <c r="A1809" s="15" t="s">
        <v>43</v>
      </c>
      <c r="B1809" s="15" t="s">
        <v>44</v>
      </c>
      <c r="C1809" s="15" t="s">
        <v>45</v>
      </c>
      <c r="D1809" s="15" t="s">
        <v>4792</v>
      </c>
      <c r="E1809" s="15" t="s">
        <v>4793</v>
      </c>
      <c r="F1809" s="16">
        <v>41922.6094560185</v>
      </c>
      <c r="G1809" s="15" t="s">
        <v>4793</v>
      </c>
      <c r="H1809" s="15" t="s">
        <v>4794</v>
      </c>
      <c r="I1809" s="15">
        <v>0</v>
      </c>
      <c r="J1809" s="15">
        <v>0</v>
      </c>
      <c r="K1809" s="15">
        <v>0</v>
      </c>
      <c r="L1809" s="20">
        <v>0</v>
      </c>
      <c r="M1809" s="15">
        <v>0</v>
      </c>
      <c r="N1809" s="15">
        <v>0</v>
      </c>
      <c r="O1809" s="15">
        <v>0</v>
      </c>
      <c r="P1809" s="15">
        <v>0</v>
      </c>
      <c r="Q1809" s="15">
        <v>0</v>
      </c>
      <c r="R1809" s="15">
        <v>0</v>
      </c>
      <c r="S1809" s="15">
        <v>0</v>
      </c>
      <c r="T1809" s="15">
        <v>0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</row>
    <row r="1810" spans="1:43">
      <c r="A1810" s="15" t="s">
        <v>43</v>
      </c>
      <c r="B1810" s="15" t="s">
        <v>44</v>
      </c>
      <c r="C1810" s="15" t="s">
        <v>45</v>
      </c>
      <c r="D1810" s="15" t="s">
        <v>4795</v>
      </c>
      <c r="E1810" s="15" t="s">
        <v>4796</v>
      </c>
      <c r="F1810" s="16">
        <v>42079.6234606481</v>
      </c>
      <c r="G1810" s="15" t="s">
        <v>4796</v>
      </c>
      <c r="H1810" s="15" t="s">
        <v>4797</v>
      </c>
      <c r="I1810" s="15">
        <v>0</v>
      </c>
      <c r="J1810" s="15">
        <v>0</v>
      </c>
      <c r="K1810" s="15">
        <v>0</v>
      </c>
      <c r="L1810" s="20">
        <v>0</v>
      </c>
      <c r="M1810" s="15">
        <v>0</v>
      </c>
      <c r="N1810" s="15">
        <v>0</v>
      </c>
      <c r="O1810" s="15">
        <v>0</v>
      </c>
      <c r="P1810" s="15">
        <v>0</v>
      </c>
      <c r="Q1810" s="15">
        <v>0</v>
      </c>
      <c r="R1810" s="15">
        <v>0</v>
      </c>
      <c r="S1810" s="15">
        <v>0</v>
      </c>
      <c r="T1810" s="15">
        <v>0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</row>
    <row r="1811" spans="1:43">
      <c r="A1811" s="15" t="s">
        <v>49</v>
      </c>
      <c r="B1811" s="15" t="s">
        <v>50</v>
      </c>
      <c r="C1811" s="15" t="s">
        <v>61</v>
      </c>
      <c r="D1811" s="15" t="s">
        <v>4798</v>
      </c>
      <c r="E1811" s="15" t="s">
        <v>4799</v>
      </c>
      <c r="F1811" s="16">
        <v>0</v>
      </c>
      <c r="G1811" s="15" t="s">
        <v>4799</v>
      </c>
      <c r="H1811" s="15" t="s">
        <v>54</v>
      </c>
      <c r="I1811" s="15">
        <v>0</v>
      </c>
      <c r="J1811" s="15">
        <v>0</v>
      </c>
      <c r="K1811" s="15">
        <v>0</v>
      </c>
      <c r="L1811" s="20">
        <v>0</v>
      </c>
      <c r="M1811" s="15">
        <v>0</v>
      </c>
      <c r="N1811" s="15">
        <v>0</v>
      </c>
      <c r="O1811" s="15">
        <v>0</v>
      </c>
      <c r="P1811" s="15">
        <v>0</v>
      </c>
      <c r="Q1811" s="15">
        <v>0</v>
      </c>
      <c r="R1811" s="15">
        <v>0</v>
      </c>
      <c r="S1811" s="15">
        <v>0</v>
      </c>
      <c r="T1811" s="15">
        <v>0</v>
      </c>
      <c r="U1811" s="15">
        <v>0</v>
      </c>
      <c r="V1811" s="15">
        <v>0</v>
      </c>
      <c r="W1811" s="15">
        <v>0</v>
      </c>
      <c r="X1811" s="15">
        <v>0</v>
      </c>
      <c r="Y1811" s="15">
        <v>0</v>
      </c>
      <c r="Z1811" s="15">
        <v>0</v>
      </c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</row>
    <row r="1812" spans="1:43">
      <c r="A1812" s="15" t="s">
        <v>49</v>
      </c>
      <c r="B1812" s="15" t="s">
        <v>50</v>
      </c>
      <c r="C1812" s="15" t="s">
        <v>61</v>
      </c>
      <c r="D1812" s="15" t="s">
        <v>4800</v>
      </c>
      <c r="E1812" s="15" t="s">
        <v>2856</v>
      </c>
      <c r="F1812" s="16">
        <v>0</v>
      </c>
      <c r="G1812" s="15" t="s">
        <v>2856</v>
      </c>
      <c r="H1812" s="15" t="s">
        <v>54</v>
      </c>
      <c r="I1812" s="15">
        <v>0</v>
      </c>
      <c r="J1812" s="15">
        <v>0</v>
      </c>
      <c r="K1812" s="15">
        <v>0</v>
      </c>
      <c r="L1812" s="20">
        <v>0</v>
      </c>
      <c r="M1812" s="15">
        <v>0</v>
      </c>
      <c r="N1812" s="15">
        <v>0</v>
      </c>
      <c r="O1812" s="15">
        <v>0</v>
      </c>
      <c r="P1812" s="15">
        <v>0</v>
      </c>
      <c r="Q1812" s="15">
        <v>0</v>
      </c>
      <c r="R1812" s="15">
        <v>0</v>
      </c>
      <c r="S1812" s="15">
        <v>0</v>
      </c>
      <c r="T1812" s="15">
        <v>0</v>
      </c>
      <c r="U1812" s="15">
        <v>0</v>
      </c>
      <c r="V1812" s="15">
        <v>0</v>
      </c>
      <c r="W1812" s="15">
        <v>0</v>
      </c>
      <c r="X1812" s="15">
        <v>0</v>
      </c>
      <c r="Y1812" s="15">
        <v>0</v>
      </c>
      <c r="Z1812" s="15">
        <v>0</v>
      </c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</row>
    <row r="1813" spans="1:43">
      <c r="A1813" s="15" t="s">
        <v>43</v>
      </c>
      <c r="B1813" s="15" t="s">
        <v>44</v>
      </c>
      <c r="C1813" s="15" t="s">
        <v>45</v>
      </c>
      <c r="D1813" s="15" t="s">
        <v>4801</v>
      </c>
      <c r="E1813" s="15" t="s">
        <v>4802</v>
      </c>
      <c r="F1813" s="16">
        <v>41169.704849537</v>
      </c>
      <c r="G1813" s="15" t="s">
        <v>4802</v>
      </c>
      <c r="H1813" s="15" t="s">
        <v>4803</v>
      </c>
      <c r="I1813" s="15">
        <v>0</v>
      </c>
      <c r="J1813" s="15">
        <v>0</v>
      </c>
      <c r="K1813" s="15">
        <v>0</v>
      </c>
      <c r="L1813" s="20">
        <v>0</v>
      </c>
      <c r="M1813" s="15">
        <v>0</v>
      </c>
      <c r="N1813" s="15">
        <v>0</v>
      </c>
      <c r="O1813" s="15">
        <v>0</v>
      </c>
      <c r="P1813" s="15">
        <v>0</v>
      </c>
      <c r="Q1813" s="15">
        <v>0</v>
      </c>
      <c r="R1813" s="15">
        <v>0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</row>
    <row r="1814" spans="1:43">
      <c r="A1814" s="15" t="s">
        <v>43</v>
      </c>
      <c r="B1814" s="15" t="s">
        <v>44</v>
      </c>
      <c r="C1814" s="15" t="s">
        <v>45</v>
      </c>
      <c r="D1814" s="15" t="s">
        <v>4804</v>
      </c>
      <c r="E1814" s="15" t="s">
        <v>4805</v>
      </c>
      <c r="F1814" s="16">
        <v>44354.692037037</v>
      </c>
      <c r="G1814" s="15" t="s">
        <v>4805</v>
      </c>
      <c r="H1814" s="15" t="s">
        <v>54</v>
      </c>
      <c r="I1814" s="15">
        <v>0</v>
      </c>
      <c r="J1814" s="15">
        <v>0</v>
      </c>
      <c r="K1814" s="15">
        <v>0</v>
      </c>
      <c r="L1814" s="20">
        <v>0</v>
      </c>
      <c r="M1814" s="15">
        <v>0</v>
      </c>
      <c r="N1814" s="15">
        <v>0</v>
      </c>
      <c r="O1814" s="15">
        <v>0</v>
      </c>
      <c r="P1814" s="15">
        <v>0</v>
      </c>
      <c r="Q1814" s="15">
        <v>0</v>
      </c>
      <c r="R1814" s="15">
        <v>0</v>
      </c>
      <c r="S1814" s="15">
        <v>0</v>
      </c>
      <c r="T1814" s="15">
        <v>0</v>
      </c>
      <c r="U1814" s="15">
        <v>0</v>
      </c>
      <c r="V1814" s="15">
        <v>0</v>
      </c>
      <c r="W1814" s="15">
        <v>0</v>
      </c>
      <c r="X1814" s="15">
        <v>0</v>
      </c>
      <c r="Y1814" s="15">
        <v>0</v>
      </c>
      <c r="Z1814" s="15">
        <v>0</v>
      </c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</row>
    <row r="1815" spans="1:43">
      <c r="A1815" s="15" t="s">
        <v>49</v>
      </c>
      <c r="B1815" s="15" t="s">
        <v>50</v>
      </c>
      <c r="C1815" s="15" t="s">
        <v>75</v>
      </c>
      <c r="D1815" s="15" t="s">
        <v>4806</v>
      </c>
      <c r="E1815" s="15" t="s">
        <v>4807</v>
      </c>
      <c r="F1815" s="16">
        <v>44413.6226041667</v>
      </c>
      <c r="G1815" s="15" t="s">
        <v>4807</v>
      </c>
      <c r="H1815" s="15" t="s">
        <v>4808</v>
      </c>
      <c r="I1815" s="15">
        <v>42.97</v>
      </c>
      <c r="J1815" s="15">
        <v>7</v>
      </c>
      <c r="K1815" s="15">
        <v>6.13857142857143</v>
      </c>
      <c r="L1815" s="20">
        <v>0.122771428571429</v>
      </c>
      <c r="M1815" s="15">
        <v>6.22</v>
      </c>
      <c r="N1815" s="15">
        <v>11.6</v>
      </c>
      <c r="O1815" s="15">
        <v>0.1</v>
      </c>
      <c r="P1815" s="15">
        <v>0</v>
      </c>
      <c r="Q1815" s="15">
        <v>0</v>
      </c>
      <c r="R1815" s="15">
        <v>0</v>
      </c>
      <c r="S1815" s="15">
        <v>0</v>
      </c>
      <c r="T1815" s="15">
        <v>5.94</v>
      </c>
      <c r="U1815" s="15">
        <v>13.34</v>
      </c>
      <c r="V1815" s="15">
        <v>5.67</v>
      </c>
      <c r="W1815" s="15">
        <v>0</v>
      </c>
      <c r="X1815" s="15">
        <v>0</v>
      </c>
      <c r="Y1815" s="15">
        <v>0</v>
      </c>
      <c r="Z1815" s="15">
        <v>0.1</v>
      </c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</row>
    <row r="1816" spans="1:43">
      <c r="A1816" s="15" t="s">
        <v>49</v>
      </c>
      <c r="B1816" s="15" t="s">
        <v>50</v>
      </c>
      <c r="C1816" s="15" t="s">
        <v>61</v>
      </c>
      <c r="D1816" s="15" t="s">
        <v>4809</v>
      </c>
      <c r="E1816" s="15" t="s">
        <v>4810</v>
      </c>
      <c r="F1816" s="16">
        <v>0</v>
      </c>
      <c r="G1816" s="15" t="s">
        <v>4810</v>
      </c>
      <c r="H1816" s="15" t="s">
        <v>4811</v>
      </c>
      <c r="I1816" s="15">
        <v>0</v>
      </c>
      <c r="J1816" s="15">
        <v>0</v>
      </c>
      <c r="K1816" s="15">
        <v>0</v>
      </c>
      <c r="L1816" s="20">
        <v>0</v>
      </c>
      <c r="M1816" s="15">
        <v>0</v>
      </c>
      <c r="N1816" s="15">
        <v>0</v>
      </c>
      <c r="O1816" s="15">
        <v>0</v>
      </c>
      <c r="P1816" s="15">
        <v>0</v>
      </c>
      <c r="Q1816" s="15">
        <v>0</v>
      </c>
      <c r="R1816" s="15">
        <v>0</v>
      </c>
      <c r="S1816" s="15">
        <v>0</v>
      </c>
      <c r="T1816" s="15">
        <v>0</v>
      </c>
      <c r="U1816" s="15">
        <v>0</v>
      </c>
      <c r="V1816" s="15">
        <v>0</v>
      </c>
      <c r="W1816" s="15">
        <v>0</v>
      </c>
      <c r="X1816" s="15">
        <v>0</v>
      </c>
      <c r="Y1816" s="15">
        <v>0</v>
      </c>
      <c r="Z1816" s="15">
        <v>0</v>
      </c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</row>
    <row r="1817" spans="1:43">
      <c r="A1817" s="15" t="s">
        <v>49</v>
      </c>
      <c r="B1817" s="15" t="s">
        <v>50</v>
      </c>
      <c r="C1817" s="15" t="s">
        <v>301</v>
      </c>
      <c r="D1817" s="15" t="s">
        <v>4812</v>
      </c>
      <c r="E1817" s="15" t="s">
        <v>4813</v>
      </c>
      <c r="F1817" s="16">
        <v>45121.4497453704</v>
      </c>
      <c r="G1817" s="15" t="s">
        <v>4813</v>
      </c>
      <c r="H1817" s="15" t="s">
        <v>54</v>
      </c>
      <c r="I1817" s="15">
        <v>691.02</v>
      </c>
      <c r="J1817" s="15">
        <v>5</v>
      </c>
      <c r="K1817" s="15">
        <v>138.204</v>
      </c>
      <c r="L1817" s="20">
        <v>2.76408</v>
      </c>
      <c r="M1817" s="15">
        <v>104.61</v>
      </c>
      <c r="N1817" s="15">
        <v>154.6</v>
      </c>
      <c r="O1817" s="15">
        <v>151.9</v>
      </c>
      <c r="P1817" s="15">
        <v>158.71</v>
      </c>
      <c r="Q1817" s="15">
        <v>121.2</v>
      </c>
      <c r="R1817" s="15">
        <v>0</v>
      </c>
      <c r="S1817" s="15">
        <v>0</v>
      </c>
      <c r="T1817" s="15">
        <v>0</v>
      </c>
      <c r="U1817" s="15">
        <v>0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</row>
    <row r="1818" spans="1:43">
      <c r="A1818" s="15" t="s">
        <v>43</v>
      </c>
      <c r="B1818" s="15" t="s">
        <v>44</v>
      </c>
      <c r="C1818" s="15" t="s">
        <v>45</v>
      </c>
      <c r="D1818" s="15" t="s">
        <v>4814</v>
      </c>
      <c r="E1818" s="15" t="s">
        <v>4815</v>
      </c>
      <c r="F1818" s="16">
        <v>41796.4369328704</v>
      </c>
      <c r="G1818" s="15" t="s">
        <v>4815</v>
      </c>
      <c r="H1818" s="15" t="s">
        <v>4816</v>
      </c>
      <c r="I1818" s="15">
        <v>0</v>
      </c>
      <c r="J1818" s="15">
        <v>0</v>
      </c>
      <c r="K1818" s="15">
        <v>0</v>
      </c>
      <c r="L1818" s="20">
        <v>0</v>
      </c>
      <c r="M1818" s="15">
        <v>0</v>
      </c>
      <c r="N1818" s="15">
        <v>0</v>
      </c>
      <c r="O1818" s="15">
        <v>0</v>
      </c>
      <c r="P1818" s="15">
        <v>0</v>
      </c>
      <c r="Q1818" s="15">
        <v>0</v>
      </c>
      <c r="R1818" s="15">
        <v>0</v>
      </c>
      <c r="S1818" s="15">
        <v>0</v>
      </c>
      <c r="T1818" s="15">
        <v>0</v>
      </c>
      <c r="U1818" s="15">
        <v>0</v>
      </c>
      <c r="V1818" s="15">
        <v>0</v>
      </c>
      <c r="W1818" s="15">
        <v>0</v>
      </c>
      <c r="X1818" s="15">
        <v>0</v>
      </c>
      <c r="Y1818" s="15">
        <v>0</v>
      </c>
      <c r="Z1818" s="15">
        <v>0</v>
      </c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</row>
    <row r="1819" spans="1:43">
      <c r="A1819" s="15" t="s">
        <v>49</v>
      </c>
      <c r="B1819" s="15" t="s">
        <v>50</v>
      </c>
      <c r="C1819" s="15" t="s">
        <v>61</v>
      </c>
      <c r="D1819" s="15" t="s">
        <v>4817</v>
      </c>
      <c r="E1819" s="15" t="s">
        <v>4818</v>
      </c>
      <c r="F1819" s="16">
        <v>0</v>
      </c>
      <c r="G1819" s="15" t="s">
        <v>4818</v>
      </c>
      <c r="H1819" s="15" t="s">
        <v>54</v>
      </c>
      <c r="I1819" s="15">
        <v>0</v>
      </c>
      <c r="J1819" s="15">
        <v>0</v>
      </c>
      <c r="K1819" s="15">
        <v>0</v>
      </c>
      <c r="L1819" s="20">
        <v>0</v>
      </c>
      <c r="M1819" s="15">
        <v>0</v>
      </c>
      <c r="N1819" s="15">
        <v>0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5">
        <v>0</v>
      </c>
      <c r="W1819" s="15">
        <v>0</v>
      </c>
      <c r="X1819" s="15">
        <v>0</v>
      </c>
      <c r="Y1819" s="15">
        <v>0</v>
      </c>
      <c r="Z1819" s="15">
        <v>0</v>
      </c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</row>
    <row r="1820" spans="1:43">
      <c r="A1820" s="15" t="s">
        <v>49</v>
      </c>
      <c r="B1820" s="15" t="s">
        <v>50</v>
      </c>
      <c r="C1820" s="15" t="s">
        <v>61</v>
      </c>
      <c r="D1820" s="15" t="s">
        <v>4819</v>
      </c>
      <c r="E1820" s="15" t="s">
        <v>4820</v>
      </c>
      <c r="F1820" s="16">
        <v>0</v>
      </c>
      <c r="G1820" s="15" t="s">
        <v>4820</v>
      </c>
      <c r="H1820" s="15" t="s">
        <v>54</v>
      </c>
      <c r="I1820" s="15">
        <v>0</v>
      </c>
      <c r="J1820" s="15">
        <v>0</v>
      </c>
      <c r="K1820" s="15">
        <v>0</v>
      </c>
      <c r="L1820" s="20">
        <v>0</v>
      </c>
      <c r="M1820" s="15">
        <v>0</v>
      </c>
      <c r="N1820" s="15">
        <v>0</v>
      </c>
      <c r="O1820" s="15">
        <v>0</v>
      </c>
      <c r="P1820" s="15">
        <v>0</v>
      </c>
      <c r="Q1820" s="15">
        <v>0</v>
      </c>
      <c r="R1820" s="15">
        <v>0</v>
      </c>
      <c r="S1820" s="15">
        <v>0</v>
      </c>
      <c r="T1820" s="15">
        <v>0</v>
      </c>
      <c r="U1820" s="15">
        <v>0</v>
      </c>
      <c r="V1820" s="15">
        <v>0</v>
      </c>
      <c r="W1820" s="15">
        <v>0</v>
      </c>
      <c r="X1820" s="15">
        <v>0</v>
      </c>
      <c r="Y1820" s="15">
        <v>0</v>
      </c>
      <c r="Z1820" s="15">
        <v>0</v>
      </c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</row>
    <row r="1821" spans="1:43">
      <c r="A1821" s="15" t="s">
        <v>49</v>
      </c>
      <c r="B1821" s="15" t="s">
        <v>50</v>
      </c>
      <c r="C1821" s="15" t="s">
        <v>61</v>
      </c>
      <c r="D1821" s="15" t="s">
        <v>4821</v>
      </c>
      <c r="E1821" s="15" t="s">
        <v>4822</v>
      </c>
      <c r="F1821" s="16">
        <v>0</v>
      </c>
      <c r="G1821" s="15" t="s">
        <v>4822</v>
      </c>
      <c r="H1821" s="15" t="s">
        <v>54</v>
      </c>
      <c r="I1821" s="15">
        <v>0</v>
      </c>
      <c r="J1821" s="15">
        <v>0</v>
      </c>
      <c r="K1821" s="15">
        <v>0</v>
      </c>
      <c r="L1821" s="20">
        <v>0</v>
      </c>
      <c r="M1821" s="15">
        <v>0</v>
      </c>
      <c r="N1821" s="15">
        <v>0</v>
      </c>
      <c r="O1821" s="15">
        <v>0</v>
      </c>
      <c r="P1821" s="15">
        <v>0</v>
      </c>
      <c r="Q1821" s="15">
        <v>0</v>
      </c>
      <c r="R1821" s="15">
        <v>0</v>
      </c>
      <c r="S1821" s="15">
        <v>0</v>
      </c>
      <c r="T1821" s="15">
        <v>0</v>
      </c>
      <c r="U1821" s="15">
        <v>0</v>
      </c>
      <c r="V1821" s="15">
        <v>0</v>
      </c>
      <c r="W1821" s="15">
        <v>0</v>
      </c>
      <c r="X1821" s="15">
        <v>0</v>
      </c>
      <c r="Y1821" s="15">
        <v>0</v>
      </c>
      <c r="Z1821" s="15">
        <v>0</v>
      </c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</row>
    <row r="1822" spans="1:43">
      <c r="A1822" s="15" t="s">
        <v>43</v>
      </c>
      <c r="B1822" s="15" t="s">
        <v>44</v>
      </c>
      <c r="C1822" s="15" t="s">
        <v>45</v>
      </c>
      <c r="D1822" s="15" t="s">
        <v>4823</v>
      </c>
      <c r="E1822" s="15" t="s">
        <v>4824</v>
      </c>
      <c r="F1822" s="16">
        <v>42873.3656597222</v>
      </c>
      <c r="G1822" s="15" t="s">
        <v>4824</v>
      </c>
      <c r="H1822" s="15" t="s">
        <v>4825</v>
      </c>
      <c r="I1822" s="15">
        <v>0</v>
      </c>
      <c r="J1822" s="15">
        <v>0</v>
      </c>
      <c r="K1822" s="15">
        <v>0</v>
      </c>
      <c r="L1822" s="20">
        <v>0</v>
      </c>
      <c r="M1822" s="15">
        <v>0</v>
      </c>
      <c r="N1822" s="15">
        <v>0</v>
      </c>
      <c r="O1822" s="15">
        <v>0</v>
      </c>
      <c r="P1822" s="15">
        <v>0</v>
      </c>
      <c r="Q1822" s="15">
        <v>0</v>
      </c>
      <c r="R1822" s="15">
        <v>0</v>
      </c>
      <c r="S1822" s="15">
        <v>0</v>
      </c>
      <c r="T1822" s="15">
        <v>0</v>
      </c>
      <c r="U1822" s="15">
        <v>0</v>
      </c>
      <c r="V1822" s="15">
        <v>0</v>
      </c>
      <c r="W1822" s="15">
        <v>0</v>
      </c>
      <c r="X1822" s="15">
        <v>0</v>
      </c>
      <c r="Y1822" s="15">
        <v>0</v>
      </c>
      <c r="Z1822" s="15">
        <v>0</v>
      </c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</row>
    <row r="1823" spans="1:43">
      <c r="A1823" s="15" t="s">
        <v>49</v>
      </c>
      <c r="B1823" s="15" t="s">
        <v>50</v>
      </c>
      <c r="C1823" s="15" t="s">
        <v>61</v>
      </c>
      <c r="D1823" s="15" t="s">
        <v>4826</v>
      </c>
      <c r="E1823" s="15" t="s">
        <v>4827</v>
      </c>
      <c r="F1823" s="16">
        <v>0</v>
      </c>
      <c r="G1823" s="15" t="s">
        <v>4827</v>
      </c>
      <c r="H1823" s="15" t="s">
        <v>4828</v>
      </c>
      <c r="I1823" s="15">
        <v>0</v>
      </c>
      <c r="J1823" s="15">
        <v>0</v>
      </c>
      <c r="K1823" s="15">
        <v>0</v>
      </c>
      <c r="L1823" s="20">
        <v>0</v>
      </c>
      <c r="M1823" s="15">
        <v>0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0</v>
      </c>
      <c r="X1823" s="15">
        <v>0</v>
      </c>
      <c r="Y1823" s="15">
        <v>0</v>
      </c>
      <c r="Z1823" s="15">
        <v>0</v>
      </c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</row>
    <row r="1824" spans="1:43">
      <c r="A1824" s="15" t="s">
        <v>43</v>
      </c>
      <c r="B1824" s="15" t="s">
        <v>44</v>
      </c>
      <c r="C1824" s="15" t="s">
        <v>45</v>
      </c>
      <c r="D1824" s="15" t="s">
        <v>4829</v>
      </c>
      <c r="E1824" s="15" t="s">
        <v>4830</v>
      </c>
      <c r="F1824" s="16">
        <v>42359.7287037037</v>
      </c>
      <c r="G1824" s="15" t="s">
        <v>4830</v>
      </c>
      <c r="H1824" s="15" t="s">
        <v>4831</v>
      </c>
      <c r="I1824" s="15">
        <v>0</v>
      </c>
      <c r="J1824" s="15">
        <v>0</v>
      </c>
      <c r="K1824" s="15">
        <v>0</v>
      </c>
      <c r="L1824" s="20">
        <v>0</v>
      </c>
      <c r="M1824" s="15">
        <v>0</v>
      </c>
      <c r="N1824" s="15">
        <v>0</v>
      </c>
      <c r="O1824" s="15">
        <v>0</v>
      </c>
      <c r="P1824" s="15">
        <v>0</v>
      </c>
      <c r="Q1824" s="15">
        <v>0</v>
      </c>
      <c r="R1824" s="15">
        <v>0</v>
      </c>
      <c r="S1824" s="15">
        <v>0</v>
      </c>
      <c r="T1824" s="15">
        <v>0</v>
      </c>
      <c r="U1824" s="15">
        <v>0</v>
      </c>
      <c r="V1824" s="15">
        <v>0</v>
      </c>
      <c r="W1824" s="15">
        <v>0</v>
      </c>
      <c r="X1824" s="15">
        <v>0</v>
      </c>
      <c r="Y1824" s="15">
        <v>0</v>
      </c>
      <c r="Z1824" s="15">
        <v>0</v>
      </c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</row>
    <row r="1825" spans="1:43">
      <c r="A1825" s="15" t="s">
        <v>64</v>
      </c>
      <c r="B1825" s="15" t="s">
        <v>65</v>
      </c>
      <c r="C1825" s="15" t="s">
        <v>522</v>
      </c>
      <c r="D1825" s="15" t="s">
        <v>4832</v>
      </c>
      <c r="E1825" s="15" t="s">
        <v>2507</v>
      </c>
      <c r="F1825" s="16">
        <v>44789.6033564815</v>
      </c>
      <c r="G1825" s="15" t="s">
        <v>2507</v>
      </c>
      <c r="H1825" s="15" t="s">
        <v>2508</v>
      </c>
      <c r="I1825" s="15">
        <v>0</v>
      </c>
      <c r="J1825" s="15">
        <v>0</v>
      </c>
      <c r="K1825" s="15">
        <v>0</v>
      </c>
      <c r="L1825" s="20">
        <v>0</v>
      </c>
      <c r="M1825" s="15">
        <v>0</v>
      </c>
      <c r="N1825" s="15">
        <v>0</v>
      </c>
      <c r="O1825" s="15">
        <v>0</v>
      </c>
      <c r="P1825" s="15">
        <v>0</v>
      </c>
      <c r="Q1825" s="15">
        <v>0</v>
      </c>
      <c r="R1825" s="15">
        <v>0</v>
      </c>
      <c r="S1825" s="15">
        <v>0</v>
      </c>
      <c r="T1825" s="15">
        <v>0</v>
      </c>
      <c r="U1825" s="15">
        <v>0</v>
      </c>
      <c r="V1825" s="15">
        <v>0</v>
      </c>
      <c r="W1825" s="15">
        <v>0</v>
      </c>
      <c r="X1825" s="15">
        <v>0</v>
      </c>
      <c r="Y1825" s="15">
        <v>0</v>
      </c>
      <c r="Z1825" s="15">
        <v>0</v>
      </c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</row>
    <row r="1826" spans="1:43">
      <c r="A1826" s="15" t="s">
        <v>43</v>
      </c>
      <c r="B1826" s="15" t="s">
        <v>44</v>
      </c>
      <c r="C1826" s="15" t="s">
        <v>45</v>
      </c>
      <c r="D1826" s="15" t="s">
        <v>4833</v>
      </c>
      <c r="E1826" s="15" t="s">
        <v>4834</v>
      </c>
      <c r="F1826" s="16">
        <v>41512.6541435185</v>
      </c>
      <c r="G1826" s="15" t="s">
        <v>4834</v>
      </c>
      <c r="H1826" s="15" t="s">
        <v>4835</v>
      </c>
      <c r="I1826" s="15">
        <v>0</v>
      </c>
      <c r="J1826" s="15">
        <v>0</v>
      </c>
      <c r="K1826" s="15">
        <v>0</v>
      </c>
      <c r="L1826" s="20">
        <v>0</v>
      </c>
      <c r="M1826" s="15">
        <v>0</v>
      </c>
      <c r="N1826" s="15">
        <v>0</v>
      </c>
      <c r="O1826" s="15">
        <v>0</v>
      </c>
      <c r="P1826" s="15">
        <v>0</v>
      </c>
      <c r="Q1826" s="15">
        <v>0</v>
      </c>
      <c r="R1826" s="15">
        <v>0</v>
      </c>
      <c r="S1826" s="15">
        <v>0</v>
      </c>
      <c r="T1826" s="15">
        <v>0</v>
      </c>
      <c r="U1826" s="15">
        <v>0</v>
      </c>
      <c r="V1826" s="15">
        <v>0</v>
      </c>
      <c r="W1826" s="15">
        <v>0</v>
      </c>
      <c r="X1826" s="15">
        <v>0</v>
      </c>
      <c r="Y1826" s="15">
        <v>0</v>
      </c>
      <c r="Z1826" s="15">
        <v>0</v>
      </c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</row>
    <row r="1827" spans="1:43">
      <c r="A1827" s="15" t="s">
        <v>49</v>
      </c>
      <c r="B1827" s="15" t="s">
        <v>50</v>
      </c>
      <c r="C1827" s="15" t="s">
        <v>61</v>
      </c>
      <c r="D1827" s="15" t="s">
        <v>4836</v>
      </c>
      <c r="E1827" s="15" t="s">
        <v>4837</v>
      </c>
      <c r="F1827" s="16">
        <v>0</v>
      </c>
      <c r="G1827" s="15" t="s">
        <v>4837</v>
      </c>
      <c r="H1827" s="15" t="s">
        <v>4838</v>
      </c>
      <c r="I1827" s="15">
        <v>0</v>
      </c>
      <c r="J1827" s="15">
        <v>0</v>
      </c>
      <c r="K1827" s="15">
        <v>0</v>
      </c>
      <c r="L1827" s="20">
        <v>0</v>
      </c>
      <c r="M1827" s="15">
        <v>0</v>
      </c>
      <c r="N1827" s="15">
        <v>0</v>
      </c>
      <c r="O1827" s="15">
        <v>0</v>
      </c>
      <c r="P1827" s="15">
        <v>0</v>
      </c>
      <c r="Q1827" s="15">
        <v>0</v>
      </c>
      <c r="R1827" s="15">
        <v>0</v>
      </c>
      <c r="S1827" s="15">
        <v>0</v>
      </c>
      <c r="T1827" s="15">
        <v>0</v>
      </c>
      <c r="U1827" s="15">
        <v>0</v>
      </c>
      <c r="V1827" s="15">
        <v>0</v>
      </c>
      <c r="W1827" s="15">
        <v>0</v>
      </c>
      <c r="X1827" s="15">
        <v>0</v>
      </c>
      <c r="Y1827" s="15">
        <v>0</v>
      </c>
      <c r="Z1827" s="15">
        <v>0</v>
      </c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</row>
    <row r="1828" spans="1:43">
      <c r="A1828" s="15" t="s">
        <v>49</v>
      </c>
      <c r="B1828" s="15" t="s">
        <v>50</v>
      </c>
      <c r="C1828" s="15" t="s">
        <v>61</v>
      </c>
      <c r="D1828" s="15" t="s">
        <v>4839</v>
      </c>
      <c r="E1828" s="15" t="s">
        <v>4840</v>
      </c>
      <c r="F1828" s="16">
        <v>0</v>
      </c>
      <c r="G1828" s="15" t="s">
        <v>4840</v>
      </c>
      <c r="H1828" s="15" t="s">
        <v>54</v>
      </c>
      <c r="I1828" s="15">
        <v>0</v>
      </c>
      <c r="J1828" s="15">
        <v>0</v>
      </c>
      <c r="K1828" s="15">
        <v>0</v>
      </c>
      <c r="L1828" s="20">
        <v>0</v>
      </c>
      <c r="M1828" s="15">
        <v>0</v>
      </c>
      <c r="N1828" s="15">
        <v>0</v>
      </c>
      <c r="O1828" s="15">
        <v>0</v>
      </c>
      <c r="P1828" s="15">
        <v>0</v>
      </c>
      <c r="Q1828" s="15">
        <v>0</v>
      </c>
      <c r="R1828" s="15">
        <v>0</v>
      </c>
      <c r="S1828" s="15">
        <v>0</v>
      </c>
      <c r="T1828" s="15">
        <v>0</v>
      </c>
      <c r="U1828" s="15">
        <v>0</v>
      </c>
      <c r="V1828" s="15">
        <v>0</v>
      </c>
      <c r="W1828" s="15">
        <v>0</v>
      </c>
      <c r="X1828" s="15">
        <v>0</v>
      </c>
      <c r="Y1828" s="15">
        <v>0</v>
      </c>
      <c r="Z1828" s="15">
        <v>0</v>
      </c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</row>
    <row r="1829" spans="1:43">
      <c r="A1829" s="15" t="s">
        <v>43</v>
      </c>
      <c r="B1829" s="15" t="s">
        <v>44</v>
      </c>
      <c r="C1829" s="15" t="s">
        <v>45</v>
      </c>
      <c r="D1829" s="15" t="s">
        <v>4841</v>
      </c>
      <c r="E1829" s="15" t="s">
        <v>4842</v>
      </c>
      <c r="F1829" s="16">
        <v>43235.4409259259</v>
      </c>
      <c r="G1829" s="15" t="s">
        <v>4842</v>
      </c>
      <c r="H1829" s="15" t="s">
        <v>4843</v>
      </c>
      <c r="I1829" s="15">
        <v>0</v>
      </c>
      <c r="J1829" s="15">
        <v>0</v>
      </c>
      <c r="K1829" s="15">
        <v>0</v>
      </c>
      <c r="L1829" s="20">
        <v>0</v>
      </c>
      <c r="M1829" s="15">
        <v>0</v>
      </c>
      <c r="N1829" s="15">
        <v>0</v>
      </c>
      <c r="O1829" s="15">
        <v>0</v>
      </c>
      <c r="P1829" s="15">
        <v>0</v>
      </c>
      <c r="Q1829" s="15">
        <v>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0</v>
      </c>
      <c r="X1829" s="15">
        <v>0</v>
      </c>
      <c r="Y1829" s="15">
        <v>0</v>
      </c>
      <c r="Z1829" s="15">
        <v>0</v>
      </c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</row>
    <row r="1830" spans="1:43">
      <c r="A1830" s="15" t="s">
        <v>43</v>
      </c>
      <c r="B1830" s="15" t="s">
        <v>44</v>
      </c>
      <c r="C1830" s="15" t="s">
        <v>440</v>
      </c>
      <c r="D1830" s="15" t="s">
        <v>4844</v>
      </c>
      <c r="E1830" s="15" t="s">
        <v>4845</v>
      </c>
      <c r="F1830" s="16">
        <v>44795.6955439815</v>
      </c>
      <c r="G1830" s="15" t="s">
        <v>4845</v>
      </c>
      <c r="H1830" s="15" t="s">
        <v>54</v>
      </c>
      <c r="I1830" s="15">
        <v>0</v>
      </c>
      <c r="J1830" s="15">
        <v>0</v>
      </c>
      <c r="K1830" s="15">
        <v>0</v>
      </c>
      <c r="L1830" s="20">
        <v>0</v>
      </c>
      <c r="M1830" s="15">
        <v>0</v>
      </c>
      <c r="N1830" s="15">
        <v>0</v>
      </c>
      <c r="O1830" s="15">
        <v>0</v>
      </c>
      <c r="P1830" s="15">
        <v>0</v>
      </c>
      <c r="Q1830" s="15">
        <v>0</v>
      </c>
      <c r="R1830" s="15">
        <v>0</v>
      </c>
      <c r="S1830" s="15">
        <v>0</v>
      </c>
      <c r="T1830" s="15">
        <v>0</v>
      </c>
      <c r="U1830" s="15">
        <v>0</v>
      </c>
      <c r="V1830" s="15">
        <v>0</v>
      </c>
      <c r="W1830" s="15">
        <v>0</v>
      </c>
      <c r="X1830" s="15">
        <v>0</v>
      </c>
      <c r="Y1830" s="15">
        <v>0</v>
      </c>
      <c r="Z1830" s="15">
        <v>0</v>
      </c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</row>
    <row r="1831" spans="1:43">
      <c r="A1831" s="15" t="s">
        <v>49</v>
      </c>
      <c r="B1831" s="15" t="s">
        <v>50</v>
      </c>
      <c r="C1831" s="15" t="s">
        <v>61</v>
      </c>
      <c r="D1831" s="15" t="s">
        <v>4846</v>
      </c>
      <c r="E1831" s="15" t="s">
        <v>4847</v>
      </c>
      <c r="F1831" s="16">
        <v>0</v>
      </c>
      <c r="G1831" s="15" t="s">
        <v>4847</v>
      </c>
      <c r="H1831" s="15" t="s">
        <v>54</v>
      </c>
      <c r="I1831" s="15">
        <v>0</v>
      </c>
      <c r="J1831" s="15">
        <v>0</v>
      </c>
      <c r="K1831" s="15">
        <v>0</v>
      </c>
      <c r="L1831" s="20">
        <v>0</v>
      </c>
      <c r="M1831" s="15">
        <v>0</v>
      </c>
      <c r="N1831" s="15">
        <v>0</v>
      </c>
      <c r="O1831" s="15">
        <v>0</v>
      </c>
      <c r="P1831" s="15">
        <v>0</v>
      </c>
      <c r="Q1831" s="15">
        <v>0</v>
      </c>
      <c r="R1831" s="15">
        <v>0</v>
      </c>
      <c r="S1831" s="15">
        <v>0</v>
      </c>
      <c r="T1831" s="15">
        <v>0</v>
      </c>
      <c r="U1831" s="15">
        <v>0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</row>
    <row r="1832" spans="1:43">
      <c r="A1832" s="15" t="s">
        <v>49</v>
      </c>
      <c r="B1832" s="15" t="s">
        <v>50</v>
      </c>
      <c r="C1832" s="15" t="s">
        <v>61</v>
      </c>
      <c r="D1832" s="15" t="s">
        <v>4848</v>
      </c>
      <c r="E1832" s="15" t="s">
        <v>4849</v>
      </c>
      <c r="F1832" s="16">
        <v>0</v>
      </c>
      <c r="G1832" s="15" t="s">
        <v>4849</v>
      </c>
      <c r="H1832" s="15" t="s">
        <v>4850</v>
      </c>
      <c r="I1832" s="15">
        <v>0</v>
      </c>
      <c r="J1832" s="15">
        <v>0</v>
      </c>
      <c r="K1832" s="15">
        <v>0</v>
      </c>
      <c r="L1832" s="20">
        <v>0</v>
      </c>
      <c r="M1832" s="15">
        <v>0</v>
      </c>
      <c r="N1832" s="15">
        <v>0</v>
      </c>
      <c r="O1832" s="15">
        <v>0</v>
      </c>
      <c r="P1832" s="15">
        <v>0</v>
      </c>
      <c r="Q1832" s="15">
        <v>0</v>
      </c>
      <c r="R1832" s="15">
        <v>0</v>
      </c>
      <c r="S1832" s="15">
        <v>0</v>
      </c>
      <c r="T1832" s="15">
        <v>0</v>
      </c>
      <c r="U1832" s="15">
        <v>0</v>
      </c>
      <c r="V1832" s="15">
        <v>0</v>
      </c>
      <c r="W1832" s="15">
        <v>0</v>
      </c>
      <c r="X1832" s="15">
        <v>0</v>
      </c>
      <c r="Y1832" s="15">
        <v>0</v>
      </c>
      <c r="Z1832" s="15">
        <v>0</v>
      </c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</row>
    <row r="1833" spans="1:43">
      <c r="A1833" s="15" t="s">
        <v>64</v>
      </c>
      <c r="B1833" s="15" t="s">
        <v>65</v>
      </c>
      <c r="C1833" s="15" t="s">
        <v>78</v>
      </c>
      <c r="D1833" s="15" t="s">
        <v>4851</v>
      </c>
      <c r="E1833" s="15" t="s">
        <v>4852</v>
      </c>
      <c r="F1833" s="16">
        <v>44966.6128703704</v>
      </c>
      <c r="G1833" s="15" t="s">
        <v>4852</v>
      </c>
      <c r="H1833" s="15" t="s">
        <v>54</v>
      </c>
      <c r="I1833" s="15">
        <v>0</v>
      </c>
      <c r="J1833" s="15">
        <v>0</v>
      </c>
      <c r="K1833" s="15">
        <v>0</v>
      </c>
      <c r="L1833" s="20">
        <v>0</v>
      </c>
      <c r="M1833" s="15">
        <v>0</v>
      </c>
      <c r="N1833" s="15">
        <v>0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0</v>
      </c>
      <c r="U1833" s="15">
        <v>0</v>
      </c>
      <c r="V1833" s="15">
        <v>0</v>
      </c>
      <c r="W1833" s="15">
        <v>0</v>
      </c>
      <c r="X1833" s="15">
        <v>0</v>
      </c>
      <c r="Y1833" s="15">
        <v>0</v>
      </c>
      <c r="Z1833" s="15">
        <v>0</v>
      </c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</row>
    <row r="1834" spans="1:43">
      <c r="A1834" s="15" t="s">
        <v>43</v>
      </c>
      <c r="B1834" s="15" t="s">
        <v>44</v>
      </c>
      <c r="C1834" s="15" t="s">
        <v>45</v>
      </c>
      <c r="D1834" s="15" t="s">
        <v>4853</v>
      </c>
      <c r="E1834" s="15" t="s">
        <v>4854</v>
      </c>
      <c r="F1834" s="16">
        <v>40800.475</v>
      </c>
      <c r="G1834" s="15" t="s">
        <v>4854</v>
      </c>
      <c r="H1834" s="15" t="s">
        <v>4855</v>
      </c>
      <c r="I1834" s="15">
        <v>0</v>
      </c>
      <c r="J1834" s="15">
        <v>0</v>
      </c>
      <c r="K1834" s="15">
        <v>0</v>
      </c>
      <c r="L1834" s="20">
        <v>0</v>
      </c>
      <c r="M1834" s="15">
        <v>0</v>
      </c>
      <c r="N1834" s="15">
        <v>0</v>
      </c>
      <c r="O1834" s="15">
        <v>0</v>
      </c>
      <c r="P1834" s="15">
        <v>0</v>
      </c>
      <c r="Q1834" s="15">
        <v>0</v>
      </c>
      <c r="R1834" s="15">
        <v>0</v>
      </c>
      <c r="S1834" s="15">
        <v>0</v>
      </c>
      <c r="T1834" s="15">
        <v>0</v>
      </c>
      <c r="U1834" s="15">
        <v>0</v>
      </c>
      <c r="V1834" s="15">
        <v>0</v>
      </c>
      <c r="W1834" s="15">
        <v>0</v>
      </c>
      <c r="X1834" s="15">
        <v>0</v>
      </c>
      <c r="Y1834" s="15">
        <v>0</v>
      </c>
      <c r="Z1834" s="15">
        <v>0</v>
      </c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</row>
    <row r="1835" spans="1:43">
      <c r="A1835" s="15" t="s">
        <v>49</v>
      </c>
      <c r="B1835" s="15" t="s">
        <v>50</v>
      </c>
      <c r="C1835" s="15" t="s">
        <v>61</v>
      </c>
      <c r="D1835" s="15" t="s">
        <v>4856</v>
      </c>
      <c r="E1835" s="15" t="s">
        <v>4857</v>
      </c>
      <c r="F1835" s="16">
        <v>0</v>
      </c>
      <c r="G1835" s="15" t="s">
        <v>4857</v>
      </c>
      <c r="H1835" s="15" t="s">
        <v>54</v>
      </c>
      <c r="I1835" s="15">
        <v>0</v>
      </c>
      <c r="J1835" s="15">
        <v>0</v>
      </c>
      <c r="K1835" s="15">
        <v>0</v>
      </c>
      <c r="L1835" s="20">
        <v>0</v>
      </c>
      <c r="M1835" s="15">
        <v>0</v>
      </c>
      <c r="N1835" s="15">
        <v>0</v>
      </c>
      <c r="O1835" s="15">
        <v>0</v>
      </c>
      <c r="P1835" s="15">
        <v>0</v>
      </c>
      <c r="Q1835" s="15">
        <v>0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0</v>
      </c>
      <c r="X1835" s="15">
        <v>0</v>
      </c>
      <c r="Y1835" s="15">
        <v>0</v>
      </c>
      <c r="Z1835" s="15">
        <v>0</v>
      </c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</row>
    <row r="1836" spans="1:43">
      <c r="A1836" s="15" t="s">
        <v>49</v>
      </c>
      <c r="B1836" s="15" t="s">
        <v>50</v>
      </c>
      <c r="C1836" s="15" t="s">
        <v>61</v>
      </c>
      <c r="D1836" s="15" t="s">
        <v>4858</v>
      </c>
      <c r="E1836" s="15" t="s">
        <v>4859</v>
      </c>
      <c r="F1836" s="16">
        <v>0</v>
      </c>
      <c r="G1836" s="15" t="s">
        <v>4859</v>
      </c>
      <c r="H1836" s="15" t="s">
        <v>4860</v>
      </c>
      <c r="I1836" s="15">
        <v>0</v>
      </c>
      <c r="J1836" s="15">
        <v>0</v>
      </c>
      <c r="K1836" s="15">
        <v>0</v>
      </c>
      <c r="L1836" s="20">
        <v>0</v>
      </c>
      <c r="M1836" s="15">
        <v>0</v>
      </c>
      <c r="N1836" s="15">
        <v>0</v>
      </c>
      <c r="O1836" s="15">
        <v>0</v>
      </c>
      <c r="P1836" s="15">
        <v>0</v>
      </c>
      <c r="Q1836" s="15">
        <v>0</v>
      </c>
      <c r="R1836" s="15">
        <v>0</v>
      </c>
      <c r="S1836" s="15">
        <v>0</v>
      </c>
      <c r="T1836" s="15">
        <v>0</v>
      </c>
      <c r="U1836" s="15">
        <v>0</v>
      </c>
      <c r="V1836" s="15">
        <v>0</v>
      </c>
      <c r="W1836" s="15">
        <v>0</v>
      </c>
      <c r="X1836" s="15">
        <v>0</v>
      </c>
      <c r="Y1836" s="15">
        <v>0</v>
      </c>
      <c r="Z1836" s="15">
        <v>0</v>
      </c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</row>
    <row r="1837" spans="1:43">
      <c r="A1837" s="15" t="s">
        <v>49</v>
      </c>
      <c r="B1837" s="15" t="s">
        <v>50</v>
      </c>
      <c r="C1837" s="15" t="s">
        <v>61</v>
      </c>
      <c r="D1837" s="15" t="s">
        <v>4861</v>
      </c>
      <c r="E1837" s="15" t="s">
        <v>4862</v>
      </c>
      <c r="F1837" s="16">
        <v>0</v>
      </c>
      <c r="G1837" s="15" t="s">
        <v>4862</v>
      </c>
      <c r="H1837" s="15" t="s">
        <v>4863</v>
      </c>
      <c r="I1837" s="15">
        <v>0</v>
      </c>
      <c r="J1837" s="15">
        <v>0</v>
      </c>
      <c r="K1837" s="15">
        <v>0</v>
      </c>
      <c r="L1837" s="20">
        <v>0</v>
      </c>
      <c r="M1837" s="15">
        <v>0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5">
        <v>0</v>
      </c>
      <c r="W1837" s="15">
        <v>0</v>
      </c>
      <c r="X1837" s="15">
        <v>0</v>
      </c>
      <c r="Y1837" s="15">
        <v>0</v>
      </c>
      <c r="Z1837" s="15">
        <v>0</v>
      </c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</row>
    <row r="1838" spans="1:43">
      <c r="A1838" s="15" t="s">
        <v>43</v>
      </c>
      <c r="B1838" s="15" t="s">
        <v>44</v>
      </c>
      <c r="C1838" s="15" t="s">
        <v>45</v>
      </c>
      <c r="D1838" s="15" t="s">
        <v>4864</v>
      </c>
      <c r="E1838" s="15" t="s">
        <v>4865</v>
      </c>
      <c r="F1838" s="16">
        <v>43602.6080092593</v>
      </c>
      <c r="G1838" s="15" t="s">
        <v>4865</v>
      </c>
      <c r="H1838" s="15" t="s">
        <v>54</v>
      </c>
      <c r="I1838" s="15">
        <v>0</v>
      </c>
      <c r="J1838" s="15">
        <v>0</v>
      </c>
      <c r="K1838" s="15">
        <v>0</v>
      </c>
      <c r="L1838" s="20">
        <v>0</v>
      </c>
      <c r="M1838" s="15">
        <v>0</v>
      </c>
      <c r="N1838" s="15">
        <v>0</v>
      </c>
      <c r="O1838" s="15">
        <v>0</v>
      </c>
      <c r="P1838" s="15">
        <v>0</v>
      </c>
      <c r="Q1838" s="15">
        <v>0</v>
      </c>
      <c r="R1838" s="15">
        <v>0</v>
      </c>
      <c r="S1838" s="15">
        <v>0</v>
      </c>
      <c r="T1838" s="15">
        <v>0</v>
      </c>
      <c r="U1838" s="15">
        <v>0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</row>
    <row r="1839" spans="1:43">
      <c r="A1839" s="15" t="s">
        <v>43</v>
      </c>
      <c r="B1839" s="15" t="s">
        <v>44</v>
      </c>
      <c r="C1839" s="15" t="s">
        <v>440</v>
      </c>
      <c r="D1839" s="15" t="s">
        <v>4866</v>
      </c>
      <c r="E1839" s="15" t="s">
        <v>528</v>
      </c>
      <c r="F1839" s="16">
        <v>44495.7077199074</v>
      </c>
      <c r="G1839" s="15" t="s">
        <v>528</v>
      </c>
      <c r="H1839" s="15" t="s">
        <v>54</v>
      </c>
      <c r="I1839" s="15">
        <v>0</v>
      </c>
      <c r="J1839" s="15">
        <v>0</v>
      </c>
      <c r="K1839" s="15">
        <v>0</v>
      </c>
      <c r="L1839" s="20">
        <v>0</v>
      </c>
      <c r="M1839" s="15">
        <v>0</v>
      </c>
      <c r="N1839" s="15">
        <v>0</v>
      </c>
      <c r="O1839" s="15">
        <v>0</v>
      </c>
      <c r="P1839" s="15">
        <v>0</v>
      </c>
      <c r="Q1839" s="15">
        <v>0</v>
      </c>
      <c r="R1839" s="15">
        <v>0</v>
      </c>
      <c r="S1839" s="15">
        <v>0</v>
      </c>
      <c r="T1839" s="15">
        <v>0</v>
      </c>
      <c r="U1839" s="15">
        <v>0</v>
      </c>
      <c r="V1839" s="15">
        <v>0</v>
      </c>
      <c r="W1839" s="15">
        <v>0</v>
      </c>
      <c r="X1839" s="15">
        <v>0</v>
      </c>
      <c r="Y1839" s="15">
        <v>0</v>
      </c>
      <c r="Z1839" s="15">
        <v>0</v>
      </c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</row>
    <row r="1840" spans="1:43">
      <c r="A1840" s="15" t="s">
        <v>43</v>
      </c>
      <c r="B1840" s="15" t="s">
        <v>44</v>
      </c>
      <c r="C1840" s="15" t="s">
        <v>45</v>
      </c>
      <c r="D1840" s="15" t="s">
        <v>4867</v>
      </c>
      <c r="E1840" s="15" t="s">
        <v>4868</v>
      </c>
      <c r="F1840" s="16">
        <v>41256.4463541667</v>
      </c>
      <c r="G1840" s="15" t="s">
        <v>4868</v>
      </c>
      <c r="H1840" s="15" t="s">
        <v>4869</v>
      </c>
      <c r="I1840" s="15">
        <v>0</v>
      </c>
      <c r="J1840" s="15">
        <v>0</v>
      </c>
      <c r="K1840" s="15">
        <v>0</v>
      </c>
      <c r="L1840" s="20">
        <v>0</v>
      </c>
      <c r="M1840" s="15">
        <v>0</v>
      </c>
      <c r="N1840" s="15">
        <v>0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0</v>
      </c>
      <c r="V1840" s="15">
        <v>0</v>
      </c>
      <c r="W1840" s="15">
        <v>0</v>
      </c>
      <c r="X1840" s="15">
        <v>0</v>
      </c>
      <c r="Y1840" s="15">
        <v>0</v>
      </c>
      <c r="Z1840" s="15">
        <v>0</v>
      </c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</row>
    <row r="1841" spans="1:43">
      <c r="A1841" s="15" t="s">
        <v>43</v>
      </c>
      <c r="B1841" s="15" t="s">
        <v>44</v>
      </c>
      <c r="C1841" s="15" t="s">
        <v>45</v>
      </c>
      <c r="D1841" s="15" t="s">
        <v>4870</v>
      </c>
      <c r="E1841" s="15" t="s">
        <v>4871</v>
      </c>
      <c r="F1841" s="16">
        <v>42440.6858333333</v>
      </c>
      <c r="G1841" s="15" t="s">
        <v>4871</v>
      </c>
      <c r="H1841" s="15" t="s">
        <v>4872</v>
      </c>
      <c r="I1841" s="15">
        <v>0</v>
      </c>
      <c r="J1841" s="15">
        <v>0</v>
      </c>
      <c r="K1841" s="15">
        <v>0</v>
      </c>
      <c r="L1841" s="20">
        <v>0</v>
      </c>
      <c r="M1841" s="15">
        <v>0</v>
      </c>
      <c r="N1841" s="15">
        <v>0</v>
      </c>
      <c r="O1841" s="15">
        <v>0</v>
      </c>
      <c r="P1841" s="15">
        <v>0</v>
      </c>
      <c r="Q1841" s="15">
        <v>0</v>
      </c>
      <c r="R1841" s="15">
        <v>0</v>
      </c>
      <c r="S1841" s="15">
        <v>0</v>
      </c>
      <c r="T1841" s="15">
        <v>0</v>
      </c>
      <c r="U1841" s="15">
        <v>0</v>
      </c>
      <c r="V1841" s="15">
        <v>0</v>
      </c>
      <c r="W1841" s="15">
        <v>0</v>
      </c>
      <c r="X1841" s="15">
        <v>0</v>
      </c>
      <c r="Y1841" s="15">
        <v>0</v>
      </c>
      <c r="Z1841" s="15">
        <v>0</v>
      </c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</row>
    <row r="1842" spans="1:43">
      <c r="A1842" s="15" t="s">
        <v>64</v>
      </c>
      <c r="B1842" s="15" t="s">
        <v>65</v>
      </c>
      <c r="C1842" s="15" t="s">
        <v>78</v>
      </c>
      <c r="D1842" s="15" t="s">
        <v>4873</v>
      </c>
      <c r="E1842" s="15" t="s">
        <v>770</v>
      </c>
      <c r="F1842" s="16">
        <v>45090.3885185185</v>
      </c>
      <c r="G1842" s="15" t="s">
        <v>770</v>
      </c>
      <c r="H1842" s="15" t="s">
        <v>54</v>
      </c>
      <c r="I1842" s="15">
        <v>1199.82</v>
      </c>
      <c r="J1842" s="15">
        <v>14</v>
      </c>
      <c r="K1842" s="15">
        <v>85.7014285714286</v>
      </c>
      <c r="L1842" s="20">
        <v>1.22430612244898</v>
      </c>
      <c r="M1842" s="15">
        <v>147.63</v>
      </c>
      <c r="N1842" s="15">
        <v>75.61</v>
      </c>
      <c r="O1842" s="15">
        <v>143.6</v>
      </c>
      <c r="P1842" s="15">
        <v>204.05</v>
      </c>
      <c r="Q1842" s="15">
        <v>60.28</v>
      </c>
      <c r="R1842" s="15">
        <v>29.77</v>
      </c>
      <c r="S1842" s="15">
        <v>42.06</v>
      </c>
      <c r="T1842" s="15">
        <v>160.13</v>
      </c>
      <c r="U1842" s="15">
        <v>118.72</v>
      </c>
      <c r="V1842" s="15">
        <v>92.65</v>
      </c>
      <c r="W1842" s="15">
        <v>24.84</v>
      </c>
      <c r="X1842" s="15">
        <v>35.19</v>
      </c>
      <c r="Y1842" s="15">
        <v>23.19</v>
      </c>
      <c r="Z1842" s="15">
        <v>42.1</v>
      </c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</row>
    <row r="1843" spans="1:43">
      <c r="A1843" s="15" t="s">
        <v>43</v>
      </c>
      <c r="B1843" s="15" t="s">
        <v>44</v>
      </c>
      <c r="C1843" s="15" t="s">
        <v>45</v>
      </c>
      <c r="D1843" s="15" t="s">
        <v>4874</v>
      </c>
      <c r="E1843" s="15" t="s">
        <v>4875</v>
      </c>
      <c r="F1843" s="16">
        <v>41038.668912037</v>
      </c>
      <c r="G1843" s="15" t="s">
        <v>4875</v>
      </c>
      <c r="H1843" s="15" t="s">
        <v>4876</v>
      </c>
      <c r="I1843" s="15">
        <v>0</v>
      </c>
      <c r="J1843" s="15">
        <v>0</v>
      </c>
      <c r="K1843" s="15">
        <v>0</v>
      </c>
      <c r="L1843" s="20">
        <v>0</v>
      </c>
      <c r="M1843" s="15">
        <v>0</v>
      </c>
      <c r="N1843" s="15">
        <v>0</v>
      </c>
      <c r="O1843" s="15">
        <v>0</v>
      </c>
      <c r="P1843" s="15">
        <v>0</v>
      </c>
      <c r="Q1843" s="15">
        <v>0</v>
      </c>
      <c r="R1843" s="15">
        <v>0</v>
      </c>
      <c r="S1843" s="15">
        <v>0</v>
      </c>
      <c r="T1843" s="15">
        <v>0</v>
      </c>
      <c r="U1843" s="15">
        <v>0</v>
      </c>
      <c r="V1843" s="15">
        <v>0</v>
      </c>
      <c r="W1843" s="15">
        <v>0</v>
      </c>
      <c r="X1843" s="15">
        <v>0</v>
      </c>
      <c r="Y1843" s="15">
        <v>0</v>
      </c>
      <c r="Z1843" s="15">
        <v>0</v>
      </c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</row>
    <row r="1844" spans="1:43">
      <c r="A1844" s="15" t="s">
        <v>43</v>
      </c>
      <c r="B1844" s="15" t="s">
        <v>44</v>
      </c>
      <c r="C1844" s="15" t="s">
        <v>45</v>
      </c>
      <c r="D1844" s="15" t="s">
        <v>4877</v>
      </c>
      <c r="E1844" s="15" t="s">
        <v>4878</v>
      </c>
      <c r="F1844" s="16">
        <v>43633.7058564815</v>
      </c>
      <c r="G1844" s="15" t="s">
        <v>4878</v>
      </c>
      <c r="H1844" s="15" t="s">
        <v>4879</v>
      </c>
      <c r="I1844" s="15">
        <v>0</v>
      </c>
      <c r="J1844" s="15">
        <v>0</v>
      </c>
      <c r="K1844" s="15">
        <v>0</v>
      </c>
      <c r="L1844" s="20">
        <v>0</v>
      </c>
      <c r="M1844" s="15">
        <v>0</v>
      </c>
      <c r="N1844" s="15">
        <v>0</v>
      </c>
      <c r="O1844" s="15">
        <v>0</v>
      </c>
      <c r="P1844" s="15">
        <v>0</v>
      </c>
      <c r="Q1844" s="15">
        <v>0</v>
      </c>
      <c r="R1844" s="15">
        <v>0</v>
      </c>
      <c r="S1844" s="15">
        <v>0</v>
      </c>
      <c r="T1844" s="15">
        <v>0</v>
      </c>
      <c r="U1844" s="15">
        <v>0</v>
      </c>
      <c r="V1844" s="15">
        <v>0</v>
      </c>
      <c r="W1844" s="15">
        <v>0</v>
      </c>
      <c r="X1844" s="15">
        <v>0</v>
      </c>
      <c r="Y1844" s="15">
        <v>0</v>
      </c>
      <c r="Z1844" s="15">
        <v>0</v>
      </c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</row>
    <row r="1845" spans="1:43">
      <c r="A1845" s="15" t="s">
        <v>49</v>
      </c>
      <c r="B1845" s="15" t="s">
        <v>50</v>
      </c>
      <c r="C1845" s="15" t="s">
        <v>61</v>
      </c>
      <c r="D1845" s="15" t="s">
        <v>3561</v>
      </c>
      <c r="E1845" s="15" t="s">
        <v>3561</v>
      </c>
      <c r="F1845" s="16">
        <v>0</v>
      </c>
      <c r="G1845" s="15" t="s">
        <v>3561</v>
      </c>
      <c r="H1845" s="15" t="s">
        <v>54</v>
      </c>
      <c r="I1845" s="15">
        <v>0</v>
      </c>
      <c r="J1845" s="15">
        <v>0</v>
      </c>
      <c r="K1845" s="15">
        <v>0</v>
      </c>
      <c r="L1845" s="20">
        <v>0</v>
      </c>
      <c r="M1845" s="15">
        <v>0</v>
      </c>
      <c r="N1845" s="15">
        <v>0</v>
      </c>
      <c r="O1845" s="15">
        <v>0</v>
      </c>
      <c r="P1845" s="15">
        <v>0</v>
      </c>
      <c r="Q1845" s="15">
        <v>0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0</v>
      </c>
      <c r="X1845" s="15">
        <v>0</v>
      </c>
      <c r="Y1845" s="15">
        <v>0</v>
      </c>
      <c r="Z1845" s="15">
        <v>0</v>
      </c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</row>
    <row r="1846" spans="1:43">
      <c r="A1846" s="15" t="s">
        <v>49</v>
      </c>
      <c r="B1846" s="15" t="s">
        <v>50</v>
      </c>
      <c r="C1846" s="15" t="s">
        <v>51</v>
      </c>
      <c r="D1846" s="15" t="s">
        <v>4880</v>
      </c>
      <c r="E1846" s="15" t="s">
        <v>4881</v>
      </c>
      <c r="F1846" s="16">
        <v>44518.4774884259</v>
      </c>
      <c r="G1846" s="15" t="s">
        <v>4881</v>
      </c>
      <c r="H1846" s="15" t="s">
        <v>54</v>
      </c>
      <c r="I1846" s="15">
        <v>0</v>
      </c>
      <c r="J1846" s="15">
        <v>0</v>
      </c>
      <c r="K1846" s="15">
        <v>0</v>
      </c>
      <c r="L1846" s="20">
        <v>0</v>
      </c>
      <c r="M1846" s="15">
        <v>0</v>
      </c>
      <c r="N1846" s="15">
        <v>0</v>
      </c>
      <c r="O1846" s="15">
        <v>0</v>
      </c>
      <c r="P1846" s="15">
        <v>0</v>
      </c>
      <c r="Q1846" s="15">
        <v>0</v>
      </c>
      <c r="R1846" s="15">
        <v>0</v>
      </c>
      <c r="S1846" s="15">
        <v>0</v>
      </c>
      <c r="T1846" s="15">
        <v>0</v>
      </c>
      <c r="U1846" s="15">
        <v>0</v>
      </c>
      <c r="V1846" s="15">
        <v>0</v>
      </c>
      <c r="W1846" s="15">
        <v>0</v>
      </c>
      <c r="X1846" s="15">
        <v>0</v>
      </c>
      <c r="Y1846" s="15">
        <v>0</v>
      </c>
      <c r="Z1846" s="15">
        <v>0</v>
      </c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</row>
    <row r="1847" spans="1:43">
      <c r="A1847" s="15" t="s">
        <v>43</v>
      </c>
      <c r="B1847" s="15" t="s">
        <v>44</v>
      </c>
      <c r="C1847" s="15" t="s">
        <v>45</v>
      </c>
      <c r="D1847" s="15" t="s">
        <v>4882</v>
      </c>
      <c r="E1847" s="15" t="s">
        <v>4883</v>
      </c>
      <c r="F1847" s="16">
        <v>40659.6314467593</v>
      </c>
      <c r="G1847" s="15" t="s">
        <v>4883</v>
      </c>
      <c r="H1847" s="15" t="s">
        <v>4884</v>
      </c>
      <c r="I1847" s="15">
        <v>0</v>
      </c>
      <c r="J1847" s="15">
        <v>0</v>
      </c>
      <c r="K1847" s="15">
        <v>0</v>
      </c>
      <c r="L1847" s="20">
        <v>0</v>
      </c>
      <c r="M1847" s="15">
        <v>0</v>
      </c>
      <c r="N1847" s="15">
        <v>0</v>
      </c>
      <c r="O1847" s="15">
        <v>0</v>
      </c>
      <c r="P1847" s="15">
        <v>0</v>
      </c>
      <c r="Q1847" s="15">
        <v>0</v>
      </c>
      <c r="R1847" s="15">
        <v>0</v>
      </c>
      <c r="S1847" s="15">
        <v>0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</row>
    <row r="1848" spans="1:43">
      <c r="A1848" s="15" t="s">
        <v>43</v>
      </c>
      <c r="B1848" s="15" t="s">
        <v>44</v>
      </c>
      <c r="C1848" s="15" t="s">
        <v>45</v>
      </c>
      <c r="D1848" s="15" t="s">
        <v>4885</v>
      </c>
      <c r="E1848" s="15" t="s">
        <v>4886</v>
      </c>
      <c r="F1848" s="16">
        <v>43174.5911111111</v>
      </c>
      <c r="G1848" s="15" t="s">
        <v>4886</v>
      </c>
      <c r="H1848" s="15" t="s">
        <v>4887</v>
      </c>
      <c r="I1848" s="15">
        <v>0</v>
      </c>
      <c r="J1848" s="15">
        <v>0</v>
      </c>
      <c r="K1848" s="15">
        <v>0</v>
      </c>
      <c r="L1848" s="20">
        <v>0</v>
      </c>
      <c r="M1848" s="15">
        <v>0</v>
      </c>
      <c r="N1848" s="15">
        <v>0</v>
      </c>
      <c r="O1848" s="15">
        <v>0</v>
      </c>
      <c r="P1848" s="15">
        <v>0</v>
      </c>
      <c r="Q1848" s="15">
        <v>0</v>
      </c>
      <c r="R1848" s="15">
        <v>0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0</v>
      </c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</row>
    <row r="1849" spans="1:43">
      <c r="A1849" s="15" t="s">
        <v>49</v>
      </c>
      <c r="B1849" s="15" t="s">
        <v>50</v>
      </c>
      <c r="C1849" s="15" t="s">
        <v>75</v>
      </c>
      <c r="D1849" s="15" t="s">
        <v>4888</v>
      </c>
      <c r="E1849" s="15" t="s">
        <v>4889</v>
      </c>
      <c r="F1849" s="16">
        <v>45072.6719675926</v>
      </c>
      <c r="G1849" s="15" t="s">
        <v>4889</v>
      </c>
      <c r="H1849" s="15" t="s">
        <v>54</v>
      </c>
      <c r="I1849" s="15">
        <v>834.14</v>
      </c>
      <c r="J1849" s="15">
        <v>14</v>
      </c>
      <c r="K1849" s="15">
        <v>59.5814285714286</v>
      </c>
      <c r="L1849" s="20">
        <v>1.19162857142857</v>
      </c>
      <c r="M1849" s="15">
        <v>62.88</v>
      </c>
      <c r="N1849" s="15">
        <v>60.04</v>
      </c>
      <c r="O1849" s="15">
        <v>60.1</v>
      </c>
      <c r="P1849" s="15">
        <v>57.13</v>
      </c>
      <c r="Q1849" s="15">
        <v>60.27</v>
      </c>
      <c r="R1849" s="15">
        <v>48.91</v>
      </c>
      <c r="S1849" s="15">
        <v>59.9</v>
      </c>
      <c r="T1849" s="15">
        <v>61.23</v>
      </c>
      <c r="U1849" s="15">
        <v>59</v>
      </c>
      <c r="V1849" s="15">
        <v>61.21</v>
      </c>
      <c r="W1849" s="15">
        <v>61.77</v>
      </c>
      <c r="X1849" s="15">
        <v>61.17</v>
      </c>
      <c r="Y1849" s="15">
        <v>60.13</v>
      </c>
      <c r="Z1849" s="15">
        <v>60.4</v>
      </c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</row>
    <row r="1850" spans="1:43">
      <c r="A1850" s="15" t="s">
        <v>64</v>
      </c>
      <c r="B1850" s="15" t="s">
        <v>65</v>
      </c>
      <c r="C1850" s="15" t="s">
        <v>78</v>
      </c>
      <c r="D1850" s="15" t="s">
        <v>4890</v>
      </c>
      <c r="E1850" s="15" t="s">
        <v>4891</v>
      </c>
      <c r="F1850" s="16">
        <v>44707.6708912037</v>
      </c>
      <c r="G1850" s="15" t="s">
        <v>4891</v>
      </c>
      <c r="H1850" s="15" t="s">
        <v>4892</v>
      </c>
      <c r="I1850" s="15">
        <v>0</v>
      </c>
      <c r="J1850" s="15">
        <v>0</v>
      </c>
      <c r="K1850" s="15">
        <v>0</v>
      </c>
      <c r="L1850" s="20">
        <v>0</v>
      </c>
      <c r="M1850" s="15">
        <v>0</v>
      </c>
      <c r="N1850" s="15">
        <v>0</v>
      </c>
      <c r="O1850" s="15">
        <v>0</v>
      </c>
      <c r="P1850" s="15">
        <v>0</v>
      </c>
      <c r="Q1850" s="15">
        <v>0</v>
      </c>
      <c r="R1850" s="15">
        <v>0</v>
      </c>
      <c r="S1850" s="15">
        <v>0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0</v>
      </c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</row>
    <row r="1851" spans="1:43">
      <c r="A1851" s="15" t="s">
        <v>43</v>
      </c>
      <c r="B1851" s="15" t="s">
        <v>44</v>
      </c>
      <c r="C1851" s="15" t="s">
        <v>45</v>
      </c>
      <c r="D1851" s="15" t="s">
        <v>4893</v>
      </c>
      <c r="E1851" s="15" t="s">
        <v>4894</v>
      </c>
      <c r="F1851" s="16">
        <v>42454.6733912037</v>
      </c>
      <c r="G1851" s="15" t="s">
        <v>4894</v>
      </c>
      <c r="H1851" s="15" t="s">
        <v>4895</v>
      </c>
      <c r="I1851" s="15">
        <v>0</v>
      </c>
      <c r="J1851" s="15">
        <v>0</v>
      </c>
      <c r="K1851" s="15">
        <v>0</v>
      </c>
      <c r="L1851" s="20">
        <v>0</v>
      </c>
      <c r="M1851" s="15">
        <v>0</v>
      </c>
      <c r="N1851" s="15">
        <v>0</v>
      </c>
      <c r="O1851" s="15">
        <v>0</v>
      </c>
      <c r="P1851" s="15">
        <v>0</v>
      </c>
      <c r="Q1851" s="15">
        <v>0</v>
      </c>
      <c r="R1851" s="15">
        <v>0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</row>
    <row r="1852" spans="1:43">
      <c r="A1852" s="15" t="s">
        <v>49</v>
      </c>
      <c r="B1852" s="15" t="s">
        <v>50</v>
      </c>
      <c r="C1852" s="15" t="s">
        <v>61</v>
      </c>
      <c r="D1852" s="15" t="s">
        <v>4896</v>
      </c>
      <c r="E1852" s="15" t="s">
        <v>4897</v>
      </c>
      <c r="F1852" s="16">
        <v>0</v>
      </c>
      <c r="G1852" s="15" t="s">
        <v>4897</v>
      </c>
      <c r="H1852" s="15" t="s">
        <v>54</v>
      </c>
      <c r="I1852" s="15">
        <v>0</v>
      </c>
      <c r="J1852" s="15">
        <v>0</v>
      </c>
      <c r="K1852" s="15">
        <v>0</v>
      </c>
      <c r="L1852" s="20">
        <v>0</v>
      </c>
      <c r="M1852" s="15">
        <v>0</v>
      </c>
      <c r="N1852" s="15">
        <v>0</v>
      </c>
      <c r="O1852" s="15">
        <v>0</v>
      </c>
      <c r="P1852" s="15">
        <v>0</v>
      </c>
      <c r="Q1852" s="15">
        <v>0</v>
      </c>
      <c r="R1852" s="15">
        <v>0</v>
      </c>
      <c r="S1852" s="15">
        <v>0</v>
      </c>
      <c r="T1852" s="15">
        <v>0</v>
      </c>
      <c r="U1852" s="15">
        <v>0</v>
      </c>
      <c r="V1852" s="15">
        <v>0</v>
      </c>
      <c r="W1852" s="15">
        <v>0</v>
      </c>
      <c r="X1852" s="15">
        <v>0</v>
      </c>
      <c r="Y1852" s="15">
        <v>0</v>
      </c>
      <c r="Z1852" s="15">
        <v>0</v>
      </c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</row>
    <row r="1853" spans="1:43">
      <c r="A1853" s="15" t="s">
        <v>49</v>
      </c>
      <c r="B1853" s="15" t="s">
        <v>50</v>
      </c>
      <c r="C1853" s="15" t="s">
        <v>61</v>
      </c>
      <c r="D1853" s="15" t="s">
        <v>4898</v>
      </c>
      <c r="E1853" s="15" t="s">
        <v>4899</v>
      </c>
      <c r="F1853" s="16">
        <v>0</v>
      </c>
      <c r="G1853" s="15" t="s">
        <v>4899</v>
      </c>
      <c r="H1853" s="15" t="s">
        <v>4900</v>
      </c>
      <c r="I1853" s="15">
        <v>0</v>
      </c>
      <c r="J1853" s="15">
        <v>0</v>
      </c>
      <c r="K1853" s="15">
        <v>0</v>
      </c>
      <c r="L1853" s="20">
        <v>0</v>
      </c>
      <c r="M1853" s="15">
        <v>0</v>
      </c>
      <c r="N1853" s="15">
        <v>0</v>
      </c>
      <c r="O1853" s="15">
        <v>0</v>
      </c>
      <c r="P1853" s="15">
        <v>0</v>
      </c>
      <c r="Q1853" s="15">
        <v>0</v>
      </c>
      <c r="R1853" s="15">
        <v>0</v>
      </c>
      <c r="S1853" s="15">
        <v>0</v>
      </c>
      <c r="T1853" s="15">
        <v>0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</row>
    <row r="1854" spans="1:43">
      <c r="A1854" s="15" t="s">
        <v>43</v>
      </c>
      <c r="B1854" s="15" t="s">
        <v>44</v>
      </c>
      <c r="C1854" s="15" t="s">
        <v>228</v>
      </c>
      <c r="D1854" s="15" t="s">
        <v>4901</v>
      </c>
      <c r="E1854" s="15" t="s">
        <v>4902</v>
      </c>
      <c r="F1854" s="16">
        <v>45040.7087384259</v>
      </c>
      <c r="G1854" s="15" t="s">
        <v>4902</v>
      </c>
      <c r="H1854" s="15" t="s">
        <v>54</v>
      </c>
      <c r="I1854" s="15">
        <v>1044.08</v>
      </c>
      <c r="J1854" s="15">
        <v>12</v>
      </c>
      <c r="K1854" s="15">
        <v>87.0066666666667</v>
      </c>
      <c r="L1854" s="20">
        <v>1.74013333333333</v>
      </c>
      <c r="M1854" s="15">
        <v>101.88</v>
      </c>
      <c r="N1854" s="15">
        <v>124.46</v>
      </c>
      <c r="O1854" s="15">
        <v>46.1</v>
      </c>
      <c r="P1854" s="15">
        <v>89.55</v>
      </c>
      <c r="Q1854" s="15">
        <v>75.71</v>
      </c>
      <c r="R1854" s="15">
        <v>0</v>
      </c>
      <c r="S1854" s="15">
        <v>74.52</v>
      </c>
      <c r="T1854" s="15">
        <v>91.13</v>
      </c>
      <c r="U1854" s="15">
        <v>89.77</v>
      </c>
      <c r="V1854" s="15">
        <v>79.9</v>
      </c>
      <c r="W1854" s="15">
        <v>111.18</v>
      </c>
      <c r="X1854" s="15">
        <v>95.21</v>
      </c>
      <c r="Y1854" s="15">
        <v>0</v>
      </c>
      <c r="Z1854" s="15">
        <v>64.67</v>
      </c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</row>
    <row r="1855" spans="1:43">
      <c r="A1855" s="15" t="s">
        <v>49</v>
      </c>
      <c r="B1855" s="15" t="s">
        <v>50</v>
      </c>
      <c r="C1855" s="15" t="s">
        <v>61</v>
      </c>
      <c r="D1855" s="15" t="s">
        <v>4903</v>
      </c>
      <c r="E1855" s="15" t="s">
        <v>4904</v>
      </c>
      <c r="F1855" s="16">
        <v>0</v>
      </c>
      <c r="G1855" s="15" t="s">
        <v>4904</v>
      </c>
      <c r="H1855" s="15" t="s">
        <v>4905</v>
      </c>
      <c r="I1855" s="15">
        <v>0</v>
      </c>
      <c r="J1855" s="15">
        <v>0</v>
      </c>
      <c r="K1855" s="15">
        <v>0</v>
      </c>
      <c r="L1855" s="20">
        <v>0</v>
      </c>
      <c r="M1855" s="15">
        <v>0</v>
      </c>
      <c r="N1855" s="15">
        <v>0</v>
      </c>
      <c r="O1855" s="15">
        <v>0</v>
      </c>
      <c r="P1855" s="15">
        <v>0</v>
      </c>
      <c r="Q1855" s="15">
        <v>0</v>
      </c>
      <c r="R1855" s="15">
        <v>0</v>
      </c>
      <c r="S1855" s="15">
        <v>0</v>
      </c>
      <c r="T1855" s="15">
        <v>0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</row>
    <row r="1856" spans="1:43">
      <c r="A1856" s="15" t="s">
        <v>49</v>
      </c>
      <c r="B1856" s="15" t="s">
        <v>50</v>
      </c>
      <c r="C1856" s="15" t="s">
        <v>61</v>
      </c>
      <c r="D1856" s="15" t="s">
        <v>4906</v>
      </c>
      <c r="E1856" s="15" t="s">
        <v>4907</v>
      </c>
      <c r="F1856" s="16">
        <v>0</v>
      </c>
      <c r="G1856" s="15" t="s">
        <v>4907</v>
      </c>
      <c r="H1856" s="15" t="s">
        <v>4908</v>
      </c>
      <c r="I1856" s="15">
        <v>0</v>
      </c>
      <c r="J1856" s="15">
        <v>0</v>
      </c>
      <c r="K1856" s="15">
        <v>0</v>
      </c>
      <c r="L1856" s="20">
        <v>0</v>
      </c>
      <c r="M1856" s="15">
        <v>0</v>
      </c>
      <c r="N1856" s="15">
        <v>0</v>
      </c>
      <c r="O1856" s="15">
        <v>0</v>
      </c>
      <c r="P1856" s="15">
        <v>0</v>
      </c>
      <c r="Q1856" s="15">
        <v>0</v>
      </c>
      <c r="R1856" s="15">
        <v>0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</row>
    <row r="1857" spans="1:43">
      <c r="A1857" s="15" t="s">
        <v>43</v>
      </c>
      <c r="B1857" s="15" t="s">
        <v>44</v>
      </c>
      <c r="C1857" s="15" t="s">
        <v>45</v>
      </c>
      <c r="D1857" s="15" t="s">
        <v>4909</v>
      </c>
      <c r="E1857" s="15" t="s">
        <v>4910</v>
      </c>
      <c r="F1857" s="16">
        <v>43280.4033101852</v>
      </c>
      <c r="G1857" s="15" t="s">
        <v>4910</v>
      </c>
      <c r="H1857" s="15" t="s">
        <v>4911</v>
      </c>
      <c r="I1857" s="15">
        <v>0</v>
      </c>
      <c r="J1857" s="15">
        <v>0</v>
      </c>
      <c r="K1857" s="15">
        <v>0</v>
      </c>
      <c r="L1857" s="20">
        <v>0</v>
      </c>
      <c r="M1857" s="15">
        <v>0</v>
      </c>
      <c r="N1857" s="15">
        <v>0</v>
      </c>
      <c r="O1857" s="15">
        <v>0</v>
      </c>
      <c r="P1857" s="15">
        <v>0</v>
      </c>
      <c r="Q1857" s="15">
        <v>0</v>
      </c>
      <c r="R1857" s="15">
        <v>0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</row>
    <row r="1858" spans="1:43">
      <c r="A1858" s="15" t="s">
        <v>43</v>
      </c>
      <c r="B1858" s="15" t="s">
        <v>44</v>
      </c>
      <c r="C1858" s="15" t="s">
        <v>45</v>
      </c>
      <c r="D1858" s="15" t="s">
        <v>4912</v>
      </c>
      <c r="E1858" s="15" t="s">
        <v>4913</v>
      </c>
      <c r="F1858" s="16">
        <v>42606.4595833333</v>
      </c>
      <c r="G1858" s="15" t="s">
        <v>4913</v>
      </c>
      <c r="H1858" s="15" t="s">
        <v>4914</v>
      </c>
      <c r="I1858" s="15">
        <v>0</v>
      </c>
      <c r="J1858" s="15">
        <v>0</v>
      </c>
      <c r="K1858" s="15">
        <v>0</v>
      </c>
      <c r="L1858" s="20">
        <v>0</v>
      </c>
      <c r="M1858" s="15">
        <v>0</v>
      </c>
      <c r="N1858" s="15">
        <v>0</v>
      </c>
      <c r="O1858" s="15">
        <v>0</v>
      </c>
      <c r="P1858" s="15">
        <v>0</v>
      </c>
      <c r="Q1858" s="15">
        <v>0</v>
      </c>
      <c r="R1858" s="15">
        <v>0</v>
      </c>
      <c r="S1858" s="15">
        <v>0</v>
      </c>
      <c r="T1858" s="15">
        <v>0</v>
      </c>
      <c r="U1858" s="15">
        <v>0</v>
      </c>
      <c r="V1858" s="15">
        <v>0</v>
      </c>
      <c r="W1858" s="15">
        <v>0</v>
      </c>
      <c r="X1858" s="15">
        <v>0</v>
      </c>
      <c r="Y1858" s="15">
        <v>0</v>
      </c>
      <c r="Z1858" s="15">
        <v>0</v>
      </c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</row>
    <row r="1859" spans="1:43">
      <c r="A1859" s="15" t="s">
        <v>43</v>
      </c>
      <c r="B1859" s="15" t="s">
        <v>44</v>
      </c>
      <c r="C1859" s="15" t="s">
        <v>45</v>
      </c>
      <c r="D1859" s="15" t="s">
        <v>4915</v>
      </c>
      <c r="E1859" s="15" t="s">
        <v>4916</v>
      </c>
      <c r="F1859" s="16">
        <v>41690.7019675926</v>
      </c>
      <c r="G1859" s="15" t="s">
        <v>4916</v>
      </c>
      <c r="H1859" s="15" t="s">
        <v>4917</v>
      </c>
      <c r="I1859" s="15">
        <v>0</v>
      </c>
      <c r="J1859" s="15">
        <v>0</v>
      </c>
      <c r="K1859" s="15">
        <v>0</v>
      </c>
      <c r="L1859" s="20">
        <v>0</v>
      </c>
      <c r="M1859" s="15">
        <v>0</v>
      </c>
      <c r="N1859" s="15">
        <v>0</v>
      </c>
      <c r="O1859" s="15">
        <v>0</v>
      </c>
      <c r="P1859" s="15">
        <v>0</v>
      </c>
      <c r="Q1859" s="15">
        <v>0</v>
      </c>
      <c r="R1859" s="15">
        <v>0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</row>
    <row r="1860" spans="1:43">
      <c r="A1860" s="15" t="s">
        <v>43</v>
      </c>
      <c r="B1860" s="15" t="s">
        <v>44</v>
      </c>
      <c r="C1860" s="15" t="s">
        <v>45</v>
      </c>
      <c r="D1860" s="15" t="s">
        <v>4918</v>
      </c>
      <c r="E1860" s="15" t="s">
        <v>4919</v>
      </c>
      <c r="F1860" s="16">
        <v>41871.5830324074</v>
      </c>
      <c r="G1860" s="15" t="s">
        <v>4919</v>
      </c>
      <c r="H1860" s="15" t="s">
        <v>4920</v>
      </c>
      <c r="I1860" s="15">
        <v>0</v>
      </c>
      <c r="J1860" s="15">
        <v>0</v>
      </c>
      <c r="K1860" s="15">
        <v>0</v>
      </c>
      <c r="L1860" s="20">
        <v>0</v>
      </c>
      <c r="M1860" s="15">
        <v>0</v>
      </c>
      <c r="N1860" s="15">
        <v>0</v>
      </c>
      <c r="O1860" s="15">
        <v>0</v>
      </c>
      <c r="P1860" s="15">
        <v>0</v>
      </c>
      <c r="Q1860" s="15">
        <v>0</v>
      </c>
      <c r="R1860" s="15">
        <v>0</v>
      </c>
      <c r="S1860" s="15">
        <v>0</v>
      </c>
      <c r="T1860" s="15">
        <v>0</v>
      </c>
      <c r="U1860" s="15">
        <v>0</v>
      </c>
      <c r="V1860" s="15">
        <v>0</v>
      </c>
      <c r="W1860" s="15">
        <v>0</v>
      </c>
      <c r="X1860" s="15">
        <v>0</v>
      </c>
      <c r="Y1860" s="15">
        <v>0</v>
      </c>
      <c r="Z1860" s="15">
        <v>0</v>
      </c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</row>
    <row r="1861" spans="1:43">
      <c r="A1861" s="15" t="s">
        <v>49</v>
      </c>
      <c r="B1861" s="15" t="s">
        <v>50</v>
      </c>
      <c r="C1861" s="15" t="s">
        <v>61</v>
      </c>
      <c r="D1861" s="15" t="s">
        <v>4921</v>
      </c>
      <c r="E1861" s="15" t="s">
        <v>4922</v>
      </c>
      <c r="F1861" s="16">
        <v>0</v>
      </c>
      <c r="G1861" s="15" t="s">
        <v>4922</v>
      </c>
      <c r="H1861" s="15" t="s">
        <v>4923</v>
      </c>
      <c r="I1861" s="15">
        <v>0</v>
      </c>
      <c r="J1861" s="15">
        <v>0</v>
      </c>
      <c r="K1861" s="15">
        <v>0</v>
      </c>
      <c r="L1861" s="20">
        <v>0</v>
      </c>
      <c r="M1861" s="15">
        <v>0</v>
      </c>
      <c r="N1861" s="15">
        <v>0</v>
      </c>
      <c r="O1861" s="15">
        <v>0</v>
      </c>
      <c r="P1861" s="15">
        <v>0</v>
      </c>
      <c r="Q1861" s="15">
        <v>0</v>
      </c>
      <c r="R1861" s="15">
        <v>0</v>
      </c>
      <c r="S1861" s="15">
        <v>0</v>
      </c>
      <c r="T1861" s="15">
        <v>0</v>
      </c>
      <c r="U1861" s="15">
        <v>0</v>
      </c>
      <c r="V1861" s="15">
        <v>0</v>
      </c>
      <c r="W1861" s="15">
        <v>0</v>
      </c>
      <c r="X1861" s="15">
        <v>0</v>
      </c>
      <c r="Y1861" s="15">
        <v>0</v>
      </c>
      <c r="Z1861" s="15">
        <v>0</v>
      </c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</row>
    <row r="1862" spans="1:43">
      <c r="A1862" s="15" t="s">
        <v>64</v>
      </c>
      <c r="B1862" s="15" t="s">
        <v>65</v>
      </c>
      <c r="C1862" s="15" t="s">
        <v>66</v>
      </c>
      <c r="D1862" s="15" t="s">
        <v>4924</v>
      </c>
      <c r="E1862" s="15" t="s">
        <v>4925</v>
      </c>
      <c r="F1862" s="16">
        <v>45131.4563773148</v>
      </c>
      <c r="G1862" s="15" t="s">
        <v>4925</v>
      </c>
      <c r="H1862" s="15" t="s">
        <v>54</v>
      </c>
      <c r="I1862" s="15">
        <v>1703.08</v>
      </c>
      <c r="J1862" s="15">
        <v>14</v>
      </c>
      <c r="K1862" s="15">
        <v>121.648571428571</v>
      </c>
      <c r="L1862" s="20">
        <v>1.73783673469388</v>
      </c>
      <c r="M1862" s="15">
        <v>48.17</v>
      </c>
      <c r="N1862" s="15">
        <v>5.2</v>
      </c>
      <c r="O1862" s="15">
        <v>265.47</v>
      </c>
      <c r="P1862" s="15">
        <v>87.68</v>
      </c>
      <c r="Q1862" s="15">
        <v>104.99</v>
      </c>
      <c r="R1862" s="15">
        <v>196.78</v>
      </c>
      <c r="S1862" s="15">
        <v>18.22</v>
      </c>
      <c r="T1862" s="15">
        <v>168.54</v>
      </c>
      <c r="U1862" s="15">
        <v>90.57</v>
      </c>
      <c r="V1862" s="15">
        <v>163.78</v>
      </c>
      <c r="W1862" s="15">
        <v>42.57</v>
      </c>
      <c r="X1862" s="15">
        <v>332.08</v>
      </c>
      <c r="Y1862" s="15">
        <v>60.48</v>
      </c>
      <c r="Z1862" s="15">
        <v>118.55</v>
      </c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</row>
    <row r="1863" spans="1:43">
      <c r="A1863" s="15" t="s">
        <v>43</v>
      </c>
      <c r="B1863" s="15" t="s">
        <v>44</v>
      </c>
      <c r="C1863" s="15" t="s">
        <v>45</v>
      </c>
      <c r="D1863" s="15" t="s">
        <v>4926</v>
      </c>
      <c r="E1863" s="15" t="s">
        <v>4927</v>
      </c>
      <c r="F1863" s="16">
        <v>43570.7167592593</v>
      </c>
      <c r="G1863" s="15" t="s">
        <v>4927</v>
      </c>
      <c r="H1863" s="15" t="s">
        <v>4928</v>
      </c>
      <c r="I1863" s="15">
        <v>0</v>
      </c>
      <c r="J1863" s="15">
        <v>0</v>
      </c>
      <c r="K1863" s="15">
        <v>0</v>
      </c>
      <c r="L1863" s="20">
        <v>0</v>
      </c>
      <c r="M1863" s="15">
        <v>0</v>
      </c>
      <c r="N1863" s="15">
        <v>0</v>
      </c>
      <c r="O1863" s="15">
        <v>0</v>
      </c>
      <c r="P1863" s="15">
        <v>0</v>
      </c>
      <c r="Q1863" s="15">
        <v>0</v>
      </c>
      <c r="R1863" s="15">
        <v>0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</row>
    <row r="1864" spans="1:43">
      <c r="A1864" s="15" t="s">
        <v>43</v>
      </c>
      <c r="B1864" s="15" t="s">
        <v>44</v>
      </c>
      <c r="C1864" s="15" t="s">
        <v>45</v>
      </c>
      <c r="D1864" s="15" t="s">
        <v>4929</v>
      </c>
      <c r="E1864" s="15" t="s">
        <v>4930</v>
      </c>
      <c r="F1864" s="16">
        <v>43804.6849189815</v>
      </c>
      <c r="G1864" s="15" t="s">
        <v>4930</v>
      </c>
      <c r="H1864" s="15" t="s">
        <v>4931</v>
      </c>
      <c r="I1864" s="15">
        <v>0</v>
      </c>
      <c r="J1864" s="15">
        <v>0</v>
      </c>
      <c r="K1864" s="15">
        <v>0</v>
      </c>
      <c r="L1864" s="20">
        <v>0</v>
      </c>
      <c r="M1864" s="15">
        <v>0</v>
      </c>
      <c r="N1864" s="15">
        <v>0</v>
      </c>
      <c r="O1864" s="15">
        <v>0</v>
      </c>
      <c r="P1864" s="15">
        <v>0</v>
      </c>
      <c r="Q1864" s="15">
        <v>0</v>
      </c>
      <c r="R1864" s="15">
        <v>0</v>
      </c>
      <c r="S1864" s="15">
        <v>0</v>
      </c>
      <c r="T1864" s="15">
        <v>0</v>
      </c>
      <c r="U1864" s="15">
        <v>0</v>
      </c>
      <c r="V1864" s="15">
        <v>0</v>
      </c>
      <c r="W1864" s="15">
        <v>0</v>
      </c>
      <c r="X1864" s="15">
        <v>0</v>
      </c>
      <c r="Y1864" s="15">
        <v>0</v>
      </c>
      <c r="Z1864" s="15">
        <v>0</v>
      </c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</row>
    <row r="1865" spans="1:43">
      <c r="A1865" s="15" t="s">
        <v>43</v>
      </c>
      <c r="B1865" s="15" t="s">
        <v>44</v>
      </c>
      <c r="C1865" s="15" t="s">
        <v>45</v>
      </c>
      <c r="D1865" s="15" t="s">
        <v>4932</v>
      </c>
      <c r="E1865" s="15" t="s">
        <v>4933</v>
      </c>
      <c r="F1865" s="16">
        <v>41886.3730902778</v>
      </c>
      <c r="G1865" s="15" t="s">
        <v>4933</v>
      </c>
      <c r="H1865" s="15" t="s">
        <v>4934</v>
      </c>
      <c r="I1865" s="15">
        <v>0</v>
      </c>
      <c r="J1865" s="15">
        <v>0</v>
      </c>
      <c r="K1865" s="15">
        <v>0</v>
      </c>
      <c r="L1865" s="20">
        <v>0</v>
      </c>
      <c r="M1865" s="15">
        <v>0</v>
      </c>
      <c r="N1865" s="15">
        <v>0</v>
      </c>
      <c r="O1865" s="15">
        <v>0</v>
      </c>
      <c r="P1865" s="15">
        <v>0</v>
      </c>
      <c r="Q1865" s="15">
        <v>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0</v>
      </c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</row>
    <row r="1866" spans="1:43">
      <c r="A1866" s="15" t="s">
        <v>49</v>
      </c>
      <c r="B1866" s="15" t="s">
        <v>50</v>
      </c>
      <c r="C1866" s="15" t="s">
        <v>61</v>
      </c>
      <c r="D1866" s="15" t="s">
        <v>4935</v>
      </c>
      <c r="E1866" s="15" t="s">
        <v>4936</v>
      </c>
      <c r="F1866" s="16">
        <v>0</v>
      </c>
      <c r="G1866" s="15" t="s">
        <v>4936</v>
      </c>
      <c r="H1866" s="15" t="s">
        <v>54</v>
      </c>
      <c r="I1866" s="15">
        <v>0</v>
      </c>
      <c r="J1866" s="15">
        <v>0</v>
      </c>
      <c r="K1866" s="15">
        <v>0</v>
      </c>
      <c r="L1866" s="20">
        <v>0</v>
      </c>
      <c r="M1866" s="15">
        <v>0</v>
      </c>
      <c r="N1866" s="15">
        <v>0</v>
      </c>
      <c r="O1866" s="15">
        <v>0</v>
      </c>
      <c r="P1866" s="15">
        <v>0</v>
      </c>
      <c r="Q1866" s="15">
        <v>0</v>
      </c>
      <c r="R1866" s="15">
        <v>0</v>
      </c>
      <c r="S1866" s="15">
        <v>0</v>
      </c>
      <c r="T1866" s="15">
        <v>0</v>
      </c>
      <c r="U1866" s="15">
        <v>0</v>
      </c>
      <c r="V1866" s="15">
        <v>0</v>
      </c>
      <c r="W1866" s="15">
        <v>0</v>
      </c>
      <c r="X1866" s="15">
        <v>0</v>
      </c>
      <c r="Y1866" s="15">
        <v>0</v>
      </c>
      <c r="Z1866" s="15">
        <v>0</v>
      </c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</row>
    <row r="1867" spans="1:43">
      <c r="A1867" s="15" t="s">
        <v>43</v>
      </c>
      <c r="B1867" s="15" t="s">
        <v>44</v>
      </c>
      <c r="C1867" s="15" t="s">
        <v>45</v>
      </c>
      <c r="D1867" s="15" t="s">
        <v>4937</v>
      </c>
      <c r="E1867" s="15" t="s">
        <v>4938</v>
      </c>
      <c r="F1867" s="16">
        <v>43210.7047453704</v>
      </c>
      <c r="G1867" s="15" t="s">
        <v>4938</v>
      </c>
      <c r="H1867" s="15" t="s">
        <v>4939</v>
      </c>
      <c r="I1867" s="15">
        <v>0</v>
      </c>
      <c r="J1867" s="15">
        <v>0</v>
      </c>
      <c r="K1867" s="15">
        <v>0</v>
      </c>
      <c r="L1867" s="20">
        <v>0</v>
      </c>
      <c r="M1867" s="15">
        <v>0</v>
      </c>
      <c r="N1867" s="15">
        <v>0</v>
      </c>
      <c r="O1867" s="15">
        <v>0</v>
      </c>
      <c r="P1867" s="15">
        <v>0</v>
      </c>
      <c r="Q1867" s="15">
        <v>0</v>
      </c>
      <c r="R1867" s="15">
        <v>0</v>
      </c>
      <c r="S1867" s="15">
        <v>0</v>
      </c>
      <c r="T1867" s="15">
        <v>0</v>
      </c>
      <c r="U1867" s="15">
        <v>0</v>
      </c>
      <c r="V1867" s="15">
        <v>0</v>
      </c>
      <c r="W1867" s="15">
        <v>0</v>
      </c>
      <c r="X1867" s="15">
        <v>0</v>
      </c>
      <c r="Y1867" s="15">
        <v>0</v>
      </c>
      <c r="Z1867" s="15">
        <v>0</v>
      </c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</row>
    <row r="1868" spans="1:43">
      <c r="A1868" s="15" t="s">
        <v>64</v>
      </c>
      <c r="B1868" s="15" t="s">
        <v>65</v>
      </c>
      <c r="C1868" s="15" t="s">
        <v>78</v>
      </c>
      <c r="D1868" s="15" t="s">
        <v>4940</v>
      </c>
      <c r="E1868" s="15" t="s">
        <v>4941</v>
      </c>
      <c r="F1868" s="16">
        <v>44861.4658217593</v>
      </c>
      <c r="G1868" s="15" t="s">
        <v>4941</v>
      </c>
      <c r="H1868" s="15" t="s">
        <v>4942</v>
      </c>
      <c r="I1868" s="15">
        <v>1465.19</v>
      </c>
      <c r="J1868" s="15">
        <v>14</v>
      </c>
      <c r="K1868" s="15">
        <v>104.656428571429</v>
      </c>
      <c r="L1868" s="20">
        <v>1.49509183673469</v>
      </c>
      <c r="M1868" s="15">
        <v>98.05</v>
      </c>
      <c r="N1868" s="15">
        <v>104.56</v>
      </c>
      <c r="O1868" s="15">
        <v>109.02</v>
      </c>
      <c r="P1868" s="15">
        <v>105.17</v>
      </c>
      <c r="Q1868" s="15">
        <v>81.24</v>
      </c>
      <c r="R1868" s="15">
        <v>114.05</v>
      </c>
      <c r="S1868" s="15">
        <v>102.12</v>
      </c>
      <c r="T1868" s="15">
        <v>112.4</v>
      </c>
      <c r="U1868" s="15">
        <v>114.95</v>
      </c>
      <c r="V1868" s="15">
        <v>102.97</v>
      </c>
      <c r="W1868" s="15">
        <v>107.1</v>
      </c>
      <c r="X1868" s="15">
        <v>102.94</v>
      </c>
      <c r="Y1868" s="15">
        <v>104.57</v>
      </c>
      <c r="Z1868" s="15">
        <v>106.05</v>
      </c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</row>
    <row r="1869" spans="1:43">
      <c r="A1869" s="15" t="s">
        <v>49</v>
      </c>
      <c r="B1869" s="15" t="s">
        <v>50</v>
      </c>
      <c r="C1869" s="15" t="s">
        <v>61</v>
      </c>
      <c r="D1869" s="15" t="s">
        <v>4943</v>
      </c>
      <c r="E1869" s="15" t="s">
        <v>4944</v>
      </c>
      <c r="F1869" s="16">
        <v>0</v>
      </c>
      <c r="G1869" s="15" t="s">
        <v>4944</v>
      </c>
      <c r="H1869" s="15" t="s">
        <v>54</v>
      </c>
      <c r="I1869" s="15">
        <v>0</v>
      </c>
      <c r="J1869" s="15">
        <v>0</v>
      </c>
      <c r="K1869" s="15">
        <v>0</v>
      </c>
      <c r="L1869" s="20">
        <v>0</v>
      </c>
      <c r="M1869" s="15">
        <v>0</v>
      </c>
      <c r="N1869" s="15">
        <v>0</v>
      </c>
      <c r="O1869" s="15">
        <v>0</v>
      </c>
      <c r="P1869" s="15">
        <v>0</v>
      </c>
      <c r="Q1869" s="15">
        <v>0</v>
      </c>
      <c r="R1869" s="15">
        <v>0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0</v>
      </c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</row>
    <row r="1870" spans="1:43">
      <c r="A1870" s="15" t="s">
        <v>43</v>
      </c>
      <c r="B1870" s="15" t="s">
        <v>44</v>
      </c>
      <c r="C1870" s="15" t="s">
        <v>45</v>
      </c>
      <c r="D1870" s="15" t="s">
        <v>4945</v>
      </c>
      <c r="E1870" s="15" t="s">
        <v>4946</v>
      </c>
      <c r="F1870" s="16">
        <v>44130.4625578704</v>
      </c>
      <c r="G1870" s="15" t="s">
        <v>4946</v>
      </c>
      <c r="H1870" s="15" t="s">
        <v>54</v>
      </c>
      <c r="I1870" s="15">
        <v>0</v>
      </c>
      <c r="J1870" s="15">
        <v>0</v>
      </c>
      <c r="K1870" s="15">
        <v>0</v>
      </c>
      <c r="L1870" s="20">
        <v>0</v>
      </c>
      <c r="M1870" s="15">
        <v>0</v>
      </c>
      <c r="N1870" s="15">
        <v>0</v>
      </c>
      <c r="O1870" s="15">
        <v>0</v>
      </c>
      <c r="P1870" s="15">
        <v>0</v>
      </c>
      <c r="Q1870" s="15">
        <v>0</v>
      </c>
      <c r="R1870" s="15">
        <v>0</v>
      </c>
      <c r="S1870" s="15">
        <v>0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0</v>
      </c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</row>
    <row r="1871" spans="1:43">
      <c r="A1871" s="15" t="s">
        <v>49</v>
      </c>
      <c r="B1871" s="15" t="s">
        <v>50</v>
      </c>
      <c r="C1871" s="15" t="s">
        <v>61</v>
      </c>
      <c r="D1871" s="15" t="s">
        <v>4947</v>
      </c>
      <c r="E1871" s="15" t="s">
        <v>3777</v>
      </c>
      <c r="F1871" s="16">
        <v>0</v>
      </c>
      <c r="G1871" s="15" t="s">
        <v>3777</v>
      </c>
      <c r="H1871" s="15" t="s">
        <v>54</v>
      </c>
      <c r="I1871" s="15">
        <v>0</v>
      </c>
      <c r="J1871" s="15">
        <v>0</v>
      </c>
      <c r="K1871" s="15">
        <v>0</v>
      </c>
      <c r="L1871" s="20">
        <v>0</v>
      </c>
      <c r="M1871" s="15">
        <v>0</v>
      </c>
      <c r="N1871" s="15">
        <v>0</v>
      </c>
      <c r="O1871" s="15">
        <v>0</v>
      </c>
      <c r="P1871" s="15">
        <v>0</v>
      </c>
      <c r="Q1871" s="15">
        <v>0</v>
      </c>
      <c r="R1871" s="15">
        <v>0</v>
      </c>
      <c r="S1871" s="15">
        <v>0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</row>
    <row r="1872" spans="1:43">
      <c r="A1872" s="15" t="s">
        <v>43</v>
      </c>
      <c r="B1872" s="15" t="s">
        <v>44</v>
      </c>
      <c r="C1872" s="15" t="s">
        <v>440</v>
      </c>
      <c r="D1872" s="15" t="s">
        <v>4948</v>
      </c>
      <c r="E1872" s="15" t="s">
        <v>4949</v>
      </c>
      <c r="F1872" s="16">
        <v>44739.6438194444</v>
      </c>
      <c r="G1872" s="15" t="s">
        <v>4949</v>
      </c>
      <c r="H1872" s="15" t="s">
        <v>4950</v>
      </c>
      <c r="I1872" s="15">
        <v>82.44</v>
      </c>
      <c r="J1872" s="15">
        <v>13</v>
      </c>
      <c r="K1872" s="15">
        <v>6.34153846153846</v>
      </c>
      <c r="L1872" s="20">
        <v>0.126830769230769</v>
      </c>
      <c r="M1872" s="15">
        <v>4.03</v>
      </c>
      <c r="N1872" s="15">
        <v>7.06</v>
      </c>
      <c r="O1872" s="15">
        <v>2.6</v>
      </c>
      <c r="P1872" s="15">
        <v>0</v>
      </c>
      <c r="Q1872" s="15">
        <v>4.92</v>
      </c>
      <c r="R1872" s="15">
        <v>6.6</v>
      </c>
      <c r="S1872" s="15">
        <v>8.47</v>
      </c>
      <c r="T1872" s="15">
        <v>9.8</v>
      </c>
      <c r="U1872" s="15">
        <v>11.67</v>
      </c>
      <c r="V1872" s="15">
        <v>4.34</v>
      </c>
      <c r="W1872" s="15">
        <v>6.97</v>
      </c>
      <c r="X1872" s="15">
        <v>1.32</v>
      </c>
      <c r="Y1872" s="15">
        <v>5.91</v>
      </c>
      <c r="Z1872" s="15">
        <v>8.75</v>
      </c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</row>
    <row r="1873" spans="1:43">
      <c r="A1873" s="15" t="s">
        <v>43</v>
      </c>
      <c r="B1873" s="15" t="s">
        <v>44</v>
      </c>
      <c r="C1873" s="15" t="s">
        <v>45</v>
      </c>
      <c r="D1873" s="15" t="s">
        <v>4951</v>
      </c>
      <c r="E1873" s="15" t="s">
        <v>4952</v>
      </c>
      <c r="F1873" s="16">
        <v>43049.6374537037</v>
      </c>
      <c r="G1873" s="15" t="s">
        <v>4952</v>
      </c>
      <c r="H1873" s="15" t="s">
        <v>4953</v>
      </c>
      <c r="I1873" s="15">
        <v>0</v>
      </c>
      <c r="J1873" s="15">
        <v>0</v>
      </c>
      <c r="K1873" s="15">
        <v>0</v>
      </c>
      <c r="L1873" s="20">
        <v>0</v>
      </c>
      <c r="M1873" s="15">
        <v>0</v>
      </c>
      <c r="N1873" s="15">
        <v>0</v>
      </c>
      <c r="O1873" s="15">
        <v>0</v>
      </c>
      <c r="P1873" s="15">
        <v>0</v>
      </c>
      <c r="Q1873" s="15">
        <v>0</v>
      </c>
      <c r="R1873" s="15">
        <v>0</v>
      </c>
      <c r="S1873" s="15">
        <v>0</v>
      </c>
      <c r="T1873" s="15">
        <v>0</v>
      </c>
      <c r="U1873" s="15">
        <v>0</v>
      </c>
      <c r="V1873" s="15">
        <v>0</v>
      </c>
      <c r="W1873" s="15">
        <v>0</v>
      </c>
      <c r="X1873" s="15">
        <v>0</v>
      </c>
      <c r="Y1873" s="15">
        <v>0</v>
      </c>
      <c r="Z1873" s="15">
        <v>0</v>
      </c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</row>
    <row r="1874" spans="1:43">
      <c r="A1874" s="15" t="s">
        <v>49</v>
      </c>
      <c r="B1874" s="15" t="s">
        <v>50</v>
      </c>
      <c r="C1874" s="15" t="s">
        <v>61</v>
      </c>
      <c r="D1874" s="15" t="s">
        <v>4954</v>
      </c>
      <c r="E1874" s="15" t="s">
        <v>4955</v>
      </c>
      <c r="F1874" s="16">
        <v>0</v>
      </c>
      <c r="G1874" s="15" t="s">
        <v>4955</v>
      </c>
      <c r="H1874" s="15" t="s">
        <v>54</v>
      </c>
      <c r="I1874" s="15">
        <v>0</v>
      </c>
      <c r="J1874" s="15">
        <v>0</v>
      </c>
      <c r="K1874" s="15">
        <v>0</v>
      </c>
      <c r="L1874" s="20">
        <v>0</v>
      </c>
      <c r="M1874" s="15">
        <v>0</v>
      </c>
      <c r="N1874" s="15">
        <v>0</v>
      </c>
      <c r="O1874" s="15">
        <v>0</v>
      </c>
      <c r="P1874" s="15">
        <v>0</v>
      </c>
      <c r="Q1874" s="15">
        <v>0</v>
      </c>
      <c r="R1874" s="15">
        <v>0</v>
      </c>
      <c r="S1874" s="15">
        <v>0</v>
      </c>
      <c r="T1874" s="15">
        <v>0</v>
      </c>
      <c r="U1874" s="15">
        <v>0</v>
      </c>
      <c r="V1874" s="15">
        <v>0</v>
      </c>
      <c r="W1874" s="15">
        <v>0</v>
      </c>
      <c r="X1874" s="15">
        <v>0</v>
      </c>
      <c r="Y1874" s="15">
        <v>0</v>
      </c>
      <c r="Z1874" s="15">
        <v>0</v>
      </c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</row>
    <row r="1875" spans="1:43">
      <c r="A1875" s="15" t="s">
        <v>43</v>
      </c>
      <c r="B1875" s="15" t="s">
        <v>44</v>
      </c>
      <c r="C1875" s="15" t="s">
        <v>45</v>
      </c>
      <c r="D1875" s="15" t="s">
        <v>4956</v>
      </c>
      <c r="E1875" s="15" t="s">
        <v>4957</v>
      </c>
      <c r="F1875" s="16">
        <v>41893.4726388889</v>
      </c>
      <c r="G1875" s="15" t="s">
        <v>4957</v>
      </c>
      <c r="H1875" s="15" t="s">
        <v>4958</v>
      </c>
      <c r="I1875" s="15">
        <v>0</v>
      </c>
      <c r="J1875" s="15">
        <v>0</v>
      </c>
      <c r="K1875" s="15">
        <v>0</v>
      </c>
      <c r="L1875" s="20">
        <v>0</v>
      </c>
      <c r="M1875" s="15">
        <v>0</v>
      </c>
      <c r="N1875" s="15">
        <v>0</v>
      </c>
      <c r="O1875" s="15">
        <v>0</v>
      </c>
      <c r="P1875" s="15">
        <v>0</v>
      </c>
      <c r="Q1875" s="15">
        <v>0</v>
      </c>
      <c r="R1875" s="15">
        <v>0</v>
      </c>
      <c r="S1875" s="15">
        <v>0</v>
      </c>
      <c r="T1875" s="15">
        <v>0</v>
      </c>
      <c r="U1875" s="15">
        <v>0</v>
      </c>
      <c r="V1875" s="15">
        <v>0</v>
      </c>
      <c r="W1875" s="15">
        <v>0</v>
      </c>
      <c r="X1875" s="15">
        <v>0</v>
      </c>
      <c r="Y1875" s="15">
        <v>0</v>
      </c>
      <c r="Z1875" s="15">
        <v>0</v>
      </c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</row>
    <row r="1876" spans="1:43">
      <c r="A1876" s="15" t="s">
        <v>43</v>
      </c>
      <c r="B1876" s="15" t="s">
        <v>44</v>
      </c>
      <c r="C1876" s="15" t="s">
        <v>45</v>
      </c>
      <c r="D1876" s="15" t="s">
        <v>4959</v>
      </c>
      <c r="E1876" s="15" t="s">
        <v>4960</v>
      </c>
      <c r="F1876" s="16">
        <v>42998.7244328704</v>
      </c>
      <c r="G1876" s="15" t="s">
        <v>4960</v>
      </c>
      <c r="H1876" s="15" t="s">
        <v>4961</v>
      </c>
      <c r="I1876" s="15">
        <v>0</v>
      </c>
      <c r="J1876" s="15">
        <v>0</v>
      </c>
      <c r="K1876" s="15">
        <v>0</v>
      </c>
      <c r="L1876" s="20">
        <v>0</v>
      </c>
      <c r="M1876" s="15">
        <v>0</v>
      </c>
      <c r="N1876" s="15">
        <v>0</v>
      </c>
      <c r="O1876" s="15">
        <v>0</v>
      </c>
      <c r="P1876" s="15">
        <v>0</v>
      </c>
      <c r="Q1876" s="15">
        <v>0</v>
      </c>
      <c r="R1876" s="15">
        <v>0</v>
      </c>
      <c r="S1876" s="15">
        <v>0</v>
      </c>
      <c r="T1876" s="15">
        <v>0</v>
      </c>
      <c r="U1876" s="15">
        <v>0</v>
      </c>
      <c r="V1876" s="15">
        <v>0</v>
      </c>
      <c r="W1876" s="15">
        <v>0</v>
      </c>
      <c r="X1876" s="15">
        <v>0</v>
      </c>
      <c r="Y1876" s="15">
        <v>0</v>
      </c>
      <c r="Z1876" s="15">
        <v>0</v>
      </c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</row>
    <row r="1877" spans="1:43">
      <c r="A1877" s="15" t="s">
        <v>49</v>
      </c>
      <c r="B1877" s="15" t="s">
        <v>50</v>
      </c>
      <c r="C1877" s="15" t="s">
        <v>61</v>
      </c>
      <c r="D1877" s="15" t="s">
        <v>4962</v>
      </c>
      <c r="E1877" s="15" t="s">
        <v>4963</v>
      </c>
      <c r="F1877" s="16">
        <v>0</v>
      </c>
      <c r="G1877" s="15" t="s">
        <v>4963</v>
      </c>
      <c r="H1877" s="15" t="s">
        <v>4964</v>
      </c>
      <c r="I1877" s="15">
        <v>0</v>
      </c>
      <c r="J1877" s="15">
        <v>0</v>
      </c>
      <c r="K1877" s="15">
        <v>0</v>
      </c>
      <c r="L1877" s="20">
        <v>0</v>
      </c>
      <c r="M1877" s="15">
        <v>0</v>
      </c>
      <c r="N1877" s="15">
        <v>0</v>
      </c>
      <c r="O1877" s="15">
        <v>0</v>
      </c>
      <c r="P1877" s="15">
        <v>0</v>
      </c>
      <c r="Q1877" s="15">
        <v>0</v>
      </c>
      <c r="R1877" s="15">
        <v>0</v>
      </c>
      <c r="S1877" s="15">
        <v>0</v>
      </c>
      <c r="T1877" s="15">
        <v>0</v>
      </c>
      <c r="U1877" s="15">
        <v>0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</row>
    <row r="1878" spans="1:43">
      <c r="A1878" s="15" t="s">
        <v>43</v>
      </c>
      <c r="B1878" s="15" t="s">
        <v>44</v>
      </c>
      <c r="C1878" s="15" t="s">
        <v>45</v>
      </c>
      <c r="D1878" s="15" t="s">
        <v>4965</v>
      </c>
      <c r="E1878" s="15" t="s">
        <v>4966</v>
      </c>
      <c r="F1878" s="16">
        <v>41751.6772337963</v>
      </c>
      <c r="G1878" s="15" t="s">
        <v>4966</v>
      </c>
      <c r="H1878" s="15" t="s">
        <v>4967</v>
      </c>
      <c r="I1878" s="15">
        <v>0</v>
      </c>
      <c r="J1878" s="15">
        <v>0</v>
      </c>
      <c r="K1878" s="15">
        <v>0</v>
      </c>
      <c r="L1878" s="20">
        <v>0</v>
      </c>
      <c r="M1878" s="15">
        <v>0</v>
      </c>
      <c r="N1878" s="15">
        <v>0</v>
      </c>
      <c r="O1878" s="15">
        <v>0</v>
      </c>
      <c r="P1878" s="15">
        <v>0</v>
      </c>
      <c r="Q1878" s="15">
        <v>0</v>
      </c>
      <c r="R1878" s="15">
        <v>0</v>
      </c>
      <c r="S1878" s="15">
        <v>0</v>
      </c>
      <c r="T1878" s="15">
        <v>0</v>
      </c>
      <c r="U1878" s="15">
        <v>0</v>
      </c>
      <c r="V1878" s="15">
        <v>0</v>
      </c>
      <c r="W1878" s="15">
        <v>0</v>
      </c>
      <c r="X1878" s="15">
        <v>0</v>
      </c>
      <c r="Y1878" s="15">
        <v>0</v>
      </c>
      <c r="Z1878" s="15">
        <v>0</v>
      </c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</row>
    <row r="1879" spans="1:43">
      <c r="A1879" s="15" t="s">
        <v>49</v>
      </c>
      <c r="B1879" s="15" t="s">
        <v>50</v>
      </c>
      <c r="C1879" s="15" t="s">
        <v>61</v>
      </c>
      <c r="D1879" s="15" t="s">
        <v>4968</v>
      </c>
      <c r="E1879" s="15" t="s">
        <v>4969</v>
      </c>
      <c r="F1879" s="16">
        <v>0</v>
      </c>
      <c r="G1879" s="15" t="s">
        <v>4969</v>
      </c>
      <c r="H1879" s="15" t="s">
        <v>54</v>
      </c>
      <c r="I1879" s="15">
        <v>0</v>
      </c>
      <c r="J1879" s="15">
        <v>0</v>
      </c>
      <c r="K1879" s="15">
        <v>0</v>
      </c>
      <c r="L1879" s="20">
        <v>0</v>
      </c>
      <c r="M1879" s="15">
        <v>0</v>
      </c>
      <c r="N1879" s="15">
        <v>0</v>
      </c>
      <c r="O1879" s="15">
        <v>0</v>
      </c>
      <c r="P1879" s="15">
        <v>0</v>
      </c>
      <c r="Q1879" s="15">
        <v>0</v>
      </c>
      <c r="R1879" s="15">
        <v>0</v>
      </c>
      <c r="S1879" s="15">
        <v>0</v>
      </c>
      <c r="T1879" s="15">
        <v>0</v>
      </c>
      <c r="U1879" s="15">
        <v>0</v>
      </c>
      <c r="V1879" s="15">
        <v>0</v>
      </c>
      <c r="W1879" s="15">
        <v>0</v>
      </c>
      <c r="X1879" s="15">
        <v>0</v>
      </c>
      <c r="Y1879" s="15">
        <v>0</v>
      </c>
      <c r="Z1879" s="15">
        <v>0</v>
      </c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</row>
    <row r="1880" spans="1:43">
      <c r="A1880" s="15" t="s">
        <v>43</v>
      </c>
      <c r="B1880" s="15" t="s">
        <v>44</v>
      </c>
      <c r="C1880" s="15" t="s">
        <v>45</v>
      </c>
      <c r="D1880" s="15" t="s">
        <v>4970</v>
      </c>
      <c r="E1880" s="15" t="s">
        <v>4971</v>
      </c>
      <c r="F1880" s="16">
        <v>40635.4831712963</v>
      </c>
      <c r="G1880" s="15" t="s">
        <v>4971</v>
      </c>
      <c r="H1880" s="15" t="s">
        <v>4972</v>
      </c>
      <c r="I1880" s="15">
        <v>0</v>
      </c>
      <c r="J1880" s="15">
        <v>0</v>
      </c>
      <c r="K1880" s="15">
        <v>0</v>
      </c>
      <c r="L1880" s="20">
        <v>0</v>
      </c>
      <c r="M1880" s="15">
        <v>0</v>
      </c>
      <c r="N1880" s="15">
        <v>0</v>
      </c>
      <c r="O1880" s="15">
        <v>0</v>
      </c>
      <c r="P1880" s="15">
        <v>0</v>
      </c>
      <c r="Q1880" s="15">
        <v>0</v>
      </c>
      <c r="R1880" s="15">
        <v>0</v>
      </c>
      <c r="S1880" s="15">
        <v>0</v>
      </c>
      <c r="T1880" s="15">
        <v>0</v>
      </c>
      <c r="U1880" s="15">
        <v>0</v>
      </c>
      <c r="V1880" s="15">
        <v>0</v>
      </c>
      <c r="W1880" s="15">
        <v>0</v>
      </c>
      <c r="X1880" s="15">
        <v>0</v>
      </c>
      <c r="Y1880" s="15">
        <v>0</v>
      </c>
      <c r="Z1880" s="15">
        <v>0</v>
      </c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</row>
    <row r="1881" spans="1:43">
      <c r="A1881" s="15" t="s">
        <v>43</v>
      </c>
      <c r="B1881" s="15" t="s">
        <v>44</v>
      </c>
      <c r="C1881" s="15" t="s">
        <v>45</v>
      </c>
      <c r="D1881" s="15" t="s">
        <v>4973</v>
      </c>
      <c r="E1881" s="15" t="s">
        <v>4974</v>
      </c>
      <c r="F1881" s="16">
        <v>40626.6241550926</v>
      </c>
      <c r="G1881" s="15" t="s">
        <v>4974</v>
      </c>
      <c r="H1881" s="15" t="s">
        <v>4975</v>
      </c>
      <c r="I1881" s="15">
        <v>0</v>
      </c>
      <c r="J1881" s="15">
        <v>0</v>
      </c>
      <c r="K1881" s="15">
        <v>0</v>
      </c>
      <c r="L1881" s="20">
        <v>0</v>
      </c>
      <c r="M1881" s="15">
        <v>0</v>
      </c>
      <c r="N1881" s="15">
        <v>0</v>
      </c>
      <c r="O1881" s="15">
        <v>0</v>
      </c>
      <c r="P1881" s="15">
        <v>0</v>
      </c>
      <c r="Q1881" s="15">
        <v>0</v>
      </c>
      <c r="R1881" s="15">
        <v>0</v>
      </c>
      <c r="S1881" s="15">
        <v>0</v>
      </c>
      <c r="T1881" s="15">
        <v>0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</row>
    <row r="1882" spans="1:43">
      <c r="A1882" s="15" t="s">
        <v>43</v>
      </c>
      <c r="B1882" s="15" t="s">
        <v>44</v>
      </c>
      <c r="C1882" s="15" t="s">
        <v>45</v>
      </c>
      <c r="D1882" s="15" t="s">
        <v>4976</v>
      </c>
      <c r="E1882" s="15" t="s">
        <v>4977</v>
      </c>
      <c r="F1882" s="16">
        <v>42727.3866087963</v>
      </c>
      <c r="G1882" s="15" t="s">
        <v>4977</v>
      </c>
      <c r="H1882" s="15" t="s">
        <v>4978</v>
      </c>
      <c r="I1882" s="15">
        <v>0</v>
      </c>
      <c r="J1882" s="15">
        <v>0</v>
      </c>
      <c r="K1882" s="15">
        <v>0</v>
      </c>
      <c r="L1882" s="20">
        <v>0</v>
      </c>
      <c r="M1882" s="15">
        <v>0</v>
      </c>
      <c r="N1882" s="15">
        <v>0</v>
      </c>
      <c r="O1882" s="15">
        <v>0</v>
      </c>
      <c r="P1882" s="15">
        <v>0</v>
      </c>
      <c r="Q1882" s="15">
        <v>0</v>
      </c>
      <c r="R1882" s="15">
        <v>0</v>
      </c>
      <c r="S1882" s="15">
        <v>0</v>
      </c>
      <c r="T1882" s="15">
        <v>0</v>
      </c>
      <c r="U1882" s="15">
        <v>0</v>
      </c>
      <c r="V1882" s="15">
        <v>0</v>
      </c>
      <c r="W1882" s="15">
        <v>0</v>
      </c>
      <c r="X1882" s="15">
        <v>0</v>
      </c>
      <c r="Y1882" s="15">
        <v>0</v>
      </c>
      <c r="Z1882" s="15">
        <v>0</v>
      </c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</row>
    <row r="1883" spans="1:43">
      <c r="A1883" s="15" t="s">
        <v>64</v>
      </c>
      <c r="B1883" s="15" t="s">
        <v>65</v>
      </c>
      <c r="C1883" s="15" t="s">
        <v>522</v>
      </c>
      <c r="D1883" s="15" t="s">
        <v>4979</v>
      </c>
      <c r="E1883" s="15" t="s">
        <v>4980</v>
      </c>
      <c r="F1883" s="16">
        <v>45148.3734837963</v>
      </c>
      <c r="G1883" s="15" t="s">
        <v>4980</v>
      </c>
      <c r="H1883" s="15" t="s">
        <v>4981</v>
      </c>
      <c r="I1883" s="15">
        <v>301.36</v>
      </c>
      <c r="J1883" s="15">
        <v>1</v>
      </c>
      <c r="K1883" s="15">
        <v>301.36</v>
      </c>
      <c r="L1883" s="20">
        <v>4.30514285714286</v>
      </c>
      <c r="M1883" s="15">
        <v>0</v>
      </c>
      <c r="N1883" s="15">
        <v>0</v>
      </c>
      <c r="O1883" s="15">
        <v>0</v>
      </c>
      <c r="P1883" s="15">
        <v>0</v>
      </c>
      <c r="Q1883" s="15">
        <v>0</v>
      </c>
      <c r="R1883" s="15">
        <v>0</v>
      </c>
      <c r="S1883" s="15">
        <v>0</v>
      </c>
      <c r="T1883" s="15">
        <v>0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301.36</v>
      </c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</row>
    <row r="1884" spans="1:43">
      <c r="A1884" s="15" t="s">
        <v>49</v>
      </c>
      <c r="B1884" s="15" t="s">
        <v>50</v>
      </c>
      <c r="C1884" s="15" t="s">
        <v>61</v>
      </c>
      <c r="D1884" s="15" t="s">
        <v>4982</v>
      </c>
      <c r="E1884" s="15" t="s">
        <v>4983</v>
      </c>
      <c r="F1884" s="16">
        <v>44393.5791898148</v>
      </c>
      <c r="G1884" s="15" t="s">
        <v>4983</v>
      </c>
      <c r="H1884" s="15" t="s">
        <v>54</v>
      </c>
      <c r="I1884" s="15">
        <v>0</v>
      </c>
      <c r="J1884" s="15">
        <v>0</v>
      </c>
      <c r="K1884" s="15">
        <v>0</v>
      </c>
      <c r="L1884" s="20">
        <v>0</v>
      </c>
      <c r="M1884" s="15">
        <v>0</v>
      </c>
      <c r="N1884" s="15">
        <v>0</v>
      </c>
      <c r="O1884" s="15">
        <v>0</v>
      </c>
      <c r="P1884" s="15">
        <v>0</v>
      </c>
      <c r="Q1884" s="15">
        <v>0</v>
      </c>
      <c r="R1884" s="15">
        <v>0</v>
      </c>
      <c r="S1884" s="15">
        <v>0</v>
      </c>
      <c r="T1884" s="15">
        <v>0</v>
      </c>
      <c r="U1884" s="15">
        <v>0</v>
      </c>
      <c r="V1884" s="15">
        <v>0</v>
      </c>
      <c r="W1884" s="15">
        <v>0</v>
      </c>
      <c r="X1884" s="15">
        <v>0</v>
      </c>
      <c r="Y1884" s="15">
        <v>0</v>
      </c>
      <c r="Z1884" s="15">
        <v>0</v>
      </c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</row>
    <row r="1885" spans="1:43">
      <c r="A1885" s="15" t="s">
        <v>49</v>
      </c>
      <c r="B1885" s="15" t="s">
        <v>50</v>
      </c>
      <c r="C1885" s="15" t="s">
        <v>61</v>
      </c>
      <c r="D1885" s="15" t="s">
        <v>4984</v>
      </c>
      <c r="E1885" s="15" t="s">
        <v>4985</v>
      </c>
      <c r="F1885" s="16">
        <v>0</v>
      </c>
      <c r="G1885" s="15" t="s">
        <v>4985</v>
      </c>
      <c r="H1885" s="15" t="s">
        <v>4986</v>
      </c>
      <c r="I1885" s="15">
        <v>0</v>
      </c>
      <c r="J1885" s="15">
        <v>0</v>
      </c>
      <c r="K1885" s="15">
        <v>0</v>
      </c>
      <c r="L1885" s="20">
        <v>0</v>
      </c>
      <c r="M1885" s="15">
        <v>0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0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</row>
    <row r="1886" spans="1:43">
      <c r="A1886" s="15" t="s">
        <v>49</v>
      </c>
      <c r="B1886" s="15" t="s">
        <v>50</v>
      </c>
      <c r="C1886" s="15" t="s">
        <v>61</v>
      </c>
      <c r="D1886" s="15" t="s">
        <v>4987</v>
      </c>
      <c r="E1886" s="15" t="s">
        <v>3299</v>
      </c>
      <c r="F1886" s="16">
        <v>0</v>
      </c>
      <c r="G1886" s="15" t="s">
        <v>3299</v>
      </c>
      <c r="H1886" s="15" t="s">
        <v>54</v>
      </c>
      <c r="I1886" s="15">
        <v>0</v>
      </c>
      <c r="J1886" s="15">
        <v>0</v>
      </c>
      <c r="K1886" s="15">
        <v>0</v>
      </c>
      <c r="L1886" s="20">
        <v>0</v>
      </c>
      <c r="M1886" s="15">
        <v>0</v>
      </c>
      <c r="N1886" s="15">
        <v>0</v>
      </c>
      <c r="O1886" s="15">
        <v>0</v>
      </c>
      <c r="P1886" s="15">
        <v>0</v>
      </c>
      <c r="Q1886" s="15">
        <v>0</v>
      </c>
      <c r="R1886" s="15">
        <v>0</v>
      </c>
      <c r="S1886" s="15">
        <v>0</v>
      </c>
      <c r="T1886" s="15">
        <v>0</v>
      </c>
      <c r="U1886" s="15">
        <v>0</v>
      </c>
      <c r="V1886" s="15">
        <v>0</v>
      </c>
      <c r="W1886" s="15">
        <v>0</v>
      </c>
      <c r="X1886" s="15">
        <v>0</v>
      </c>
      <c r="Y1886" s="15">
        <v>0</v>
      </c>
      <c r="Z1886" s="15">
        <v>0</v>
      </c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</row>
    <row r="1887" spans="1:43">
      <c r="A1887" s="15" t="s">
        <v>64</v>
      </c>
      <c r="B1887" s="15" t="s">
        <v>118</v>
      </c>
      <c r="C1887" s="15" t="s">
        <v>4988</v>
      </c>
      <c r="D1887" s="15" t="s">
        <v>4989</v>
      </c>
      <c r="E1887" s="15" t="s">
        <v>4990</v>
      </c>
      <c r="F1887" s="16">
        <v>44977.6369097222</v>
      </c>
      <c r="G1887" s="15" t="s">
        <v>4990</v>
      </c>
      <c r="H1887" s="15" t="s">
        <v>54</v>
      </c>
      <c r="I1887" s="15">
        <v>67.41</v>
      </c>
      <c r="J1887" s="15">
        <v>4</v>
      </c>
      <c r="K1887" s="15">
        <v>16.8525</v>
      </c>
      <c r="L1887" s="20">
        <v>0.24075</v>
      </c>
      <c r="M1887" s="15">
        <v>0</v>
      </c>
      <c r="N1887" s="15">
        <v>0</v>
      </c>
      <c r="O1887" s="15">
        <v>0</v>
      </c>
      <c r="P1887" s="15">
        <v>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2.42</v>
      </c>
      <c r="X1887" s="15">
        <v>6.74</v>
      </c>
      <c r="Y1887" s="15">
        <v>38.79</v>
      </c>
      <c r="Z1887" s="15">
        <v>19.46</v>
      </c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</row>
    <row r="1888" spans="1:43">
      <c r="A1888" s="15" t="s">
        <v>49</v>
      </c>
      <c r="B1888" s="15" t="s">
        <v>50</v>
      </c>
      <c r="C1888" s="15" t="s">
        <v>61</v>
      </c>
      <c r="D1888" s="15" t="s">
        <v>4991</v>
      </c>
      <c r="E1888" s="15" t="s">
        <v>4992</v>
      </c>
      <c r="F1888" s="16">
        <v>0</v>
      </c>
      <c r="G1888" s="15" t="s">
        <v>4992</v>
      </c>
      <c r="H1888" s="15" t="s">
        <v>4993</v>
      </c>
      <c r="I1888" s="15">
        <v>0</v>
      </c>
      <c r="J1888" s="15">
        <v>0</v>
      </c>
      <c r="K1888" s="15">
        <v>0</v>
      </c>
      <c r="L1888" s="20">
        <v>0</v>
      </c>
      <c r="M1888" s="15">
        <v>0</v>
      </c>
      <c r="N1888" s="15">
        <v>0</v>
      </c>
      <c r="O1888" s="15">
        <v>0</v>
      </c>
      <c r="P1888" s="15">
        <v>0</v>
      </c>
      <c r="Q1888" s="15">
        <v>0</v>
      </c>
      <c r="R1888" s="15">
        <v>0</v>
      </c>
      <c r="S1888" s="15">
        <v>0</v>
      </c>
      <c r="T1888" s="15">
        <v>0</v>
      </c>
      <c r="U1888" s="15">
        <v>0</v>
      </c>
      <c r="V1888" s="15">
        <v>0</v>
      </c>
      <c r="W1888" s="15">
        <v>0</v>
      </c>
      <c r="X1888" s="15">
        <v>0</v>
      </c>
      <c r="Y1888" s="15">
        <v>0</v>
      </c>
      <c r="Z1888" s="15">
        <v>0</v>
      </c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</row>
    <row r="1889" spans="1:43">
      <c r="A1889" s="15" t="s">
        <v>43</v>
      </c>
      <c r="B1889" s="15" t="s">
        <v>44</v>
      </c>
      <c r="C1889" s="15" t="s">
        <v>45</v>
      </c>
      <c r="D1889" s="15" t="s">
        <v>4994</v>
      </c>
      <c r="E1889" s="15" t="s">
        <v>4995</v>
      </c>
      <c r="F1889" s="16">
        <v>42258.4278935185</v>
      </c>
      <c r="G1889" s="15" t="s">
        <v>4995</v>
      </c>
      <c r="H1889" s="15" t="s">
        <v>4996</v>
      </c>
      <c r="I1889" s="15">
        <v>0</v>
      </c>
      <c r="J1889" s="15">
        <v>0</v>
      </c>
      <c r="K1889" s="15">
        <v>0</v>
      </c>
      <c r="L1889" s="20">
        <v>0</v>
      </c>
      <c r="M1889" s="15">
        <v>0</v>
      </c>
      <c r="N1889" s="15">
        <v>0</v>
      </c>
      <c r="O1889" s="15">
        <v>0</v>
      </c>
      <c r="P1889" s="15">
        <v>0</v>
      </c>
      <c r="Q1889" s="15">
        <v>0</v>
      </c>
      <c r="R1889" s="15">
        <v>0</v>
      </c>
      <c r="S1889" s="15">
        <v>0</v>
      </c>
      <c r="T1889" s="15">
        <v>0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</row>
    <row r="1890" spans="1:43">
      <c r="A1890" s="15" t="s">
        <v>49</v>
      </c>
      <c r="B1890" s="15" t="s">
        <v>50</v>
      </c>
      <c r="C1890" s="15" t="s">
        <v>61</v>
      </c>
      <c r="D1890" s="15" t="s">
        <v>4997</v>
      </c>
      <c r="E1890" s="15" t="s">
        <v>3791</v>
      </c>
      <c r="F1890" s="16">
        <v>0</v>
      </c>
      <c r="G1890" s="15" t="s">
        <v>3791</v>
      </c>
      <c r="H1890" s="15" t="s">
        <v>3792</v>
      </c>
      <c r="I1890" s="15">
        <v>0</v>
      </c>
      <c r="J1890" s="15">
        <v>0</v>
      </c>
      <c r="K1890" s="15">
        <v>0</v>
      </c>
      <c r="L1890" s="20">
        <v>0</v>
      </c>
      <c r="M1890" s="15">
        <v>0</v>
      </c>
      <c r="N1890" s="15">
        <v>0</v>
      </c>
      <c r="O1890" s="15">
        <v>0</v>
      </c>
      <c r="P1890" s="15">
        <v>0</v>
      </c>
      <c r="Q1890" s="15">
        <v>0</v>
      </c>
      <c r="R1890" s="15">
        <v>0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0</v>
      </c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</row>
    <row r="1891" spans="1:43">
      <c r="A1891" s="15" t="s">
        <v>49</v>
      </c>
      <c r="B1891" s="15" t="s">
        <v>50</v>
      </c>
      <c r="C1891" s="15" t="s">
        <v>61</v>
      </c>
      <c r="D1891" s="15" t="s">
        <v>4998</v>
      </c>
      <c r="E1891" s="15" t="s">
        <v>4999</v>
      </c>
      <c r="F1891" s="16">
        <v>0</v>
      </c>
      <c r="G1891" s="15" t="s">
        <v>4999</v>
      </c>
      <c r="H1891" s="15" t="s">
        <v>54</v>
      </c>
      <c r="I1891" s="15">
        <v>0</v>
      </c>
      <c r="J1891" s="15">
        <v>0</v>
      </c>
      <c r="K1891" s="15">
        <v>0</v>
      </c>
      <c r="L1891" s="20">
        <v>0</v>
      </c>
      <c r="M1891" s="15">
        <v>0</v>
      </c>
      <c r="N1891" s="15">
        <v>0</v>
      </c>
      <c r="O1891" s="15">
        <v>0</v>
      </c>
      <c r="P1891" s="15">
        <v>0</v>
      </c>
      <c r="Q1891" s="15">
        <v>0</v>
      </c>
      <c r="R1891" s="15">
        <v>0</v>
      </c>
      <c r="S1891" s="15">
        <v>0</v>
      </c>
      <c r="T1891" s="15">
        <v>0</v>
      </c>
      <c r="U1891" s="15">
        <v>0</v>
      </c>
      <c r="V1891" s="15">
        <v>0</v>
      </c>
      <c r="W1891" s="15">
        <v>0</v>
      </c>
      <c r="X1891" s="15">
        <v>0</v>
      </c>
      <c r="Y1891" s="15">
        <v>0</v>
      </c>
      <c r="Z1891" s="15">
        <v>0</v>
      </c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</row>
    <row r="1892" spans="1:43">
      <c r="A1892" s="15" t="s">
        <v>49</v>
      </c>
      <c r="B1892" s="15" t="s">
        <v>50</v>
      </c>
      <c r="C1892" s="15" t="s">
        <v>61</v>
      </c>
      <c r="D1892" s="15" t="s">
        <v>5000</v>
      </c>
      <c r="E1892" s="15" t="s">
        <v>5001</v>
      </c>
      <c r="F1892" s="16">
        <v>0</v>
      </c>
      <c r="G1892" s="15" t="s">
        <v>5001</v>
      </c>
      <c r="H1892" s="15" t="s">
        <v>54</v>
      </c>
      <c r="I1892" s="15">
        <v>0</v>
      </c>
      <c r="J1892" s="15">
        <v>0</v>
      </c>
      <c r="K1892" s="15">
        <v>0</v>
      </c>
      <c r="L1892" s="20">
        <v>0</v>
      </c>
      <c r="M1892" s="15">
        <v>0</v>
      </c>
      <c r="N1892" s="15">
        <v>0</v>
      </c>
      <c r="O1892" s="15">
        <v>0</v>
      </c>
      <c r="P1892" s="15">
        <v>0</v>
      </c>
      <c r="Q1892" s="15">
        <v>0</v>
      </c>
      <c r="R1892" s="15">
        <v>0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0</v>
      </c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</row>
    <row r="1893" spans="1:43">
      <c r="A1893" s="15" t="s">
        <v>43</v>
      </c>
      <c r="B1893" s="15" t="s">
        <v>44</v>
      </c>
      <c r="C1893" s="15" t="s">
        <v>45</v>
      </c>
      <c r="D1893" s="15" t="s">
        <v>5002</v>
      </c>
      <c r="E1893" s="15" t="s">
        <v>5003</v>
      </c>
      <c r="F1893" s="16">
        <v>43263.5909837963</v>
      </c>
      <c r="G1893" s="15" t="s">
        <v>5003</v>
      </c>
      <c r="H1893" s="15" t="s">
        <v>5004</v>
      </c>
      <c r="I1893" s="15">
        <v>0</v>
      </c>
      <c r="J1893" s="15">
        <v>0</v>
      </c>
      <c r="K1893" s="15">
        <v>0</v>
      </c>
      <c r="L1893" s="20">
        <v>0</v>
      </c>
      <c r="M1893" s="15">
        <v>0</v>
      </c>
      <c r="N1893" s="15">
        <v>0</v>
      </c>
      <c r="O1893" s="15">
        <v>0</v>
      </c>
      <c r="P1893" s="15">
        <v>0</v>
      </c>
      <c r="Q1893" s="15">
        <v>0</v>
      </c>
      <c r="R1893" s="15">
        <v>0</v>
      </c>
      <c r="S1893" s="15">
        <v>0</v>
      </c>
      <c r="T1893" s="15">
        <v>0</v>
      </c>
      <c r="U1893" s="15">
        <v>0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</row>
    <row r="1894" spans="1:43">
      <c r="A1894" s="15" t="s">
        <v>43</v>
      </c>
      <c r="B1894" s="15" t="s">
        <v>44</v>
      </c>
      <c r="C1894" s="15" t="s">
        <v>45</v>
      </c>
      <c r="D1894" s="15" t="s">
        <v>5005</v>
      </c>
      <c r="E1894" s="15" t="s">
        <v>5006</v>
      </c>
      <c r="F1894" s="16">
        <v>41170.6725231481</v>
      </c>
      <c r="G1894" s="15" t="s">
        <v>5006</v>
      </c>
      <c r="H1894" s="15" t="s">
        <v>5007</v>
      </c>
      <c r="I1894" s="15">
        <v>0</v>
      </c>
      <c r="J1894" s="15">
        <v>0</v>
      </c>
      <c r="K1894" s="15">
        <v>0</v>
      </c>
      <c r="L1894" s="20">
        <v>0</v>
      </c>
      <c r="M1894" s="15">
        <v>0</v>
      </c>
      <c r="N1894" s="15">
        <v>0</v>
      </c>
      <c r="O1894" s="15">
        <v>0</v>
      </c>
      <c r="P1894" s="15">
        <v>0</v>
      </c>
      <c r="Q1894" s="15">
        <v>0</v>
      </c>
      <c r="R1894" s="15">
        <v>0</v>
      </c>
      <c r="S1894" s="15">
        <v>0</v>
      </c>
      <c r="T1894" s="15">
        <v>0</v>
      </c>
      <c r="U1894" s="15">
        <v>0</v>
      </c>
      <c r="V1894" s="15">
        <v>0</v>
      </c>
      <c r="W1894" s="15">
        <v>0</v>
      </c>
      <c r="X1894" s="15">
        <v>0</v>
      </c>
      <c r="Y1894" s="15">
        <v>0</v>
      </c>
      <c r="Z1894" s="15">
        <v>0</v>
      </c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</row>
    <row r="1895" spans="1:43">
      <c r="A1895" s="15" t="s">
        <v>43</v>
      </c>
      <c r="B1895" s="15" t="s">
        <v>44</v>
      </c>
      <c r="C1895" s="15" t="s">
        <v>228</v>
      </c>
      <c r="D1895" s="15" t="s">
        <v>5008</v>
      </c>
      <c r="E1895" s="15" t="s">
        <v>3724</v>
      </c>
      <c r="F1895" s="16">
        <v>44727.5922800926</v>
      </c>
      <c r="G1895" s="15" t="s">
        <v>3724</v>
      </c>
      <c r="H1895" s="15" t="s">
        <v>54</v>
      </c>
      <c r="I1895" s="15">
        <v>1266.61</v>
      </c>
      <c r="J1895" s="15">
        <v>14</v>
      </c>
      <c r="K1895" s="15">
        <v>90.4721428571429</v>
      </c>
      <c r="L1895" s="20">
        <v>1.80944285714286</v>
      </c>
      <c r="M1895" s="15">
        <v>96.55</v>
      </c>
      <c r="N1895" s="15">
        <v>91.65</v>
      </c>
      <c r="O1895" s="15">
        <v>70.8</v>
      </c>
      <c r="P1895" s="15">
        <v>99.33</v>
      </c>
      <c r="Q1895" s="15">
        <v>110.79</v>
      </c>
      <c r="R1895" s="15">
        <v>107.07</v>
      </c>
      <c r="S1895" s="15">
        <v>94.15</v>
      </c>
      <c r="T1895" s="15">
        <v>105.8</v>
      </c>
      <c r="U1895" s="15">
        <v>97.11</v>
      </c>
      <c r="V1895" s="15">
        <v>41.12</v>
      </c>
      <c r="W1895" s="15">
        <v>90.22</v>
      </c>
      <c r="X1895" s="15">
        <v>83.7</v>
      </c>
      <c r="Y1895" s="15">
        <v>81.18</v>
      </c>
      <c r="Z1895" s="15">
        <v>97.14</v>
      </c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</row>
    <row r="1896" spans="1:43">
      <c r="A1896" s="15" t="s">
        <v>43</v>
      </c>
      <c r="B1896" s="15" t="s">
        <v>44</v>
      </c>
      <c r="C1896" s="15" t="s">
        <v>45</v>
      </c>
      <c r="D1896" s="15" t="s">
        <v>5009</v>
      </c>
      <c r="E1896" s="15" t="s">
        <v>5010</v>
      </c>
      <c r="F1896" s="16">
        <v>40847.7503009259</v>
      </c>
      <c r="G1896" s="15" t="s">
        <v>5010</v>
      </c>
      <c r="H1896" s="15" t="s">
        <v>5011</v>
      </c>
      <c r="I1896" s="15">
        <v>0</v>
      </c>
      <c r="J1896" s="15">
        <v>0</v>
      </c>
      <c r="K1896" s="15">
        <v>0</v>
      </c>
      <c r="L1896" s="20">
        <v>0</v>
      </c>
      <c r="M1896" s="15">
        <v>0</v>
      </c>
      <c r="N1896" s="15">
        <v>0</v>
      </c>
      <c r="O1896" s="15">
        <v>0</v>
      </c>
      <c r="P1896" s="15">
        <v>0</v>
      </c>
      <c r="Q1896" s="15">
        <v>0</v>
      </c>
      <c r="R1896" s="15">
        <v>0</v>
      </c>
      <c r="S1896" s="15">
        <v>0</v>
      </c>
      <c r="T1896" s="15">
        <v>0</v>
      </c>
      <c r="U1896" s="15">
        <v>0</v>
      </c>
      <c r="V1896" s="15">
        <v>0</v>
      </c>
      <c r="W1896" s="15">
        <v>0</v>
      </c>
      <c r="X1896" s="15">
        <v>0</v>
      </c>
      <c r="Y1896" s="15">
        <v>0</v>
      </c>
      <c r="Z1896" s="15">
        <v>0</v>
      </c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</row>
    <row r="1897" spans="1:43">
      <c r="A1897" s="15" t="s">
        <v>49</v>
      </c>
      <c r="B1897" s="15" t="s">
        <v>50</v>
      </c>
      <c r="C1897" s="15" t="s">
        <v>61</v>
      </c>
      <c r="D1897" s="15" t="s">
        <v>5012</v>
      </c>
      <c r="E1897" s="15" t="s">
        <v>5013</v>
      </c>
      <c r="F1897" s="16">
        <v>0</v>
      </c>
      <c r="G1897" s="15" t="s">
        <v>5013</v>
      </c>
      <c r="H1897" s="15" t="s">
        <v>5014</v>
      </c>
      <c r="I1897" s="15">
        <v>0</v>
      </c>
      <c r="J1897" s="15">
        <v>0</v>
      </c>
      <c r="K1897" s="15">
        <v>0</v>
      </c>
      <c r="L1897" s="20">
        <v>0</v>
      </c>
      <c r="M1897" s="15">
        <v>0</v>
      </c>
      <c r="N1897" s="15">
        <v>0</v>
      </c>
      <c r="O1897" s="15">
        <v>0</v>
      </c>
      <c r="P1897" s="15">
        <v>0</v>
      </c>
      <c r="Q1897" s="15">
        <v>0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0</v>
      </c>
      <c r="X1897" s="15">
        <v>0</v>
      </c>
      <c r="Y1897" s="15">
        <v>0</v>
      </c>
      <c r="Z1897" s="15">
        <v>0</v>
      </c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</row>
    <row r="1898" spans="1:43">
      <c r="A1898" s="15" t="s">
        <v>43</v>
      </c>
      <c r="B1898" s="15" t="s">
        <v>44</v>
      </c>
      <c r="C1898" s="15" t="s">
        <v>45</v>
      </c>
      <c r="D1898" s="15" t="s">
        <v>5015</v>
      </c>
      <c r="E1898" s="15" t="s">
        <v>5016</v>
      </c>
      <c r="F1898" s="16">
        <v>40634.7184259259</v>
      </c>
      <c r="G1898" s="15" t="s">
        <v>5016</v>
      </c>
      <c r="H1898" s="15" t="s">
        <v>5017</v>
      </c>
      <c r="I1898" s="15">
        <v>0</v>
      </c>
      <c r="J1898" s="15">
        <v>0</v>
      </c>
      <c r="K1898" s="15">
        <v>0</v>
      </c>
      <c r="L1898" s="20">
        <v>0</v>
      </c>
      <c r="M1898" s="15">
        <v>0</v>
      </c>
      <c r="N1898" s="15">
        <v>0</v>
      </c>
      <c r="O1898" s="15">
        <v>0</v>
      </c>
      <c r="P1898" s="15">
        <v>0</v>
      </c>
      <c r="Q1898" s="15">
        <v>0</v>
      </c>
      <c r="R1898" s="15">
        <v>0</v>
      </c>
      <c r="S1898" s="15">
        <v>0</v>
      </c>
      <c r="T1898" s="15">
        <v>0</v>
      </c>
      <c r="U1898" s="15">
        <v>0</v>
      </c>
      <c r="V1898" s="15">
        <v>0</v>
      </c>
      <c r="W1898" s="15">
        <v>0</v>
      </c>
      <c r="X1898" s="15">
        <v>0</v>
      </c>
      <c r="Y1898" s="15">
        <v>0</v>
      </c>
      <c r="Z1898" s="15">
        <v>0</v>
      </c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</row>
    <row r="1899" spans="1:43">
      <c r="A1899" s="15" t="s">
        <v>49</v>
      </c>
      <c r="B1899" s="15" t="s">
        <v>50</v>
      </c>
      <c r="C1899" s="15" t="s">
        <v>61</v>
      </c>
      <c r="D1899" s="15" t="s">
        <v>5018</v>
      </c>
      <c r="E1899" s="15" t="s">
        <v>5019</v>
      </c>
      <c r="F1899" s="16">
        <v>0</v>
      </c>
      <c r="G1899" s="15" t="s">
        <v>5019</v>
      </c>
      <c r="H1899" s="15" t="s">
        <v>54</v>
      </c>
      <c r="I1899" s="15">
        <v>0</v>
      </c>
      <c r="J1899" s="15">
        <v>0</v>
      </c>
      <c r="K1899" s="15">
        <v>0</v>
      </c>
      <c r="L1899" s="20">
        <v>0</v>
      </c>
      <c r="M1899" s="15">
        <v>0</v>
      </c>
      <c r="N1899" s="15">
        <v>0</v>
      </c>
      <c r="O1899" s="15">
        <v>0</v>
      </c>
      <c r="P1899" s="15">
        <v>0</v>
      </c>
      <c r="Q1899" s="15">
        <v>0</v>
      </c>
      <c r="R1899" s="15">
        <v>0</v>
      </c>
      <c r="S1899" s="15">
        <v>0</v>
      </c>
      <c r="T1899" s="15">
        <v>0</v>
      </c>
      <c r="U1899" s="15">
        <v>0</v>
      </c>
      <c r="V1899" s="15">
        <v>0</v>
      </c>
      <c r="W1899" s="15">
        <v>0</v>
      </c>
      <c r="X1899" s="15">
        <v>0</v>
      </c>
      <c r="Y1899" s="15">
        <v>0</v>
      </c>
      <c r="Z1899" s="15">
        <v>0</v>
      </c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</row>
    <row r="1900" spans="1:43">
      <c r="A1900" s="15" t="s">
        <v>43</v>
      </c>
      <c r="B1900" s="15" t="s">
        <v>44</v>
      </c>
      <c r="C1900" s="15" t="s">
        <v>45</v>
      </c>
      <c r="D1900" s="15" t="s">
        <v>5020</v>
      </c>
      <c r="E1900" s="15" t="s">
        <v>5021</v>
      </c>
      <c r="F1900" s="16">
        <v>41024.7048958333</v>
      </c>
      <c r="G1900" s="15" t="s">
        <v>5021</v>
      </c>
      <c r="H1900" s="15" t="s">
        <v>5022</v>
      </c>
      <c r="I1900" s="15">
        <v>0</v>
      </c>
      <c r="J1900" s="15">
        <v>0</v>
      </c>
      <c r="K1900" s="15">
        <v>0</v>
      </c>
      <c r="L1900" s="20">
        <v>0</v>
      </c>
      <c r="M1900" s="15">
        <v>0</v>
      </c>
      <c r="N1900" s="15">
        <v>0</v>
      </c>
      <c r="O1900" s="15">
        <v>0</v>
      </c>
      <c r="P1900" s="15">
        <v>0</v>
      </c>
      <c r="Q1900" s="15">
        <v>0</v>
      </c>
      <c r="R1900" s="15">
        <v>0</v>
      </c>
      <c r="S1900" s="15">
        <v>0</v>
      </c>
      <c r="T1900" s="15">
        <v>0</v>
      </c>
      <c r="U1900" s="15">
        <v>0</v>
      </c>
      <c r="V1900" s="15">
        <v>0</v>
      </c>
      <c r="W1900" s="15">
        <v>0</v>
      </c>
      <c r="X1900" s="15">
        <v>0</v>
      </c>
      <c r="Y1900" s="15">
        <v>0</v>
      </c>
      <c r="Z1900" s="15">
        <v>0</v>
      </c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</row>
    <row r="1901" spans="1:43">
      <c r="A1901" s="15" t="s">
        <v>43</v>
      </c>
      <c r="B1901" s="15" t="s">
        <v>44</v>
      </c>
      <c r="C1901" s="15" t="s">
        <v>45</v>
      </c>
      <c r="D1901" s="15" t="s">
        <v>5023</v>
      </c>
      <c r="E1901" s="15" t="s">
        <v>5024</v>
      </c>
      <c r="F1901" s="16">
        <v>41852.412025463</v>
      </c>
      <c r="G1901" s="15" t="s">
        <v>5024</v>
      </c>
      <c r="H1901" s="15" t="s">
        <v>5025</v>
      </c>
      <c r="I1901" s="15">
        <v>0</v>
      </c>
      <c r="J1901" s="15">
        <v>0</v>
      </c>
      <c r="K1901" s="15">
        <v>0</v>
      </c>
      <c r="L1901" s="20">
        <v>0</v>
      </c>
      <c r="M1901" s="15">
        <v>0</v>
      </c>
      <c r="N1901" s="15">
        <v>0</v>
      </c>
      <c r="O1901" s="15">
        <v>0</v>
      </c>
      <c r="P1901" s="15">
        <v>0</v>
      </c>
      <c r="Q1901" s="15">
        <v>0</v>
      </c>
      <c r="R1901" s="15">
        <v>0</v>
      </c>
      <c r="S1901" s="15">
        <v>0</v>
      </c>
      <c r="T1901" s="15">
        <v>0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</row>
    <row r="1902" spans="1:43">
      <c r="A1902" s="15" t="s">
        <v>49</v>
      </c>
      <c r="B1902" s="15" t="s">
        <v>50</v>
      </c>
      <c r="C1902" s="15" t="s">
        <v>61</v>
      </c>
      <c r="D1902" s="15" t="s">
        <v>5026</v>
      </c>
      <c r="E1902" s="15" t="s">
        <v>5027</v>
      </c>
      <c r="F1902" s="16">
        <v>0</v>
      </c>
      <c r="G1902" s="15" t="s">
        <v>5027</v>
      </c>
      <c r="H1902" s="15" t="s">
        <v>5028</v>
      </c>
      <c r="I1902" s="15">
        <v>0</v>
      </c>
      <c r="J1902" s="15">
        <v>0</v>
      </c>
      <c r="K1902" s="15">
        <v>0</v>
      </c>
      <c r="L1902" s="20">
        <v>0</v>
      </c>
      <c r="M1902" s="15">
        <v>0</v>
      </c>
      <c r="N1902" s="15">
        <v>0</v>
      </c>
      <c r="O1902" s="15">
        <v>0</v>
      </c>
      <c r="P1902" s="15">
        <v>0</v>
      </c>
      <c r="Q1902" s="15">
        <v>0</v>
      </c>
      <c r="R1902" s="15">
        <v>0</v>
      </c>
      <c r="S1902" s="15">
        <v>0</v>
      </c>
      <c r="T1902" s="15">
        <v>0</v>
      </c>
      <c r="U1902" s="15">
        <v>0</v>
      </c>
      <c r="V1902" s="15">
        <v>0</v>
      </c>
      <c r="W1902" s="15">
        <v>0</v>
      </c>
      <c r="X1902" s="15">
        <v>0</v>
      </c>
      <c r="Y1902" s="15">
        <v>0</v>
      </c>
      <c r="Z1902" s="15">
        <v>0</v>
      </c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</row>
    <row r="1903" spans="1:43">
      <c r="A1903" s="15" t="s">
        <v>43</v>
      </c>
      <c r="B1903" s="15" t="s">
        <v>44</v>
      </c>
      <c r="C1903" s="15" t="s">
        <v>45</v>
      </c>
      <c r="D1903" s="15" t="s">
        <v>5029</v>
      </c>
      <c r="E1903" s="15" t="s">
        <v>5030</v>
      </c>
      <c r="F1903" s="16">
        <v>44896.3941898148</v>
      </c>
      <c r="G1903" s="15" t="s">
        <v>5030</v>
      </c>
      <c r="H1903" s="15" t="s">
        <v>54</v>
      </c>
      <c r="I1903" s="15">
        <v>0</v>
      </c>
      <c r="J1903" s="15">
        <v>0</v>
      </c>
      <c r="K1903" s="15">
        <v>0</v>
      </c>
      <c r="L1903" s="20">
        <v>0</v>
      </c>
      <c r="M1903" s="15">
        <v>0</v>
      </c>
      <c r="N1903" s="15">
        <v>0</v>
      </c>
      <c r="O1903" s="15">
        <v>0</v>
      </c>
      <c r="P1903" s="15">
        <v>0</v>
      </c>
      <c r="Q1903" s="15">
        <v>0</v>
      </c>
      <c r="R1903" s="15">
        <v>0</v>
      </c>
      <c r="S1903" s="15">
        <v>0</v>
      </c>
      <c r="T1903" s="15">
        <v>0</v>
      </c>
      <c r="U1903" s="15">
        <v>0</v>
      </c>
      <c r="V1903" s="15">
        <v>0</v>
      </c>
      <c r="W1903" s="15">
        <v>0</v>
      </c>
      <c r="X1903" s="15">
        <v>0</v>
      </c>
      <c r="Y1903" s="15">
        <v>0</v>
      </c>
      <c r="Z1903" s="15">
        <v>0</v>
      </c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</row>
    <row r="1904" spans="1:43">
      <c r="A1904" s="15" t="s">
        <v>43</v>
      </c>
      <c r="B1904" s="15" t="s">
        <v>44</v>
      </c>
      <c r="C1904" s="15" t="s">
        <v>45</v>
      </c>
      <c r="D1904" s="15" t="s">
        <v>5031</v>
      </c>
      <c r="E1904" s="15" t="s">
        <v>5032</v>
      </c>
      <c r="F1904" s="16">
        <v>41906.438287037</v>
      </c>
      <c r="G1904" s="15" t="s">
        <v>5032</v>
      </c>
      <c r="H1904" s="15" t="s">
        <v>5033</v>
      </c>
      <c r="I1904" s="15">
        <v>0</v>
      </c>
      <c r="J1904" s="15">
        <v>0</v>
      </c>
      <c r="K1904" s="15">
        <v>0</v>
      </c>
      <c r="L1904" s="20">
        <v>0</v>
      </c>
      <c r="M1904" s="15">
        <v>0</v>
      </c>
      <c r="N1904" s="15">
        <v>0</v>
      </c>
      <c r="O1904" s="15">
        <v>0</v>
      </c>
      <c r="P1904" s="15">
        <v>0</v>
      </c>
      <c r="Q1904" s="15">
        <v>0</v>
      </c>
      <c r="R1904" s="15">
        <v>0</v>
      </c>
      <c r="S1904" s="15">
        <v>0</v>
      </c>
      <c r="T1904" s="15">
        <v>0</v>
      </c>
      <c r="U1904" s="15">
        <v>0</v>
      </c>
      <c r="V1904" s="15">
        <v>0</v>
      </c>
      <c r="W1904" s="15">
        <v>0</v>
      </c>
      <c r="X1904" s="15">
        <v>0</v>
      </c>
      <c r="Y1904" s="15">
        <v>0</v>
      </c>
      <c r="Z1904" s="15">
        <v>0</v>
      </c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</row>
    <row r="1905" spans="1:43">
      <c r="A1905" s="15" t="s">
        <v>43</v>
      </c>
      <c r="B1905" s="15" t="s">
        <v>44</v>
      </c>
      <c r="C1905" s="15" t="s">
        <v>45</v>
      </c>
      <c r="D1905" s="15" t="s">
        <v>5034</v>
      </c>
      <c r="E1905" s="15" t="s">
        <v>5035</v>
      </c>
      <c r="F1905" s="16">
        <v>42641.7134259259</v>
      </c>
      <c r="G1905" s="15" t="s">
        <v>5035</v>
      </c>
      <c r="H1905" s="15" t="s">
        <v>5036</v>
      </c>
      <c r="I1905" s="15">
        <v>0</v>
      </c>
      <c r="J1905" s="15">
        <v>0</v>
      </c>
      <c r="K1905" s="15">
        <v>0</v>
      </c>
      <c r="L1905" s="20">
        <v>0</v>
      </c>
      <c r="M1905" s="15">
        <v>0</v>
      </c>
      <c r="N1905" s="15">
        <v>0</v>
      </c>
      <c r="O1905" s="15">
        <v>0</v>
      </c>
      <c r="P1905" s="15">
        <v>0</v>
      </c>
      <c r="Q1905" s="15">
        <v>0</v>
      </c>
      <c r="R1905" s="15">
        <v>0</v>
      </c>
      <c r="S1905" s="15">
        <v>0</v>
      </c>
      <c r="T1905" s="15">
        <v>0</v>
      </c>
      <c r="U1905" s="15">
        <v>0</v>
      </c>
      <c r="V1905" s="15">
        <v>0</v>
      </c>
      <c r="W1905" s="15">
        <v>0</v>
      </c>
      <c r="X1905" s="15">
        <v>0</v>
      </c>
      <c r="Y1905" s="15">
        <v>0</v>
      </c>
      <c r="Z1905" s="15">
        <v>0</v>
      </c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</row>
    <row r="1906" spans="1:43">
      <c r="A1906" s="15" t="s">
        <v>64</v>
      </c>
      <c r="B1906" s="15" t="s">
        <v>65</v>
      </c>
      <c r="C1906" s="15" t="s">
        <v>93</v>
      </c>
      <c r="D1906" s="15" t="s">
        <v>5037</v>
      </c>
      <c r="E1906" s="15" t="s">
        <v>5038</v>
      </c>
      <c r="F1906" s="16">
        <v>45114.4795833333</v>
      </c>
      <c r="G1906" s="15" t="s">
        <v>5038</v>
      </c>
      <c r="H1906" s="15" t="s">
        <v>54</v>
      </c>
      <c r="I1906" s="15">
        <v>2347.4</v>
      </c>
      <c r="J1906" s="15">
        <v>14</v>
      </c>
      <c r="K1906" s="15">
        <v>167.671428571428</v>
      </c>
      <c r="L1906" s="20">
        <v>2.39530612244898</v>
      </c>
      <c r="M1906" s="15">
        <v>233.62</v>
      </c>
      <c r="N1906" s="15">
        <v>234.89</v>
      </c>
      <c r="O1906" s="15">
        <v>230.33</v>
      </c>
      <c r="P1906" s="15">
        <v>162.43</v>
      </c>
      <c r="Q1906" s="15">
        <v>154.14</v>
      </c>
      <c r="R1906" s="15">
        <v>143.05</v>
      </c>
      <c r="S1906" s="15">
        <v>210.05</v>
      </c>
      <c r="T1906" s="15">
        <v>213.27</v>
      </c>
      <c r="U1906" s="15">
        <v>237.98</v>
      </c>
      <c r="V1906" s="15">
        <v>200.73</v>
      </c>
      <c r="W1906" s="15">
        <v>133.07</v>
      </c>
      <c r="X1906" s="15">
        <v>6.91</v>
      </c>
      <c r="Y1906" s="15">
        <v>131.33</v>
      </c>
      <c r="Z1906" s="15">
        <v>55.6</v>
      </c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</row>
    <row r="1907" spans="1:43">
      <c r="A1907" s="15" t="s">
        <v>43</v>
      </c>
      <c r="B1907" s="15" t="s">
        <v>44</v>
      </c>
      <c r="C1907" s="15" t="s">
        <v>45</v>
      </c>
      <c r="D1907" s="15" t="s">
        <v>5039</v>
      </c>
      <c r="E1907" s="15" t="s">
        <v>5040</v>
      </c>
      <c r="F1907" s="16">
        <v>43312.6896990741</v>
      </c>
      <c r="G1907" s="15" t="s">
        <v>5040</v>
      </c>
      <c r="H1907" s="15" t="s">
        <v>5041</v>
      </c>
      <c r="I1907" s="15">
        <v>0</v>
      </c>
      <c r="J1907" s="15">
        <v>0</v>
      </c>
      <c r="K1907" s="15">
        <v>0</v>
      </c>
      <c r="L1907" s="20">
        <v>0</v>
      </c>
      <c r="M1907" s="15">
        <v>0</v>
      </c>
      <c r="N1907" s="15">
        <v>0</v>
      </c>
      <c r="O1907" s="15">
        <v>0</v>
      </c>
      <c r="P1907" s="15">
        <v>0</v>
      </c>
      <c r="Q1907" s="15">
        <v>0</v>
      </c>
      <c r="R1907" s="15">
        <v>0</v>
      </c>
      <c r="S1907" s="15">
        <v>0</v>
      </c>
      <c r="T1907" s="15">
        <v>0</v>
      </c>
      <c r="U1907" s="15">
        <v>0</v>
      </c>
      <c r="V1907" s="15">
        <v>0</v>
      </c>
      <c r="W1907" s="15">
        <v>0</v>
      </c>
      <c r="X1907" s="15">
        <v>0</v>
      </c>
      <c r="Y1907" s="15">
        <v>0</v>
      </c>
      <c r="Z1907" s="15">
        <v>0</v>
      </c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</row>
    <row r="1908" spans="1:43">
      <c r="A1908" s="15" t="s">
        <v>49</v>
      </c>
      <c r="B1908" s="15" t="s">
        <v>50</v>
      </c>
      <c r="C1908" s="15" t="s">
        <v>61</v>
      </c>
      <c r="D1908" s="15" t="s">
        <v>5042</v>
      </c>
      <c r="E1908" s="15" t="s">
        <v>5043</v>
      </c>
      <c r="F1908" s="16">
        <v>0</v>
      </c>
      <c r="G1908" s="15" t="s">
        <v>5043</v>
      </c>
      <c r="H1908" s="15" t="s">
        <v>5044</v>
      </c>
      <c r="I1908" s="15">
        <v>0</v>
      </c>
      <c r="J1908" s="15">
        <v>0</v>
      </c>
      <c r="K1908" s="15">
        <v>0</v>
      </c>
      <c r="L1908" s="20">
        <v>0</v>
      </c>
      <c r="M1908" s="15">
        <v>0</v>
      </c>
      <c r="N1908" s="15">
        <v>0</v>
      </c>
      <c r="O1908" s="15">
        <v>0</v>
      </c>
      <c r="P1908" s="15">
        <v>0</v>
      </c>
      <c r="Q1908" s="15">
        <v>0</v>
      </c>
      <c r="R1908" s="15">
        <v>0</v>
      </c>
      <c r="S1908" s="15">
        <v>0</v>
      </c>
      <c r="T1908" s="15">
        <v>0</v>
      </c>
      <c r="U1908" s="15">
        <v>0</v>
      </c>
      <c r="V1908" s="15">
        <v>0</v>
      </c>
      <c r="W1908" s="15">
        <v>0</v>
      </c>
      <c r="X1908" s="15">
        <v>0</v>
      </c>
      <c r="Y1908" s="15">
        <v>0</v>
      </c>
      <c r="Z1908" s="15">
        <v>0</v>
      </c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</row>
    <row r="1909" spans="1:43">
      <c r="A1909" s="15" t="s">
        <v>49</v>
      </c>
      <c r="B1909" s="15" t="s">
        <v>50</v>
      </c>
      <c r="C1909" s="15" t="s">
        <v>61</v>
      </c>
      <c r="D1909" s="15" t="s">
        <v>5045</v>
      </c>
      <c r="E1909" s="15" t="s">
        <v>5046</v>
      </c>
      <c r="F1909" s="16">
        <v>0</v>
      </c>
      <c r="G1909" s="15" t="s">
        <v>5046</v>
      </c>
      <c r="H1909" s="15" t="s">
        <v>5047</v>
      </c>
      <c r="I1909" s="15">
        <v>0</v>
      </c>
      <c r="J1909" s="15">
        <v>0</v>
      </c>
      <c r="K1909" s="15">
        <v>0</v>
      </c>
      <c r="L1909" s="20">
        <v>0</v>
      </c>
      <c r="M1909" s="15">
        <v>0</v>
      </c>
      <c r="N1909" s="15">
        <v>0</v>
      </c>
      <c r="O1909" s="15">
        <v>0</v>
      </c>
      <c r="P1909" s="15">
        <v>0</v>
      </c>
      <c r="Q1909" s="15">
        <v>0</v>
      </c>
      <c r="R1909" s="15">
        <v>0</v>
      </c>
      <c r="S1909" s="15">
        <v>0</v>
      </c>
      <c r="T1909" s="15">
        <v>0</v>
      </c>
      <c r="U1909" s="15">
        <v>0</v>
      </c>
      <c r="V1909" s="15">
        <v>0</v>
      </c>
      <c r="W1909" s="15">
        <v>0</v>
      </c>
      <c r="X1909" s="15">
        <v>0</v>
      </c>
      <c r="Y1909" s="15">
        <v>0</v>
      </c>
      <c r="Z1909" s="15">
        <v>0</v>
      </c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</row>
    <row r="1910" spans="1:43">
      <c r="A1910" s="15" t="s">
        <v>49</v>
      </c>
      <c r="B1910" s="15" t="s">
        <v>50</v>
      </c>
      <c r="C1910" s="15" t="s">
        <v>61</v>
      </c>
      <c r="D1910" s="15" t="s">
        <v>5048</v>
      </c>
      <c r="E1910" s="15" t="s">
        <v>5049</v>
      </c>
      <c r="F1910" s="16">
        <v>0</v>
      </c>
      <c r="G1910" s="15" t="s">
        <v>5049</v>
      </c>
      <c r="H1910" s="15" t="s">
        <v>296</v>
      </c>
      <c r="I1910" s="15">
        <v>0</v>
      </c>
      <c r="J1910" s="15">
        <v>0</v>
      </c>
      <c r="K1910" s="15">
        <v>0</v>
      </c>
      <c r="L1910" s="20">
        <v>0</v>
      </c>
      <c r="M1910" s="15">
        <v>0</v>
      </c>
      <c r="N1910" s="15">
        <v>0</v>
      </c>
      <c r="O1910" s="15">
        <v>0</v>
      </c>
      <c r="P1910" s="15">
        <v>0</v>
      </c>
      <c r="Q1910" s="15">
        <v>0</v>
      </c>
      <c r="R1910" s="15">
        <v>0</v>
      </c>
      <c r="S1910" s="15">
        <v>0</v>
      </c>
      <c r="T1910" s="15">
        <v>0</v>
      </c>
      <c r="U1910" s="15">
        <v>0</v>
      </c>
      <c r="V1910" s="15">
        <v>0</v>
      </c>
      <c r="W1910" s="15">
        <v>0</v>
      </c>
      <c r="X1910" s="15">
        <v>0</v>
      </c>
      <c r="Y1910" s="15">
        <v>0</v>
      </c>
      <c r="Z1910" s="15">
        <v>0</v>
      </c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</row>
    <row r="1911" spans="1:43">
      <c r="A1911" s="15" t="s">
        <v>43</v>
      </c>
      <c r="B1911" s="15" t="s">
        <v>44</v>
      </c>
      <c r="C1911" s="15" t="s">
        <v>228</v>
      </c>
      <c r="D1911" s="15" t="s">
        <v>5050</v>
      </c>
      <c r="E1911" s="15" t="s">
        <v>4728</v>
      </c>
      <c r="F1911" s="16">
        <v>44702.473912037</v>
      </c>
      <c r="G1911" s="15" t="s">
        <v>4728</v>
      </c>
      <c r="H1911" s="15" t="s">
        <v>54</v>
      </c>
      <c r="I1911" s="15">
        <v>0</v>
      </c>
      <c r="J1911" s="15">
        <v>0</v>
      </c>
      <c r="K1911" s="15">
        <v>0</v>
      </c>
      <c r="L1911" s="20">
        <v>0</v>
      </c>
      <c r="M1911" s="15">
        <v>0</v>
      </c>
      <c r="N1911" s="15">
        <v>0</v>
      </c>
      <c r="O1911" s="15">
        <v>0</v>
      </c>
      <c r="P1911" s="15">
        <v>0</v>
      </c>
      <c r="Q1911" s="15">
        <v>0</v>
      </c>
      <c r="R1911" s="15">
        <v>0</v>
      </c>
      <c r="S1911" s="15">
        <v>0</v>
      </c>
      <c r="T1911" s="15">
        <v>0</v>
      </c>
      <c r="U1911" s="15">
        <v>0</v>
      </c>
      <c r="V1911" s="15">
        <v>0</v>
      </c>
      <c r="W1911" s="15">
        <v>0</v>
      </c>
      <c r="X1911" s="15">
        <v>0</v>
      </c>
      <c r="Y1911" s="15">
        <v>0</v>
      </c>
      <c r="Z1911" s="15">
        <v>0</v>
      </c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</row>
    <row r="1912" spans="1:43">
      <c r="A1912" s="15" t="s">
        <v>43</v>
      </c>
      <c r="B1912" s="15" t="s">
        <v>44</v>
      </c>
      <c r="C1912" s="15" t="s">
        <v>45</v>
      </c>
      <c r="D1912" s="15" t="s">
        <v>5051</v>
      </c>
      <c r="E1912" s="15" t="s">
        <v>5052</v>
      </c>
      <c r="F1912" s="16">
        <v>43747.6529861111</v>
      </c>
      <c r="G1912" s="15" t="s">
        <v>5052</v>
      </c>
      <c r="H1912" s="15" t="s">
        <v>5053</v>
      </c>
      <c r="I1912" s="15">
        <v>0</v>
      </c>
      <c r="J1912" s="15">
        <v>0</v>
      </c>
      <c r="K1912" s="15">
        <v>0</v>
      </c>
      <c r="L1912" s="20">
        <v>0</v>
      </c>
      <c r="M1912" s="15">
        <v>0</v>
      </c>
      <c r="N1912" s="15">
        <v>0</v>
      </c>
      <c r="O1912" s="15">
        <v>0</v>
      </c>
      <c r="P1912" s="15">
        <v>0</v>
      </c>
      <c r="Q1912" s="15">
        <v>0</v>
      </c>
      <c r="R1912" s="15">
        <v>0</v>
      </c>
      <c r="S1912" s="15">
        <v>0</v>
      </c>
      <c r="T1912" s="15">
        <v>0</v>
      </c>
      <c r="U1912" s="15">
        <v>0</v>
      </c>
      <c r="V1912" s="15">
        <v>0</v>
      </c>
      <c r="W1912" s="15">
        <v>0</v>
      </c>
      <c r="X1912" s="15">
        <v>0</v>
      </c>
      <c r="Y1912" s="15">
        <v>0</v>
      </c>
      <c r="Z1912" s="15">
        <v>0</v>
      </c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</row>
    <row r="1913" spans="1:43">
      <c r="A1913" s="15" t="s">
        <v>43</v>
      </c>
      <c r="B1913" s="15" t="s">
        <v>44</v>
      </c>
      <c r="C1913" s="15" t="s">
        <v>45</v>
      </c>
      <c r="D1913" s="15" t="s">
        <v>5054</v>
      </c>
      <c r="E1913" s="15" t="s">
        <v>5055</v>
      </c>
      <c r="F1913" s="16">
        <v>43244.7151851852</v>
      </c>
      <c r="G1913" s="15" t="s">
        <v>5055</v>
      </c>
      <c r="H1913" s="15" t="s">
        <v>5056</v>
      </c>
      <c r="I1913" s="15">
        <v>0</v>
      </c>
      <c r="J1913" s="15">
        <v>0</v>
      </c>
      <c r="K1913" s="15">
        <v>0</v>
      </c>
      <c r="L1913" s="20">
        <v>0</v>
      </c>
      <c r="M1913" s="15">
        <v>0</v>
      </c>
      <c r="N1913" s="15">
        <v>0</v>
      </c>
      <c r="O1913" s="15">
        <v>0</v>
      </c>
      <c r="P1913" s="15">
        <v>0</v>
      </c>
      <c r="Q1913" s="15">
        <v>0</v>
      </c>
      <c r="R1913" s="15">
        <v>0</v>
      </c>
      <c r="S1913" s="15">
        <v>0</v>
      </c>
      <c r="T1913" s="15">
        <v>0</v>
      </c>
      <c r="U1913" s="15">
        <v>0</v>
      </c>
      <c r="V1913" s="15">
        <v>0</v>
      </c>
      <c r="W1913" s="15">
        <v>0</v>
      </c>
      <c r="X1913" s="15">
        <v>0</v>
      </c>
      <c r="Y1913" s="15">
        <v>0</v>
      </c>
      <c r="Z1913" s="15">
        <v>0</v>
      </c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</row>
    <row r="1914" spans="1:43">
      <c r="A1914" s="15" t="s">
        <v>49</v>
      </c>
      <c r="B1914" s="15" t="s">
        <v>50</v>
      </c>
      <c r="C1914" s="15" t="s">
        <v>61</v>
      </c>
      <c r="D1914" s="15" t="s">
        <v>5057</v>
      </c>
      <c r="E1914" s="15" t="s">
        <v>4357</v>
      </c>
      <c r="F1914" s="16">
        <v>0</v>
      </c>
      <c r="G1914" s="15" t="s">
        <v>4357</v>
      </c>
      <c r="H1914" s="15" t="s">
        <v>54</v>
      </c>
      <c r="I1914" s="15">
        <v>0</v>
      </c>
      <c r="J1914" s="15">
        <v>0</v>
      </c>
      <c r="K1914" s="15">
        <v>0</v>
      </c>
      <c r="L1914" s="20">
        <v>0</v>
      </c>
      <c r="M1914" s="15">
        <v>0</v>
      </c>
      <c r="N1914" s="15">
        <v>0</v>
      </c>
      <c r="O1914" s="15">
        <v>0</v>
      </c>
      <c r="P1914" s="15">
        <v>0</v>
      </c>
      <c r="Q1914" s="15">
        <v>0</v>
      </c>
      <c r="R1914" s="15">
        <v>0</v>
      </c>
      <c r="S1914" s="15">
        <v>0</v>
      </c>
      <c r="T1914" s="15">
        <v>0</v>
      </c>
      <c r="U1914" s="15">
        <v>0</v>
      </c>
      <c r="V1914" s="15">
        <v>0</v>
      </c>
      <c r="W1914" s="15">
        <v>0</v>
      </c>
      <c r="X1914" s="15">
        <v>0</v>
      </c>
      <c r="Y1914" s="15">
        <v>0</v>
      </c>
      <c r="Z1914" s="15">
        <v>0</v>
      </c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</row>
    <row r="1915" spans="1:43">
      <c r="A1915" s="15" t="s">
        <v>49</v>
      </c>
      <c r="B1915" s="15" t="s">
        <v>50</v>
      </c>
      <c r="C1915" s="15" t="s">
        <v>61</v>
      </c>
      <c r="D1915" s="15" t="s">
        <v>5058</v>
      </c>
      <c r="E1915" s="15" t="s">
        <v>5059</v>
      </c>
      <c r="F1915" s="16">
        <v>41360.7218634259</v>
      </c>
      <c r="G1915" s="15" t="s">
        <v>5059</v>
      </c>
      <c r="H1915" s="15" t="s">
        <v>5060</v>
      </c>
      <c r="I1915" s="15">
        <v>0</v>
      </c>
      <c r="J1915" s="15">
        <v>0</v>
      </c>
      <c r="K1915" s="15">
        <v>0</v>
      </c>
      <c r="L1915" s="20">
        <v>0</v>
      </c>
      <c r="M1915" s="15">
        <v>0</v>
      </c>
      <c r="N1915" s="15">
        <v>0</v>
      </c>
      <c r="O1915" s="15">
        <v>0</v>
      </c>
      <c r="P1915" s="15">
        <v>0</v>
      </c>
      <c r="Q1915" s="15">
        <v>0</v>
      </c>
      <c r="R1915" s="15">
        <v>0</v>
      </c>
      <c r="S1915" s="15">
        <v>0</v>
      </c>
      <c r="T1915" s="15">
        <v>0</v>
      </c>
      <c r="U1915" s="15">
        <v>0</v>
      </c>
      <c r="V1915" s="15">
        <v>0</v>
      </c>
      <c r="W1915" s="15">
        <v>0</v>
      </c>
      <c r="X1915" s="15">
        <v>0</v>
      </c>
      <c r="Y1915" s="15">
        <v>0</v>
      </c>
      <c r="Z1915" s="15">
        <v>0</v>
      </c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</row>
    <row r="1916" spans="1:43">
      <c r="A1916" s="15" t="s">
        <v>64</v>
      </c>
      <c r="B1916" s="15" t="s">
        <v>65</v>
      </c>
      <c r="C1916" s="15" t="s">
        <v>93</v>
      </c>
      <c r="D1916" s="15" t="s">
        <v>5061</v>
      </c>
      <c r="E1916" s="15" t="s">
        <v>631</v>
      </c>
      <c r="F1916" s="16">
        <v>44064.7270023148</v>
      </c>
      <c r="G1916" s="15" t="s">
        <v>631</v>
      </c>
      <c r="H1916" s="15" t="s">
        <v>252</v>
      </c>
      <c r="I1916" s="15">
        <v>0</v>
      </c>
      <c r="J1916" s="15">
        <v>0</v>
      </c>
      <c r="K1916" s="15">
        <v>0</v>
      </c>
      <c r="L1916" s="20">
        <v>0</v>
      </c>
      <c r="M1916" s="15">
        <v>0</v>
      </c>
      <c r="N1916" s="15">
        <v>0</v>
      </c>
      <c r="O1916" s="15">
        <v>0</v>
      </c>
      <c r="P1916" s="15">
        <v>0</v>
      </c>
      <c r="Q1916" s="15">
        <v>0</v>
      </c>
      <c r="R1916" s="15">
        <v>0</v>
      </c>
      <c r="S1916" s="15">
        <v>0</v>
      </c>
      <c r="T1916" s="15">
        <v>0</v>
      </c>
      <c r="U1916" s="15">
        <v>0</v>
      </c>
      <c r="V1916" s="15">
        <v>0</v>
      </c>
      <c r="W1916" s="15">
        <v>0</v>
      </c>
      <c r="X1916" s="15">
        <v>0</v>
      </c>
      <c r="Y1916" s="15">
        <v>0</v>
      </c>
      <c r="Z1916" s="15">
        <v>0</v>
      </c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</row>
    <row r="1917" spans="1:43">
      <c r="A1917" s="15" t="s">
        <v>49</v>
      </c>
      <c r="B1917" s="15" t="s">
        <v>50</v>
      </c>
      <c r="C1917" s="15" t="s">
        <v>61</v>
      </c>
      <c r="D1917" s="15" t="s">
        <v>5062</v>
      </c>
      <c r="E1917" s="15" t="s">
        <v>5063</v>
      </c>
      <c r="F1917" s="16">
        <v>0</v>
      </c>
      <c r="G1917" s="15" t="s">
        <v>5063</v>
      </c>
      <c r="H1917" s="15" t="s">
        <v>54</v>
      </c>
      <c r="I1917" s="15">
        <v>0</v>
      </c>
      <c r="J1917" s="15">
        <v>0</v>
      </c>
      <c r="K1917" s="15">
        <v>0</v>
      </c>
      <c r="L1917" s="20">
        <v>0</v>
      </c>
      <c r="M1917" s="15">
        <v>0</v>
      </c>
      <c r="N1917" s="15">
        <v>0</v>
      </c>
      <c r="O1917" s="15">
        <v>0</v>
      </c>
      <c r="P1917" s="15">
        <v>0</v>
      </c>
      <c r="Q1917" s="15">
        <v>0</v>
      </c>
      <c r="R1917" s="15">
        <v>0</v>
      </c>
      <c r="S1917" s="15">
        <v>0</v>
      </c>
      <c r="T1917" s="15">
        <v>0</v>
      </c>
      <c r="U1917" s="15">
        <v>0</v>
      </c>
      <c r="V1917" s="15">
        <v>0</v>
      </c>
      <c r="W1917" s="15">
        <v>0</v>
      </c>
      <c r="X1917" s="15">
        <v>0</v>
      </c>
      <c r="Y1917" s="15">
        <v>0</v>
      </c>
      <c r="Z1917" s="15">
        <v>0</v>
      </c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</row>
    <row r="1918" spans="1:43">
      <c r="A1918" s="15" t="s">
        <v>49</v>
      </c>
      <c r="B1918" s="15" t="s">
        <v>50</v>
      </c>
      <c r="C1918" s="15" t="s">
        <v>61</v>
      </c>
      <c r="D1918" s="15" t="s">
        <v>5064</v>
      </c>
      <c r="E1918" s="15" t="s">
        <v>5065</v>
      </c>
      <c r="F1918" s="16">
        <v>0</v>
      </c>
      <c r="G1918" s="15" t="s">
        <v>5065</v>
      </c>
      <c r="H1918" s="15" t="s">
        <v>5066</v>
      </c>
      <c r="I1918" s="15">
        <v>0</v>
      </c>
      <c r="J1918" s="15">
        <v>0</v>
      </c>
      <c r="K1918" s="15">
        <v>0</v>
      </c>
      <c r="L1918" s="20">
        <v>0</v>
      </c>
      <c r="M1918" s="15">
        <v>0</v>
      </c>
      <c r="N1918" s="15">
        <v>0</v>
      </c>
      <c r="O1918" s="15">
        <v>0</v>
      </c>
      <c r="P1918" s="15">
        <v>0</v>
      </c>
      <c r="Q1918" s="15">
        <v>0</v>
      </c>
      <c r="R1918" s="15">
        <v>0</v>
      </c>
      <c r="S1918" s="15">
        <v>0</v>
      </c>
      <c r="T1918" s="15">
        <v>0</v>
      </c>
      <c r="U1918" s="15">
        <v>0</v>
      </c>
      <c r="V1918" s="15">
        <v>0</v>
      </c>
      <c r="W1918" s="15">
        <v>0</v>
      </c>
      <c r="X1918" s="15">
        <v>0</v>
      </c>
      <c r="Y1918" s="15">
        <v>0</v>
      </c>
      <c r="Z1918" s="15">
        <v>0</v>
      </c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</row>
    <row r="1919" spans="1:43">
      <c r="A1919" s="15" t="s">
        <v>64</v>
      </c>
      <c r="B1919" s="15" t="s">
        <v>118</v>
      </c>
      <c r="C1919" s="15" t="s">
        <v>131</v>
      </c>
      <c r="D1919" s="15" t="s">
        <v>5067</v>
      </c>
      <c r="E1919" s="15" t="s">
        <v>5068</v>
      </c>
      <c r="F1919" s="16">
        <v>44712.7092939815</v>
      </c>
      <c r="G1919" s="15" t="s">
        <v>5068</v>
      </c>
      <c r="H1919" s="15" t="s">
        <v>54</v>
      </c>
      <c r="I1919" s="15">
        <v>0</v>
      </c>
      <c r="J1919" s="15">
        <v>0</v>
      </c>
      <c r="K1919" s="15">
        <v>0</v>
      </c>
      <c r="L1919" s="20">
        <v>0</v>
      </c>
      <c r="M1919" s="15">
        <v>0</v>
      </c>
      <c r="N1919" s="15">
        <v>0</v>
      </c>
      <c r="O1919" s="15">
        <v>0</v>
      </c>
      <c r="P1919" s="15">
        <v>0</v>
      </c>
      <c r="Q1919" s="15">
        <v>0</v>
      </c>
      <c r="R1919" s="15">
        <v>0</v>
      </c>
      <c r="S1919" s="15">
        <v>0</v>
      </c>
      <c r="T1919" s="15">
        <v>0</v>
      </c>
      <c r="U1919" s="15">
        <v>0</v>
      </c>
      <c r="V1919" s="15">
        <v>0</v>
      </c>
      <c r="W1919" s="15">
        <v>0</v>
      </c>
      <c r="X1919" s="15">
        <v>0</v>
      </c>
      <c r="Y1919" s="15">
        <v>0</v>
      </c>
      <c r="Z1919" s="15">
        <v>0</v>
      </c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</row>
    <row r="1920" spans="1:43">
      <c r="A1920" s="15" t="s">
        <v>43</v>
      </c>
      <c r="B1920" s="15" t="s">
        <v>44</v>
      </c>
      <c r="C1920" s="15" t="s">
        <v>45</v>
      </c>
      <c r="D1920" s="15" t="s">
        <v>5069</v>
      </c>
      <c r="E1920" s="15" t="s">
        <v>5070</v>
      </c>
      <c r="F1920" s="16">
        <v>42261.6552893519</v>
      </c>
      <c r="G1920" s="15" t="s">
        <v>5070</v>
      </c>
      <c r="H1920" s="15" t="s">
        <v>5071</v>
      </c>
      <c r="I1920" s="15">
        <v>0</v>
      </c>
      <c r="J1920" s="15">
        <v>0</v>
      </c>
      <c r="K1920" s="15">
        <v>0</v>
      </c>
      <c r="L1920" s="20">
        <v>0</v>
      </c>
      <c r="M1920" s="15">
        <v>0</v>
      </c>
      <c r="N1920" s="15">
        <v>0</v>
      </c>
      <c r="O1920" s="15">
        <v>0</v>
      </c>
      <c r="P1920" s="15">
        <v>0</v>
      </c>
      <c r="Q1920" s="15">
        <v>0</v>
      </c>
      <c r="R1920" s="15">
        <v>0</v>
      </c>
      <c r="S1920" s="15">
        <v>0</v>
      </c>
      <c r="T1920" s="15">
        <v>0</v>
      </c>
      <c r="U1920" s="15">
        <v>0</v>
      </c>
      <c r="V1920" s="15">
        <v>0</v>
      </c>
      <c r="W1920" s="15">
        <v>0</v>
      </c>
      <c r="X1920" s="15">
        <v>0</v>
      </c>
      <c r="Y1920" s="15">
        <v>0</v>
      </c>
      <c r="Z1920" s="15">
        <v>0</v>
      </c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</row>
    <row r="1921" spans="1:43">
      <c r="A1921" s="15" t="s">
        <v>49</v>
      </c>
      <c r="B1921" s="15" t="s">
        <v>50</v>
      </c>
      <c r="C1921" s="15" t="s">
        <v>61</v>
      </c>
      <c r="D1921" s="15" t="s">
        <v>5072</v>
      </c>
      <c r="E1921" s="15" t="s">
        <v>5073</v>
      </c>
      <c r="F1921" s="16">
        <v>0</v>
      </c>
      <c r="G1921" s="15" t="s">
        <v>5073</v>
      </c>
      <c r="H1921" s="15" t="s">
        <v>54</v>
      </c>
      <c r="I1921" s="15">
        <v>0</v>
      </c>
      <c r="J1921" s="15">
        <v>0</v>
      </c>
      <c r="K1921" s="15">
        <v>0</v>
      </c>
      <c r="L1921" s="20">
        <v>0</v>
      </c>
      <c r="M1921" s="15">
        <v>0</v>
      </c>
      <c r="N1921" s="15">
        <v>0</v>
      </c>
      <c r="O1921" s="15">
        <v>0</v>
      </c>
      <c r="P1921" s="15">
        <v>0</v>
      </c>
      <c r="Q1921" s="15">
        <v>0</v>
      </c>
      <c r="R1921" s="15">
        <v>0</v>
      </c>
      <c r="S1921" s="15">
        <v>0</v>
      </c>
      <c r="T1921" s="15">
        <v>0</v>
      </c>
      <c r="U1921" s="15">
        <v>0</v>
      </c>
      <c r="V1921" s="15">
        <v>0</v>
      </c>
      <c r="W1921" s="15">
        <v>0</v>
      </c>
      <c r="X1921" s="15">
        <v>0</v>
      </c>
      <c r="Y1921" s="15">
        <v>0</v>
      </c>
      <c r="Z1921" s="15">
        <v>0</v>
      </c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</row>
    <row r="1922" spans="1:43">
      <c r="A1922" s="15" t="s">
        <v>43</v>
      </c>
      <c r="B1922" s="15" t="s">
        <v>44</v>
      </c>
      <c r="C1922" s="15" t="s">
        <v>45</v>
      </c>
      <c r="D1922" s="15" t="s">
        <v>5074</v>
      </c>
      <c r="E1922" s="15" t="s">
        <v>5075</v>
      </c>
      <c r="F1922" s="16">
        <v>42572.684212963</v>
      </c>
      <c r="G1922" s="15" t="s">
        <v>5075</v>
      </c>
      <c r="H1922" s="15" t="s">
        <v>5076</v>
      </c>
      <c r="I1922" s="15">
        <v>0</v>
      </c>
      <c r="J1922" s="15">
        <v>0</v>
      </c>
      <c r="K1922" s="15">
        <v>0</v>
      </c>
      <c r="L1922" s="20">
        <v>0</v>
      </c>
      <c r="M1922" s="15">
        <v>0</v>
      </c>
      <c r="N1922" s="15">
        <v>0</v>
      </c>
      <c r="O1922" s="15">
        <v>0</v>
      </c>
      <c r="P1922" s="15">
        <v>0</v>
      </c>
      <c r="Q1922" s="15">
        <v>0</v>
      </c>
      <c r="R1922" s="15">
        <v>0</v>
      </c>
      <c r="S1922" s="15">
        <v>0</v>
      </c>
      <c r="T1922" s="15">
        <v>0</v>
      </c>
      <c r="U1922" s="15">
        <v>0</v>
      </c>
      <c r="V1922" s="15">
        <v>0</v>
      </c>
      <c r="W1922" s="15">
        <v>0</v>
      </c>
      <c r="X1922" s="15">
        <v>0</v>
      </c>
      <c r="Y1922" s="15">
        <v>0</v>
      </c>
      <c r="Z1922" s="15">
        <v>0</v>
      </c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</row>
    <row r="1923" spans="1:43">
      <c r="A1923" s="15" t="s">
        <v>64</v>
      </c>
      <c r="B1923" s="15" t="s">
        <v>65</v>
      </c>
      <c r="C1923" s="15" t="s">
        <v>1086</v>
      </c>
      <c r="D1923" s="15" t="s">
        <v>5077</v>
      </c>
      <c r="E1923" s="15" t="s">
        <v>5078</v>
      </c>
      <c r="F1923" s="16">
        <v>44831.6590856481</v>
      </c>
      <c r="G1923" s="15" t="s">
        <v>5078</v>
      </c>
      <c r="H1923" s="15" t="s">
        <v>54</v>
      </c>
      <c r="I1923" s="15">
        <v>0</v>
      </c>
      <c r="J1923" s="15">
        <v>0</v>
      </c>
      <c r="K1923" s="15">
        <v>0</v>
      </c>
      <c r="L1923" s="20">
        <v>0</v>
      </c>
      <c r="M1923" s="15">
        <v>0</v>
      </c>
      <c r="N1923" s="15">
        <v>0</v>
      </c>
      <c r="O1923" s="15">
        <v>0</v>
      </c>
      <c r="P1923" s="15">
        <v>0</v>
      </c>
      <c r="Q1923" s="15">
        <v>0</v>
      </c>
      <c r="R1923" s="15">
        <v>0</v>
      </c>
      <c r="S1923" s="15">
        <v>0</v>
      </c>
      <c r="T1923" s="15">
        <v>0</v>
      </c>
      <c r="U1923" s="15">
        <v>0</v>
      </c>
      <c r="V1923" s="15">
        <v>0</v>
      </c>
      <c r="W1923" s="15">
        <v>0</v>
      </c>
      <c r="X1923" s="15">
        <v>0</v>
      </c>
      <c r="Y1923" s="15">
        <v>0</v>
      </c>
      <c r="Z1923" s="15">
        <v>0</v>
      </c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</row>
    <row r="1924" spans="1:43">
      <c r="A1924" s="15" t="s">
        <v>43</v>
      </c>
      <c r="B1924" s="15" t="s">
        <v>44</v>
      </c>
      <c r="C1924" s="15" t="s">
        <v>45</v>
      </c>
      <c r="D1924" s="15" t="s">
        <v>5079</v>
      </c>
      <c r="E1924" s="15" t="s">
        <v>5080</v>
      </c>
      <c r="F1924" s="16">
        <v>42119.3916319444</v>
      </c>
      <c r="G1924" s="15" t="s">
        <v>5080</v>
      </c>
      <c r="H1924" s="15" t="s">
        <v>5081</v>
      </c>
      <c r="I1924" s="15">
        <v>0</v>
      </c>
      <c r="J1924" s="15">
        <v>0</v>
      </c>
      <c r="K1924" s="15">
        <v>0</v>
      </c>
      <c r="L1924" s="20">
        <v>0</v>
      </c>
      <c r="M1924" s="15">
        <v>0</v>
      </c>
      <c r="N1924" s="15">
        <v>0</v>
      </c>
      <c r="O1924" s="15">
        <v>0</v>
      </c>
      <c r="P1924" s="15">
        <v>0</v>
      </c>
      <c r="Q1924" s="15">
        <v>0</v>
      </c>
      <c r="R1924" s="15">
        <v>0</v>
      </c>
      <c r="S1924" s="15">
        <v>0</v>
      </c>
      <c r="T1924" s="15">
        <v>0</v>
      </c>
      <c r="U1924" s="15">
        <v>0</v>
      </c>
      <c r="V1924" s="15">
        <v>0</v>
      </c>
      <c r="W1924" s="15">
        <v>0</v>
      </c>
      <c r="X1924" s="15">
        <v>0</v>
      </c>
      <c r="Y1924" s="15">
        <v>0</v>
      </c>
      <c r="Z1924" s="15">
        <v>0</v>
      </c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</row>
    <row r="1925" spans="1:43">
      <c r="A1925" s="15" t="s">
        <v>64</v>
      </c>
      <c r="B1925" s="15" t="s">
        <v>65</v>
      </c>
      <c r="C1925" s="15" t="s">
        <v>66</v>
      </c>
      <c r="D1925" s="15" t="s">
        <v>5082</v>
      </c>
      <c r="E1925" s="15" t="s">
        <v>5083</v>
      </c>
      <c r="F1925" s="16">
        <v>45089.5913425926</v>
      </c>
      <c r="G1925" s="15" t="s">
        <v>5083</v>
      </c>
      <c r="H1925" s="15" t="s">
        <v>54</v>
      </c>
      <c r="I1925" s="15">
        <v>3787.67</v>
      </c>
      <c r="J1925" s="15">
        <v>11</v>
      </c>
      <c r="K1925" s="15">
        <v>344.333636363636</v>
      </c>
      <c r="L1925" s="20">
        <v>4.91905194805195</v>
      </c>
      <c r="M1925" s="15">
        <v>0</v>
      </c>
      <c r="N1925" s="15">
        <v>311.42</v>
      </c>
      <c r="O1925" s="15">
        <v>515.51</v>
      </c>
      <c r="P1925" s="15">
        <v>525.15</v>
      </c>
      <c r="Q1925" s="15">
        <v>509.66</v>
      </c>
      <c r="R1925" s="15">
        <v>524.87</v>
      </c>
      <c r="S1925" s="15">
        <v>512.13</v>
      </c>
      <c r="T1925" s="15">
        <v>101.26</v>
      </c>
      <c r="U1925" s="15">
        <v>0</v>
      </c>
      <c r="V1925" s="15">
        <v>0</v>
      </c>
      <c r="W1925" s="15">
        <v>194.83</v>
      </c>
      <c r="X1925" s="15">
        <v>286.04</v>
      </c>
      <c r="Y1925" s="15">
        <v>170.37</v>
      </c>
      <c r="Z1925" s="15">
        <v>136.43</v>
      </c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</row>
    <row r="1926" spans="1:43">
      <c r="A1926" s="15" t="s">
        <v>43</v>
      </c>
      <c r="B1926" s="15" t="s">
        <v>44</v>
      </c>
      <c r="C1926" s="15" t="s">
        <v>45</v>
      </c>
      <c r="D1926" s="15" t="s">
        <v>5084</v>
      </c>
      <c r="E1926" s="15" t="s">
        <v>5085</v>
      </c>
      <c r="F1926" s="16">
        <v>42903.4632291667</v>
      </c>
      <c r="G1926" s="15" t="s">
        <v>5085</v>
      </c>
      <c r="H1926" s="15" t="s">
        <v>5086</v>
      </c>
      <c r="I1926" s="15">
        <v>0</v>
      </c>
      <c r="J1926" s="15">
        <v>0</v>
      </c>
      <c r="K1926" s="15">
        <v>0</v>
      </c>
      <c r="L1926" s="20">
        <v>0</v>
      </c>
      <c r="M1926" s="15">
        <v>0</v>
      </c>
      <c r="N1926" s="15">
        <v>0</v>
      </c>
      <c r="O1926" s="15">
        <v>0</v>
      </c>
      <c r="P1926" s="15">
        <v>0</v>
      </c>
      <c r="Q1926" s="15">
        <v>0</v>
      </c>
      <c r="R1926" s="15">
        <v>0</v>
      </c>
      <c r="S1926" s="15">
        <v>0</v>
      </c>
      <c r="T1926" s="15">
        <v>0</v>
      </c>
      <c r="U1926" s="15">
        <v>0</v>
      </c>
      <c r="V1926" s="15">
        <v>0</v>
      </c>
      <c r="W1926" s="15">
        <v>0</v>
      </c>
      <c r="X1926" s="15">
        <v>0</v>
      </c>
      <c r="Y1926" s="15">
        <v>0</v>
      </c>
      <c r="Z1926" s="15">
        <v>0</v>
      </c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</row>
    <row r="1927" spans="1:43">
      <c r="A1927" s="15" t="s">
        <v>43</v>
      </c>
      <c r="B1927" s="15" t="s">
        <v>44</v>
      </c>
      <c r="C1927" s="15" t="s">
        <v>45</v>
      </c>
      <c r="D1927" s="15" t="s">
        <v>5087</v>
      </c>
      <c r="E1927" s="15" t="s">
        <v>5088</v>
      </c>
      <c r="F1927" s="16">
        <v>44448.6946180556</v>
      </c>
      <c r="G1927" s="15" t="s">
        <v>5088</v>
      </c>
      <c r="H1927" s="15" t="s">
        <v>54</v>
      </c>
      <c r="I1927" s="15">
        <v>0</v>
      </c>
      <c r="J1927" s="15">
        <v>0</v>
      </c>
      <c r="K1927" s="15">
        <v>0</v>
      </c>
      <c r="L1927" s="20">
        <v>0</v>
      </c>
      <c r="M1927" s="15">
        <v>0</v>
      </c>
      <c r="N1927" s="15">
        <v>0</v>
      </c>
      <c r="O1927" s="15">
        <v>0</v>
      </c>
      <c r="P1927" s="15">
        <v>0</v>
      </c>
      <c r="Q1927" s="15">
        <v>0</v>
      </c>
      <c r="R1927" s="15">
        <v>0</v>
      </c>
      <c r="S1927" s="15">
        <v>0</v>
      </c>
      <c r="T1927" s="15">
        <v>0</v>
      </c>
      <c r="U1927" s="15">
        <v>0</v>
      </c>
      <c r="V1927" s="15">
        <v>0</v>
      </c>
      <c r="W1927" s="15">
        <v>0</v>
      </c>
      <c r="X1927" s="15">
        <v>0</v>
      </c>
      <c r="Y1927" s="15">
        <v>0</v>
      </c>
      <c r="Z1927" s="15">
        <v>0</v>
      </c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</row>
    <row r="1928" spans="1:43">
      <c r="A1928" s="15" t="s">
        <v>43</v>
      </c>
      <c r="B1928" s="15" t="s">
        <v>44</v>
      </c>
      <c r="C1928" s="15" t="s">
        <v>45</v>
      </c>
      <c r="D1928" s="15" t="s">
        <v>5089</v>
      </c>
      <c r="E1928" s="15" t="s">
        <v>5090</v>
      </c>
      <c r="F1928" s="16">
        <v>44097.4284606482</v>
      </c>
      <c r="G1928" s="15" t="s">
        <v>5090</v>
      </c>
      <c r="H1928" s="15" t="s">
        <v>54</v>
      </c>
      <c r="I1928" s="15">
        <v>0</v>
      </c>
      <c r="J1928" s="15">
        <v>0</v>
      </c>
      <c r="K1928" s="15">
        <v>0</v>
      </c>
      <c r="L1928" s="20">
        <v>0</v>
      </c>
      <c r="M1928" s="15">
        <v>0</v>
      </c>
      <c r="N1928" s="15">
        <v>0</v>
      </c>
      <c r="O1928" s="15">
        <v>0</v>
      </c>
      <c r="P1928" s="15">
        <v>0</v>
      </c>
      <c r="Q1928" s="15">
        <v>0</v>
      </c>
      <c r="R1928" s="15">
        <v>0</v>
      </c>
      <c r="S1928" s="15">
        <v>0</v>
      </c>
      <c r="T1928" s="15">
        <v>0</v>
      </c>
      <c r="U1928" s="15">
        <v>0</v>
      </c>
      <c r="V1928" s="15">
        <v>0</v>
      </c>
      <c r="W1928" s="15">
        <v>0</v>
      </c>
      <c r="X1928" s="15">
        <v>0</v>
      </c>
      <c r="Y1928" s="15">
        <v>0</v>
      </c>
      <c r="Z1928" s="15">
        <v>0</v>
      </c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</row>
    <row r="1929" spans="1:43">
      <c r="A1929" s="15" t="s">
        <v>43</v>
      </c>
      <c r="B1929" s="15" t="s">
        <v>44</v>
      </c>
      <c r="C1929" s="15" t="s">
        <v>45</v>
      </c>
      <c r="D1929" s="15" t="s">
        <v>5091</v>
      </c>
      <c r="E1929" s="15" t="s">
        <v>5092</v>
      </c>
      <c r="F1929" s="16">
        <v>41743.6204282407</v>
      </c>
      <c r="G1929" s="15" t="s">
        <v>5092</v>
      </c>
      <c r="H1929" s="15" t="s">
        <v>5093</v>
      </c>
      <c r="I1929" s="15">
        <v>0</v>
      </c>
      <c r="J1929" s="15">
        <v>0</v>
      </c>
      <c r="K1929" s="15">
        <v>0</v>
      </c>
      <c r="L1929" s="20">
        <v>0</v>
      </c>
      <c r="M1929" s="15">
        <v>0</v>
      </c>
      <c r="N1929" s="15">
        <v>0</v>
      </c>
      <c r="O1929" s="15">
        <v>0</v>
      </c>
      <c r="P1929" s="15">
        <v>0</v>
      </c>
      <c r="Q1929" s="15">
        <v>0</v>
      </c>
      <c r="R1929" s="15">
        <v>0</v>
      </c>
      <c r="S1929" s="15">
        <v>0</v>
      </c>
      <c r="T1929" s="15">
        <v>0</v>
      </c>
      <c r="U1929" s="15">
        <v>0</v>
      </c>
      <c r="V1929" s="15">
        <v>0</v>
      </c>
      <c r="W1929" s="15">
        <v>0</v>
      </c>
      <c r="X1929" s="15">
        <v>0</v>
      </c>
      <c r="Y1929" s="15">
        <v>0</v>
      </c>
      <c r="Z1929" s="15">
        <v>0</v>
      </c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</row>
    <row r="1930" spans="1:43">
      <c r="A1930" s="15" t="s">
        <v>49</v>
      </c>
      <c r="B1930" s="15" t="s">
        <v>50</v>
      </c>
      <c r="C1930" s="15" t="s">
        <v>61</v>
      </c>
      <c r="D1930" s="15" t="s">
        <v>5094</v>
      </c>
      <c r="E1930" s="15" t="s">
        <v>5095</v>
      </c>
      <c r="F1930" s="16">
        <v>0</v>
      </c>
      <c r="G1930" s="15" t="s">
        <v>5095</v>
      </c>
      <c r="H1930" s="15" t="s">
        <v>5096</v>
      </c>
      <c r="I1930" s="15">
        <v>0</v>
      </c>
      <c r="J1930" s="15">
        <v>0</v>
      </c>
      <c r="K1930" s="15">
        <v>0</v>
      </c>
      <c r="L1930" s="20">
        <v>0</v>
      </c>
      <c r="M1930" s="15">
        <v>0</v>
      </c>
      <c r="N1930" s="15">
        <v>0</v>
      </c>
      <c r="O1930" s="15">
        <v>0</v>
      </c>
      <c r="P1930" s="15">
        <v>0</v>
      </c>
      <c r="Q1930" s="15">
        <v>0</v>
      </c>
      <c r="R1930" s="15">
        <v>0</v>
      </c>
      <c r="S1930" s="15">
        <v>0</v>
      </c>
      <c r="T1930" s="15">
        <v>0</v>
      </c>
      <c r="U1930" s="15">
        <v>0</v>
      </c>
      <c r="V1930" s="15">
        <v>0</v>
      </c>
      <c r="W1930" s="15">
        <v>0</v>
      </c>
      <c r="X1930" s="15">
        <v>0</v>
      </c>
      <c r="Y1930" s="15">
        <v>0</v>
      </c>
      <c r="Z1930" s="15">
        <v>0</v>
      </c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</row>
    <row r="1931" spans="1:43">
      <c r="A1931" s="15" t="s">
        <v>49</v>
      </c>
      <c r="B1931" s="15" t="s">
        <v>50</v>
      </c>
      <c r="C1931" s="15" t="s">
        <v>61</v>
      </c>
      <c r="D1931" s="15" t="s">
        <v>5097</v>
      </c>
      <c r="E1931" s="15" t="s">
        <v>5098</v>
      </c>
      <c r="F1931" s="16">
        <v>0</v>
      </c>
      <c r="G1931" s="15" t="s">
        <v>5098</v>
      </c>
      <c r="H1931" s="15" t="s">
        <v>5099</v>
      </c>
      <c r="I1931" s="15">
        <v>0</v>
      </c>
      <c r="J1931" s="15">
        <v>0</v>
      </c>
      <c r="K1931" s="15">
        <v>0</v>
      </c>
      <c r="L1931" s="20">
        <v>0</v>
      </c>
      <c r="M1931" s="15">
        <v>0</v>
      </c>
      <c r="N1931" s="15">
        <v>0</v>
      </c>
      <c r="O1931" s="15">
        <v>0</v>
      </c>
      <c r="P1931" s="15">
        <v>0</v>
      </c>
      <c r="Q1931" s="15">
        <v>0</v>
      </c>
      <c r="R1931" s="15">
        <v>0</v>
      </c>
      <c r="S1931" s="15">
        <v>0</v>
      </c>
      <c r="T1931" s="15">
        <v>0</v>
      </c>
      <c r="U1931" s="15">
        <v>0</v>
      </c>
      <c r="V1931" s="15">
        <v>0</v>
      </c>
      <c r="W1931" s="15">
        <v>0</v>
      </c>
      <c r="X1931" s="15">
        <v>0</v>
      </c>
      <c r="Y1931" s="15">
        <v>0</v>
      </c>
      <c r="Z1931" s="15">
        <v>0</v>
      </c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</row>
    <row r="1932" spans="1:43">
      <c r="A1932" s="15" t="s">
        <v>43</v>
      </c>
      <c r="B1932" s="15" t="s">
        <v>44</v>
      </c>
      <c r="C1932" s="15" t="s">
        <v>440</v>
      </c>
      <c r="D1932" s="15" t="s">
        <v>5100</v>
      </c>
      <c r="E1932" s="15" t="s">
        <v>3684</v>
      </c>
      <c r="F1932" s="16">
        <v>45142.6870486111</v>
      </c>
      <c r="G1932" s="15" t="s">
        <v>3684</v>
      </c>
      <c r="H1932" s="15" t="s">
        <v>54</v>
      </c>
      <c r="I1932" s="15">
        <v>0</v>
      </c>
      <c r="J1932" s="15">
        <v>0</v>
      </c>
      <c r="K1932" s="15">
        <v>0</v>
      </c>
      <c r="L1932" s="20">
        <v>0</v>
      </c>
      <c r="M1932" s="15">
        <v>0</v>
      </c>
      <c r="N1932" s="15">
        <v>0</v>
      </c>
      <c r="O1932" s="15">
        <v>0</v>
      </c>
      <c r="P1932" s="15">
        <v>0</v>
      </c>
      <c r="Q1932" s="15">
        <v>0</v>
      </c>
      <c r="R1932" s="15">
        <v>0</v>
      </c>
      <c r="S1932" s="15">
        <v>0</v>
      </c>
      <c r="T1932" s="15">
        <v>0</v>
      </c>
      <c r="U1932" s="15">
        <v>0</v>
      </c>
      <c r="V1932" s="15">
        <v>0</v>
      </c>
      <c r="W1932" s="15">
        <v>0</v>
      </c>
      <c r="X1932" s="15">
        <v>0</v>
      </c>
      <c r="Y1932" s="15">
        <v>0</v>
      </c>
      <c r="Z1932" s="15">
        <v>0</v>
      </c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</row>
    <row r="1933" spans="1:43">
      <c r="A1933" s="15" t="s">
        <v>49</v>
      </c>
      <c r="B1933" s="15" t="s">
        <v>50</v>
      </c>
      <c r="C1933" s="15" t="s">
        <v>51</v>
      </c>
      <c r="D1933" s="15" t="s">
        <v>5101</v>
      </c>
      <c r="E1933" s="15" t="s">
        <v>5102</v>
      </c>
      <c r="F1933" s="16">
        <v>45147.7225115741</v>
      </c>
      <c r="G1933" s="15" t="s">
        <v>5102</v>
      </c>
      <c r="H1933" s="15" t="s">
        <v>54</v>
      </c>
      <c r="I1933" s="15">
        <v>0.53</v>
      </c>
      <c r="J1933" s="15">
        <v>1</v>
      </c>
      <c r="K1933" s="15">
        <v>0.53</v>
      </c>
      <c r="L1933" s="20">
        <v>0.0106</v>
      </c>
      <c r="M1933" s="15">
        <v>0</v>
      </c>
      <c r="N1933" s="15">
        <v>0</v>
      </c>
      <c r="O1933" s="15">
        <v>0</v>
      </c>
      <c r="P1933" s="15">
        <v>0</v>
      </c>
      <c r="Q1933" s="15">
        <v>0</v>
      </c>
      <c r="R1933" s="15">
        <v>0</v>
      </c>
      <c r="S1933" s="15">
        <v>0</v>
      </c>
      <c r="T1933" s="15">
        <v>0</v>
      </c>
      <c r="U1933" s="15">
        <v>0</v>
      </c>
      <c r="V1933" s="15">
        <v>0</v>
      </c>
      <c r="W1933" s="15">
        <v>0</v>
      </c>
      <c r="X1933" s="15">
        <v>0</v>
      </c>
      <c r="Y1933" s="15">
        <v>0</v>
      </c>
      <c r="Z1933" s="15">
        <v>0.53</v>
      </c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</row>
    <row r="1934" spans="1:43">
      <c r="A1934" s="15" t="s">
        <v>43</v>
      </c>
      <c r="B1934" s="15" t="s">
        <v>44</v>
      </c>
      <c r="C1934" s="15" t="s">
        <v>45</v>
      </c>
      <c r="D1934" s="15" t="s">
        <v>5103</v>
      </c>
      <c r="E1934" s="15" t="s">
        <v>5104</v>
      </c>
      <c r="F1934" s="16">
        <v>43706.7103587963</v>
      </c>
      <c r="G1934" s="15" t="s">
        <v>5104</v>
      </c>
      <c r="H1934" s="15" t="s">
        <v>5105</v>
      </c>
      <c r="I1934" s="15">
        <v>0</v>
      </c>
      <c r="J1934" s="15">
        <v>0</v>
      </c>
      <c r="K1934" s="15">
        <v>0</v>
      </c>
      <c r="L1934" s="20">
        <v>0</v>
      </c>
      <c r="M1934" s="15">
        <v>0</v>
      </c>
      <c r="N1934" s="15">
        <v>0</v>
      </c>
      <c r="O1934" s="15">
        <v>0</v>
      </c>
      <c r="P1934" s="15">
        <v>0</v>
      </c>
      <c r="Q1934" s="15">
        <v>0</v>
      </c>
      <c r="R1934" s="15">
        <v>0</v>
      </c>
      <c r="S1934" s="15">
        <v>0</v>
      </c>
      <c r="T1934" s="15">
        <v>0</v>
      </c>
      <c r="U1934" s="15">
        <v>0</v>
      </c>
      <c r="V1934" s="15">
        <v>0</v>
      </c>
      <c r="W1934" s="15">
        <v>0</v>
      </c>
      <c r="X1934" s="15">
        <v>0</v>
      </c>
      <c r="Y1934" s="15">
        <v>0</v>
      </c>
      <c r="Z1934" s="15">
        <v>0</v>
      </c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</row>
    <row r="1935" spans="1:43">
      <c r="A1935" s="15" t="s">
        <v>49</v>
      </c>
      <c r="B1935" s="15" t="s">
        <v>50</v>
      </c>
      <c r="C1935" s="15" t="s">
        <v>61</v>
      </c>
      <c r="D1935" s="15" t="s">
        <v>5106</v>
      </c>
      <c r="E1935" s="15" t="s">
        <v>5107</v>
      </c>
      <c r="F1935" s="16">
        <v>0</v>
      </c>
      <c r="G1935" s="15" t="s">
        <v>5107</v>
      </c>
      <c r="H1935" s="15" t="s">
        <v>5108</v>
      </c>
      <c r="I1935" s="15">
        <v>0</v>
      </c>
      <c r="J1935" s="15">
        <v>0</v>
      </c>
      <c r="K1935" s="15">
        <v>0</v>
      </c>
      <c r="L1935" s="20">
        <v>0</v>
      </c>
      <c r="M1935" s="15">
        <v>0</v>
      </c>
      <c r="N1935" s="15">
        <v>0</v>
      </c>
      <c r="O1935" s="15">
        <v>0</v>
      </c>
      <c r="P1935" s="15">
        <v>0</v>
      </c>
      <c r="Q1935" s="15">
        <v>0</v>
      </c>
      <c r="R1935" s="15">
        <v>0</v>
      </c>
      <c r="S1935" s="15">
        <v>0</v>
      </c>
      <c r="T1935" s="15">
        <v>0</v>
      </c>
      <c r="U1935" s="15">
        <v>0</v>
      </c>
      <c r="V1935" s="15">
        <v>0</v>
      </c>
      <c r="W1935" s="15">
        <v>0</v>
      </c>
      <c r="X1935" s="15">
        <v>0</v>
      </c>
      <c r="Y1935" s="15">
        <v>0</v>
      </c>
      <c r="Z1935" s="15">
        <v>0</v>
      </c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</row>
    <row r="1936" spans="1:43">
      <c r="A1936" s="15" t="s">
        <v>64</v>
      </c>
      <c r="B1936" s="15" t="s">
        <v>65</v>
      </c>
      <c r="C1936" s="15" t="s">
        <v>93</v>
      </c>
      <c r="D1936" s="15" t="s">
        <v>5109</v>
      </c>
      <c r="E1936" s="15" t="s">
        <v>148</v>
      </c>
      <c r="F1936" s="16">
        <v>43459.6215740741</v>
      </c>
      <c r="G1936" s="15" t="s">
        <v>148</v>
      </c>
      <c r="H1936" s="15" t="s">
        <v>5110</v>
      </c>
      <c r="I1936" s="15">
        <v>0</v>
      </c>
      <c r="J1936" s="15">
        <v>0</v>
      </c>
      <c r="K1936" s="15">
        <v>0</v>
      </c>
      <c r="L1936" s="20">
        <v>0</v>
      </c>
      <c r="M1936" s="15">
        <v>0</v>
      </c>
      <c r="N1936" s="15">
        <v>0</v>
      </c>
      <c r="O1936" s="15">
        <v>0</v>
      </c>
      <c r="P1936" s="15">
        <v>0</v>
      </c>
      <c r="Q1936" s="15">
        <v>0</v>
      </c>
      <c r="R1936" s="15">
        <v>0</v>
      </c>
      <c r="S1936" s="15">
        <v>0</v>
      </c>
      <c r="T1936" s="15">
        <v>0</v>
      </c>
      <c r="U1936" s="15">
        <v>0</v>
      </c>
      <c r="V1936" s="15">
        <v>0</v>
      </c>
      <c r="W1936" s="15">
        <v>0</v>
      </c>
      <c r="X1936" s="15">
        <v>0</v>
      </c>
      <c r="Y1936" s="15">
        <v>0</v>
      </c>
      <c r="Z1936" s="15">
        <v>0</v>
      </c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</row>
    <row r="1937" spans="1:43">
      <c r="A1937" s="15" t="s">
        <v>49</v>
      </c>
      <c r="B1937" s="15" t="s">
        <v>50</v>
      </c>
      <c r="C1937" s="15" t="s">
        <v>61</v>
      </c>
      <c r="D1937" s="15" t="s">
        <v>5111</v>
      </c>
      <c r="E1937" s="15" t="s">
        <v>5112</v>
      </c>
      <c r="F1937" s="16">
        <v>0</v>
      </c>
      <c r="G1937" s="15" t="s">
        <v>5112</v>
      </c>
      <c r="H1937" s="15" t="s">
        <v>5113</v>
      </c>
      <c r="I1937" s="15">
        <v>0</v>
      </c>
      <c r="J1937" s="15">
        <v>0</v>
      </c>
      <c r="K1937" s="15">
        <v>0</v>
      </c>
      <c r="L1937" s="20">
        <v>0</v>
      </c>
      <c r="M1937" s="15">
        <v>0</v>
      </c>
      <c r="N1937" s="15">
        <v>0</v>
      </c>
      <c r="O1937" s="15">
        <v>0</v>
      </c>
      <c r="P1937" s="15">
        <v>0</v>
      </c>
      <c r="Q1937" s="15">
        <v>0</v>
      </c>
      <c r="R1937" s="15">
        <v>0</v>
      </c>
      <c r="S1937" s="15">
        <v>0</v>
      </c>
      <c r="T1937" s="15">
        <v>0</v>
      </c>
      <c r="U1937" s="15">
        <v>0</v>
      </c>
      <c r="V1937" s="15">
        <v>0</v>
      </c>
      <c r="W1937" s="15">
        <v>0</v>
      </c>
      <c r="X1937" s="15">
        <v>0</v>
      </c>
      <c r="Y1937" s="15">
        <v>0</v>
      </c>
      <c r="Z1937" s="15">
        <v>0</v>
      </c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</row>
    <row r="1938" spans="1:43">
      <c r="A1938" s="15" t="s">
        <v>43</v>
      </c>
      <c r="B1938" s="15" t="s">
        <v>44</v>
      </c>
      <c r="C1938" s="15" t="s">
        <v>45</v>
      </c>
      <c r="D1938" s="15" t="s">
        <v>5114</v>
      </c>
      <c r="E1938" s="15" t="s">
        <v>5115</v>
      </c>
      <c r="F1938" s="16">
        <v>43278.3905324074</v>
      </c>
      <c r="G1938" s="15" t="s">
        <v>5115</v>
      </c>
      <c r="H1938" s="15" t="s">
        <v>5116</v>
      </c>
      <c r="I1938" s="15">
        <v>0</v>
      </c>
      <c r="J1938" s="15">
        <v>0</v>
      </c>
      <c r="K1938" s="15">
        <v>0</v>
      </c>
      <c r="L1938" s="20">
        <v>0</v>
      </c>
      <c r="M1938" s="15">
        <v>0</v>
      </c>
      <c r="N1938" s="15">
        <v>0</v>
      </c>
      <c r="O1938" s="15">
        <v>0</v>
      </c>
      <c r="P1938" s="15">
        <v>0</v>
      </c>
      <c r="Q1938" s="15">
        <v>0</v>
      </c>
      <c r="R1938" s="15">
        <v>0</v>
      </c>
      <c r="S1938" s="15">
        <v>0</v>
      </c>
      <c r="T1938" s="15">
        <v>0</v>
      </c>
      <c r="U1938" s="15">
        <v>0</v>
      </c>
      <c r="V1938" s="15">
        <v>0</v>
      </c>
      <c r="W1938" s="15">
        <v>0</v>
      </c>
      <c r="X1938" s="15">
        <v>0</v>
      </c>
      <c r="Y1938" s="15">
        <v>0</v>
      </c>
      <c r="Z1938" s="15">
        <v>0</v>
      </c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</row>
    <row r="1939" spans="1:43">
      <c r="A1939" s="15" t="s">
        <v>43</v>
      </c>
      <c r="B1939" s="15" t="s">
        <v>44</v>
      </c>
      <c r="C1939" s="15" t="s">
        <v>45</v>
      </c>
      <c r="D1939" s="15" t="s">
        <v>5117</v>
      </c>
      <c r="E1939" s="15" t="s">
        <v>5118</v>
      </c>
      <c r="F1939" s="16">
        <v>44739.6492592593</v>
      </c>
      <c r="G1939" s="15" t="s">
        <v>5118</v>
      </c>
      <c r="H1939" s="15" t="s">
        <v>54</v>
      </c>
      <c r="I1939" s="15">
        <v>0</v>
      </c>
      <c r="J1939" s="15">
        <v>0</v>
      </c>
      <c r="K1939" s="15">
        <v>0</v>
      </c>
      <c r="L1939" s="20">
        <v>0</v>
      </c>
      <c r="M1939" s="15">
        <v>0</v>
      </c>
      <c r="N1939" s="15">
        <v>0</v>
      </c>
      <c r="O1939" s="15">
        <v>0</v>
      </c>
      <c r="P1939" s="15">
        <v>0</v>
      </c>
      <c r="Q1939" s="15">
        <v>0</v>
      </c>
      <c r="R1939" s="15">
        <v>0</v>
      </c>
      <c r="S1939" s="15">
        <v>0</v>
      </c>
      <c r="T1939" s="15">
        <v>0</v>
      </c>
      <c r="U1939" s="15">
        <v>0</v>
      </c>
      <c r="V1939" s="15">
        <v>0</v>
      </c>
      <c r="W1939" s="15">
        <v>0</v>
      </c>
      <c r="X1939" s="15">
        <v>0</v>
      </c>
      <c r="Y1939" s="15">
        <v>0</v>
      </c>
      <c r="Z1939" s="15">
        <v>0</v>
      </c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</row>
    <row r="1940" spans="1:43">
      <c r="A1940" s="15" t="s">
        <v>49</v>
      </c>
      <c r="B1940" s="15" t="s">
        <v>50</v>
      </c>
      <c r="C1940" s="15" t="s">
        <v>61</v>
      </c>
      <c r="D1940" s="15" t="s">
        <v>5119</v>
      </c>
      <c r="E1940" s="15" t="s">
        <v>5120</v>
      </c>
      <c r="F1940" s="16">
        <v>0</v>
      </c>
      <c r="G1940" s="15" t="s">
        <v>5120</v>
      </c>
      <c r="H1940" s="15" t="s">
        <v>54</v>
      </c>
      <c r="I1940" s="15">
        <v>0</v>
      </c>
      <c r="J1940" s="15">
        <v>0</v>
      </c>
      <c r="K1940" s="15">
        <v>0</v>
      </c>
      <c r="L1940" s="20">
        <v>0</v>
      </c>
      <c r="M1940" s="15">
        <v>0</v>
      </c>
      <c r="N1940" s="15">
        <v>0</v>
      </c>
      <c r="O1940" s="15">
        <v>0</v>
      </c>
      <c r="P1940" s="15">
        <v>0</v>
      </c>
      <c r="Q1940" s="15">
        <v>0</v>
      </c>
      <c r="R1940" s="15">
        <v>0</v>
      </c>
      <c r="S1940" s="15">
        <v>0</v>
      </c>
      <c r="T1940" s="15">
        <v>0</v>
      </c>
      <c r="U1940" s="15">
        <v>0</v>
      </c>
      <c r="V1940" s="15">
        <v>0</v>
      </c>
      <c r="W1940" s="15">
        <v>0</v>
      </c>
      <c r="X1940" s="15">
        <v>0</v>
      </c>
      <c r="Y1940" s="15">
        <v>0</v>
      </c>
      <c r="Z1940" s="15">
        <v>0</v>
      </c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</row>
    <row r="1941" spans="1:43">
      <c r="A1941" s="15" t="s">
        <v>49</v>
      </c>
      <c r="B1941" s="15" t="s">
        <v>50</v>
      </c>
      <c r="C1941" s="15" t="s">
        <v>61</v>
      </c>
      <c r="D1941" s="15" t="s">
        <v>5121</v>
      </c>
      <c r="E1941" s="15" t="s">
        <v>5122</v>
      </c>
      <c r="F1941" s="16">
        <v>0</v>
      </c>
      <c r="G1941" s="15" t="s">
        <v>5122</v>
      </c>
      <c r="H1941" s="15" t="s">
        <v>5123</v>
      </c>
      <c r="I1941" s="15">
        <v>0</v>
      </c>
      <c r="J1941" s="15">
        <v>0</v>
      </c>
      <c r="K1941" s="15">
        <v>0</v>
      </c>
      <c r="L1941" s="20">
        <v>0</v>
      </c>
      <c r="M1941" s="15">
        <v>0</v>
      </c>
      <c r="N1941" s="15">
        <v>0</v>
      </c>
      <c r="O1941" s="15">
        <v>0</v>
      </c>
      <c r="P1941" s="15">
        <v>0</v>
      </c>
      <c r="Q1941" s="15">
        <v>0</v>
      </c>
      <c r="R1941" s="15">
        <v>0</v>
      </c>
      <c r="S1941" s="15">
        <v>0</v>
      </c>
      <c r="T1941" s="15">
        <v>0</v>
      </c>
      <c r="U1941" s="15">
        <v>0</v>
      </c>
      <c r="V1941" s="15">
        <v>0</v>
      </c>
      <c r="W1941" s="15">
        <v>0</v>
      </c>
      <c r="X1941" s="15">
        <v>0</v>
      </c>
      <c r="Y1941" s="15">
        <v>0</v>
      </c>
      <c r="Z1941" s="15">
        <v>0</v>
      </c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</row>
    <row r="1942" spans="1:43">
      <c r="A1942" s="15" t="s">
        <v>49</v>
      </c>
      <c r="B1942" s="15" t="s">
        <v>50</v>
      </c>
      <c r="C1942" s="15" t="s">
        <v>61</v>
      </c>
      <c r="D1942" s="15" t="s">
        <v>5124</v>
      </c>
      <c r="E1942" s="15" t="s">
        <v>5125</v>
      </c>
      <c r="F1942" s="16">
        <v>0</v>
      </c>
      <c r="G1942" s="15" t="s">
        <v>5125</v>
      </c>
      <c r="H1942" s="15" t="s">
        <v>5126</v>
      </c>
      <c r="I1942" s="15">
        <v>0</v>
      </c>
      <c r="J1942" s="15">
        <v>0</v>
      </c>
      <c r="K1942" s="15">
        <v>0</v>
      </c>
      <c r="L1942" s="20">
        <v>0</v>
      </c>
      <c r="M1942" s="15">
        <v>0</v>
      </c>
      <c r="N1942" s="15">
        <v>0</v>
      </c>
      <c r="O1942" s="15">
        <v>0</v>
      </c>
      <c r="P1942" s="15">
        <v>0</v>
      </c>
      <c r="Q1942" s="15">
        <v>0</v>
      </c>
      <c r="R1942" s="15">
        <v>0</v>
      </c>
      <c r="S1942" s="15">
        <v>0</v>
      </c>
      <c r="T1942" s="15">
        <v>0</v>
      </c>
      <c r="U1942" s="15">
        <v>0</v>
      </c>
      <c r="V1942" s="15">
        <v>0</v>
      </c>
      <c r="W1942" s="15">
        <v>0</v>
      </c>
      <c r="X1942" s="15">
        <v>0</v>
      </c>
      <c r="Y1942" s="15">
        <v>0</v>
      </c>
      <c r="Z1942" s="15">
        <v>0</v>
      </c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</row>
    <row r="1943" spans="1:43">
      <c r="A1943" s="15" t="s">
        <v>64</v>
      </c>
      <c r="B1943" s="15" t="s">
        <v>65</v>
      </c>
      <c r="C1943" s="15" t="s">
        <v>1086</v>
      </c>
      <c r="D1943" s="15" t="s">
        <v>5127</v>
      </c>
      <c r="E1943" s="15" t="s">
        <v>5128</v>
      </c>
      <c r="F1943" s="16">
        <v>44761.6271180556</v>
      </c>
      <c r="G1943" s="15" t="s">
        <v>5128</v>
      </c>
      <c r="H1943" s="15" t="s">
        <v>5129</v>
      </c>
      <c r="I1943" s="15">
        <v>0</v>
      </c>
      <c r="J1943" s="15">
        <v>0</v>
      </c>
      <c r="K1943" s="15">
        <v>0</v>
      </c>
      <c r="L1943" s="20">
        <v>0</v>
      </c>
      <c r="M1943" s="15">
        <v>0</v>
      </c>
      <c r="N1943" s="15">
        <v>0</v>
      </c>
      <c r="O1943" s="15">
        <v>0</v>
      </c>
      <c r="P1943" s="15">
        <v>0</v>
      </c>
      <c r="Q1943" s="15">
        <v>0</v>
      </c>
      <c r="R1943" s="15">
        <v>0</v>
      </c>
      <c r="S1943" s="15">
        <v>0</v>
      </c>
      <c r="T1943" s="15">
        <v>0</v>
      </c>
      <c r="U1943" s="15">
        <v>0</v>
      </c>
      <c r="V1943" s="15">
        <v>0</v>
      </c>
      <c r="W1943" s="15">
        <v>0</v>
      </c>
      <c r="X1943" s="15">
        <v>0</v>
      </c>
      <c r="Y1943" s="15">
        <v>0</v>
      </c>
      <c r="Z1943" s="15">
        <v>0</v>
      </c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</row>
    <row r="1944" spans="1:43">
      <c r="A1944" s="15" t="s">
        <v>43</v>
      </c>
      <c r="B1944" s="15" t="s">
        <v>44</v>
      </c>
      <c r="C1944" s="15" t="s">
        <v>228</v>
      </c>
      <c r="D1944" s="15" t="s">
        <v>5130</v>
      </c>
      <c r="E1944" s="15" t="s">
        <v>2367</v>
      </c>
      <c r="F1944" s="16">
        <v>0</v>
      </c>
      <c r="G1944" s="15" t="s">
        <v>2367</v>
      </c>
      <c r="H1944" s="15" t="s">
        <v>54</v>
      </c>
      <c r="I1944" s="15">
        <v>0</v>
      </c>
      <c r="J1944" s="15">
        <v>0</v>
      </c>
      <c r="K1944" s="15">
        <v>0</v>
      </c>
      <c r="L1944" s="20">
        <v>0</v>
      </c>
      <c r="M1944" s="15">
        <v>0</v>
      </c>
      <c r="N1944" s="15">
        <v>0</v>
      </c>
      <c r="O1944" s="15">
        <v>0</v>
      </c>
      <c r="P1944" s="15">
        <v>0</v>
      </c>
      <c r="Q1944" s="15">
        <v>0</v>
      </c>
      <c r="R1944" s="15">
        <v>0</v>
      </c>
      <c r="S1944" s="15">
        <v>0</v>
      </c>
      <c r="T1944" s="15">
        <v>0</v>
      </c>
      <c r="U1944" s="15">
        <v>0</v>
      </c>
      <c r="V1944" s="15">
        <v>0</v>
      </c>
      <c r="W1944" s="15">
        <v>0</v>
      </c>
      <c r="X1944" s="15">
        <v>0</v>
      </c>
      <c r="Y1944" s="15">
        <v>0</v>
      </c>
      <c r="Z1944" s="15">
        <v>0</v>
      </c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</row>
    <row r="1945" spans="1:43">
      <c r="A1945" s="15" t="s">
        <v>43</v>
      </c>
      <c r="B1945" s="15" t="s">
        <v>44</v>
      </c>
      <c r="C1945" s="15" t="s">
        <v>45</v>
      </c>
      <c r="D1945" s="15" t="s">
        <v>5131</v>
      </c>
      <c r="E1945" s="15" t="s">
        <v>5132</v>
      </c>
      <c r="F1945" s="16">
        <v>42180.6373726852</v>
      </c>
      <c r="G1945" s="15" t="s">
        <v>5132</v>
      </c>
      <c r="H1945" s="15" t="s">
        <v>5133</v>
      </c>
      <c r="I1945" s="15">
        <v>0</v>
      </c>
      <c r="J1945" s="15">
        <v>0</v>
      </c>
      <c r="K1945" s="15">
        <v>0</v>
      </c>
      <c r="L1945" s="20">
        <v>0</v>
      </c>
      <c r="M1945" s="15">
        <v>0</v>
      </c>
      <c r="N1945" s="15">
        <v>0</v>
      </c>
      <c r="O1945" s="15">
        <v>0</v>
      </c>
      <c r="P1945" s="15">
        <v>0</v>
      </c>
      <c r="Q1945" s="15">
        <v>0</v>
      </c>
      <c r="R1945" s="15">
        <v>0</v>
      </c>
      <c r="S1945" s="15">
        <v>0</v>
      </c>
      <c r="T1945" s="15">
        <v>0</v>
      </c>
      <c r="U1945" s="15">
        <v>0</v>
      </c>
      <c r="V1945" s="15">
        <v>0</v>
      </c>
      <c r="W1945" s="15">
        <v>0</v>
      </c>
      <c r="X1945" s="15">
        <v>0</v>
      </c>
      <c r="Y1945" s="15">
        <v>0</v>
      </c>
      <c r="Z1945" s="15">
        <v>0</v>
      </c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</row>
    <row r="1946" spans="1:43">
      <c r="A1946" s="15" t="s">
        <v>43</v>
      </c>
      <c r="B1946" s="15" t="s">
        <v>44</v>
      </c>
      <c r="C1946" s="15" t="s">
        <v>45</v>
      </c>
      <c r="D1946" s="15" t="s">
        <v>5134</v>
      </c>
      <c r="E1946" s="15" t="s">
        <v>5135</v>
      </c>
      <c r="F1946" s="16">
        <v>41304.611099537</v>
      </c>
      <c r="G1946" s="15" t="s">
        <v>5135</v>
      </c>
      <c r="H1946" s="15" t="s">
        <v>5136</v>
      </c>
      <c r="I1946" s="15">
        <v>0</v>
      </c>
      <c r="J1946" s="15">
        <v>0</v>
      </c>
      <c r="K1946" s="15">
        <v>0</v>
      </c>
      <c r="L1946" s="20">
        <v>0</v>
      </c>
      <c r="M1946" s="15">
        <v>0</v>
      </c>
      <c r="N1946" s="15">
        <v>0</v>
      </c>
      <c r="O1946" s="15">
        <v>0</v>
      </c>
      <c r="P1946" s="15">
        <v>0</v>
      </c>
      <c r="Q1946" s="15">
        <v>0</v>
      </c>
      <c r="R1946" s="15">
        <v>0</v>
      </c>
      <c r="S1946" s="15">
        <v>0</v>
      </c>
      <c r="T1946" s="15">
        <v>0</v>
      </c>
      <c r="U1946" s="15">
        <v>0</v>
      </c>
      <c r="V1946" s="15">
        <v>0</v>
      </c>
      <c r="W1946" s="15">
        <v>0</v>
      </c>
      <c r="X1946" s="15">
        <v>0</v>
      </c>
      <c r="Y1946" s="15">
        <v>0</v>
      </c>
      <c r="Z1946" s="15">
        <v>0</v>
      </c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</row>
    <row r="1947" spans="1:43">
      <c r="A1947" s="15" t="s">
        <v>49</v>
      </c>
      <c r="B1947" s="15" t="s">
        <v>50</v>
      </c>
      <c r="C1947" s="15" t="s">
        <v>61</v>
      </c>
      <c r="D1947" s="15" t="s">
        <v>5137</v>
      </c>
      <c r="E1947" s="15" t="s">
        <v>5019</v>
      </c>
      <c r="F1947" s="16">
        <v>0</v>
      </c>
      <c r="G1947" s="15" t="s">
        <v>5019</v>
      </c>
      <c r="H1947" s="15" t="s">
        <v>54</v>
      </c>
      <c r="I1947" s="15">
        <v>0</v>
      </c>
      <c r="J1947" s="15">
        <v>0</v>
      </c>
      <c r="K1947" s="15">
        <v>0</v>
      </c>
      <c r="L1947" s="20">
        <v>0</v>
      </c>
      <c r="M1947" s="15">
        <v>0</v>
      </c>
      <c r="N1947" s="15">
        <v>0</v>
      </c>
      <c r="O1947" s="15">
        <v>0</v>
      </c>
      <c r="P1947" s="15">
        <v>0</v>
      </c>
      <c r="Q1947" s="15">
        <v>0</v>
      </c>
      <c r="R1947" s="15">
        <v>0</v>
      </c>
      <c r="S1947" s="15">
        <v>0</v>
      </c>
      <c r="T1947" s="15">
        <v>0</v>
      </c>
      <c r="U1947" s="15">
        <v>0</v>
      </c>
      <c r="V1947" s="15">
        <v>0</v>
      </c>
      <c r="W1947" s="15">
        <v>0</v>
      </c>
      <c r="X1947" s="15">
        <v>0</v>
      </c>
      <c r="Y1947" s="15">
        <v>0</v>
      </c>
      <c r="Z1947" s="15">
        <v>0</v>
      </c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</row>
    <row r="1948" spans="1:43">
      <c r="A1948" s="15" t="s">
        <v>43</v>
      </c>
      <c r="B1948" s="15" t="s">
        <v>44</v>
      </c>
      <c r="C1948" s="15" t="s">
        <v>45</v>
      </c>
      <c r="D1948" s="15" t="s">
        <v>5138</v>
      </c>
      <c r="E1948" s="15" t="s">
        <v>5139</v>
      </c>
      <c r="F1948" s="16">
        <v>42333.7167013889</v>
      </c>
      <c r="G1948" s="15" t="s">
        <v>5139</v>
      </c>
      <c r="H1948" s="15" t="s">
        <v>5140</v>
      </c>
      <c r="I1948" s="15">
        <v>0</v>
      </c>
      <c r="J1948" s="15">
        <v>0</v>
      </c>
      <c r="K1948" s="15">
        <v>0</v>
      </c>
      <c r="L1948" s="20">
        <v>0</v>
      </c>
      <c r="M1948" s="15">
        <v>0</v>
      </c>
      <c r="N1948" s="15">
        <v>0</v>
      </c>
      <c r="O1948" s="15">
        <v>0</v>
      </c>
      <c r="P1948" s="15">
        <v>0</v>
      </c>
      <c r="Q1948" s="15">
        <v>0</v>
      </c>
      <c r="R1948" s="15">
        <v>0</v>
      </c>
      <c r="S1948" s="15">
        <v>0</v>
      </c>
      <c r="T1948" s="15">
        <v>0</v>
      </c>
      <c r="U1948" s="15">
        <v>0</v>
      </c>
      <c r="V1948" s="15">
        <v>0</v>
      </c>
      <c r="W1948" s="15">
        <v>0</v>
      </c>
      <c r="X1948" s="15">
        <v>0</v>
      </c>
      <c r="Y1948" s="15">
        <v>0</v>
      </c>
      <c r="Z1948" s="15">
        <v>0</v>
      </c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</row>
    <row r="1949" spans="1:43">
      <c r="A1949" s="15" t="s">
        <v>64</v>
      </c>
      <c r="B1949" s="15" t="s">
        <v>65</v>
      </c>
      <c r="C1949" s="15" t="s">
        <v>66</v>
      </c>
      <c r="D1949" s="15" t="s">
        <v>5141</v>
      </c>
      <c r="E1949" s="15" t="s">
        <v>5142</v>
      </c>
      <c r="F1949" s="16">
        <v>44874.4119675926</v>
      </c>
      <c r="G1949" s="15" t="s">
        <v>5142</v>
      </c>
      <c r="H1949" s="15" t="s">
        <v>5143</v>
      </c>
      <c r="I1949" s="15">
        <v>48.17</v>
      </c>
      <c r="J1949" s="15">
        <v>2</v>
      </c>
      <c r="K1949" s="15">
        <v>24.085</v>
      </c>
      <c r="L1949" s="20">
        <v>0.344071428571429</v>
      </c>
      <c r="M1949" s="15">
        <v>22.47</v>
      </c>
      <c r="N1949" s="15">
        <v>25.7</v>
      </c>
      <c r="O1949" s="15">
        <v>0</v>
      </c>
      <c r="P1949" s="15">
        <v>0</v>
      </c>
      <c r="Q1949" s="15">
        <v>0</v>
      </c>
      <c r="R1949" s="15">
        <v>0</v>
      </c>
      <c r="S1949" s="15">
        <v>0</v>
      </c>
      <c r="T1949" s="15">
        <v>0</v>
      </c>
      <c r="U1949" s="15">
        <v>0</v>
      </c>
      <c r="V1949" s="15">
        <v>0</v>
      </c>
      <c r="W1949" s="15">
        <v>0</v>
      </c>
      <c r="X1949" s="15">
        <v>0</v>
      </c>
      <c r="Y1949" s="15">
        <v>0</v>
      </c>
      <c r="Z1949" s="15">
        <v>0</v>
      </c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</row>
    <row r="1950" spans="1:43">
      <c r="A1950" s="15" t="s">
        <v>43</v>
      </c>
      <c r="B1950" s="15" t="s">
        <v>44</v>
      </c>
      <c r="C1950" s="15" t="s">
        <v>45</v>
      </c>
      <c r="D1950" s="15" t="s">
        <v>5144</v>
      </c>
      <c r="E1950" s="15" t="s">
        <v>5145</v>
      </c>
      <c r="F1950" s="16">
        <v>42508.386099537</v>
      </c>
      <c r="G1950" s="15" t="s">
        <v>5145</v>
      </c>
      <c r="H1950" s="15" t="s">
        <v>5146</v>
      </c>
      <c r="I1950" s="15">
        <v>0</v>
      </c>
      <c r="J1950" s="15">
        <v>0</v>
      </c>
      <c r="K1950" s="15">
        <v>0</v>
      </c>
      <c r="L1950" s="20">
        <v>0</v>
      </c>
      <c r="M1950" s="15">
        <v>0</v>
      </c>
      <c r="N1950" s="15">
        <v>0</v>
      </c>
      <c r="O1950" s="15">
        <v>0</v>
      </c>
      <c r="P1950" s="15">
        <v>0</v>
      </c>
      <c r="Q1950" s="15">
        <v>0</v>
      </c>
      <c r="R1950" s="15">
        <v>0</v>
      </c>
      <c r="S1950" s="15">
        <v>0</v>
      </c>
      <c r="T1950" s="15">
        <v>0</v>
      </c>
      <c r="U1950" s="15">
        <v>0</v>
      </c>
      <c r="V1950" s="15">
        <v>0</v>
      </c>
      <c r="W1950" s="15">
        <v>0</v>
      </c>
      <c r="X1950" s="15">
        <v>0</v>
      </c>
      <c r="Y1950" s="15">
        <v>0</v>
      </c>
      <c r="Z1950" s="15">
        <v>0</v>
      </c>
      <c r="AA1950" s="15"/>
      <c r="AB1950" s="15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</row>
    <row r="1951" spans="1:43">
      <c r="A1951" s="15" t="s">
        <v>64</v>
      </c>
      <c r="B1951" s="15" t="s">
        <v>65</v>
      </c>
      <c r="C1951" s="15" t="s">
        <v>93</v>
      </c>
      <c r="D1951" s="15" t="s">
        <v>5147</v>
      </c>
      <c r="E1951" s="15" t="s">
        <v>5148</v>
      </c>
      <c r="F1951" s="16">
        <v>44680.6550694444</v>
      </c>
      <c r="G1951" s="15" t="s">
        <v>5148</v>
      </c>
      <c r="H1951" s="15" t="s">
        <v>54</v>
      </c>
      <c r="I1951" s="15">
        <v>0</v>
      </c>
      <c r="J1951" s="15">
        <v>0</v>
      </c>
      <c r="K1951" s="15">
        <v>0</v>
      </c>
      <c r="L1951" s="20">
        <v>0</v>
      </c>
      <c r="M1951" s="15">
        <v>0</v>
      </c>
      <c r="N1951" s="15">
        <v>0</v>
      </c>
      <c r="O1951" s="15">
        <v>0</v>
      </c>
      <c r="P1951" s="15">
        <v>0</v>
      </c>
      <c r="Q1951" s="15">
        <v>0</v>
      </c>
      <c r="R1951" s="15">
        <v>0</v>
      </c>
      <c r="S1951" s="15">
        <v>0</v>
      </c>
      <c r="T1951" s="15">
        <v>0</v>
      </c>
      <c r="U1951" s="15">
        <v>0</v>
      </c>
      <c r="V1951" s="15">
        <v>0</v>
      </c>
      <c r="W1951" s="15">
        <v>0</v>
      </c>
      <c r="X1951" s="15">
        <v>0</v>
      </c>
      <c r="Y1951" s="15">
        <v>0</v>
      </c>
      <c r="Z1951" s="15">
        <v>0</v>
      </c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</row>
    <row r="1952" spans="1:43">
      <c r="A1952" s="15" t="s">
        <v>49</v>
      </c>
      <c r="B1952" s="15" t="s">
        <v>50</v>
      </c>
      <c r="C1952" s="15" t="s">
        <v>301</v>
      </c>
      <c r="D1952" s="15" t="s">
        <v>5149</v>
      </c>
      <c r="E1952" s="15" t="s">
        <v>5150</v>
      </c>
      <c r="F1952" s="16">
        <v>45152.720775463</v>
      </c>
      <c r="G1952" s="15" t="s">
        <v>5150</v>
      </c>
      <c r="H1952" s="15" t="s">
        <v>54</v>
      </c>
      <c r="I1952" s="15">
        <v>0</v>
      </c>
      <c r="J1952" s="15">
        <v>0</v>
      </c>
      <c r="K1952" s="15">
        <v>0</v>
      </c>
      <c r="L1952" s="20">
        <v>0</v>
      </c>
      <c r="M1952" s="15">
        <v>0</v>
      </c>
      <c r="N1952" s="15">
        <v>0</v>
      </c>
      <c r="O1952" s="15">
        <v>0</v>
      </c>
      <c r="P1952" s="15">
        <v>0</v>
      </c>
      <c r="Q1952" s="15">
        <v>0</v>
      </c>
      <c r="R1952" s="15">
        <v>0</v>
      </c>
      <c r="S1952" s="15">
        <v>0</v>
      </c>
      <c r="T1952" s="15">
        <v>0</v>
      </c>
      <c r="U1952" s="15">
        <v>0</v>
      </c>
      <c r="V1952" s="15">
        <v>0</v>
      </c>
      <c r="W1952" s="15">
        <v>0</v>
      </c>
      <c r="X1952" s="15">
        <v>0</v>
      </c>
      <c r="Y1952" s="15">
        <v>0</v>
      </c>
      <c r="Z1952" s="15">
        <v>0</v>
      </c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</row>
    <row r="1953" spans="1:43">
      <c r="A1953" s="15" t="s">
        <v>49</v>
      </c>
      <c r="B1953" s="15" t="s">
        <v>50</v>
      </c>
      <c r="C1953" s="15" t="s">
        <v>61</v>
      </c>
      <c r="D1953" s="15" t="s">
        <v>5151</v>
      </c>
      <c r="E1953" s="15" t="s">
        <v>5152</v>
      </c>
      <c r="F1953" s="16">
        <v>0</v>
      </c>
      <c r="G1953" s="15" t="s">
        <v>5152</v>
      </c>
      <c r="H1953" s="15" t="s">
        <v>5153</v>
      </c>
      <c r="I1953" s="15">
        <v>0</v>
      </c>
      <c r="J1953" s="15">
        <v>0</v>
      </c>
      <c r="K1953" s="15">
        <v>0</v>
      </c>
      <c r="L1953" s="20">
        <v>0</v>
      </c>
      <c r="M1953" s="15">
        <v>0</v>
      </c>
      <c r="N1953" s="15">
        <v>0</v>
      </c>
      <c r="O1953" s="15">
        <v>0</v>
      </c>
      <c r="P1953" s="15">
        <v>0</v>
      </c>
      <c r="Q1953" s="15">
        <v>0</v>
      </c>
      <c r="R1953" s="15">
        <v>0</v>
      </c>
      <c r="S1953" s="15">
        <v>0</v>
      </c>
      <c r="T1953" s="15">
        <v>0</v>
      </c>
      <c r="U1953" s="15">
        <v>0</v>
      </c>
      <c r="V1953" s="15">
        <v>0</v>
      </c>
      <c r="W1953" s="15">
        <v>0</v>
      </c>
      <c r="X1953" s="15">
        <v>0</v>
      </c>
      <c r="Y1953" s="15">
        <v>0</v>
      </c>
      <c r="Z1953" s="15">
        <v>0</v>
      </c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</row>
    <row r="1954" spans="1:43">
      <c r="A1954" s="15" t="s">
        <v>43</v>
      </c>
      <c r="B1954" s="15" t="s">
        <v>44</v>
      </c>
      <c r="C1954" s="15" t="s">
        <v>45</v>
      </c>
      <c r="D1954" s="15" t="s">
        <v>5154</v>
      </c>
      <c r="E1954" s="15" t="s">
        <v>5155</v>
      </c>
      <c r="F1954" s="16">
        <v>41352.4778240741</v>
      </c>
      <c r="G1954" s="15" t="s">
        <v>5155</v>
      </c>
      <c r="H1954" s="15" t="s">
        <v>5156</v>
      </c>
      <c r="I1954" s="15">
        <v>0</v>
      </c>
      <c r="J1954" s="15">
        <v>0</v>
      </c>
      <c r="K1954" s="15">
        <v>0</v>
      </c>
      <c r="L1954" s="20">
        <v>0</v>
      </c>
      <c r="M1954" s="15">
        <v>0</v>
      </c>
      <c r="N1954" s="15">
        <v>0</v>
      </c>
      <c r="O1954" s="15">
        <v>0</v>
      </c>
      <c r="P1954" s="15">
        <v>0</v>
      </c>
      <c r="Q1954" s="15">
        <v>0</v>
      </c>
      <c r="R1954" s="15">
        <v>0</v>
      </c>
      <c r="S1954" s="15">
        <v>0</v>
      </c>
      <c r="T1954" s="15">
        <v>0</v>
      </c>
      <c r="U1954" s="15">
        <v>0</v>
      </c>
      <c r="V1954" s="15">
        <v>0</v>
      </c>
      <c r="W1954" s="15">
        <v>0</v>
      </c>
      <c r="X1954" s="15">
        <v>0</v>
      </c>
      <c r="Y1954" s="15">
        <v>0</v>
      </c>
      <c r="Z1954" s="15">
        <v>0</v>
      </c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</row>
    <row r="1955" spans="1:43">
      <c r="A1955" s="15" t="s">
        <v>49</v>
      </c>
      <c r="B1955" s="15" t="s">
        <v>50</v>
      </c>
      <c r="C1955" s="15" t="s">
        <v>61</v>
      </c>
      <c r="D1955" s="15" t="s">
        <v>5157</v>
      </c>
      <c r="E1955" s="15" t="s">
        <v>5158</v>
      </c>
      <c r="F1955" s="16">
        <v>0</v>
      </c>
      <c r="G1955" s="15" t="s">
        <v>5158</v>
      </c>
      <c r="H1955" s="15" t="s">
        <v>54</v>
      </c>
      <c r="I1955" s="15">
        <v>0</v>
      </c>
      <c r="J1955" s="15">
        <v>0</v>
      </c>
      <c r="K1955" s="15">
        <v>0</v>
      </c>
      <c r="L1955" s="20">
        <v>0</v>
      </c>
      <c r="M1955" s="15">
        <v>0</v>
      </c>
      <c r="N1955" s="15">
        <v>0</v>
      </c>
      <c r="O1955" s="15">
        <v>0</v>
      </c>
      <c r="P1955" s="15">
        <v>0</v>
      </c>
      <c r="Q1955" s="15">
        <v>0</v>
      </c>
      <c r="R1955" s="15">
        <v>0</v>
      </c>
      <c r="S1955" s="15">
        <v>0</v>
      </c>
      <c r="T1955" s="15">
        <v>0</v>
      </c>
      <c r="U1955" s="15">
        <v>0</v>
      </c>
      <c r="V1955" s="15">
        <v>0</v>
      </c>
      <c r="W1955" s="15">
        <v>0</v>
      </c>
      <c r="X1955" s="15">
        <v>0</v>
      </c>
      <c r="Y1955" s="15">
        <v>0</v>
      </c>
      <c r="Z1955" s="15">
        <v>0</v>
      </c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</row>
    <row r="1956" spans="1:43">
      <c r="A1956" s="15" t="s">
        <v>43</v>
      </c>
      <c r="B1956" s="15" t="s">
        <v>44</v>
      </c>
      <c r="C1956" s="15" t="s">
        <v>440</v>
      </c>
      <c r="D1956" s="15" t="s">
        <v>5159</v>
      </c>
      <c r="E1956" s="15" t="s">
        <v>5160</v>
      </c>
      <c r="F1956" s="16">
        <v>44653.6016898148</v>
      </c>
      <c r="G1956" s="15" t="s">
        <v>5160</v>
      </c>
      <c r="H1956" s="15" t="s">
        <v>54</v>
      </c>
      <c r="I1956" s="15">
        <v>1348.21</v>
      </c>
      <c r="J1956" s="15">
        <v>11</v>
      </c>
      <c r="K1956" s="15">
        <v>122.564545454545</v>
      </c>
      <c r="L1956" s="20">
        <v>2.45129090909091</v>
      </c>
      <c r="M1956" s="15">
        <v>151.85</v>
      </c>
      <c r="N1956" s="15">
        <v>73.31</v>
      </c>
      <c r="O1956" s="15">
        <v>147.29</v>
      </c>
      <c r="P1956" s="15">
        <v>144.38</v>
      </c>
      <c r="Q1956" s="15">
        <v>113.98</v>
      </c>
      <c r="R1956" s="15">
        <v>106.37</v>
      </c>
      <c r="S1956" s="15">
        <v>152.72</v>
      </c>
      <c r="T1956" s="15">
        <v>75.26</v>
      </c>
      <c r="U1956" s="15">
        <v>118.37</v>
      </c>
      <c r="V1956" s="15">
        <v>151.89</v>
      </c>
      <c r="W1956" s="15">
        <v>112.79</v>
      </c>
      <c r="X1956" s="15">
        <v>0</v>
      </c>
      <c r="Y1956" s="15">
        <v>0</v>
      </c>
      <c r="Z1956" s="15">
        <v>0</v>
      </c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</row>
    <row r="1957" spans="1:43">
      <c r="A1957" s="15" t="s">
        <v>49</v>
      </c>
      <c r="B1957" s="15" t="s">
        <v>50</v>
      </c>
      <c r="C1957" s="15" t="s">
        <v>61</v>
      </c>
      <c r="D1957" s="15" t="s">
        <v>5161</v>
      </c>
      <c r="E1957" s="15" t="s">
        <v>5162</v>
      </c>
      <c r="F1957" s="16">
        <v>0</v>
      </c>
      <c r="G1957" s="15" t="s">
        <v>5162</v>
      </c>
      <c r="H1957" s="15" t="s">
        <v>54</v>
      </c>
      <c r="I1957" s="15">
        <v>0</v>
      </c>
      <c r="J1957" s="15">
        <v>0</v>
      </c>
      <c r="K1957" s="15">
        <v>0</v>
      </c>
      <c r="L1957" s="20">
        <v>0</v>
      </c>
      <c r="M1957" s="15">
        <v>0</v>
      </c>
      <c r="N1957" s="15">
        <v>0</v>
      </c>
      <c r="O1957" s="15">
        <v>0</v>
      </c>
      <c r="P1957" s="15">
        <v>0</v>
      </c>
      <c r="Q1957" s="15">
        <v>0</v>
      </c>
      <c r="R1957" s="15">
        <v>0</v>
      </c>
      <c r="S1957" s="15">
        <v>0</v>
      </c>
      <c r="T1957" s="15">
        <v>0</v>
      </c>
      <c r="U1957" s="15">
        <v>0</v>
      </c>
      <c r="V1957" s="15">
        <v>0</v>
      </c>
      <c r="W1957" s="15">
        <v>0</v>
      </c>
      <c r="X1957" s="15">
        <v>0</v>
      </c>
      <c r="Y1957" s="15">
        <v>0</v>
      </c>
      <c r="Z1957" s="15">
        <v>0</v>
      </c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</row>
    <row r="1958" spans="1:43">
      <c r="A1958" s="15" t="s">
        <v>43</v>
      </c>
      <c r="B1958" s="15" t="s">
        <v>44</v>
      </c>
      <c r="C1958" s="15" t="s">
        <v>228</v>
      </c>
      <c r="D1958" s="15" t="s">
        <v>5163</v>
      </c>
      <c r="E1958" s="15" t="s">
        <v>5164</v>
      </c>
      <c r="F1958" s="16">
        <v>44995.5731944444</v>
      </c>
      <c r="G1958" s="15" t="s">
        <v>5164</v>
      </c>
      <c r="H1958" s="15" t="s">
        <v>54</v>
      </c>
      <c r="I1958" s="15">
        <v>633.21</v>
      </c>
      <c r="J1958" s="15">
        <v>14</v>
      </c>
      <c r="K1958" s="15">
        <v>45.2292857142857</v>
      </c>
      <c r="L1958" s="20">
        <v>0.904585714285714</v>
      </c>
      <c r="M1958" s="15">
        <v>61.72</v>
      </c>
      <c r="N1958" s="15">
        <v>43.69</v>
      </c>
      <c r="O1958" s="15">
        <v>60.49</v>
      </c>
      <c r="P1958" s="15">
        <v>39.98</v>
      </c>
      <c r="Q1958" s="15">
        <v>19.46</v>
      </c>
      <c r="R1958" s="15">
        <v>29.49</v>
      </c>
      <c r="S1958" s="15">
        <v>60.08</v>
      </c>
      <c r="T1958" s="15">
        <v>56.5</v>
      </c>
      <c r="U1958" s="15">
        <v>50.37</v>
      </c>
      <c r="V1958" s="15">
        <v>50.54</v>
      </c>
      <c r="W1958" s="15">
        <v>37.58</v>
      </c>
      <c r="X1958" s="15">
        <v>28.21</v>
      </c>
      <c r="Y1958" s="15">
        <v>32.33</v>
      </c>
      <c r="Z1958" s="15">
        <v>62.77</v>
      </c>
      <c r="AA1958" s="15"/>
      <c r="AB1958" s="15"/>
      <c r="AC1958" s="15"/>
      <c r="AD1958" s="15"/>
      <c r="AE1958" s="15"/>
      <c r="AF1958" s="15"/>
      <c r="AG1958" s="15"/>
      <c r="AH1958" s="15"/>
      <c r="AI1958" s="15"/>
      <c r="AJ1958" s="15"/>
      <c r="AK1958" s="15"/>
      <c r="AL1958" s="15"/>
      <c r="AM1958" s="15"/>
      <c r="AN1958" s="15"/>
      <c r="AO1958" s="15"/>
      <c r="AP1958" s="15"/>
      <c r="AQ1958" s="15"/>
    </row>
    <row r="1959" spans="1:43">
      <c r="A1959" s="15" t="s">
        <v>43</v>
      </c>
      <c r="B1959" s="15" t="s">
        <v>44</v>
      </c>
      <c r="C1959" s="15" t="s">
        <v>45</v>
      </c>
      <c r="D1959" s="15" t="s">
        <v>5165</v>
      </c>
      <c r="E1959" s="15" t="s">
        <v>5166</v>
      </c>
      <c r="F1959" s="16">
        <v>41515.6750347222</v>
      </c>
      <c r="G1959" s="15" t="s">
        <v>5166</v>
      </c>
      <c r="H1959" s="15" t="s">
        <v>5167</v>
      </c>
      <c r="I1959" s="15">
        <v>0</v>
      </c>
      <c r="J1959" s="15">
        <v>0</v>
      </c>
      <c r="K1959" s="15">
        <v>0</v>
      </c>
      <c r="L1959" s="20">
        <v>0</v>
      </c>
      <c r="M1959" s="15">
        <v>0</v>
      </c>
      <c r="N1959" s="15">
        <v>0</v>
      </c>
      <c r="O1959" s="15">
        <v>0</v>
      </c>
      <c r="P1959" s="15">
        <v>0</v>
      </c>
      <c r="Q1959" s="15">
        <v>0</v>
      </c>
      <c r="R1959" s="15">
        <v>0</v>
      </c>
      <c r="S1959" s="15">
        <v>0</v>
      </c>
      <c r="T1959" s="15">
        <v>0</v>
      </c>
      <c r="U1959" s="15">
        <v>0</v>
      </c>
      <c r="V1959" s="15">
        <v>0</v>
      </c>
      <c r="W1959" s="15">
        <v>0</v>
      </c>
      <c r="X1959" s="15">
        <v>0</v>
      </c>
      <c r="Y1959" s="15">
        <v>0</v>
      </c>
      <c r="Z1959" s="15">
        <v>0</v>
      </c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</row>
    <row r="1960" spans="1:43">
      <c r="A1960" s="15" t="s">
        <v>43</v>
      </c>
      <c r="B1960" s="15" t="s">
        <v>44</v>
      </c>
      <c r="C1960" s="15" t="s">
        <v>45</v>
      </c>
      <c r="D1960" s="15" t="s">
        <v>5168</v>
      </c>
      <c r="E1960" s="15" t="s">
        <v>5169</v>
      </c>
      <c r="F1960" s="16">
        <v>44718.6793634259</v>
      </c>
      <c r="G1960" s="15" t="s">
        <v>5169</v>
      </c>
      <c r="H1960" s="15" t="s">
        <v>54</v>
      </c>
      <c r="I1960" s="15">
        <v>0</v>
      </c>
      <c r="J1960" s="15">
        <v>0</v>
      </c>
      <c r="K1960" s="15">
        <v>0</v>
      </c>
      <c r="L1960" s="20">
        <v>0</v>
      </c>
      <c r="M1960" s="15">
        <v>0</v>
      </c>
      <c r="N1960" s="15">
        <v>0</v>
      </c>
      <c r="O1960" s="15">
        <v>0</v>
      </c>
      <c r="P1960" s="15">
        <v>0</v>
      </c>
      <c r="Q1960" s="15">
        <v>0</v>
      </c>
      <c r="R1960" s="15">
        <v>0</v>
      </c>
      <c r="S1960" s="15">
        <v>0</v>
      </c>
      <c r="T1960" s="15">
        <v>0</v>
      </c>
      <c r="U1960" s="15">
        <v>0</v>
      </c>
      <c r="V1960" s="15">
        <v>0</v>
      </c>
      <c r="W1960" s="15">
        <v>0</v>
      </c>
      <c r="X1960" s="15">
        <v>0</v>
      </c>
      <c r="Y1960" s="15">
        <v>0</v>
      </c>
      <c r="Z1960" s="15">
        <v>0</v>
      </c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</row>
    <row r="1961" spans="1:43">
      <c r="A1961" s="15" t="s">
        <v>49</v>
      </c>
      <c r="B1961" s="15" t="s">
        <v>50</v>
      </c>
      <c r="C1961" s="15" t="s">
        <v>61</v>
      </c>
      <c r="D1961" s="15" t="s">
        <v>5170</v>
      </c>
      <c r="E1961" s="15" t="s">
        <v>5171</v>
      </c>
      <c r="F1961" s="16">
        <v>0</v>
      </c>
      <c r="G1961" s="15" t="s">
        <v>5171</v>
      </c>
      <c r="H1961" s="15" t="s">
        <v>5172</v>
      </c>
      <c r="I1961" s="15">
        <v>0</v>
      </c>
      <c r="J1961" s="15">
        <v>0</v>
      </c>
      <c r="K1961" s="15">
        <v>0</v>
      </c>
      <c r="L1961" s="20">
        <v>0</v>
      </c>
      <c r="M1961" s="15">
        <v>0</v>
      </c>
      <c r="N1961" s="15">
        <v>0</v>
      </c>
      <c r="O1961" s="15">
        <v>0</v>
      </c>
      <c r="P1961" s="15">
        <v>0</v>
      </c>
      <c r="Q1961" s="15">
        <v>0</v>
      </c>
      <c r="R1961" s="15">
        <v>0</v>
      </c>
      <c r="S1961" s="15">
        <v>0</v>
      </c>
      <c r="T1961" s="15">
        <v>0</v>
      </c>
      <c r="U1961" s="15">
        <v>0</v>
      </c>
      <c r="V1961" s="15">
        <v>0</v>
      </c>
      <c r="W1961" s="15">
        <v>0</v>
      </c>
      <c r="X1961" s="15">
        <v>0</v>
      </c>
      <c r="Y1961" s="15">
        <v>0</v>
      </c>
      <c r="Z1961" s="15">
        <v>0</v>
      </c>
      <c r="AA1961" s="15"/>
      <c r="AB1961" s="15"/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</row>
    <row r="1962" spans="1:43">
      <c r="A1962" s="15" t="s">
        <v>64</v>
      </c>
      <c r="B1962" s="15" t="s">
        <v>118</v>
      </c>
      <c r="C1962" s="15" t="s">
        <v>138</v>
      </c>
      <c r="D1962" s="15" t="s">
        <v>5173</v>
      </c>
      <c r="E1962" s="15" t="s">
        <v>4396</v>
      </c>
      <c r="F1962" s="16">
        <v>44974.6413194444</v>
      </c>
      <c r="G1962" s="15" t="s">
        <v>4396</v>
      </c>
      <c r="H1962" s="15" t="s">
        <v>5174</v>
      </c>
      <c r="I1962" s="15">
        <v>965.25</v>
      </c>
      <c r="J1962" s="15">
        <v>12</v>
      </c>
      <c r="K1962" s="15">
        <v>80.4375</v>
      </c>
      <c r="L1962" s="20">
        <v>1.14910714285714</v>
      </c>
      <c r="M1962" s="15">
        <v>0</v>
      </c>
      <c r="N1962" s="15">
        <v>0</v>
      </c>
      <c r="O1962" s="15">
        <v>87.57</v>
      </c>
      <c r="P1962" s="15">
        <v>85.15</v>
      </c>
      <c r="Q1962" s="15">
        <v>38.04</v>
      </c>
      <c r="R1962" s="15">
        <v>85.18</v>
      </c>
      <c r="S1962" s="15">
        <v>69.47</v>
      </c>
      <c r="T1962" s="15">
        <v>100.39</v>
      </c>
      <c r="U1962" s="15">
        <v>86.87</v>
      </c>
      <c r="V1962" s="15">
        <v>70.6</v>
      </c>
      <c r="W1962" s="15">
        <v>97.24</v>
      </c>
      <c r="X1962" s="15">
        <v>80.57</v>
      </c>
      <c r="Y1962" s="15">
        <v>61.85</v>
      </c>
      <c r="Z1962" s="15">
        <v>102.32</v>
      </c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</row>
    <row r="1963" spans="1:43">
      <c r="A1963" s="15" t="s">
        <v>43</v>
      </c>
      <c r="B1963" s="15" t="s">
        <v>44</v>
      </c>
      <c r="C1963" s="15" t="s">
        <v>45</v>
      </c>
      <c r="D1963" s="15" t="s">
        <v>5175</v>
      </c>
      <c r="E1963" s="15" t="s">
        <v>5176</v>
      </c>
      <c r="F1963" s="16">
        <v>44021.3973611111</v>
      </c>
      <c r="G1963" s="15" t="s">
        <v>5176</v>
      </c>
      <c r="H1963" s="15" t="s">
        <v>5177</v>
      </c>
      <c r="I1963" s="15">
        <v>0</v>
      </c>
      <c r="J1963" s="15">
        <v>0</v>
      </c>
      <c r="K1963" s="15">
        <v>0</v>
      </c>
      <c r="L1963" s="20">
        <v>0</v>
      </c>
      <c r="M1963" s="15">
        <v>0</v>
      </c>
      <c r="N1963" s="15">
        <v>0</v>
      </c>
      <c r="O1963" s="15">
        <v>0</v>
      </c>
      <c r="P1963" s="15">
        <v>0</v>
      </c>
      <c r="Q1963" s="15">
        <v>0</v>
      </c>
      <c r="R1963" s="15">
        <v>0</v>
      </c>
      <c r="S1963" s="15">
        <v>0</v>
      </c>
      <c r="T1963" s="15">
        <v>0</v>
      </c>
      <c r="U1963" s="15">
        <v>0</v>
      </c>
      <c r="V1963" s="15">
        <v>0</v>
      </c>
      <c r="W1963" s="15">
        <v>0</v>
      </c>
      <c r="X1963" s="15">
        <v>0</v>
      </c>
      <c r="Y1963" s="15">
        <v>0</v>
      </c>
      <c r="Z1963" s="15">
        <v>0</v>
      </c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</row>
    <row r="1964" spans="1:43">
      <c r="A1964" s="15" t="s">
        <v>49</v>
      </c>
      <c r="B1964" s="15" t="s">
        <v>50</v>
      </c>
      <c r="C1964" s="15" t="s">
        <v>61</v>
      </c>
      <c r="D1964" s="15" t="s">
        <v>5178</v>
      </c>
      <c r="E1964" s="15" t="s">
        <v>2468</v>
      </c>
      <c r="F1964" s="16">
        <v>0</v>
      </c>
      <c r="G1964" s="15" t="s">
        <v>2468</v>
      </c>
      <c r="H1964" s="15" t="s">
        <v>5179</v>
      </c>
      <c r="I1964" s="15">
        <v>0</v>
      </c>
      <c r="J1964" s="15">
        <v>0</v>
      </c>
      <c r="K1964" s="15">
        <v>0</v>
      </c>
      <c r="L1964" s="20">
        <v>0</v>
      </c>
      <c r="M1964" s="15">
        <v>0</v>
      </c>
      <c r="N1964" s="15">
        <v>0</v>
      </c>
      <c r="O1964" s="15">
        <v>0</v>
      </c>
      <c r="P1964" s="15">
        <v>0</v>
      </c>
      <c r="Q1964" s="15">
        <v>0</v>
      </c>
      <c r="R1964" s="15">
        <v>0</v>
      </c>
      <c r="S1964" s="15">
        <v>0</v>
      </c>
      <c r="T1964" s="15">
        <v>0</v>
      </c>
      <c r="U1964" s="15">
        <v>0</v>
      </c>
      <c r="V1964" s="15">
        <v>0</v>
      </c>
      <c r="W1964" s="15">
        <v>0</v>
      </c>
      <c r="X1964" s="15">
        <v>0</v>
      </c>
      <c r="Y1964" s="15">
        <v>0</v>
      </c>
      <c r="Z1964" s="15">
        <v>0</v>
      </c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</row>
    <row r="1965" spans="1:43">
      <c r="A1965" s="15" t="s">
        <v>43</v>
      </c>
      <c r="B1965" s="15" t="s">
        <v>44</v>
      </c>
      <c r="C1965" s="15" t="s">
        <v>228</v>
      </c>
      <c r="D1965" s="15" t="s">
        <v>5180</v>
      </c>
      <c r="E1965" s="15" t="s">
        <v>5181</v>
      </c>
      <c r="F1965" s="16">
        <v>44763.7211805556</v>
      </c>
      <c r="G1965" s="15" t="s">
        <v>5181</v>
      </c>
      <c r="H1965" s="15" t="s">
        <v>54</v>
      </c>
      <c r="I1965" s="15">
        <v>0</v>
      </c>
      <c r="J1965" s="15">
        <v>0</v>
      </c>
      <c r="K1965" s="15">
        <v>0</v>
      </c>
      <c r="L1965" s="20">
        <v>0</v>
      </c>
      <c r="M1965" s="15">
        <v>0</v>
      </c>
      <c r="N1965" s="15">
        <v>0</v>
      </c>
      <c r="O1965" s="15">
        <v>0</v>
      </c>
      <c r="P1965" s="15">
        <v>0</v>
      </c>
      <c r="Q1965" s="15">
        <v>0</v>
      </c>
      <c r="R1965" s="15">
        <v>0</v>
      </c>
      <c r="S1965" s="15">
        <v>0</v>
      </c>
      <c r="T1965" s="15">
        <v>0</v>
      </c>
      <c r="U1965" s="15">
        <v>0</v>
      </c>
      <c r="V1965" s="15">
        <v>0</v>
      </c>
      <c r="W1965" s="15">
        <v>0</v>
      </c>
      <c r="X1965" s="15">
        <v>0</v>
      </c>
      <c r="Y1965" s="15">
        <v>0</v>
      </c>
      <c r="Z1965" s="15">
        <v>0</v>
      </c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</row>
    <row r="1966" spans="1:43">
      <c r="A1966" s="15" t="s">
        <v>43</v>
      </c>
      <c r="B1966" s="15" t="s">
        <v>44</v>
      </c>
      <c r="C1966" s="15" t="s">
        <v>45</v>
      </c>
      <c r="D1966" s="15" t="s">
        <v>5182</v>
      </c>
      <c r="E1966" s="15" t="s">
        <v>5183</v>
      </c>
      <c r="F1966" s="16">
        <v>41571.7315856482</v>
      </c>
      <c r="G1966" s="15" t="s">
        <v>5183</v>
      </c>
      <c r="H1966" s="15" t="s">
        <v>5184</v>
      </c>
      <c r="I1966" s="15">
        <v>0</v>
      </c>
      <c r="J1966" s="15">
        <v>0</v>
      </c>
      <c r="K1966" s="15">
        <v>0</v>
      </c>
      <c r="L1966" s="20">
        <v>0</v>
      </c>
      <c r="M1966" s="15">
        <v>0</v>
      </c>
      <c r="N1966" s="15">
        <v>0</v>
      </c>
      <c r="O1966" s="15">
        <v>0</v>
      </c>
      <c r="P1966" s="15">
        <v>0</v>
      </c>
      <c r="Q1966" s="15">
        <v>0</v>
      </c>
      <c r="R1966" s="15">
        <v>0</v>
      </c>
      <c r="S1966" s="15">
        <v>0</v>
      </c>
      <c r="T1966" s="15">
        <v>0</v>
      </c>
      <c r="U1966" s="15">
        <v>0</v>
      </c>
      <c r="V1966" s="15">
        <v>0</v>
      </c>
      <c r="W1966" s="15">
        <v>0</v>
      </c>
      <c r="X1966" s="15">
        <v>0</v>
      </c>
      <c r="Y1966" s="15">
        <v>0</v>
      </c>
      <c r="Z1966" s="15">
        <v>0</v>
      </c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</row>
    <row r="1967" spans="1:43">
      <c r="A1967" s="15" t="s">
        <v>43</v>
      </c>
      <c r="B1967" s="15" t="s">
        <v>44</v>
      </c>
      <c r="C1967" s="15" t="s">
        <v>45</v>
      </c>
      <c r="D1967" s="15" t="s">
        <v>5185</v>
      </c>
      <c r="E1967" s="15" t="s">
        <v>5186</v>
      </c>
      <c r="F1967" s="16">
        <v>41236.3943865741</v>
      </c>
      <c r="G1967" s="15" t="s">
        <v>5186</v>
      </c>
      <c r="H1967" s="15" t="s">
        <v>5187</v>
      </c>
      <c r="I1967" s="15">
        <v>0</v>
      </c>
      <c r="J1967" s="15">
        <v>0</v>
      </c>
      <c r="K1967" s="15">
        <v>0</v>
      </c>
      <c r="L1967" s="20">
        <v>0</v>
      </c>
      <c r="M1967" s="15">
        <v>0</v>
      </c>
      <c r="N1967" s="15">
        <v>0</v>
      </c>
      <c r="O1967" s="15">
        <v>0</v>
      </c>
      <c r="P1967" s="15">
        <v>0</v>
      </c>
      <c r="Q1967" s="15">
        <v>0</v>
      </c>
      <c r="R1967" s="15">
        <v>0</v>
      </c>
      <c r="S1967" s="15">
        <v>0</v>
      </c>
      <c r="T1967" s="15">
        <v>0</v>
      </c>
      <c r="U1967" s="15">
        <v>0</v>
      </c>
      <c r="V1967" s="15">
        <v>0</v>
      </c>
      <c r="W1967" s="15">
        <v>0</v>
      </c>
      <c r="X1967" s="15">
        <v>0</v>
      </c>
      <c r="Y1967" s="15">
        <v>0</v>
      </c>
      <c r="Z1967" s="15">
        <v>0</v>
      </c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</row>
    <row r="1968" spans="1:43">
      <c r="A1968" s="15" t="s">
        <v>43</v>
      </c>
      <c r="B1968" s="15" t="s">
        <v>44</v>
      </c>
      <c r="C1968" s="15" t="s">
        <v>45</v>
      </c>
      <c r="D1968" s="15" t="s">
        <v>5188</v>
      </c>
      <c r="E1968" s="15" t="s">
        <v>5189</v>
      </c>
      <c r="F1968" s="16">
        <v>42881.4258333333</v>
      </c>
      <c r="G1968" s="15" t="s">
        <v>5189</v>
      </c>
      <c r="H1968" s="15" t="s">
        <v>5190</v>
      </c>
      <c r="I1968" s="15">
        <v>0</v>
      </c>
      <c r="J1968" s="15">
        <v>0</v>
      </c>
      <c r="K1968" s="15">
        <v>0</v>
      </c>
      <c r="L1968" s="20">
        <v>0</v>
      </c>
      <c r="M1968" s="15">
        <v>0</v>
      </c>
      <c r="N1968" s="15">
        <v>0</v>
      </c>
      <c r="O1968" s="15">
        <v>0</v>
      </c>
      <c r="P1968" s="15">
        <v>0</v>
      </c>
      <c r="Q1968" s="15">
        <v>0</v>
      </c>
      <c r="R1968" s="15">
        <v>0</v>
      </c>
      <c r="S1968" s="15">
        <v>0</v>
      </c>
      <c r="T1968" s="15">
        <v>0</v>
      </c>
      <c r="U1968" s="15">
        <v>0</v>
      </c>
      <c r="V1968" s="15">
        <v>0</v>
      </c>
      <c r="W1968" s="15">
        <v>0</v>
      </c>
      <c r="X1968" s="15">
        <v>0</v>
      </c>
      <c r="Y1968" s="15">
        <v>0</v>
      </c>
      <c r="Z1968" s="15">
        <v>0</v>
      </c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</row>
    <row r="1969" spans="1:43">
      <c r="A1969" s="15" t="s">
        <v>49</v>
      </c>
      <c r="B1969" s="15" t="s">
        <v>50</v>
      </c>
      <c r="C1969" s="15" t="s">
        <v>75</v>
      </c>
      <c r="D1969" s="15" t="s">
        <v>5191</v>
      </c>
      <c r="E1969" s="15" t="s">
        <v>5192</v>
      </c>
      <c r="F1969" s="16">
        <v>43199.5866435185</v>
      </c>
      <c r="G1969" s="15" t="s">
        <v>5192</v>
      </c>
      <c r="H1969" s="15" t="s">
        <v>5193</v>
      </c>
      <c r="I1969" s="15">
        <v>0</v>
      </c>
      <c r="J1969" s="15">
        <v>0</v>
      </c>
      <c r="K1969" s="15">
        <v>0</v>
      </c>
      <c r="L1969" s="20">
        <v>0</v>
      </c>
      <c r="M1969" s="15">
        <v>0</v>
      </c>
      <c r="N1969" s="15">
        <v>0</v>
      </c>
      <c r="O1969" s="15">
        <v>0</v>
      </c>
      <c r="P1969" s="15">
        <v>0</v>
      </c>
      <c r="Q1969" s="15">
        <v>0</v>
      </c>
      <c r="R1969" s="15">
        <v>0</v>
      </c>
      <c r="S1969" s="15">
        <v>0</v>
      </c>
      <c r="T1969" s="15">
        <v>0</v>
      </c>
      <c r="U1969" s="15">
        <v>0</v>
      </c>
      <c r="V1969" s="15">
        <v>0</v>
      </c>
      <c r="W1969" s="15">
        <v>0</v>
      </c>
      <c r="X1969" s="15">
        <v>0</v>
      </c>
      <c r="Y1969" s="15">
        <v>0</v>
      </c>
      <c r="Z1969" s="15">
        <v>0</v>
      </c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</row>
    <row r="1970" spans="1:43">
      <c r="A1970" s="15" t="s">
        <v>43</v>
      </c>
      <c r="B1970" s="15" t="s">
        <v>44</v>
      </c>
      <c r="C1970" s="15" t="s">
        <v>45</v>
      </c>
      <c r="D1970" s="15" t="s">
        <v>5194</v>
      </c>
      <c r="E1970" s="15" t="s">
        <v>5195</v>
      </c>
      <c r="F1970" s="16">
        <v>42770.6970138889</v>
      </c>
      <c r="G1970" s="15" t="s">
        <v>5195</v>
      </c>
      <c r="H1970" s="15" t="s">
        <v>5196</v>
      </c>
      <c r="I1970" s="15">
        <v>0</v>
      </c>
      <c r="J1970" s="15">
        <v>0</v>
      </c>
      <c r="K1970" s="15">
        <v>0</v>
      </c>
      <c r="L1970" s="20">
        <v>0</v>
      </c>
      <c r="M1970" s="15">
        <v>0</v>
      </c>
      <c r="N1970" s="15">
        <v>0</v>
      </c>
      <c r="O1970" s="15">
        <v>0</v>
      </c>
      <c r="P1970" s="15">
        <v>0</v>
      </c>
      <c r="Q1970" s="15">
        <v>0</v>
      </c>
      <c r="R1970" s="15">
        <v>0</v>
      </c>
      <c r="S1970" s="15">
        <v>0</v>
      </c>
      <c r="T1970" s="15">
        <v>0</v>
      </c>
      <c r="U1970" s="15">
        <v>0</v>
      </c>
      <c r="V1970" s="15">
        <v>0</v>
      </c>
      <c r="W1970" s="15">
        <v>0</v>
      </c>
      <c r="X1970" s="15">
        <v>0</v>
      </c>
      <c r="Y1970" s="15">
        <v>0</v>
      </c>
      <c r="Z1970" s="15">
        <v>0</v>
      </c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</row>
    <row r="1971" spans="1:43">
      <c r="A1971" s="15" t="s">
        <v>49</v>
      </c>
      <c r="B1971" s="15" t="s">
        <v>50</v>
      </c>
      <c r="C1971" s="15" t="s">
        <v>61</v>
      </c>
      <c r="D1971" s="15" t="s">
        <v>5197</v>
      </c>
      <c r="E1971" s="15" t="s">
        <v>5198</v>
      </c>
      <c r="F1971" s="16">
        <v>0</v>
      </c>
      <c r="G1971" s="15" t="s">
        <v>5198</v>
      </c>
      <c r="H1971" s="15" t="s">
        <v>54</v>
      </c>
      <c r="I1971" s="15">
        <v>0</v>
      </c>
      <c r="J1971" s="15">
        <v>0</v>
      </c>
      <c r="K1971" s="15">
        <v>0</v>
      </c>
      <c r="L1971" s="20">
        <v>0</v>
      </c>
      <c r="M1971" s="15">
        <v>0</v>
      </c>
      <c r="N1971" s="15">
        <v>0</v>
      </c>
      <c r="O1971" s="15">
        <v>0</v>
      </c>
      <c r="P1971" s="15">
        <v>0</v>
      </c>
      <c r="Q1971" s="15">
        <v>0</v>
      </c>
      <c r="R1971" s="15">
        <v>0</v>
      </c>
      <c r="S1971" s="15">
        <v>0</v>
      </c>
      <c r="T1971" s="15">
        <v>0</v>
      </c>
      <c r="U1971" s="15">
        <v>0</v>
      </c>
      <c r="V1971" s="15">
        <v>0</v>
      </c>
      <c r="W1971" s="15">
        <v>0</v>
      </c>
      <c r="X1971" s="15">
        <v>0</v>
      </c>
      <c r="Y1971" s="15">
        <v>0</v>
      </c>
      <c r="Z1971" s="15">
        <v>0</v>
      </c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</row>
    <row r="1972" spans="1:43">
      <c r="A1972" s="15" t="s">
        <v>43</v>
      </c>
      <c r="B1972" s="15" t="s">
        <v>44</v>
      </c>
      <c r="C1972" s="15" t="s">
        <v>45</v>
      </c>
      <c r="D1972" s="15" t="s">
        <v>5199</v>
      </c>
      <c r="E1972" s="15" t="s">
        <v>5200</v>
      </c>
      <c r="F1972" s="16">
        <v>42160.6069560185</v>
      </c>
      <c r="G1972" s="15" t="s">
        <v>5200</v>
      </c>
      <c r="H1972" s="15" t="s">
        <v>5201</v>
      </c>
      <c r="I1972" s="15">
        <v>0</v>
      </c>
      <c r="J1972" s="15">
        <v>0</v>
      </c>
      <c r="K1972" s="15">
        <v>0</v>
      </c>
      <c r="L1972" s="20">
        <v>0</v>
      </c>
      <c r="M1972" s="15">
        <v>0</v>
      </c>
      <c r="N1972" s="15">
        <v>0</v>
      </c>
      <c r="O1972" s="15">
        <v>0</v>
      </c>
      <c r="P1972" s="15">
        <v>0</v>
      </c>
      <c r="Q1972" s="15">
        <v>0</v>
      </c>
      <c r="R1972" s="15">
        <v>0</v>
      </c>
      <c r="S1972" s="15">
        <v>0</v>
      </c>
      <c r="T1972" s="15">
        <v>0</v>
      </c>
      <c r="U1972" s="15">
        <v>0</v>
      </c>
      <c r="V1972" s="15">
        <v>0</v>
      </c>
      <c r="W1972" s="15">
        <v>0</v>
      </c>
      <c r="X1972" s="15">
        <v>0</v>
      </c>
      <c r="Y1972" s="15">
        <v>0</v>
      </c>
      <c r="Z1972" s="15">
        <v>0</v>
      </c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</row>
    <row r="1973" spans="1:43">
      <c r="A1973" s="15" t="s">
        <v>49</v>
      </c>
      <c r="B1973" s="15" t="s">
        <v>50</v>
      </c>
      <c r="C1973" s="15" t="s">
        <v>61</v>
      </c>
      <c r="D1973" s="15" t="s">
        <v>5202</v>
      </c>
      <c r="E1973" s="15" t="s">
        <v>5203</v>
      </c>
      <c r="F1973" s="16">
        <v>0</v>
      </c>
      <c r="G1973" s="15" t="s">
        <v>5203</v>
      </c>
      <c r="H1973" s="15" t="s">
        <v>54</v>
      </c>
      <c r="I1973" s="15">
        <v>0</v>
      </c>
      <c r="J1973" s="15">
        <v>0</v>
      </c>
      <c r="K1973" s="15">
        <v>0</v>
      </c>
      <c r="L1973" s="20">
        <v>0</v>
      </c>
      <c r="M1973" s="15">
        <v>0</v>
      </c>
      <c r="N1973" s="15">
        <v>0</v>
      </c>
      <c r="O1973" s="15">
        <v>0</v>
      </c>
      <c r="P1973" s="15">
        <v>0</v>
      </c>
      <c r="Q1973" s="15">
        <v>0</v>
      </c>
      <c r="R1973" s="15">
        <v>0</v>
      </c>
      <c r="S1973" s="15">
        <v>0</v>
      </c>
      <c r="T1973" s="15">
        <v>0</v>
      </c>
      <c r="U1973" s="15">
        <v>0</v>
      </c>
      <c r="V1973" s="15">
        <v>0</v>
      </c>
      <c r="W1973" s="15">
        <v>0</v>
      </c>
      <c r="X1973" s="15">
        <v>0</v>
      </c>
      <c r="Y1973" s="15">
        <v>0</v>
      </c>
      <c r="Z1973" s="15">
        <v>0</v>
      </c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</row>
    <row r="1974" spans="1:43">
      <c r="A1974" s="15" t="s">
        <v>49</v>
      </c>
      <c r="B1974" s="15" t="s">
        <v>50</v>
      </c>
      <c r="C1974" s="15" t="s">
        <v>61</v>
      </c>
      <c r="D1974" s="15" t="s">
        <v>5204</v>
      </c>
      <c r="E1974" s="15" t="s">
        <v>5205</v>
      </c>
      <c r="F1974" s="16">
        <v>0</v>
      </c>
      <c r="G1974" s="15" t="s">
        <v>5205</v>
      </c>
      <c r="H1974" s="15" t="s">
        <v>5206</v>
      </c>
      <c r="I1974" s="15">
        <v>0</v>
      </c>
      <c r="J1974" s="15">
        <v>0</v>
      </c>
      <c r="K1974" s="15">
        <v>0</v>
      </c>
      <c r="L1974" s="20">
        <v>0</v>
      </c>
      <c r="M1974" s="15">
        <v>0</v>
      </c>
      <c r="N1974" s="15">
        <v>0</v>
      </c>
      <c r="O1974" s="15">
        <v>0</v>
      </c>
      <c r="P1974" s="15">
        <v>0</v>
      </c>
      <c r="Q1974" s="15">
        <v>0</v>
      </c>
      <c r="R1974" s="15">
        <v>0</v>
      </c>
      <c r="S1974" s="15">
        <v>0</v>
      </c>
      <c r="T1974" s="15">
        <v>0</v>
      </c>
      <c r="U1974" s="15">
        <v>0</v>
      </c>
      <c r="V1974" s="15">
        <v>0</v>
      </c>
      <c r="W1974" s="15">
        <v>0</v>
      </c>
      <c r="X1974" s="15">
        <v>0</v>
      </c>
      <c r="Y1974" s="15">
        <v>0</v>
      </c>
      <c r="Z1974" s="15">
        <v>0</v>
      </c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</row>
    <row r="1975" spans="1:43">
      <c r="A1975" s="15" t="s">
        <v>43</v>
      </c>
      <c r="B1975" s="15" t="s">
        <v>44</v>
      </c>
      <c r="C1975" s="15" t="s">
        <v>45</v>
      </c>
      <c r="D1975" s="15" t="s">
        <v>5207</v>
      </c>
      <c r="E1975" s="15" t="s">
        <v>5208</v>
      </c>
      <c r="F1975" s="16">
        <v>42222.6714930556</v>
      </c>
      <c r="G1975" s="15" t="s">
        <v>5208</v>
      </c>
      <c r="H1975" s="15" t="s">
        <v>5209</v>
      </c>
      <c r="I1975" s="15">
        <v>0</v>
      </c>
      <c r="J1975" s="15">
        <v>0</v>
      </c>
      <c r="K1975" s="15">
        <v>0</v>
      </c>
      <c r="L1975" s="20">
        <v>0</v>
      </c>
      <c r="M1975" s="15">
        <v>0</v>
      </c>
      <c r="N1975" s="15">
        <v>0</v>
      </c>
      <c r="O1975" s="15">
        <v>0</v>
      </c>
      <c r="P1975" s="15">
        <v>0</v>
      </c>
      <c r="Q1975" s="15">
        <v>0</v>
      </c>
      <c r="R1975" s="15">
        <v>0</v>
      </c>
      <c r="S1975" s="15">
        <v>0</v>
      </c>
      <c r="T1975" s="15">
        <v>0</v>
      </c>
      <c r="U1975" s="15">
        <v>0</v>
      </c>
      <c r="V1975" s="15">
        <v>0</v>
      </c>
      <c r="W1975" s="15">
        <v>0</v>
      </c>
      <c r="X1975" s="15">
        <v>0</v>
      </c>
      <c r="Y1975" s="15">
        <v>0</v>
      </c>
      <c r="Z1975" s="15">
        <v>0</v>
      </c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</row>
    <row r="1976" spans="1:43">
      <c r="A1976" s="15" t="s">
        <v>49</v>
      </c>
      <c r="B1976" s="15" t="s">
        <v>50</v>
      </c>
      <c r="C1976" s="15" t="s">
        <v>61</v>
      </c>
      <c r="D1976" s="15" t="s">
        <v>5210</v>
      </c>
      <c r="E1976" s="15" t="s">
        <v>5211</v>
      </c>
      <c r="F1976" s="16">
        <v>0</v>
      </c>
      <c r="G1976" s="15" t="s">
        <v>5211</v>
      </c>
      <c r="H1976" s="15" t="s">
        <v>5212</v>
      </c>
      <c r="I1976" s="15">
        <v>0</v>
      </c>
      <c r="J1976" s="15">
        <v>0</v>
      </c>
      <c r="K1976" s="15">
        <v>0</v>
      </c>
      <c r="L1976" s="20">
        <v>0</v>
      </c>
      <c r="M1976" s="15">
        <v>0</v>
      </c>
      <c r="N1976" s="15">
        <v>0</v>
      </c>
      <c r="O1976" s="15">
        <v>0</v>
      </c>
      <c r="P1976" s="15">
        <v>0</v>
      </c>
      <c r="Q1976" s="15">
        <v>0</v>
      </c>
      <c r="R1976" s="15">
        <v>0</v>
      </c>
      <c r="S1976" s="15">
        <v>0</v>
      </c>
      <c r="T1976" s="15">
        <v>0</v>
      </c>
      <c r="U1976" s="15">
        <v>0</v>
      </c>
      <c r="V1976" s="15">
        <v>0</v>
      </c>
      <c r="W1976" s="15">
        <v>0</v>
      </c>
      <c r="X1976" s="15">
        <v>0</v>
      </c>
      <c r="Y1976" s="15">
        <v>0</v>
      </c>
      <c r="Z1976" s="15">
        <v>0</v>
      </c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</row>
    <row r="1977" spans="1:43">
      <c r="A1977" s="15" t="s">
        <v>43</v>
      </c>
      <c r="B1977" s="15" t="s">
        <v>44</v>
      </c>
      <c r="C1977" s="15" t="s">
        <v>45</v>
      </c>
      <c r="D1977" s="15" t="s">
        <v>5213</v>
      </c>
      <c r="E1977" s="15" t="s">
        <v>5214</v>
      </c>
      <c r="F1977" s="16">
        <v>41008.7519560185</v>
      </c>
      <c r="G1977" s="15" t="s">
        <v>5214</v>
      </c>
      <c r="H1977" s="15" t="s">
        <v>5215</v>
      </c>
      <c r="I1977" s="15">
        <v>0</v>
      </c>
      <c r="J1977" s="15">
        <v>0</v>
      </c>
      <c r="K1977" s="15">
        <v>0</v>
      </c>
      <c r="L1977" s="20">
        <v>0</v>
      </c>
      <c r="M1977" s="15">
        <v>0</v>
      </c>
      <c r="N1977" s="15">
        <v>0</v>
      </c>
      <c r="O1977" s="15">
        <v>0</v>
      </c>
      <c r="P1977" s="15">
        <v>0</v>
      </c>
      <c r="Q1977" s="15">
        <v>0</v>
      </c>
      <c r="R1977" s="15">
        <v>0</v>
      </c>
      <c r="S1977" s="15">
        <v>0</v>
      </c>
      <c r="T1977" s="15">
        <v>0</v>
      </c>
      <c r="U1977" s="15">
        <v>0</v>
      </c>
      <c r="V1977" s="15">
        <v>0</v>
      </c>
      <c r="W1977" s="15">
        <v>0</v>
      </c>
      <c r="X1977" s="15">
        <v>0</v>
      </c>
      <c r="Y1977" s="15">
        <v>0</v>
      </c>
      <c r="Z1977" s="15">
        <v>0</v>
      </c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</row>
    <row r="1978" spans="1:43">
      <c r="A1978" s="15" t="s">
        <v>43</v>
      </c>
      <c r="B1978" s="15" t="s">
        <v>44</v>
      </c>
      <c r="C1978" s="15" t="s">
        <v>45</v>
      </c>
      <c r="D1978" s="15" t="s">
        <v>5216</v>
      </c>
      <c r="E1978" s="15" t="s">
        <v>5217</v>
      </c>
      <c r="F1978" s="16">
        <v>44620.4542476852</v>
      </c>
      <c r="G1978" s="15" t="s">
        <v>5217</v>
      </c>
      <c r="H1978" s="15" t="s">
        <v>54</v>
      </c>
      <c r="I1978" s="15">
        <v>0</v>
      </c>
      <c r="J1978" s="15">
        <v>0</v>
      </c>
      <c r="K1978" s="15">
        <v>0</v>
      </c>
      <c r="L1978" s="20">
        <v>0</v>
      </c>
      <c r="M1978" s="15">
        <v>0</v>
      </c>
      <c r="N1978" s="15">
        <v>0</v>
      </c>
      <c r="O1978" s="15">
        <v>0</v>
      </c>
      <c r="P1978" s="15">
        <v>0</v>
      </c>
      <c r="Q1978" s="15">
        <v>0</v>
      </c>
      <c r="R1978" s="15">
        <v>0</v>
      </c>
      <c r="S1978" s="15">
        <v>0</v>
      </c>
      <c r="T1978" s="15">
        <v>0</v>
      </c>
      <c r="U1978" s="15">
        <v>0</v>
      </c>
      <c r="V1978" s="15">
        <v>0</v>
      </c>
      <c r="W1978" s="15">
        <v>0</v>
      </c>
      <c r="X1978" s="15">
        <v>0</v>
      </c>
      <c r="Y1978" s="15">
        <v>0</v>
      </c>
      <c r="Z1978" s="15">
        <v>0</v>
      </c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</row>
    <row r="1979" spans="1:43">
      <c r="A1979" s="15" t="s">
        <v>49</v>
      </c>
      <c r="B1979" s="15" t="s">
        <v>50</v>
      </c>
      <c r="C1979" s="15" t="s">
        <v>51</v>
      </c>
      <c r="D1979" s="15" t="s">
        <v>5218</v>
      </c>
      <c r="E1979" s="15" t="s">
        <v>5219</v>
      </c>
      <c r="F1979" s="16">
        <v>44489.4658101852</v>
      </c>
      <c r="G1979" s="15" t="s">
        <v>5219</v>
      </c>
      <c r="H1979" s="15" t="s">
        <v>54</v>
      </c>
      <c r="I1979" s="15">
        <v>0</v>
      </c>
      <c r="J1979" s="15">
        <v>0</v>
      </c>
      <c r="K1979" s="15">
        <v>0</v>
      </c>
      <c r="L1979" s="20">
        <v>0</v>
      </c>
      <c r="M1979" s="15">
        <v>0</v>
      </c>
      <c r="N1979" s="15">
        <v>0</v>
      </c>
      <c r="O1979" s="15">
        <v>0</v>
      </c>
      <c r="P1979" s="15">
        <v>0</v>
      </c>
      <c r="Q1979" s="15">
        <v>0</v>
      </c>
      <c r="R1979" s="15">
        <v>0</v>
      </c>
      <c r="S1979" s="15">
        <v>0</v>
      </c>
      <c r="T1979" s="15">
        <v>0</v>
      </c>
      <c r="U1979" s="15">
        <v>0</v>
      </c>
      <c r="V1979" s="15">
        <v>0</v>
      </c>
      <c r="W1979" s="15">
        <v>0</v>
      </c>
      <c r="X1979" s="15">
        <v>0</v>
      </c>
      <c r="Y1979" s="15">
        <v>0</v>
      </c>
      <c r="Z1979" s="15">
        <v>0</v>
      </c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</row>
    <row r="1980" spans="1:43">
      <c r="A1980" s="15" t="s">
        <v>49</v>
      </c>
      <c r="B1980" s="15" t="s">
        <v>50</v>
      </c>
      <c r="C1980" s="15" t="s">
        <v>61</v>
      </c>
      <c r="D1980" s="15" t="s">
        <v>5220</v>
      </c>
      <c r="E1980" s="15" t="s">
        <v>5221</v>
      </c>
      <c r="F1980" s="16">
        <v>0</v>
      </c>
      <c r="G1980" s="15" t="s">
        <v>5221</v>
      </c>
      <c r="H1980" s="15" t="s">
        <v>5222</v>
      </c>
      <c r="I1980" s="15">
        <v>0</v>
      </c>
      <c r="J1980" s="15">
        <v>0</v>
      </c>
      <c r="K1980" s="15">
        <v>0</v>
      </c>
      <c r="L1980" s="20">
        <v>0</v>
      </c>
      <c r="M1980" s="15">
        <v>0</v>
      </c>
      <c r="N1980" s="15">
        <v>0</v>
      </c>
      <c r="O1980" s="15">
        <v>0</v>
      </c>
      <c r="P1980" s="15">
        <v>0</v>
      </c>
      <c r="Q1980" s="15">
        <v>0</v>
      </c>
      <c r="R1980" s="15">
        <v>0</v>
      </c>
      <c r="S1980" s="15">
        <v>0</v>
      </c>
      <c r="T1980" s="15">
        <v>0</v>
      </c>
      <c r="U1980" s="15">
        <v>0</v>
      </c>
      <c r="V1980" s="15">
        <v>0</v>
      </c>
      <c r="W1980" s="15">
        <v>0</v>
      </c>
      <c r="X1980" s="15">
        <v>0</v>
      </c>
      <c r="Y1980" s="15">
        <v>0</v>
      </c>
      <c r="Z1980" s="15">
        <v>0</v>
      </c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</row>
    <row r="1981" spans="1:43">
      <c r="A1981" s="15" t="s">
        <v>43</v>
      </c>
      <c r="B1981" s="15" t="s">
        <v>44</v>
      </c>
      <c r="C1981" s="15" t="s">
        <v>45</v>
      </c>
      <c r="D1981" s="15" t="s">
        <v>5223</v>
      </c>
      <c r="E1981" s="15" t="s">
        <v>5224</v>
      </c>
      <c r="F1981" s="16">
        <v>42222.4148611111</v>
      </c>
      <c r="G1981" s="15" t="s">
        <v>5224</v>
      </c>
      <c r="H1981" s="15" t="s">
        <v>5225</v>
      </c>
      <c r="I1981" s="15">
        <v>0</v>
      </c>
      <c r="J1981" s="15">
        <v>0</v>
      </c>
      <c r="K1981" s="15">
        <v>0</v>
      </c>
      <c r="L1981" s="20">
        <v>0</v>
      </c>
      <c r="M1981" s="15">
        <v>0</v>
      </c>
      <c r="N1981" s="15">
        <v>0</v>
      </c>
      <c r="O1981" s="15">
        <v>0</v>
      </c>
      <c r="P1981" s="15">
        <v>0</v>
      </c>
      <c r="Q1981" s="15">
        <v>0</v>
      </c>
      <c r="R1981" s="15">
        <v>0</v>
      </c>
      <c r="S1981" s="15">
        <v>0</v>
      </c>
      <c r="T1981" s="15">
        <v>0</v>
      </c>
      <c r="U1981" s="15">
        <v>0</v>
      </c>
      <c r="V1981" s="15">
        <v>0</v>
      </c>
      <c r="W1981" s="15">
        <v>0</v>
      </c>
      <c r="X1981" s="15">
        <v>0</v>
      </c>
      <c r="Y1981" s="15">
        <v>0</v>
      </c>
      <c r="Z1981" s="15">
        <v>0</v>
      </c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</row>
    <row r="1982" spans="1:43">
      <c r="A1982" s="15" t="s">
        <v>43</v>
      </c>
      <c r="B1982" s="15" t="s">
        <v>44</v>
      </c>
      <c r="C1982" s="15" t="s">
        <v>45</v>
      </c>
      <c r="D1982" s="15" t="s">
        <v>5226</v>
      </c>
      <c r="E1982" s="15" t="s">
        <v>5227</v>
      </c>
      <c r="F1982" s="16">
        <v>43984.3837384259</v>
      </c>
      <c r="G1982" s="15" t="s">
        <v>5227</v>
      </c>
      <c r="H1982" s="15" t="s">
        <v>5228</v>
      </c>
      <c r="I1982" s="15">
        <v>0</v>
      </c>
      <c r="J1982" s="15">
        <v>0</v>
      </c>
      <c r="K1982" s="15">
        <v>0</v>
      </c>
      <c r="L1982" s="20">
        <v>0</v>
      </c>
      <c r="M1982" s="15">
        <v>0</v>
      </c>
      <c r="N1982" s="15">
        <v>0</v>
      </c>
      <c r="O1982" s="15">
        <v>0</v>
      </c>
      <c r="P1982" s="15">
        <v>0</v>
      </c>
      <c r="Q1982" s="15">
        <v>0</v>
      </c>
      <c r="R1982" s="15">
        <v>0</v>
      </c>
      <c r="S1982" s="15">
        <v>0</v>
      </c>
      <c r="T1982" s="15">
        <v>0</v>
      </c>
      <c r="U1982" s="15">
        <v>0</v>
      </c>
      <c r="V1982" s="15">
        <v>0</v>
      </c>
      <c r="W1982" s="15">
        <v>0</v>
      </c>
      <c r="X1982" s="15">
        <v>0</v>
      </c>
      <c r="Y1982" s="15">
        <v>0</v>
      </c>
      <c r="Z1982" s="15">
        <v>0</v>
      </c>
      <c r="AA1982" s="15"/>
      <c r="AB1982" s="15"/>
      <c r="AC1982" s="15"/>
      <c r="AD1982" s="15"/>
      <c r="AE1982" s="15"/>
      <c r="AF1982" s="15"/>
      <c r="AG1982" s="15"/>
      <c r="AH1982" s="15"/>
      <c r="AI1982" s="15"/>
      <c r="AJ1982" s="15"/>
      <c r="AK1982" s="15"/>
      <c r="AL1982" s="15"/>
      <c r="AM1982" s="15"/>
      <c r="AN1982" s="15"/>
      <c r="AO1982" s="15"/>
      <c r="AP1982" s="15"/>
      <c r="AQ1982" s="15"/>
    </row>
    <row r="1983" spans="1:43">
      <c r="A1983" s="15" t="s">
        <v>43</v>
      </c>
      <c r="B1983" s="15" t="s">
        <v>44</v>
      </c>
      <c r="C1983" s="15" t="s">
        <v>45</v>
      </c>
      <c r="D1983" s="15" t="s">
        <v>5229</v>
      </c>
      <c r="E1983" s="15" t="s">
        <v>387</v>
      </c>
      <c r="F1983" s="16">
        <v>42796.6814467593</v>
      </c>
      <c r="G1983" s="15" t="s">
        <v>387</v>
      </c>
      <c r="H1983" s="15" t="s">
        <v>388</v>
      </c>
      <c r="I1983" s="15">
        <v>0</v>
      </c>
      <c r="J1983" s="15">
        <v>0</v>
      </c>
      <c r="K1983" s="15">
        <v>0</v>
      </c>
      <c r="L1983" s="20">
        <v>0</v>
      </c>
      <c r="M1983" s="15">
        <v>0</v>
      </c>
      <c r="N1983" s="15">
        <v>0</v>
      </c>
      <c r="O1983" s="15">
        <v>0</v>
      </c>
      <c r="P1983" s="15">
        <v>0</v>
      </c>
      <c r="Q1983" s="15">
        <v>0</v>
      </c>
      <c r="R1983" s="15">
        <v>0</v>
      </c>
      <c r="S1983" s="15">
        <v>0</v>
      </c>
      <c r="T1983" s="15">
        <v>0</v>
      </c>
      <c r="U1983" s="15">
        <v>0</v>
      </c>
      <c r="V1983" s="15">
        <v>0</v>
      </c>
      <c r="W1983" s="15">
        <v>0</v>
      </c>
      <c r="X1983" s="15">
        <v>0</v>
      </c>
      <c r="Y1983" s="15">
        <v>0</v>
      </c>
      <c r="Z1983" s="15">
        <v>0</v>
      </c>
      <c r="AA1983" s="15"/>
      <c r="AB1983" s="15"/>
      <c r="AC1983" s="1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  <c r="AN1983" s="15"/>
      <c r="AO1983" s="15"/>
      <c r="AP1983" s="15"/>
      <c r="AQ1983" s="15"/>
    </row>
    <row r="1984" spans="1:43">
      <c r="A1984" s="15" t="s">
        <v>43</v>
      </c>
      <c r="B1984" s="15" t="s">
        <v>44</v>
      </c>
      <c r="C1984" s="15" t="s">
        <v>45</v>
      </c>
      <c r="D1984" s="15" t="s">
        <v>5230</v>
      </c>
      <c r="E1984" s="15" t="s">
        <v>5231</v>
      </c>
      <c r="F1984" s="16">
        <v>40549.6302314815</v>
      </c>
      <c r="G1984" s="15" t="s">
        <v>5231</v>
      </c>
      <c r="H1984" s="15" t="s">
        <v>5232</v>
      </c>
      <c r="I1984" s="15">
        <v>0</v>
      </c>
      <c r="J1984" s="15">
        <v>0</v>
      </c>
      <c r="K1984" s="15">
        <v>0</v>
      </c>
      <c r="L1984" s="20">
        <v>0</v>
      </c>
      <c r="M1984" s="15">
        <v>0</v>
      </c>
      <c r="N1984" s="15">
        <v>0</v>
      </c>
      <c r="O1984" s="15">
        <v>0</v>
      </c>
      <c r="P1984" s="15">
        <v>0</v>
      </c>
      <c r="Q1984" s="15">
        <v>0</v>
      </c>
      <c r="R1984" s="15">
        <v>0</v>
      </c>
      <c r="S1984" s="15">
        <v>0</v>
      </c>
      <c r="T1984" s="15">
        <v>0</v>
      </c>
      <c r="U1984" s="15">
        <v>0</v>
      </c>
      <c r="V1984" s="15">
        <v>0</v>
      </c>
      <c r="W1984" s="15">
        <v>0</v>
      </c>
      <c r="X1984" s="15">
        <v>0</v>
      </c>
      <c r="Y1984" s="15">
        <v>0</v>
      </c>
      <c r="Z1984" s="15">
        <v>0</v>
      </c>
      <c r="AA1984" s="15"/>
      <c r="AB1984" s="15"/>
      <c r="AC1984" s="1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  <c r="AN1984" s="15"/>
      <c r="AO1984" s="15"/>
      <c r="AP1984" s="15"/>
      <c r="AQ1984" s="15"/>
    </row>
    <row r="1985" spans="1:43">
      <c r="A1985" s="15" t="s">
        <v>43</v>
      </c>
      <c r="B1985" s="15" t="s">
        <v>44</v>
      </c>
      <c r="C1985" s="15" t="s">
        <v>45</v>
      </c>
      <c r="D1985" s="15" t="s">
        <v>5233</v>
      </c>
      <c r="E1985" s="15" t="s">
        <v>5234</v>
      </c>
      <c r="F1985" s="16">
        <v>43686.6438078704</v>
      </c>
      <c r="G1985" s="15" t="s">
        <v>5234</v>
      </c>
      <c r="H1985" s="15" t="s">
        <v>54</v>
      </c>
      <c r="I1985" s="15">
        <v>0</v>
      </c>
      <c r="J1985" s="15">
        <v>0</v>
      </c>
      <c r="K1985" s="15">
        <v>0</v>
      </c>
      <c r="L1985" s="20">
        <v>0</v>
      </c>
      <c r="M1985" s="15">
        <v>0</v>
      </c>
      <c r="N1985" s="15">
        <v>0</v>
      </c>
      <c r="O1985" s="15">
        <v>0</v>
      </c>
      <c r="P1985" s="15">
        <v>0</v>
      </c>
      <c r="Q1985" s="15">
        <v>0</v>
      </c>
      <c r="R1985" s="15">
        <v>0</v>
      </c>
      <c r="S1985" s="15">
        <v>0</v>
      </c>
      <c r="T1985" s="15">
        <v>0</v>
      </c>
      <c r="U1985" s="15">
        <v>0</v>
      </c>
      <c r="V1985" s="15">
        <v>0</v>
      </c>
      <c r="W1985" s="15">
        <v>0</v>
      </c>
      <c r="X1985" s="15">
        <v>0</v>
      </c>
      <c r="Y1985" s="15">
        <v>0</v>
      </c>
      <c r="Z1985" s="15">
        <v>0</v>
      </c>
      <c r="AA1985" s="15"/>
      <c r="AB1985" s="15"/>
      <c r="AC1985" s="1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  <c r="AN1985" s="15"/>
      <c r="AO1985" s="15"/>
      <c r="AP1985" s="15"/>
      <c r="AQ1985" s="15"/>
    </row>
    <row r="1986" spans="1:43">
      <c r="A1986" s="15" t="s">
        <v>43</v>
      </c>
      <c r="B1986" s="15" t="s">
        <v>44</v>
      </c>
      <c r="C1986" s="15" t="s">
        <v>45</v>
      </c>
      <c r="D1986" s="15" t="s">
        <v>5235</v>
      </c>
      <c r="E1986" s="15" t="s">
        <v>2350</v>
      </c>
      <c r="F1986" s="16">
        <v>42352.437650463</v>
      </c>
      <c r="G1986" s="15" t="s">
        <v>2350</v>
      </c>
      <c r="H1986" s="15" t="s">
        <v>2351</v>
      </c>
      <c r="I1986" s="15">
        <v>0</v>
      </c>
      <c r="J1986" s="15">
        <v>0</v>
      </c>
      <c r="K1986" s="15">
        <v>0</v>
      </c>
      <c r="L1986" s="20">
        <v>0</v>
      </c>
      <c r="M1986" s="15">
        <v>0</v>
      </c>
      <c r="N1986" s="15">
        <v>0</v>
      </c>
      <c r="O1986" s="15">
        <v>0</v>
      </c>
      <c r="P1986" s="15">
        <v>0</v>
      </c>
      <c r="Q1986" s="15">
        <v>0</v>
      </c>
      <c r="R1986" s="15">
        <v>0</v>
      </c>
      <c r="S1986" s="15">
        <v>0</v>
      </c>
      <c r="T1986" s="15">
        <v>0</v>
      </c>
      <c r="U1986" s="15">
        <v>0</v>
      </c>
      <c r="V1986" s="15">
        <v>0</v>
      </c>
      <c r="W1986" s="15">
        <v>0</v>
      </c>
      <c r="X1986" s="15">
        <v>0</v>
      </c>
      <c r="Y1986" s="15">
        <v>0</v>
      </c>
      <c r="Z1986" s="15">
        <v>0</v>
      </c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  <c r="AN1986" s="15"/>
      <c r="AO1986" s="15"/>
      <c r="AP1986" s="15"/>
      <c r="AQ1986" s="15"/>
    </row>
    <row r="1987" spans="1:43">
      <c r="A1987" s="15" t="s">
        <v>43</v>
      </c>
      <c r="B1987" s="15" t="s">
        <v>44</v>
      </c>
      <c r="C1987" s="15" t="s">
        <v>45</v>
      </c>
      <c r="D1987" s="15" t="s">
        <v>5236</v>
      </c>
      <c r="E1987" s="15" t="s">
        <v>5237</v>
      </c>
      <c r="F1987" s="16">
        <v>42634.5873842593</v>
      </c>
      <c r="G1987" s="15" t="s">
        <v>5237</v>
      </c>
      <c r="H1987" s="15" t="s">
        <v>5238</v>
      </c>
      <c r="I1987" s="15">
        <v>0</v>
      </c>
      <c r="J1987" s="15">
        <v>0</v>
      </c>
      <c r="K1987" s="15">
        <v>0</v>
      </c>
      <c r="L1987" s="20">
        <v>0</v>
      </c>
      <c r="M1987" s="15">
        <v>0</v>
      </c>
      <c r="N1987" s="15">
        <v>0</v>
      </c>
      <c r="O1987" s="15">
        <v>0</v>
      </c>
      <c r="P1987" s="15">
        <v>0</v>
      </c>
      <c r="Q1987" s="15">
        <v>0</v>
      </c>
      <c r="R1987" s="15">
        <v>0</v>
      </c>
      <c r="S1987" s="15">
        <v>0</v>
      </c>
      <c r="T1987" s="15">
        <v>0</v>
      </c>
      <c r="U1987" s="15">
        <v>0</v>
      </c>
      <c r="V1987" s="15">
        <v>0</v>
      </c>
      <c r="W1987" s="15">
        <v>0</v>
      </c>
      <c r="X1987" s="15">
        <v>0</v>
      </c>
      <c r="Y1987" s="15">
        <v>0</v>
      </c>
      <c r="Z1987" s="15">
        <v>0</v>
      </c>
      <c r="AA1987" s="15"/>
      <c r="AB1987" s="15"/>
      <c r="AC1987" s="1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  <c r="AN1987" s="15"/>
      <c r="AO1987" s="15"/>
      <c r="AP1987" s="15"/>
      <c r="AQ1987" s="15"/>
    </row>
    <row r="1988" spans="1:43">
      <c r="A1988" s="15" t="s">
        <v>49</v>
      </c>
      <c r="B1988" s="15" t="s">
        <v>50</v>
      </c>
      <c r="C1988" s="15" t="s">
        <v>61</v>
      </c>
      <c r="D1988" s="15" t="s">
        <v>5239</v>
      </c>
      <c r="E1988" s="15" t="s">
        <v>5240</v>
      </c>
      <c r="F1988" s="16">
        <v>0</v>
      </c>
      <c r="G1988" s="15" t="s">
        <v>5240</v>
      </c>
      <c r="H1988" s="15" t="s">
        <v>5241</v>
      </c>
      <c r="I1988" s="15">
        <v>0</v>
      </c>
      <c r="J1988" s="15">
        <v>0</v>
      </c>
      <c r="K1988" s="15">
        <v>0</v>
      </c>
      <c r="L1988" s="20">
        <v>0</v>
      </c>
      <c r="M1988" s="15">
        <v>0</v>
      </c>
      <c r="N1988" s="15">
        <v>0</v>
      </c>
      <c r="O1988" s="15">
        <v>0</v>
      </c>
      <c r="P1988" s="15">
        <v>0</v>
      </c>
      <c r="Q1988" s="15">
        <v>0</v>
      </c>
      <c r="R1988" s="15">
        <v>0</v>
      </c>
      <c r="S1988" s="15">
        <v>0</v>
      </c>
      <c r="T1988" s="15">
        <v>0</v>
      </c>
      <c r="U1988" s="15">
        <v>0</v>
      </c>
      <c r="V1988" s="15">
        <v>0</v>
      </c>
      <c r="W1988" s="15">
        <v>0</v>
      </c>
      <c r="X1988" s="15">
        <v>0</v>
      </c>
      <c r="Y1988" s="15">
        <v>0</v>
      </c>
      <c r="Z1988" s="15">
        <v>0</v>
      </c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</row>
    <row r="1989" spans="1:43">
      <c r="A1989" s="15" t="s">
        <v>49</v>
      </c>
      <c r="B1989" s="15" t="s">
        <v>50</v>
      </c>
      <c r="C1989" s="15" t="s">
        <v>61</v>
      </c>
      <c r="D1989" s="15" t="s">
        <v>5242</v>
      </c>
      <c r="E1989" s="15" t="s">
        <v>5243</v>
      </c>
      <c r="F1989" s="16">
        <v>0</v>
      </c>
      <c r="G1989" s="15" t="s">
        <v>5243</v>
      </c>
      <c r="H1989" s="15" t="s">
        <v>54</v>
      </c>
      <c r="I1989" s="15">
        <v>0</v>
      </c>
      <c r="J1989" s="15">
        <v>0</v>
      </c>
      <c r="K1989" s="15">
        <v>0</v>
      </c>
      <c r="L1989" s="20">
        <v>0</v>
      </c>
      <c r="M1989" s="15">
        <v>0</v>
      </c>
      <c r="N1989" s="15">
        <v>0</v>
      </c>
      <c r="O1989" s="15">
        <v>0</v>
      </c>
      <c r="P1989" s="15">
        <v>0</v>
      </c>
      <c r="Q1989" s="15">
        <v>0</v>
      </c>
      <c r="R1989" s="15">
        <v>0</v>
      </c>
      <c r="S1989" s="15">
        <v>0</v>
      </c>
      <c r="T1989" s="15">
        <v>0</v>
      </c>
      <c r="U1989" s="15">
        <v>0</v>
      </c>
      <c r="V1989" s="15">
        <v>0</v>
      </c>
      <c r="W1989" s="15">
        <v>0</v>
      </c>
      <c r="X1989" s="15">
        <v>0</v>
      </c>
      <c r="Y1989" s="15">
        <v>0</v>
      </c>
      <c r="Z1989" s="15">
        <v>0</v>
      </c>
      <c r="AA1989" s="15"/>
      <c r="AB1989" s="15"/>
      <c r="AC1989" s="1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  <c r="AN1989" s="15"/>
      <c r="AO1989" s="15"/>
      <c r="AP1989" s="15"/>
      <c r="AQ1989" s="15"/>
    </row>
    <row r="1990" spans="1:43">
      <c r="A1990" s="15" t="s">
        <v>49</v>
      </c>
      <c r="B1990" s="15" t="s">
        <v>50</v>
      </c>
      <c r="C1990" s="15" t="s">
        <v>61</v>
      </c>
      <c r="D1990" s="15" t="s">
        <v>5244</v>
      </c>
      <c r="E1990" s="15" t="s">
        <v>5245</v>
      </c>
      <c r="F1990" s="16">
        <v>0</v>
      </c>
      <c r="G1990" s="15" t="s">
        <v>5245</v>
      </c>
      <c r="H1990" s="15" t="s">
        <v>54</v>
      </c>
      <c r="I1990" s="15">
        <v>0</v>
      </c>
      <c r="J1990" s="15">
        <v>0</v>
      </c>
      <c r="K1990" s="15">
        <v>0</v>
      </c>
      <c r="L1990" s="20">
        <v>0</v>
      </c>
      <c r="M1990" s="15">
        <v>0</v>
      </c>
      <c r="N1990" s="15">
        <v>0</v>
      </c>
      <c r="O1990" s="15">
        <v>0</v>
      </c>
      <c r="P1990" s="15">
        <v>0</v>
      </c>
      <c r="Q1990" s="15">
        <v>0</v>
      </c>
      <c r="R1990" s="15">
        <v>0</v>
      </c>
      <c r="S1990" s="15">
        <v>0</v>
      </c>
      <c r="T1990" s="15">
        <v>0</v>
      </c>
      <c r="U1990" s="15">
        <v>0</v>
      </c>
      <c r="V1990" s="15">
        <v>0</v>
      </c>
      <c r="W1990" s="15">
        <v>0</v>
      </c>
      <c r="X1990" s="15">
        <v>0</v>
      </c>
      <c r="Y1990" s="15">
        <v>0</v>
      </c>
      <c r="Z1990" s="15">
        <v>0</v>
      </c>
      <c r="AA1990" s="15"/>
      <c r="AB1990" s="15"/>
      <c r="AC1990" s="15"/>
      <c r="AD1990" s="15"/>
      <c r="AE1990" s="15"/>
      <c r="AF1990" s="15"/>
      <c r="AG1990" s="15"/>
      <c r="AH1990" s="15"/>
      <c r="AI1990" s="15"/>
      <c r="AJ1990" s="15"/>
      <c r="AK1990" s="15"/>
      <c r="AL1990" s="15"/>
      <c r="AM1990" s="15"/>
      <c r="AN1990" s="15"/>
      <c r="AO1990" s="15"/>
      <c r="AP1990" s="15"/>
      <c r="AQ1990" s="15"/>
    </row>
    <row r="1991" spans="1:43">
      <c r="A1991" s="15" t="s">
        <v>64</v>
      </c>
      <c r="B1991" s="15" t="s">
        <v>65</v>
      </c>
      <c r="C1991" s="15" t="s">
        <v>78</v>
      </c>
      <c r="D1991" s="15" t="s">
        <v>5246</v>
      </c>
      <c r="E1991" s="15" t="s">
        <v>5247</v>
      </c>
      <c r="F1991" s="16">
        <v>45112.7180208333</v>
      </c>
      <c r="G1991" s="15" t="s">
        <v>5247</v>
      </c>
      <c r="H1991" s="15" t="s">
        <v>5248</v>
      </c>
      <c r="I1991" s="15">
        <v>1330.97</v>
      </c>
      <c r="J1991" s="15">
        <v>14</v>
      </c>
      <c r="K1991" s="15">
        <v>95.0692857142857</v>
      </c>
      <c r="L1991" s="20">
        <v>1.35813265306122</v>
      </c>
      <c r="M1991" s="15">
        <v>100.25</v>
      </c>
      <c r="N1991" s="15">
        <v>72.9</v>
      </c>
      <c r="O1991" s="15">
        <v>100.4</v>
      </c>
      <c r="P1991" s="15">
        <v>88.55</v>
      </c>
      <c r="Q1991" s="15">
        <v>92.64</v>
      </c>
      <c r="R1991" s="15">
        <v>76.61</v>
      </c>
      <c r="S1991" s="15">
        <v>102.69</v>
      </c>
      <c r="T1991" s="15">
        <v>100.53</v>
      </c>
      <c r="U1991" s="15">
        <v>100.13</v>
      </c>
      <c r="V1991" s="15">
        <v>105.19</v>
      </c>
      <c r="W1991" s="15">
        <v>95.24</v>
      </c>
      <c r="X1991" s="15">
        <v>100.3</v>
      </c>
      <c r="Y1991" s="15">
        <v>102.05</v>
      </c>
      <c r="Z1991" s="15">
        <v>93.49</v>
      </c>
      <c r="AA1991" s="15"/>
      <c r="AB1991" s="15"/>
      <c r="AC1991" s="1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  <c r="AN1991" s="15"/>
      <c r="AO1991" s="15"/>
      <c r="AP1991" s="15"/>
      <c r="AQ1991" s="15"/>
    </row>
    <row r="1992" spans="1:43">
      <c r="A1992" s="15" t="s">
        <v>43</v>
      </c>
      <c r="B1992" s="15" t="s">
        <v>44</v>
      </c>
      <c r="C1992" s="15" t="s">
        <v>45</v>
      </c>
      <c r="D1992" s="15" t="s">
        <v>5249</v>
      </c>
      <c r="E1992" s="15" t="s">
        <v>5250</v>
      </c>
      <c r="F1992" s="16">
        <v>42972.6503472222</v>
      </c>
      <c r="G1992" s="15" t="s">
        <v>5250</v>
      </c>
      <c r="H1992" s="15" t="s">
        <v>5251</v>
      </c>
      <c r="I1992" s="15">
        <v>0</v>
      </c>
      <c r="J1992" s="15">
        <v>0</v>
      </c>
      <c r="K1992" s="15">
        <v>0</v>
      </c>
      <c r="L1992" s="20">
        <v>0</v>
      </c>
      <c r="M1992" s="15">
        <v>0</v>
      </c>
      <c r="N1992" s="15">
        <v>0</v>
      </c>
      <c r="O1992" s="15">
        <v>0</v>
      </c>
      <c r="P1992" s="15">
        <v>0</v>
      </c>
      <c r="Q1992" s="15">
        <v>0</v>
      </c>
      <c r="R1992" s="15">
        <v>0</v>
      </c>
      <c r="S1992" s="15">
        <v>0</v>
      </c>
      <c r="T1992" s="15">
        <v>0</v>
      </c>
      <c r="U1992" s="15">
        <v>0</v>
      </c>
      <c r="V1992" s="15">
        <v>0</v>
      </c>
      <c r="W1992" s="15">
        <v>0</v>
      </c>
      <c r="X1992" s="15">
        <v>0</v>
      </c>
      <c r="Y1992" s="15">
        <v>0</v>
      </c>
      <c r="Z1992" s="15">
        <v>0</v>
      </c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</row>
    <row r="1993" spans="1:43">
      <c r="A1993" s="15" t="s">
        <v>43</v>
      </c>
      <c r="B1993" s="15" t="s">
        <v>44</v>
      </c>
      <c r="C1993" s="15" t="s">
        <v>45</v>
      </c>
      <c r="D1993" s="15" t="s">
        <v>5252</v>
      </c>
      <c r="E1993" s="15" t="s">
        <v>5253</v>
      </c>
      <c r="F1993" s="16">
        <v>42454.6104398148</v>
      </c>
      <c r="G1993" s="15" t="s">
        <v>5253</v>
      </c>
      <c r="H1993" s="15" t="s">
        <v>5254</v>
      </c>
      <c r="I1993" s="15">
        <v>0</v>
      </c>
      <c r="J1993" s="15">
        <v>0</v>
      </c>
      <c r="K1993" s="15">
        <v>0</v>
      </c>
      <c r="L1993" s="20">
        <v>0</v>
      </c>
      <c r="M1993" s="15">
        <v>0</v>
      </c>
      <c r="N1993" s="15">
        <v>0</v>
      </c>
      <c r="O1993" s="15">
        <v>0</v>
      </c>
      <c r="P1993" s="15">
        <v>0</v>
      </c>
      <c r="Q1993" s="15">
        <v>0</v>
      </c>
      <c r="R1993" s="15">
        <v>0</v>
      </c>
      <c r="S1993" s="15">
        <v>0</v>
      </c>
      <c r="T1993" s="15">
        <v>0</v>
      </c>
      <c r="U1993" s="15">
        <v>0</v>
      </c>
      <c r="V1993" s="15">
        <v>0</v>
      </c>
      <c r="W1993" s="15">
        <v>0</v>
      </c>
      <c r="X1993" s="15">
        <v>0</v>
      </c>
      <c r="Y1993" s="15">
        <v>0</v>
      </c>
      <c r="Z1993" s="15">
        <v>0</v>
      </c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</row>
    <row r="1994" spans="1:43">
      <c r="A1994" s="15" t="s">
        <v>49</v>
      </c>
      <c r="B1994" s="15" t="s">
        <v>50</v>
      </c>
      <c r="C1994" s="15" t="s">
        <v>61</v>
      </c>
      <c r="D1994" s="15" t="s">
        <v>5255</v>
      </c>
      <c r="E1994" s="15" t="s">
        <v>5256</v>
      </c>
      <c r="F1994" s="16">
        <v>0</v>
      </c>
      <c r="G1994" s="15" t="s">
        <v>5256</v>
      </c>
      <c r="H1994" s="15" t="s">
        <v>54</v>
      </c>
      <c r="I1994" s="15">
        <v>0</v>
      </c>
      <c r="J1994" s="15">
        <v>0</v>
      </c>
      <c r="K1994" s="15">
        <v>0</v>
      </c>
      <c r="L1994" s="20">
        <v>0</v>
      </c>
      <c r="M1994" s="15">
        <v>0</v>
      </c>
      <c r="N1994" s="15">
        <v>0</v>
      </c>
      <c r="O1994" s="15">
        <v>0</v>
      </c>
      <c r="P1994" s="15">
        <v>0</v>
      </c>
      <c r="Q1994" s="15">
        <v>0</v>
      </c>
      <c r="R1994" s="15">
        <v>0</v>
      </c>
      <c r="S1994" s="15">
        <v>0</v>
      </c>
      <c r="T1994" s="15">
        <v>0</v>
      </c>
      <c r="U1994" s="15">
        <v>0</v>
      </c>
      <c r="V1994" s="15">
        <v>0</v>
      </c>
      <c r="W1994" s="15">
        <v>0</v>
      </c>
      <c r="X1994" s="15">
        <v>0</v>
      </c>
      <c r="Y1994" s="15">
        <v>0</v>
      </c>
      <c r="Z1994" s="15">
        <v>0</v>
      </c>
      <c r="AA1994" s="15"/>
      <c r="AB1994" s="15"/>
      <c r="AC1994" s="1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  <c r="AN1994" s="15"/>
      <c r="AO1994" s="15"/>
      <c r="AP1994" s="15"/>
      <c r="AQ1994" s="15"/>
    </row>
    <row r="1995" spans="1:43">
      <c r="A1995" s="15" t="s">
        <v>43</v>
      </c>
      <c r="B1995" s="15" t="s">
        <v>44</v>
      </c>
      <c r="C1995" s="15" t="s">
        <v>45</v>
      </c>
      <c r="D1995" s="15" t="s">
        <v>5257</v>
      </c>
      <c r="E1995" s="15" t="s">
        <v>5258</v>
      </c>
      <c r="F1995" s="16">
        <v>43823.6840972222</v>
      </c>
      <c r="G1995" s="15" t="s">
        <v>5258</v>
      </c>
      <c r="H1995" s="15" t="s">
        <v>54</v>
      </c>
      <c r="I1995" s="15">
        <v>0</v>
      </c>
      <c r="J1995" s="15">
        <v>0</v>
      </c>
      <c r="K1995" s="15">
        <v>0</v>
      </c>
      <c r="L1995" s="20">
        <v>0</v>
      </c>
      <c r="M1995" s="15">
        <v>0</v>
      </c>
      <c r="N1995" s="15">
        <v>0</v>
      </c>
      <c r="O1995" s="15">
        <v>0</v>
      </c>
      <c r="P1995" s="15">
        <v>0</v>
      </c>
      <c r="Q1995" s="15">
        <v>0</v>
      </c>
      <c r="R1995" s="15">
        <v>0</v>
      </c>
      <c r="S1995" s="15">
        <v>0</v>
      </c>
      <c r="T1995" s="15">
        <v>0</v>
      </c>
      <c r="U1995" s="15">
        <v>0</v>
      </c>
      <c r="V1995" s="15">
        <v>0</v>
      </c>
      <c r="W1995" s="15">
        <v>0</v>
      </c>
      <c r="X1995" s="15">
        <v>0</v>
      </c>
      <c r="Y1995" s="15">
        <v>0</v>
      </c>
      <c r="Z1995" s="15">
        <v>0</v>
      </c>
      <c r="AA1995" s="15"/>
      <c r="AB1995" s="15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  <c r="AN1995" s="15"/>
      <c r="AO1995" s="15"/>
      <c r="AP1995" s="15"/>
      <c r="AQ1995" s="15"/>
    </row>
    <row r="1996" spans="1:43">
      <c r="A1996" s="15" t="s">
        <v>43</v>
      </c>
      <c r="B1996" s="15" t="s">
        <v>44</v>
      </c>
      <c r="C1996" s="15" t="s">
        <v>45</v>
      </c>
      <c r="D1996" s="15" t="s">
        <v>5259</v>
      </c>
      <c r="E1996" s="15" t="s">
        <v>5260</v>
      </c>
      <c r="F1996" s="16">
        <v>42564.3919097222</v>
      </c>
      <c r="G1996" s="15" t="s">
        <v>5260</v>
      </c>
      <c r="H1996" s="15" t="s">
        <v>5261</v>
      </c>
      <c r="I1996" s="15">
        <v>0</v>
      </c>
      <c r="J1996" s="15">
        <v>0</v>
      </c>
      <c r="K1996" s="15">
        <v>0</v>
      </c>
      <c r="L1996" s="20">
        <v>0</v>
      </c>
      <c r="M1996" s="15">
        <v>0</v>
      </c>
      <c r="N1996" s="15">
        <v>0</v>
      </c>
      <c r="O1996" s="15">
        <v>0</v>
      </c>
      <c r="P1996" s="15">
        <v>0</v>
      </c>
      <c r="Q1996" s="15">
        <v>0</v>
      </c>
      <c r="R1996" s="15">
        <v>0</v>
      </c>
      <c r="S1996" s="15">
        <v>0</v>
      </c>
      <c r="T1996" s="15">
        <v>0</v>
      </c>
      <c r="U1996" s="15">
        <v>0</v>
      </c>
      <c r="V1996" s="15">
        <v>0</v>
      </c>
      <c r="W1996" s="15">
        <v>0</v>
      </c>
      <c r="X1996" s="15">
        <v>0</v>
      </c>
      <c r="Y1996" s="15">
        <v>0</v>
      </c>
      <c r="Z1996" s="15">
        <v>0</v>
      </c>
      <c r="AA1996" s="15"/>
      <c r="AB1996" s="15"/>
      <c r="AC1996" s="1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  <c r="AN1996" s="15"/>
      <c r="AO1996" s="15"/>
      <c r="AP1996" s="15"/>
      <c r="AQ1996" s="15"/>
    </row>
    <row r="1997" spans="1:43">
      <c r="A1997" s="15" t="s">
        <v>43</v>
      </c>
      <c r="B1997" s="15" t="s">
        <v>44</v>
      </c>
      <c r="C1997" s="15" t="s">
        <v>45</v>
      </c>
      <c r="D1997" s="15" t="s">
        <v>5262</v>
      </c>
      <c r="E1997" s="15" t="s">
        <v>5263</v>
      </c>
      <c r="F1997" s="16">
        <v>42422.6210648148</v>
      </c>
      <c r="G1997" s="15" t="s">
        <v>5263</v>
      </c>
      <c r="H1997" s="15" t="s">
        <v>5264</v>
      </c>
      <c r="I1997" s="15">
        <v>0</v>
      </c>
      <c r="J1997" s="15">
        <v>0</v>
      </c>
      <c r="K1997" s="15">
        <v>0</v>
      </c>
      <c r="L1997" s="20">
        <v>0</v>
      </c>
      <c r="M1997" s="15">
        <v>0</v>
      </c>
      <c r="N1997" s="15">
        <v>0</v>
      </c>
      <c r="O1997" s="15">
        <v>0</v>
      </c>
      <c r="P1997" s="15">
        <v>0</v>
      </c>
      <c r="Q1997" s="15">
        <v>0</v>
      </c>
      <c r="R1997" s="15">
        <v>0</v>
      </c>
      <c r="S1997" s="15">
        <v>0</v>
      </c>
      <c r="T1997" s="15">
        <v>0</v>
      </c>
      <c r="U1997" s="15">
        <v>0</v>
      </c>
      <c r="V1997" s="15">
        <v>0</v>
      </c>
      <c r="W1997" s="15">
        <v>0</v>
      </c>
      <c r="X1997" s="15">
        <v>0</v>
      </c>
      <c r="Y1997" s="15">
        <v>0</v>
      </c>
      <c r="Z1997" s="15">
        <v>0</v>
      </c>
      <c r="AA1997" s="15"/>
      <c r="AB1997" s="15"/>
      <c r="AC1997" s="1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</row>
    <row r="1998" spans="1:43">
      <c r="A1998" s="15" t="s">
        <v>49</v>
      </c>
      <c r="B1998" s="15" t="s">
        <v>50</v>
      </c>
      <c r="C1998" s="15" t="s">
        <v>61</v>
      </c>
      <c r="D1998" s="15" t="s">
        <v>5265</v>
      </c>
      <c r="E1998" s="15" t="s">
        <v>5266</v>
      </c>
      <c r="F1998" s="16">
        <v>0</v>
      </c>
      <c r="G1998" s="15" t="s">
        <v>5266</v>
      </c>
      <c r="H1998" s="15" t="s">
        <v>5267</v>
      </c>
      <c r="I1998" s="15">
        <v>0</v>
      </c>
      <c r="J1998" s="15">
        <v>0</v>
      </c>
      <c r="K1998" s="15">
        <v>0</v>
      </c>
      <c r="L1998" s="20">
        <v>0</v>
      </c>
      <c r="M1998" s="15">
        <v>0</v>
      </c>
      <c r="N1998" s="15">
        <v>0</v>
      </c>
      <c r="O1998" s="15">
        <v>0</v>
      </c>
      <c r="P1998" s="15">
        <v>0</v>
      </c>
      <c r="Q1998" s="15">
        <v>0</v>
      </c>
      <c r="R1998" s="15">
        <v>0</v>
      </c>
      <c r="S1998" s="15">
        <v>0</v>
      </c>
      <c r="T1998" s="15">
        <v>0</v>
      </c>
      <c r="U1998" s="15">
        <v>0</v>
      </c>
      <c r="V1998" s="15">
        <v>0</v>
      </c>
      <c r="W1998" s="15">
        <v>0</v>
      </c>
      <c r="X1998" s="15">
        <v>0</v>
      </c>
      <c r="Y1998" s="15">
        <v>0</v>
      </c>
      <c r="Z1998" s="15">
        <v>0</v>
      </c>
      <c r="AA1998" s="15"/>
      <c r="AB1998" s="15"/>
      <c r="AC1998" s="1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  <c r="AN1998" s="15"/>
      <c r="AO1998" s="15"/>
      <c r="AP1998" s="15"/>
      <c r="AQ1998" s="15"/>
    </row>
    <row r="1999" spans="1:43">
      <c r="A1999" s="15" t="s">
        <v>64</v>
      </c>
      <c r="B1999" s="15" t="s">
        <v>118</v>
      </c>
      <c r="C1999" s="15" t="s">
        <v>4988</v>
      </c>
      <c r="D1999" s="15" t="s">
        <v>5268</v>
      </c>
      <c r="E1999" s="15" t="s">
        <v>5269</v>
      </c>
      <c r="F1999" s="16">
        <v>45085.4509375</v>
      </c>
      <c r="G1999" s="15" t="s">
        <v>5269</v>
      </c>
      <c r="H1999" s="15" t="s">
        <v>5270</v>
      </c>
      <c r="I1999" s="15">
        <v>381.03</v>
      </c>
      <c r="J1999" s="15">
        <v>12</v>
      </c>
      <c r="K1999" s="15">
        <v>31.7525</v>
      </c>
      <c r="L1999" s="20">
        <v>0.453607142857143</v>
      </c>
      <c r="M1999" s="15">
        <v>43.69</v>
      </c>
      <c r="N1999" s="15">
        <v>11.5</v>
      </c>
      <c r="O1999" s="15">
        <v>35.26</v>
      </c>
      <c r="P1999" s="15">
        <v>55.99</v>
      </c>
      <c r="Q1999" s="15">
        <v>15.68</v>
      </c>
      <c r="R1999" s="15">
        <v>0</v>
      </c>
      <c r="S1999" s="15">
        <v>37.24</v>
      </c>
      <c r="T1999" s="15">
        <v>26.57</v>
      </c>
      <c r="U1999" s="15">
        <v>42.77</v>
      </c>
      <c r="V1999" s="15">
        <v>21.27</v>
      </c>
      <c r="W1999" s="15">
        <v>26.57</v>
      </c>
      <c r="X1999" s="15">
        <v>29.76</v>
      </c>
      <c r="Y1999" s="15">
        <v>0</v>
      </c>
      <c r="Z1999" s="15">
        <v>34.73</v>
      </c>
      <c r="AA1999" s="15"/>
      <c r="AB1999" s="15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</row>
    <row r="2000" spans="1:43">
      <c r="A2000" s="15" t="s">
        <v>49</v>
      </c>
      <c r="B2000" s="15" t="s">
        <v>50</v>
      </c>
      <c r="C2000" s="15" t="s">
        <v>1300</v>
      </c>
      <c r="D2000" s="15" t="s">
        <v>5271</v>
      </c>
      <c r="E2000" s="15" t="s">
        <v>5272</v>
      </c>
      <c r="F2000" s="16">
        <v>45128.6064930556</v>
      </c>
      <c r="G2000" s="15" t="s">
        <v>5272</v>
      </c>
      <c r="H2000" s="15" t="s">
        <v>54</v>
      </c>
      <c r="I2000" s="15">
        <v>0</v>
      </c>
      <c r="J2000" s="15">
        <v>0</v>
      </c>
      <c r="K2000" s="15">
        <v>0</v>
      </c>
      <c r="L2000" s="20">
        <v>0</v>
      </c>
      <c r="M2000" s="15">
        <v>0</v>
      </c>
      <c r="N2000" s="15">
        <v>0</v>
      </c>
      <c r="O2000" s="15">
        <v>0</v>
      </c>
      <c r="P2000" s="15">
        <v>0</v>
      </c>
      <c r="Q2000" s="15">
        <v>0</v>
      </c>
      <c r="R2000" s="15">
        <v>0</v>
      </c>
      <c r="S2000" s="15">
        <v>0</v>
      </c>
      <c r="T2000" s="15">
        <v>0</v>
      </c>
      <c r="U2000" s="15">
        <v>0</v>
      </c>
      <c r="V2000" s="15">
        <v>0</v>
      </c>
      <c r="W2000" s="15">
        <v>0</v>
      </c>
      <c r="X2000" s="15">
        <v>0</v>
      </c>
      <c r="Y2000" s="15">
        <v>0</v>
      </c>
      <c r="Z2000" s="15">
        <v>0</v>
      </c>
      <c r="AA2000" s="15"/>
      <c r="AB2000" s="15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</row>
    <row r="2001" spans="1:43">
      <c r="A2001" s="15" t="s">
        <v>49</v>
      </c>
      <c r="B2001" s="15" t="s">
        <v>50</v>
      </c>
      <c r="C2001" s="15" t="s">
        <v>61</v>
      </c>
      <c r="D2001" s="15" t="s">
        <v>5273</v>
      </c>
      <c r="E2001" s="15" t="s">
        <v>5274</v>
      </c>
      <c r="F2001" s="16">
        <v>0</v>
      </c>
      <c r="G2001" s="15" t="s">
        <v>5274</v>
      </c>
      <c r="H2001" s="15" t="s">
        <v>5275</v>
      </c>
      <c r="I2001" s="15">
        <v>0</v>
      </c>
      <c r="J2001" s="15">
        <v>0</v>
      </c>
      <c r="K2001" s="15">
        <v>0</v>
      </c>
      <c r="L2001" s="20">
        <v>0</v>
      </c>
      <c r="M2001" s="15">
        <v>0</v>
      </c>
      <c r="N2001" s="15">
        <v>0</v>
      </c>
      <c r="O2001" s="15">
        <v>0</v>
      </c>
      <c r="P2001" s="15">
        <v>0</v>
      </c>
      <c r="Q2001" s="15">
        <v>0</v>
      </c>
      <c r="R2001" s="15">
        <v>0</v>
      </c>
      <c r="S2001" s="15">
        <v>0</v>
      </c>
      <c r="T2001" s="15">
        <v>0</v>
      </c>
      <c r="U2001" s="15">
        <v>0</v>
      </c>
      <c r="V2001" s="15">
        <v>0</v>
      </c>
      <c r="W2001" s="15">
        <v>0</v>
      </c>
      <c r="X2001" s="15">
        <v>0</v>
      </c>
      <c r="Y2001" s="15">
        <v>0</v>
      </c>
      <c r="Z2001" s="15">
        <v>0</v>
      </c>
      <c r="AA2001" s="15"/>
      <c r="AB2001" s="15"/>
      <c r="AC2001" s="15"/>
      <c r="AD2001" s="15"/>
      <c r="AE2001" s="15"/>
      <c r="AF2001" s="15"/>
      <c r="AG2001" s="15"/>
      <c r="AH2001" s="15"/>
      <c r="AI2001" s="15"/>
      <c r="AJ2001" s="15"/>
      <c r="AK2001" s="15"/>
      <c r="AL2001" s="15"/>
      <c r="AM2001" s="15"/>
      <c r="AN2001" s="15"/>
      <c r="AO2001" s="15"/>
      <c r="AP2001" s="15"/>
      <c r="AQ2001" s="15"/>
    </row>
    <row r="2002" spans="1:43">
      <c r="A2002" s="15" t="s">
        <v>49</v>
      </c>
      <c r="B2002" s="15" t="s">
        <v>50</v>
      </c>
      <c r="C2002" s="15" t="s">
        <v>61</v>
      </c>
      <c r="D2002" s="15" t="s">
        <v>5276</v>
      </c>
      <c r="E2002" s="15" t="s">
        <v>5277</v>
      </c>
      <c r="F2002" s="16">
        <v>0</v>
      </c>
      <c r="G2002" s="15" t="s">
        <v>5277</v>
      </c>
      <c r="H2002" s="15" t="s">
        <v>5278</v>
      </c>
      <c r="I2002" s="15">
        <v>0</v>
      </c>
      <c r="J2002" s="15">
        <v>0</v>
      </c>
      <c r="K2002" s="15">
        <v>0</v>
      </c>
      <c r="L2002" s="20">
        <v>0</v>
      </c>
      <c r="M2002" s="15">
        <v>0</v>
      </c>
      <c r="N2002" s="15">
        <v>0</v>
      </c>
      <c r="O2002" s="15">
        <v>0</v>
      </c>
      <c r="P2002" s="15">
        <v>0</v>
      </c>
      <c r="Q2002" s="15">
        <v>0</v>
      </c>
      <c r="R2002" s="15">
        <v>0</v>
      </c>
      <c r="S2002" s="15">
        <v>0</v>
      </c>
      <c r="T2002" s="15">
        <v>0</v>
      </c>
      <c r="U2002" s="15">
        <v>0</v>
      </c>
      <c r="V2002" s="15">
        <v>0</v>
      </c>
      <c r="W2002" s="15">
        <v>0</v>
      </c>
      <c r="X2002" s="15">
        <v>0</v>
      </c>
      <c r="Y2002" s="15">
        <v>0</v>
      </c>
      <c r="Z2002" s="15">
        <v>0</v>
      </c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</row>
    <row r="2003" spans="1:43">
      <c r="A2003" s="15" t="s">
        <v>43</v>
      </c>
      <c r="B2003" s="15" t="s">
        <v>44</v>
      </c>
      <c r="C2003" s="15" t="s">
        <v>45</v>
      </c>
      <c r="D2003" s="15" t="s">
        <v>5279</v>
      </c>
      <c r="E2003" s="15" t="s">
        <v>5280</v>
      </c>
      <c r="F2003" s="16">
        <v>40941.4902083333</v>
      </c>
      <c r="G2003" s="15" t="s">
        <v>5280</v>
      </c>
      <c r="H2003" s="15" t="s">
        <v>5281</v>
      </c>
      <c r="I2003" s="15">
        <v>0</v>
      </c>
      <c r="J2003" s="15">
        <v>0</v>
      </c>
      <c r="K2003" s="15">
        <v>0</v>
      </c>
      <c r="L2003" s="20">
        <v>0</v>
      </c>
      <c r="M2003" s="15">
        <v>0</v>
      </c>
      <c r="N2003" s="15">
        <v>0</v>
      </c>
      <c r="O2003" s="15">
        <v>0</v>
      </c>
      <c r="P2003" s="15">
        <v>0</v>
      </c>
      <c r="Q2003" s="15">
        <v>0</v>
      </c>
      <c r="R2003" s="15">
        <v>0</v>
      </c>
      <c r="S2003" s="15">
        <v>0</v>
      </c>
      <c r="T2003" s="15">
        <v>0</v>
      </c>
      <c r="U2003" s="15">
        <v>0</v>
      </c>
      <c r="V2003" s="15">
        <v>0</v>
      </c>
      <c r="W2003" s="15">
        <v>0</v>
      </c>
      <c r="X2003" s="15">
        <v>0</v>
      </c>
      <c r="Y2003" s="15">
        <v>0</v>
      </c>
      <c r="Z2003" s="15">
        <v>0</v>
      </c>
      <c r="AA2003" s="15"/>
      <c r="AB2003" s="15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/>
      <c r="AM2003" s="15"/>
      <c r="AN2003" s="15"/>
      <c r="AO2003" s="15"/>
      <c r="AP2003" s="15"/>
      <c r="AQ2003" s="15"/>
    </row>
    <row r="2004" spans="1:43">
      <c r="A2004" s="15" t="s">
        <v>43</v>
      </c>
      <c r="B2004" s="15" t="s">
        <v>44</v>
      </c>
      <c r="C2004" s="15" t="s">
        <v>45</v>
      </c>
      <c r="D2004" s="15" t="s">
        <v>5282</v>
      </c>
      <c r="E2004" s="15" t="s">
        <v>5283</v>
      </c>
      <c r="F2004" s="16">
        <v>42088.7186342593</v>
      </c>
      <c r="G2004" s="15" t="s">
        <v>5283</v>
      </c>
      <c r="H2004" s="15" t="s">
        <v>5284</v>
      </c>
      <c r="I2004" s="15">
        <v>0</v>
      </c>
      <c r="J2004" s="15">
        <v>0</v>
      </c>
      <c r="K2004" s="15">
        <v>0</v>
      </c>
      <c r="L2004" s="20">
        <v>0</v>
      </c>
      <c r="M2004" s="15">
        <v>0</v>
      </c>
      <c r="N2004" s="15">
        <v>0</v>
      </c>
      <c r="O2004" s="15">
        <v>0</v>
      </c>
      <c r="P2004" s="15">
        <v>0</v>
      </c>
      <c r="Q2004" s="15">
        <v>0</v>
      </c>
      <c r="R2004" s="15">
        <v>0</v>
      </c>
      <c r="S2004" s="15">
        <v>0</v>
      </c>
      <c r="T2004" s="15">
        <v>0</v>
      </c>
      <c r="U2004" s="15">
        <v>0</v>
      </c>
      <c r="V2004" s="15">
        <v>0</v>
      </c>
      <c r="W2004" s="15">
        <v>0</v>
      </c>
      <c r="X2004" s="15">
        <v>0</v>
      </c>
      <c r="Y2004" s="15">
        <v>0</v>
      </c>
      <c r="Z2004" s="15">
        <v>0</v>
      </c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</row>
    <row r="2005" spans="1:43">
      <c r="A2005" s="15" t="s">
        <v>43</v>
      </c>
      <c r="B2005" s="15" t="s">
        <v>44</v>
      </c>
      <c r="C2005" s="15" t="s">
        <v>45</v>
      </c>
      <c r="D2005" s="15" t="s">
        <v>5285</v>
      </c>
      <c r="E2005" s="15" t="s">
        <v>5286</v>
      </c>
      <c r="F2005" s="16">
        <v>42907.4906134259</v>
      </c>
      <c r="G2005" s="15" t="s">
        <v>5286</v>
      </c>
      <c r="H2005" s="15" t="s">
        <v>5287</v>
      </c>
      <c r="I2005" s="15">
        <v>0</v>
      </c>
      <c r="J2005" s="15">
        <v>0</v>
      </c>
      <c r="K2005" s="15">
        <v>0</v>
      </c>
      <c r="L2005" s="20">
        <v>0</v>
      </c>
      <c r="M2005" s="15">
        <v>0</v>
      </c>
      <c r="N2005" s="15">
        <v>0</v>
      </c>
      <c r="O2005" s="15">
        <v>0</v>
      </c>
      <c r="P2005" s="15">
        <v>0</v>
      </c>
      <c r="Q2005" s="15">
        <v>0</v>
      </c>
      <c r="R2005" s="15">
        <v>0</v>
      </c>
      <c r="S2005" s="15">
        <v>0</v>
      </c>
      <c r="T2005" s="15">
        <v>0</v>
      </c>
      <c r="U2005" s="15">
        <v>0</v>
      </c>
      <c r="V2005" s="15">
        <v>0</v>
      </c>
      <c r="W2005" s="15">
        <v>0</v>
      </c>
      <c r="X2005" s="15">
        <v>0</v>
      </c>
      <c r="Y2005" s="15">
        <v>0</v>
      </c>
      <c r="Z2005" s="15">
        <v>0</v>
      </c>
      <c r="AA2005" s="15"/>
      <c r="AB2005" s="15"/>
      <c r="AC2005" s="15"/>
      <c r="AD2005" s="15"/>
      <c r="AE2005" s="15"/>
      <c r="AF2005" s="15"/>
      <c r="AG2005" s="15"/>
      <c r="AH2005" s="15"/>
      <c r="AI2005" s="15"/>
      <c r="AJ2005" s="15"/>
      <c r="AK2005" s="15"/>
      <c r="AL2005" s="15"/>
      <c r="AM2005" s="15"/>
      <c r="AN2005" s="15"/>
      <c r="AO2005" s="15"/>
      <c r="AP2005" s="15"/>
      <c r="AQ2005" s="15"/>
    </row>
    <row r="2006" spans="1:43">
      <c r="A2006" s="15" t="s">
        <v>49</v>
      </c>
      <c r="B2006" s="15" t="s">
        <v>50</v>
      </c>
      <c r="C2006" s="15" t="s">
        <v>61</v>
      </c>
      <c r="D2006" s="15" t="s">
        <v>5288</v>
      </c>
      <c r="E2006" s="15" t="s">
        <v>5289</v>
      </c>
      <c r="F2006" s="16">
        <v>0</v>
      </c>
      <c r="G2006" s="15" t="s">
        <v>5289</v>
      </c>
      <c r="H2006" s="15" t="s">
        <v>5290</v>
      </c>
      <c r="I2006" s="15">
        <v>0</v>
      </c>
      <c r="J2006" s="15">
        <v>0</v>
      </c>
      <c r="K2006" s="15">
        <v>0</v>
      </c>
      <c r="L2006" s="20">
        <v>0</v>
      </c>
      <c r="M2006" s="15">
        <v>0</v>
      </c>
      <c r="N2006" s="15">
        <v>0</v>
      </c>
      <c r="O2006" s="15">
        <v>0</v>
      </c>
      <c r="P2006" s="15">
        <v>0</v>
      </c>
      <c r="Q2006" s="15">
        <v>0</v>
      </c>
      <c r="R2006" s="15">
        <v>0</v>
      </c>
      <c r="S2006" s="15">
        <v>0</v>
      </c>
      <c r="T2006" s="15">
        <v>0</v>
      </c>
      <c r="U2006" s="15">
        <v>0</v>
      </c>
      <c r="V2006" s="15">
        <v>0</v>
      </c>
      <c r="W2006" s="15">
        <v>0</v>
      </c>
      <c r="X2006" s="15">
        <v>0</v>
      </c>
      <c r="Y2006" s="15">
        <v>0</v>
      </c>
      <c r="Z2006" s="15">
        <v>0</v>
      </c>
      <c r="AA2006" s="15"/>
      <c r="AB2006" s="15"/>
      <c r="AC2006" s="15"/>
      <c r="AD2006" s="15"/>
      <c r="AE2006" s="15"/>
      <c r="AF2006" s="15"/>
      <c r="AG2006" s="15"/>
      <c r="AH2006" s="15"/>
      <c r="AI2006" s="15"/>
      <c r="AJ2006" s="15"/>
      <c r="AK2006" s="15"/>
      <c r="AL2006" s="15"/>
      <c r="AM2006" s="15"/>
      <c r="AN2006" s="15"/>
      <c r="AO2006" s="15"/>
      <c r="AP2006" s="15"/>
      <c r="AQ2006" s="15"/>
    </row>
    <row r="2007" spans="1:43">
      <c r="A2007" s="15" t="s">
        <v>64</v>
      </c>
      <c r="B2007" s="15" t="s">
        <v>118</v>
      </c>
      <c r="C2007" s="15" t="s">
        <v>4988</v>
      </c>
      <c r="D2007" s="15" t="s">
        <v>5291</v>
      </c>
      <c r="E2007" s="15" t="s">
        <v>5292</v>
      </c>
      <c r="F2007" s="16">
        <v>45042.6281944444</v>
      </c>
      <c r="G2007" s="15" t="s">
        <v>5292</v>
      </c>
      <c r="H2007" s="15" t="s">
        <v>54</v>
      </c>
      <c r="I2007" s="15">
        <v>0</v>
      </c>
      <c r="J2007" s="15">
        <v>0</v>
      </c>
      <c r="K2007" s="15">
        <v>0</v>
      </c>
      <c r="L2007" s="20">
        <v>0</v>
      </c>
      <c r="M2007" s="15">
        <v>0</v>
      </c>
      <c r="N2007" s="15">
        <v>0</v>
      </c>
      <c r="O2007" s="15">
        <v>0</v>
      </c>
      <c r="P2007" s="15">
        <v>0</v>
      </c>
      <c r="Q2007" s="15">
        <v>0</v>
      </c>
      <c r="R2007" s="15">
        <v>0</v>
      </c>
      <c r="S2007" s="15">
        <v>0</v>
      </c>
      <c r="T2007" s="15">
        <v>0</v>
      </c>
      <c r="U2007" s="15">
        <v>0</v>
      </c>
      <c r="V2007" s="15">
        <v>0</v>
      </c>
      <c r="W2007" s="15">
        <v>0</v>
      </c>
      <c r="X2007" s="15">
        <v>0</v>
      </c>
      <c r="Y2007" s="15">
        <v>0</v>
      </c>
      <c r="Z2007" s="15">
        <v>0</v>
      </c>
      <c r="AA2007" s="15"/>
      <c r="AB2007" s="15"/>
      <c r="AC2007" s="15"/>
      <c r="AD2007" s="15"/>
      <c r="AE2007" s="15"/>
      <c r="AF2007" s="15"/>
      <c r="AG2007" s="15"/>
      <c r="AH2007" s="15"/>
      <c r="AI2007" s="15"/>
      <c r="AJ2007" s="15"/>
      <c r="AK2007" s="15"/>
      <c r="AL2007" s="15"/>
      <c r="AM2007" s="15"/>
      <c r="AN2007" s="15"/>
      <c r="AO2007" s="15"/>
      <c r="AP2007" s="15"/>
      <c r="AQ2007" s="15"/>
    </row>
    <row r="2008" spans="1:43">
      <c r="A2008" s="15" t="s">
        <v>43</v>
      </c>
      <c r="B2008" s="15" t="s">
        <v>44</v>
      </c>
      <c r="C2008" s="15" t="s">
        <v>45</v>
      </c>
      <c r="D2008" s="15" t="s">
        <v>5293</v>
      </c>
      <c r="E2008" s="15" t="s">
        <v>5294</v>
      </c>
      <c r="F2008" s="16">
        <v>0</v>
      </c>
      <c r="G2008" s="15" t="s">
        <v>5294</v>
      </c>
      <c r="H2008" s="15" t="s">
        <v>5295</v>
      </c>
      <c r="I2008" s="15">
        <v>0</v>
      </c>
      <c r="J2008" s="15">
        <v>0</v>
      </c>
      <c r="K2008" s="15">
        <v>0</v>
      </c>
      <c r="L2008" s="20">
        <v>0</v>
      </c>
      <c r="M2008" s="15">
        <v>0</v>
      </c>
      <c r="N2008" s="15">
        <v>0</v>
      </c>
      <c r="O2008" s="15">
        <v>0</v>
      </c>
      <c r="P2008" s="15">
        <v>0</v>
      </c>
      <c r="Q2008" s="15">
        <v>0</v>
      </c>
      <c r="R2008" s="15">
        <v>0</v>
      </c>
      <c r="S2008" s="15">
        <v>0</v>
      </c>
      <c r="T2008" s="15">
        <v>0</v>
      </c>
      <c r="U2008" s="15">
        <v>0</v>
      </c>
      <c r="V2008" s="15">
        <v>0</v>
      </c>
      <c r="W2008" s="15">
        <v>0</v>
      </c>
      <c r="X2008" s="15">
        <v>0</v>
      </c>
      <c r="Y2008" s="15">
        <v>0</v>
      </c>
      <c r="Z2008" s="15">
        <v>0</v>
      </c>
      <c r="AA2008" s="15"/>
      <c r="AB2008" s="15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/>
      <c r="AM2008" s="15"/>
      <c r="AN2008" s="15"/>
      <c r="AO2008" s="15"/>
      <c r="AP2008" s="15"/>
      <c r="AQ2008" s="15"/>
    </row>
    <row r="2009" spans="1:43">
      <c r="A2009" s="15" t="s">
        <v>49</v>
      </c>
      <c r="B2009" s="15" t="s">
        <v>50</v>
      </c>
      <c r="C2009" s="15" t="s">
        <v>61</v>
      </c>
      <c r="D2009" s="15" t="s">
        <v>5296</v>
      </c>
      <c r="E2009" s="15" t="s">
        <v>4779</v>
      </c>
      <c r="F2009" s="16">
        <v>0</v>
      </c>
      <c r="G2009" s="15" t="s">
        <v>4779</v>
      </c>
      <c r="H2009" s="15" t="s">
        <v>5297</v>
      </c>
      <c r="I2009" s="15">
        <v>0</v>
      </c>
      <c r="J2009" s="15">
        <v>0</v>
      </c>
      <c r="K2009" s="15">
        <v>0</v>
      </c>
      <c r="L2009" s="20">
        <v>0</v>
      </c>
      <c r="M2009" s="15">
        <v>0</v>
      </c>
      <c r="N2009" s="15">
        <v>0</v>
      </c>
      <c r="O2009" s="15">
        <v>0</v>
      </c>
      <c r="P2009" s="15">
        <v>0</v>
      </c>
      <c r="Q2009" s="15">
        <v>0</v>
      </c>
      <c r="R2009" s="15">
        <v>0</v>
      </c>
      <c r="S2009" s="15">
        <v>0</v>
      </c>
      <c r="T2009" s="15">
        <v>0</v>
      </c>
      <c r="U2009" s="15">
        <v>0</v>
      </c>
      <c r="V2009" s="15">
        <v>0</v>
      </c>
      <c r="W2009" s="15">
        <v>0</v>
      </c>
      <c r="X2009" s="15">
        <v>0</v>
      </c>
      <c r="Y2009" s="15">
        <v>0</v>
      </c>
      <c r="Z2009" s="15">
        <v>0</v>
      </c>
      <c r="AA2009" s="15"/>
      <c r="AB2009" s="15"/>
      <c r="AC2009" s="15"/>
      <c r="AD2009" s="15"/>
      <c r="AE2009" s="15"/>
      <c r="AF2009" s="15"/>
      <c r="AG2009" s="15"/>
      <c r="AH2009" s="15"/>
      <c r="AI2009" s="15"/>
      <c r="AJ2009" s="15"/>
      <c r="AK2009" s="15"/>
      <c r="AL2009" s="15"/>
      <c r="AM2009" s="15"/>
      <c r="AN2009" s="15"/>
      <c r="AO2009" s="15"/>
      <c r="AP2009" s="15"/>
      <c r="AQ2009" s="15"/>
    </row>
    <row r="2010" spans="1:43">
      <c r="A2010" s="15" t="s">
        <v>64</v>
      </c>
      <c r="B2010" s="15" t="s">
        <v>118</v>
      </c>
      <c r="C2010" s="15" t="s">
        <v>131</v>
      </c>
      <c r="D2010" s="15" t="s">
        <v>5298</v>
      </c>
      <c r="E2010" s="15" t="s">
        <v>2668</v>
      </c>
      <c r="F2010" s="16">
        <v>44393.4502546296</v>
      </c>
      <c r="G2010" s="15" t="s">
        <v>2668</v>
      </c>
      <c r="H2010" s="15" t="s">
        <v>5299</v>
      </c>
      <c r="I2010" s="15">
        <v>1230.6</v>
      </c>
      <c r="J2010" s="15">
        <v>13</v>
      </c>
      <c r="K2010" s="15">
        <v>94.6615384615385</v>
      </c>
      <c r="L2010" s="20">
        <v>1.35230769230769</v>
      </c>
      <c r="M2010" s="15">
        <v>215.83</v>
      </c>
      <c r="N2010" s="15">
        <v>184.2</v>
      </c>
      <c r="O2010" s="15">
        <v>139.61</v>
      </c>
      <c r="P2010" s="15">
        <v>304.08</v>
      </c>
      <c r="Q2010" s="15">
        <v>142.88</v>
      </c>
      <c r="R2010" s="15">
        <v>0</v>
      </c>
      <c r="S2010" s="15">
        <v>104.51</v>
      </c>
      <c r="T2010" s="15">
        <v>51.6</v>
      </c>
      <c r="U2010" s="15">
        <v>0.67</v>
      </c>
      <c r="V2010" s="15">
        <v>40.19</v>
      </c>
      <c r="W2010" s="15">
        <v>32.09</v>
      </c>
      <c r="X2010" s="15">
        <v>9.94</v>
      </c>
      <c r="Y2010" s="15">
        <v>2.9</v>
      </c>
      <c r="Z2010" s="15">
        <v>2.1</v>
      </c>
      <c r="AA2010" s="15"/>
      <c r="AB2010" s="15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/>
      <c r="AM2010" s="15"/>
      <c r="AN2010" s="15"/>
      <c r="AO2010" s="15"/>
      <c r="AP2010" s="15"/>
      <c r="AQ2010" s="15"/>
    </row>
    <row r="2011" spans="1:43">
      <c r="A2011" s="15" t="s">
        <v>49</v>
      </c>
      <c r="B2011" s="15" t="s">
        <v>50</v>
      </c>
      <c r="C2011" s="15" t="s">
        <v>61</v>
      </c>
      <c r="D2011" s="15" t="s">
        <v>5300</v>
      </c>
      <c r="E2011" s="15" t="s">
        <v>5301</v>
      </c>
      <c r="F2011" s="16">
        <v>0</v>
      </c>
      <c r="G2011" s="15" t="s">
        <v>5301</v>
      </c>
      <c r="H2011" s="15" t="s">
        <v>5302</v>
      </c>
      <c r="I2011" s="15">
        <v>0</v>
      </c>
      <c r="J2011" s="15">
        <v>0</v>
      </c>
      <c r="K2011" s="15">
        <v>0</v>
      </c>
      <c r="L2011" s="20">
        <v>0</v>
      </c>
      <c r="M2011" s="15">
        <v>0</v>
      </c>
      <c r="N2011" s="15">
        <v>0</v>
      </c>
      <c r="O2011" s="15">
        <v>0</v>
      </c>
      <c r="P2011" s="15">
        <v>0</v>
      </c>
      <c r="Q2011" s="15">
        <v>0</v>
      </c>
      <c r="R2011" s="15">
        <v>0</v>
      </c>
      <c r="S2011" s="15">
        <v>0</v>
      </c>
      <c r="T2011" s="15">
        <v>0</v>
      </c>
      <c r="U2011" s="15">
        <v>0</v>
      </c>
      <c r="V2011" s="15">
        <v>0</v>
      </c>
      <c r="W2011" s="15">
        <v>0</v>
      </c>
      <c r="X2011" s="15">
        <v>0</v>
      </c>
      <c r="Y2011" s="15">
        <v>0</v>
      </c>
      <c r="Z2011" s="15">
        <v>0</v>
      </c>
      <c r="AA2011" s="15"/>
      <c r="AB2011" s="15"/>
      <c r="AC2011" s="15"/>
      <c r="AD2011" s="15"/>
      <c r="AE2011" s="15"/>
      <c r="AF2011" s="15"/>
      <c r="AG2011" s="15"/>
      <c r="AH2011" s="15"/>
      <c r="AI2011" s="15"/>
      <c r="AJ2011" s="15"/>
      <c r="AK2011" s="15"/>
      <c r="AL2011" s="15"/>
      <c r="AM2011" s="15"/>
      <c r="AN2011" s="15"/>
      <c r="AO2011" s="15"/>
      <c r="AP2011" s="15"/>
      <c r="AQ2011" s="15"/>
    </row>
    <row r="2012" spans="1:43">
      <c r="A2012" s="15" t="s">
        <v>64</v>
      </c>
      <c r="B2012" s="15" t="s">
        <v>65</v>
      </c>
      <c r="C2012" s="15" t="s">
        <v>93</v>
      </c>
      <c r="D2012" s="15" t="s">
        <v>5303</v>
      </c>
      <c r="E2012" s="15" t="s">
        <v>1723</v>
      </c>
      <c r="F2012" s="16">
        <v>45139.5983680556</v>
      </c>
      <c r="G2012" s="15" t="s">
        <v>1723</v>
      </c>
      <c r="H2012" s="15" t="s">
        <v>54</v>
      </c>
      <c r="I2012" s="15">
        <v>13336.7</v>
      </c>
      <c r="J2012" s="15">
        <v>8</v>
      </c>
      <c r="K2012" s="15">
        <v>1667.0875</v>
      </c>
      <c r="L2012" s="20">
        <v>23.8155357142857</v>
      </c>
      <c r="M2012" s="15">
        <v>0</v>
      </c>
      <c r="N2012" s="15">
        <v>1904.17</v>
      </c>
      <c r="O2012" s="15">
        <v>1999.44</v>
      </c>
      <c r="P2012" s="15">
        <v>1294.83</v>
      </c>
      <c r="Q2012" s="15">
        <v>2126.98</v>
      </c>
      <c r="R2012" s="15">
        <v>2008.25</v>
      </c>
      <c r="S2012" s="15">
        <v>2271.56</v>
      </c>
      <c r="T2012" s="15">
        <v>1722.13</v>
      </c>
      <c r="U2012" s="15">
        <v>9.34</v>
      </c>
      <c r="V2012" s="15">
        <v>0</v>
      </c>
      <c r="W2012" s="15">
        <v>0</v>
      </c>
      <c r="X2012" s="15">
        <v>0</v>
      </c>
      <c r="Y2012" s="15">
        <v>0</v>
      </c>
      <c r="Z2012" s="15">
        <v>0</v>
      </c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</row>
    <row r="2013" spans="1:43">
      <c r="A2013" s="15" t="s">
        <v>43</v>
      </c>
      <c r="B2013" s="15" t="s">
        <v>44</v>
      </c>
      <c r="C2013" s="15" t="s">
        <v>45</v>
      </c>
      <c r="D2013" s="15" t="s">
        <v>5304</v>
      </c>
      <c r="E2013" s="15" t="s">
        <v>5305</v>
      </c>
      <c r="F2013" s="16">
        <v>43270.6528935185</v>
      </c>
      <c r="G2013" s="15" t="s">
        <v>5305</v>
      </c>
      <c r="H2013" s="15" t="s">
        <v>5306</v>
      </c>
      <c r="I2013" s="15">
        <v>0</v>
      </c>
      <c r="J2013" s="15">
        <v>0</v>
      </c>
      <c r="K2013" s="15">
        <v>0</v>
      </c>
      <c r="L2013" s="20">
        <v>0</v>
      </c>
      <c r="M2013" s="15">
        <v>0</v>
      </c>
      <c r="N2013" s="15">
        <v>0</v>
      </c>
      <c r="O2013" s="15">
        <v>0</v>
      </c>
      <c r="P2013" s="15">
        <v>0</v>
      </c>
      <c r="Q2013" s="15">
        <v>0</v>
      </c>
      <c r="R2013" s="15">
        <v>0</v>
      </c>
      <c r="S2013" s="15">
        <v>0</v>
      </c>
      <c r="T2013" s="15">
        <v>0</v>
      </c>
      <c r="U2013" s="15">
        <v>0</v>
      </c>
      <c r="V2013" s="15">
        <v>0</v>
      </c>
      <c r="W2013" s="15">
        <v>0</v>
      </c>
      <c r="X2013" s="15">
        <v>0</v>
      </c>
      <c r="Y2013" s="15">
        <v>0</v>
      </c>
      <c r="Z2013" s="15">
        <v>0</v>
      </c>
      <c r="AA2013" s="15"/>
      <c r="AB2013" s="15"/>
      <c r="AC2013" s="15"/>
      <c r="AD2013" s="15"/>
      <c r="AE2013" s="15"/>
      <c r="AF2013" s="15"/>
      <c r="AG2013" s="15"/>
      <c r="AH2013" s="15"/>
      <c r="AI2013" s="15"/>
      <c r="AJ2013" s="15"/>
      <c r="AK2013" s="15"/>
      <c r="AL2013" s="15"/>
      <c r="AM2013" s="15"/>
      <c r="AN2013" s="15"/>
      <c r="AO2013" s="15"/>
      <c r="AP2013" s="15"/>
      <c r="AQ2013" s="15"/>
    </row>
    <row r="2014" spans="1:43">
      <c r="A2014" s="15" t="s">
        <v>49</v>
      </c>
      <c r="B2014" s="15" t="s">
        <v>50</v>
      </c>
      <c r="C2014" s="15" t="s">
        <v>61</v>
      </c>
      <c r="D2014" s="15" t="s">
        <v>5307</v>
      </c>
      <c r="E2014" s="15" t="s">
        <v>5308</v>
      </c>
      <c r="F2014" s="16">
        <v>0</v>
      </c>
      <c r="G2014" s="15" t="s">
        <v>5308</v>
      </c>
      <c r="H2014" s="15" t="s">
        <v>5309</v>
      </c>
      <c r="I2014" s="15">
        <v>0</v>
      </c>
      <c r="J2014" s="15">
        <v>0</v>
      </c>
      <c r="K2014" s="15">
        <v>0</v>
      </c>
      <c r="L2014" s="20">
        <v>0</v>
      </c>
      <c r="M2014" s="15">
        <v>0</v>
      </c>
      <c r="N2014" s="15">
        <v>0</v>
      </c>
      <c r="O2014" s="15">
        <v>0</v>
      </c>
      <c r="P2014" s="15">
        <v>0</v>
      </c>
      <c r="Q2014" s="15">
        <v>0</v>
      </c>
      <c r="R2014" s="15">
        <v>0</v>
      </c>
      <c r="S2014" s="15">
        <v>0</v>
      </c>
      <c r="T2014" s="15">
        <v>0</v>
      </c>
      <c r="U2014" s="15">
        <v>0</v>
      </c>
      <c r="V2014" s="15">
        <v>0</v>
      </c>
      <c r="W2014" s="15">
        <v>0</v>
      </c>
      <c r="X2014" s="15">
        <v>0</v>
      </c>
      <c r="Y2014" s="15">
        <v>0</v>
      </c>
      <c r="Z2014" s="15">
        <v>0</v>
      </c>
      <c r="AA2014" s="15"/>
      <c r="AB2014" s="15"/>
      <c r="AC2014" s="15"/>
      <c r="AD2014" s="15"/>
      <c r="AE2014" s="15"/>
      <c r="AF2014" s="15"/>
      <c r="AG2014" s="15"/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</row>
    <row r="2015" spans="1:43">
      <c r="A2015" s="15" t="s">
        <v>43</v>
      </c>
      <c r="B2015" s="15" t="s">
        <v>44</v>
      </c>
      <c r="C2015" s="15" t="s">
        <v>45</v>
      </c>
      <c r="D2015" s="15" t="s">
        <v>5310</v>
      </c>
      <c r="E2015" s="15" t="s">
        <v>5311</v>
      </c>
      <c r="F2015" s="16">
        <v>41967.3859722222</v>
      </c>
      <c r="G2015" s="15" t="s">
        <v>5311</v>
      </c>
      <c r="H2015" s="15" t="s">
        <v>5312</v>
      </c>
      <c r="I2015" s="15">
        <v>0</v>
      </c>
      <c r="J2015" s="15">
        <v>0</v>
      </c>
      <c r="K2015" s="15">
        <v>0</v>
      </c>
      <c r="L2015" s="20">
        <v>0</v>
      </c>
      <c r="M2015" s="15">
        <v>0</v>
      </c>
      <c r="N2015" s="15">
        <v>0</v>
      </c>
      <c r="O2015" s="15">
        <v>0</v>
      </c>
      <c r="P2015" s="15">
        <v>0</v>
      </c>
      <c r="Q2015" s="15">
        <v>0</v>
      </c>
      <c r="R2015" s="15">
        <v>0</v>
      </c>
      <c r="S2015" s="15">
        <v>0</v>
      </c>
      <c r="T2015" s="15">
        <v>0</v>
      </c>
      <c r="U2015" s="15">
        <v>0</v>
      </c>
      <c r="V2015" s="15">
        <v>0</v>
      </c>
      <c r="W2015" s="15">
        <v>0</v>
      </c>
      <c r="X2015" s="15">
        <v>0</v>
      </c>
      <c r="Y2015" s="15">
        <v>0</v>
      </c>
      <c r="Z2015" s="15">
        <v>0</v>
      </c>
      <c r="AA2015" s="15"/>
      <c r="AB2015" s="15"/>
      <c r="AC2015" s="15"/>
      <c r="AD2015" s="15"/>
      <c r="AE2015" s="15"/>
      <c r="AF2015" s="15"/>
      <c r="AG2015" s="15"/>
      <c r="AH2015" s="15"/>
      <c r="AI2015" s="15"/>
      <c r="AJ2015" s="15"/>
      <c r="AK2015" s="15"/>
      <c r="AL2015" s="15"/>
      <c r="AM2015" s="15"/>
      <c r="AN2015" s="15"/>
      <c r="AO2015" s="15"/>
      <c r="AP2015" s="15"/>
      <c r="AQ2015" s="15"/>
    </row>
    <row r="2016" spans="1:43">
      <c r="A2016" s="15" t="s">
        <v>49</v>
      </c>
      <c r="B2016" s="15" t="s">
        <v>50</v>
      </c>
      <c r="C2016" s="15" t="s">
        <v>301</v>
      </c>
      <c r="D2016" s="15" t="s">
        <v>5313</v>
      </c>
      <c r="E2016" s="15" t="s">
        <v>5314</v>
      </c>
      <c r="F2016" s="16">
        <v>42726.4408680556</v>
      </c>
      <c r="G2016" s="15" t="s">
        <v>5314</v>
      </c>
      <c r="H2016" s="15" t="s">
        <v>5315</v>
      </c>
      <c r="I2016" s="15">
        <v>0</v>
      </c>
      <c r="J2016" s="15">
        <v>0</v>
      </c>
      <c r="K2016" s="15">
        <v>0</v>
      </c>
      <c r="L2016" s="20">
        <v>0</v>
      </c>
      <c r="M2016" s="15">
        <v>0</v>
      </c>
      <c r="N2016" s="15">
        <v>0</v>
      </c>
      <c r="O2016" s="15">
        <v>0</v>
      </c>
      <c r="P2016" s="15">
        <v>0</v>
      </c>
      <c r="Q2016" s="15">
        <v>0</v>
      </c>
      <c r="R2016" s="15">
        <v>0</v>
      </c>
      <c r="S2016" s="15">
        <v>0</v>
      </c>
      <c r="T2016" s="15">
        <v>0</v>
      </c>
      <c r="U2016" s="15">
        <v>0</v>
      </c>
      <c r="V2016" s="15">
        <v>0</v>
      </c>
      <c r="W2016" s="15">
        <v>0</v>
      </c>
      <c r="X2016" s="15">
        <v>0</v>
      </c>
      <c r="Y2016" s="15">
        <v>0</v>
      </c>
      <c r="Z2016" s="15">
        <v>0</v>
      </c>
      <c r="AA2016" s="15"/>
      <c r="AB2016" s="15"/>
      <c r="AC2016" s="15"/>
      <c r="AD2016" s="15"/>
      <c r="AE2016" s="15"/>
      <c r="AF2016" s="15"/>
      <c r="AG2016" s="15"/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</row>
    <row r="2017" spans="1:43">
      <c r="A2017" s="15" t="s">
        <v>49</v>
      </c>
      <c r="B2017" s="15" t="s">
        <v>50</v>
      </c>
      <c r="C2017" s="15" t="s">
        <v>75</v>
      </c>
      <c r="D2017" s="15" t="s">
        <v>5316</v>
      </c>
      <c r="E2017" s="15" t="s">
        <v>3299</v>
      </c>
      <c r="F2017" s="16">
        <v>44958.4053472222</v>
      </c>
      <c r="G2017" s="15" t="s">
        <v>3299</v>
      </c>
      <c r="H2017" s="15" t="s">
        <v>54</v>
      </c>
      <c r="I2017" s="15">
        <v>0</v>
      </c>
      <c r="J2017" s="15">
        <v>0</v>
      </c>
      <c r="K2017" s="15">
        <v>0</v>
      </c>
      <c r="L2017" s="20">
        <v>0</v>
      </c>
      <c r="M2017" s="15">
        <v>0</v>
      </c>
      <c r="N2017" s="15">
        <v>0</v>
      </c>
      <c r="O2017" s="15">
        <v>0</v>
      </c>
      <c r="P2017" s="15">
        <v>0</v>
      </c>
      <c r="Q2017" s="15">
        <v>0</v>
      </c>
      <c r="R2017" s="15">
        <v>0</v>
      </c>
      <c r="S2017" s="15">
        <v>0</v>
      </c>
      <c r="T2017" s="15">
        <v>0</v>
      </c>
      <c r="U2017" s="15">
        <v>0</v>
      </c>
      <c r="V2017" s="15">
        <v>0</v>
      </c>
      <c r="W2017" s="15">
        <v>0</v>
      </c>
      <c r="X2017" s="15">
        <v>0</v>
      </c>
      <c r="Y2017" s="15">
        <v>0</v>
      </c>
      <c r="Z2017" s="15">
        <v>0</v>
      </c>
      <c r="AA2017" s="15"/>
      <c r="AB2017" s="15"/>
      <c r="AC2017" s="15"/>
      <c r="AD2017" s="15"/>
      <c r="AE2017" s="15"/>
      <c r="AF2017" s="15"/>
      <c r="AG2017" s="15"/>
      <c r="AH2017" s="15"/>
      <c r="AI2017" s="15"/>
      <c r="AJ2017" s="15"/>
      <c r="AK2017" s="15"/>
      <c r="AL2017" s="15"/>
      <c r="AM2017" s="15"/>
      <c r="AN2017" s="15"/>
      <c r="AO2017" s="15"/>
      <c r="AP2017" s="15"/>
      <c r="AQ2017" s="15"/>
    </row>
    <row r="2018" spans="1:43">
      <c r="A2018" s="15" t="s">
        <v>49</v>
      </c>
      <c r="B2018" s="15" t="s">
        <v>50</v>
      </c>
      <c r="C2018" s="15" t="s">
        <v>61</v>
      </c>
      <c r="D2018" s="15" t="s">
        <v>5317</v>
      </c>
      <c r="E2018" s="15" t="s">
        <v>97</v>
      </c>
      <c r="F2018" s="16">
        <v>0</v>
      </c>
      <c r="G2018" s="15" t="s">
        <v>97</v>
      </c>
      <c r="H2018" s="15" t="s">
        <v>98</v>
      </c>
      <c r="I2018" s="15">
        <v>0</v>
      </c>
      <c r="J2018" s="15">
        <v>0</v>
      </c>
      <c r="K2018" s="15">
        <v>0</v>
      </c>
      <c r="L2018" s="20">
        <v>0</v>
      </c>
      <c r="M2018" s="15">
        <v>0</v>
      </c>
      <c r="N2018" s="15">
        <v>0</v>
      </c>
      <c r="O2018" s="15">
        <v>0</v>
      </c>
      <c r="P2018" s="15">
        <v>0</v>
      </c>
      <c r="Q2018" s="15">
        <v>0</v>
      </c>
      <c r="R2018" s="15">
        <v>0</v>
      </c>
      <c r="S2018" s="15">
        <v>0</v>
      </c>
      <c r="T2018" s="15">
        <v>0</v>
      </c>
      <c r="U2018" s="15">
        <v>0</v>
      </c>
      <c r="V2018" s="15">
        <v>0</v>
      </c>
      <c r="W2018" s="15">
        <v>0</v>
      </c>
      <c r="X2018" s="15">
        <v>0</v>
      </c>
      <c r="Y2018" s="15">
        <v>0</v>
      </c>
      <c r="Z2018" s="15">
        <v>0</v>
      </c>
      <c r="AA2018" s="15"/>
      <c r="AB2018" s="15"/>
      <c r="AC2018" s="15"/>
      <c r="AD2018" s="15"/>
      <c r="AE2018" s="15"/>
      <c r="AF2018" s="15"/>
      <c r="AG2018" s="15"/>
      <c r="AH2018" s="15"/>
      <c r="AI2018" s="15"/>
      <c r="AJ2018" s="15"/>
      <c r="AK2018" s="15"/>
      <c r="AL2018" s="15"/>
      <c r="AM2018" s="15"/>
      <c r="AN2018" s="15"/>
      <c r="AO2018" s="15"/>
      <c r="AP2018" s="15"/>
      <c r="AQ2018" s="15"/>
    </row>
    <row r="2019" spans="1:43">
      <c r="A2019" s="15" t="s">
        <v>49</v>
      </c>
      <c r="B2019" s="15" t="s">
        <v>50</v>
      </c>
      <c r="C2019" s="15" t="s">
        <v>301</v>
      </c>
      <c r="D2019" s="15" t="s">
        <v>5318</v>
      </c>
      <c r="E2019" s="15" t="s">
        <v>5319</v>
      </c>
      <c r="F2019" s="16">
        <v>45127.6127083333</v>
      </c>
      <c r="G2019" s="15" t="s">
        <v>5319</v>
      </c>
      <c r="H2019" s="15" t="s">
        <v>54</v>
      </c>
      <c r="I2019" s="15">
        <v>5506.43</v>
      </c>
      <c r="J2019" s="15">
        <v>14</v>
      </c>
      <c r="K2019" s="15">
        <v>393.316428571429</v>
      </c>
      <c r="L2019" s="20">
        <v>7.86632857142857</v>
      </c>
      <c r="M2019" s="15">
        <v>326.4</v>
      </c>
      <c r="N2019" s="15">
        <v>299.27</v>
      </c>
      <c r="O2019" s="15">
        <v>238.46</v>
      </c>
      <c r="P2019" s="15">
        <v>381.5</v>
      </c>
      <c r="Q2019" s="15">
        <v>322.39</v>
      </c>
      <c r="R2019" s="15">
        <v>141.06</v>
      </c>
      <c r="S2019" s="15">
        <v>936.6</v>
      </c>
      <c r="T2019" s="15">
        <v>242.26</v>
      </c>
      <c r="U2019" s="15">
        <v>1004.19</v>
      </c>
      <c r="V2019" s="15">
        <v>206.68</v>
      </c>
      <c r="W2019" s="15">
        <v>380.3</v>
      </c>
      <c r="X2019" s="15">
        <v>229.2</v>
      </c>
      <c r="Y2019" s="15">
        <v>617.21</v>
      </c>
      <c r="Z2019" s="15">
        <v>180.91</v>
      </c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</row>
    <row r="2020" spans="1:43">
      <c r="A2020" s="15" t="s">
        <v>43</v>
      </c>
      <c r="B2020" s="15" t="s">
        <v>44</v>
      </c>
      <c r="C2020" s="15" t="s">
        <v>45</v>
      </c>
      <c r="D2020" s="15" t="s">
        <v>5320</v>
      </c>
      <c r="E2020" s="15" t="s">
        <v>5321</v>
      </c>
      <c r="F2020" s="16">
        <v>42850.4701273148</v>
      </c>
      <c r="G2020" s="15" t="s">
        <v>5321</v>
      </c>
      <c r="H2020" s="15" t="s">
        <v>5322</v>
      </c>
      <c r="I2020" s="15">
        <v>0</v>
      </c>
      <c r="J2020" s="15">
        <v>0</v>
      </c>
      <c r="K2020" s="15">
        <v>0</v>
      </c>
      <c r="L2020" s="20">
        <v>0</v>
      </c>
      <c r="M2020" s="15">
        <v>0</v>
      </c>
      <c r="N2020" s="15">
        <v>0</v>
      </c>
      <c r="O2020" s="15">
        <v>0</v>
      </c>
      <c r="P2020" s="15">
        <v>0</v>
      </c>
      <c r="Q2020" s="15">
        <v>0</v>
      </c>
      <c r="R2020" s="15">
        <v>0</v>
      </c>
      <c r="S2020" s="15">
        <v>0</v>
      </c>
      <c r="T2020" s="15">
        <v>0</v>
      </c>
      <c r="U2020" s="15">
        <v>0</v>
      </c>
      <c r="V2020" s="15">
        <v>0</v>
      </c>
      <c r="W2020" s="15">
        <v>0</v>
      </c>
      <c r="X2020" s="15">
        <v>0</v>
      </c>
      <c r="Y2020" s="15">
        <v>0</v>
      </c>
      <c r="Z2020" s="15">
        <v>0</v>
      </c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/>
      <c r="AM2020" s="15"/>
      <c r="AN2020" s="15"/>
      <c r="AO2020" s="15"/>
      <c r="AP2020" s="15"/>
      <c r="AQ2020" s="15"/>
    </row>
    <row r="2021" spans="1:43">
      <c r="A2021" s="15" t="s">
        <v>49</v>
      </c>
      <c r="B2021" s="15" t="s">
        <v>50</v>
      </c>
      <c r="C2021" s="15" t="s">
        <v>75</v>
      </c>
      <c r="D2021" s="15" t="s">
        <v>5323</v>
      </c>
      <c r="E2021" s="15" t="s">
        <v>5324</v>
      </c>
      <c r="F2021" s="16">
        <v>44992.6343518519</v>
      </c>
      <c r="G2021" s="15" t="s">
        <v>5324</v>
      </c>
      <c r="H2021" s="15" t="s">
        <v>5325</v>
      </c>
      <c r="I2021" s="15">
        <v>0</v>
      </c>
      <c r="J2021" s="15">
        <v>0</v>
      </c>
      <c r="K2021" s="15">
        <v>0</v>
      </c>
      <c r="L2021" s="20">
        <v>0</v>
      </c>
      <c r="M2021" s="15">
        <v>0</v>
      </c>
      <c r="N2021" s="15">
        <v>0</v>
      </c>
      <c r="O2021" s="15">
        <v>0</v>
      </c>
      <c r="P2021" s="15">
        <v>0</v>
      </c>
      <c r="Q2021" s="15">
        <v>0</v>
      </c>
      <c r="R2021" s="15">
        <v>0</v>
      </c>
      <c r="S2021" s="15">
        <v>0</v>
      </c>
      <c r="T2021" s="15">
        <v>0</v>
      </c>
      <c r="U2021" s="15">
        <v>0</v>
      </c>
      <c r="V2021" s="15">
        <v>0</v>
      </c>
      <c r="W2021" s="15">
        <v>0</v>
      </c>
      <c r="X2021" s="15">
        <v>0</v>
      </c>
      <c r="Y2021" s="15">
        <v>0</v>
      </c>
      <c r="Z2021" s="15">
        <v>0</v>
      </c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</row>
    <row r="2022" spans="1:43">
      <c r="A2022" s="15" t="s">
        <v>64</v>
      </c>
      <c r="B2022" s="15" t="s">
        <v>118</v>
      </c>
      <c r="C2022" s="15" t="s">
        <v>119</v>
      </c>
      <c r="D2022" s="15" t="s">
        <v>5326</v>
      </c>
      <c r="E2022" s="15" t="s">
        <v>5327</v>
      </c>
      <c r="F2022" s="16">
        <v>45010.468275463</v>
      </c>
      <c r="G2022" s="15" t="s">
        <v>5327</v>
      </c>
      <c r="H2022" s="15" t="s">
        <v>54</v>
      </c>
      <c r="I2022" s="15">
        <v>1059.04</v>
      </c>
      <c r="J2022" s="15">
        <v>13</v>
      </c>
      <c r="K2022" s="15">
        <v>81.4646153846154</v>
      </c>
      <c r="L2022" s="20">
        <v>1.16378021978022</v>
      </c>
      <c r="M2022" s="15">
        <v>94.86</v>
      </c>
      <c r="N2022" s="15">
        <v>108.49</v>
      </c>
      <c r="O2022" s="15">
        <v>95.63</v>
      </c>
      <c r="P2022" s="15">
        <v>232.43</v>
      </c>
      <c r="Q2022" s="15">
        <v>37.04</v>
      </c>
      <c r="R2022" s="15">
        <v>47.54</v>
      </c>
      <c r="S2022" s="15">
        <v>0</v>
      </c>
      <c r="T2022" s="15">
        <v>201.7</v>
      </c>
      <c r="U2022" s="15">
        <v>224.64</v>
      </c>
      <c r="V2022" s="15">
        <v>1.33</v>
      </c>
      <c r="W2022" s="15">
        <v>7.31</v>
      </c>
      <c r="X2022" s="15">
        <v>6.32</v>
      </c>
      <c r="Y2022" s="15">
        <v>1.02</v>
      </c>
      <c r="Z2022" s="15">
        <v>0.73</v>
      </c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</row>
    <row r="2023" spans="1:43">
      <c r="A2023" s="15" t="s">
        <v>49</v>
      </c>
      <c r="B2023" s="15" t="s">
        <v>50</v>
      </c>
      <c r="C2023" s="15" t="s">
        <v>61</v>
      </c>
      <c r="D2023" s="15" t="s">
        <v>5328</v>
      </c>
      <c r="E2023" s="15" t="s">
        <v>2984</v>
      </c>
      <c r="F2023" s="16">
        <v>0</v>
      </c>
      <c r="G2023" s="15" t="s">
        <v>2984</v>
      </c>
      <c r="H2023" s="15" t="s">
        <v>54</v>
      </c>
      <c r="I2023" s="15">
        <v>0</v>
      </c>
      <c r="J2023" s="15">
        <v>0</v>
      </c>
      <c r="K2023" s="15">
        <v>0</v>
      </c>
      <c r="L2023" s="20">
        <v>0</v>
      </c>
      <c r="M2023" s="15">
        <v>0</v>
      </c>
      <c r="N2023" s="15">
        <v>0</v>
      </c>
      <c r="O2023" s="15">
        <v>0</v>
      </c>
      <c r="P2023" s="15">
        <v>0</v>
      </c>
      <c r="Q2023" s="15">
        <v>0</v>
      </c>
      <c r="R2023" s="15">
        <v>0</v>
      </c>
      <c r="S2023" s="15">
        <v>0</v>
      </c>
      <c r="T2023" s="15">
        <v>0</v>
      </c>
      <c r="U2023" s="15">
        <v>0</v>
      </c>
      <c r="V2023" s="15">
        <v>0</v>
      </c>
      <c r="W2023" s="15">
        <v>0</v>
      </c>
      <c r="X2023" s="15">
        <v>0</v>
      </c>
      <c r="Y2023" s="15">
        <v>0</v>
      </c>
      <c r="Z2023" s="15">
        <v>0</v>
      </c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</row>
    <row r="2024" spans="1:43">
      <c r="A2024" s="15" t="s">
        <v>43</v>
      </c>
      <c r="B2024" s="15" t="s">
        <v>44</v>
      </c>
      <c r="C2024" s="15" t="s">
        <v>45</v>
      </c>
      <c r="D2024" s="15" t="s">
        <v>5329</v>
      </c>
      <c r="E2024" s="15" t="s">
        <v>5330</v>
      </c>
      <c r="F2024" s="16">
        <v>43081.3834490741</v>
      </c>
      <c r="G2024" s="15" t="s">
        <v>5330</v>
      </c>
      <c r="H2024" s="15" t="s">
        <v>5331</v>
      </c>
      <c r="I2024" s="15">
        <v>0</v>
      </c>
      <c r="J2024" s="15">
        <v>0</v>
      </c>
      <c r="K2024" s="15">
        <v>0</v>
      </c>
      <c r="L2024" s="20">
        <v>0</v>
      </c>
      <c r="M2024" s="15">
        <v>0</v>
      </c>
      <c r="N2024" s="15">
        <v>0</v>
      </c>
      <c r="O2024" s="15">
        <v>0</v>
      </c>
      <c r="P2024" s="15">
        <v>0</v>
      </c>
      <c r="Q2024" s="15">
        <v>0</v>
      </c>
      <c r="R2024" s="15">
        <v>0</v>
      </c>
      <c r="S2024" s="15">
        <v>0</v>
      </c>
      <c r="T2024" s="15">
        <v>0</v>
      </c>
      <c r="U2024" s="15">
        <v>0</v>
      </c>
      <c r="V2024" s="15">
        <v>0</v>
      </c>
      <c r="W2024" s="15">
        <v>0</v>
      </c>
      <c r="X2024" s="15">
        <v>0</v>
      </c>
      <c r="Y2024" s="15">
        <v>0</v>
      </c>
      <c r="Z2024" s="15">
        <v>0</v>
      </c>
      <c r="AA2024" s="15"/>
      <c r="AB2024" s="15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</row>
    <row r="2025" spans="1:43">
      <c r="A2025" s="15" t="s">
        <v>49</v>
      </c>
      <c r="B2025" s="15" t="s">
        <v>50</v>
      </c>
      <c r="C2025" s="15" t="s">
        <v>61</v>
      </c>
      <c r="D2025" s="15" t="s">
        <v>5332</v>
      </c>
      <c r="E2025" s="15" t="s">
        <v>4188</v>
      </c>
      <c r="F2025" s="16">
        <v>44131.6928356482</v>
      </c>
      <c r="G2025" s="15" t="s">
        <v>4188</v>
      </c>
      <c r="H2025" s="15" t="s">
        <v>54</v>
      </c>
      <c r="I2025" s="15">
        <v>0</v>
      </c>
      <c r="J2025" s="15">
        <v>0</v>
      </c>
      <c r="K2025" s="15">
        <v>0</v>
      </c>
      <c r="L2025" s="20">
        <v>0</v>
      </c>
      <c r="M2025" s="15">
        <v>0</v>
      </c>
      <c r="N2025" s="15">
        <v>0</v>
      </c>
      <c r="O2025" s="15">
        <v>0</v>
      </c>
      <c r="P2025" s="15">
        <v>0</v>
      </c>
      <c r="Q2025" s="15">
        <v>0</v>
      </c>
      <c r="R2025" s="15">
        <v>0</v>
      </c>
      <c r="S2025" s="15">
        <v>0</v>
      </c>
      <c r="T2025" s="15">
        <v>0</v>
      </c>
      <c r="U2025" s="15">
        <v>0</v>
      </c>
      <c r="V2025" s="15">
        <v>0</v>
      </c>
      <c r="W2025" s="15">
        <v>0</v>
      </c>
      <c r="X2025" s="15">
        <v>0</v>
      </c>
      <c r="Y2025" s="15">
        <v>0</v>
      </c>
      <c r="Z2025" s="15">
        <v>0</v>
      </c>
      <c r="AA2025" s="15"/>
      <c r="AB2025" s="15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/>
      <c r="AM2025" s="15"/>
      <c r="AN2025" s="15"/>
      <c r="AO2025" s="15"/>
      <c r="AP2025" s="15"/>
      <c r="AQ2025" s="15"/>
    </row>
    <row r="2026" spans="1:43">
      <c r="A2026" s="15" t="s">
        <v>49</v>
      </c>
      <c r="B2026" s="15" t="s">
        <v>50</v>
      </c>
      <c r="C2026" s="15" t="s">
        <v>61</v>
      </c>
      <c r="D2026" s="15" t="s">
        <v>5333</v>
      </c>
      <c r="E2026" s="15" t="s">
        <v>1350</v>
      </c>
      <c r="F2026" s="16">
        <v>0</v>
      </c>
      <c r="G2026" s="15" t="s">
        <v>1350</v>
      </c>
      <c r="H2026" s="15" t="s">
        <v>54</v>
      </c>
      <c r="I2026" s="15">
        <v>0</v>
      </c>
      <c r="J2026" s="15">
        <v>0</v>
      </c>
      <c r="K2026" s="15">
        <v>0</v>
      </c>
      <c r="L2026" s="20">
        <v>0</v>
      </c>
      <c r="M2026" s="15">
        <v>0</v>
      </c>
      <c r="N2026" s="15">
        <v>0</v>
      </c>
      <c r="O2026" s="15">
        <v>0</v>
      </c>
      <c r="P2026" s="15">
        <v>0</v>
      </c>
      <c r="Q2026" s="15">
        <v>0</v>
      </c>
      <c r="R2026" s="15">
        <v>0</v>
      </c>
      <c r="S2026" s="15">
        <v>0</v>
      </c>
      <c r="T2026" s="15">
        <v>0</v>
      </c>
      <c r="U2026" s="15">
        <v>0</v>
      </c>
      <c r="V2026" s="15">
        <v>0</v>
      </c>
      <c r="W2026" s="15">
        <v>0</v>
      </c>
      <c r="X2026" s="15">
        <v>0</v>
      </c>
      <c r="Y2026" s="15">
        <v>0</v>
      </c>
      <c r="Z2026" s="15">
        <v>0</v>
      </c>
      <c r="AA2026" s="15"/>
      <c r="AB2026" s="15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/>
      <c r="AM2026" s="15"/>
      <c r="AN2026" s="15"/>
      <c r="AO2026" s="15"/>
      <c r="AP2026" s="15"/>
      <c r="AQ2026" s="15"/>
    </row>
    <row r="2027" spans="1:43">
      <c r="A2027" s="15" t="s">
        <v>43</v>
      </c>
      <c r="B2027" s="15" t="s">
        <v>44</v>
      </c>
      <c r="C2027" s="15" t="s">
        <v>45</v>
      </c>
      <c r="D2027" s="15" t="s">
        <v>5334</v>
      </c>
      <c r="E2027" s="15" t="s">
        <v>5335</v>
      </c>
      <c r="F2027" s="16">
        <v>42156.7210416667</v>
      </c>
      <c r="G2027" s="15" t="s">
        <v>5335</v>
      </c>
      <c r="H2027" s="15" t="s">
        <v>5336</v>
      </c>
      <c r="I2027" s="15">
        <v>0</v>
      </c>
      <c r="J2027" s="15">
        <v>0</v>
      </c>
      <c r="K2027" s="15">
        <v>0</v>
      </c>
      <c r="L2027" s="20">
        <v>0</v>
      </c>
      <c r="M2027" s="15">
        <v>0</v>
      </c>
      <c r="N2027" s="15">
        <v>0</v>
      </c>
      <c r="O2027" s="15">
        <v>0</v>
      </c>
      <c r="P2027" s="15">
        <v>0</v>
      </c>
      <c r="Q2027" s="15">
        <v>0</v>
      </c>
      <c r="R2027" s="15">
        <v>0</v>
      </c>
      <c r="S2027" s="15">
        <v>0</v>
      </c>
      <c r="T2027" s="15">
        <v>0</v>
      </c>
      <c r="U2027" s="15">
        <v>0</v>
      </c>
      <c r="V2027" s="15">
        <v>0</v>
      </c>
      <c r="W2027" s="15">
        <v>0</v>
      </c>
      <c r="X2027" s="15">
        <v>0</v>
      </c>
      <c r="Y2027" s="15">
        <v>0</v>
      </c>
      <c r="Z2027" s="15">
        <v>0</v>
      </c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</row>
    <row r="2028" spans="1:43">
      <c r="A2028" s="15" t="s">
        <v>43</v>
      </c>
      <c r="B2028" s="15" t="s">
        <v>44</v>
      </c>
      <c r="C2028" s="15" t="s">
        <v>45</v>
      </c>
      <c r="D2028" s="15" t="s">
        <v>5337</v>
      </c>
      <c r="E2028" s="15" t="s">
        <v>5338</v>
      </c>
      <c r="F2028" s="16">
        <v>41815.4548842593</v>
      </c>
      <c r="G2028" s="15" t="s">
        <v>5338</v>
      </c>
      <c r="H2028" s="15" t="s">
        <v>5339</v>
      </c>
      <c r="I2028" s="15">
        <v>0</v>
      </c>
      <c r="J2028" s="15">
        <v>0</v>
      </c>
      <c r="K2028" s="15">
        <v>0</v>
      </c>
      <c r="L2028" s="20">
        <v>0</v>
      </c>
      <c r="M2028" s="15">
        <v>0</v>
      </c>
      <c r="N2028" s="15">
        <v>0</v>
      </c>
      <c r="O2028" s="15">
        <v>0</v>
      </c>
      <c r="P2028" s="15">
        <v>0</v>
      </c>
      <c r="Q2028" s="15">
        <v>0</v>
      </c>
      <c r="R2028" s="15">
        <v>0</v>
      </c>
      <c r="S2028" s="15">
        <v>0</v>
      </c>
      <c r="T2028" s="15">
        <v>0</v>
      </c>
      <c r="U2028" s="15">
        <v>0</v>
      </c>
      <c r="V2028" s="15">
        <v>0</v>
      </c>
      <c r="W2028" s="15">
        <v>0</v>
      </c>
      <c r="X2028" s="15">
        <v>0</v>
      </c>
      <c r="Y2028" s="15">
        <v>0</v>
      </c>
      <c r="Z2028" s="15">
        <v>0</v>
      </c>
      <c r="AA2028" s="15"/>
      <c r="AB2028" s="15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</row>
    <row r="2029" spans="1:43">
      <c r="A2029" s="15" t="s">
        <v>49</v>
      </c>
      <c r="B2029" s="15" t="s">
        <v>50</v>
      </c>
      <c r="C2029" s="15" t="s">
        <v>61</v>
      </c>
      <c r="D2029" s="15" t="s">
        <v>5340</v>
      </c>
      <c r="E2029" s="15" t="s">
        <v>5341</v>
      </c>
      <c r="F2029" s="16">
        <v>0</v>
      </c>
      <c r="G2029" s="15" t="s">
        <v>5341</v>
      </c>
      <c r="H2029" s="15" t="s">
        <v>5342</v>
      </c>
      <c r="I2029" s="15">
        <v>0</v>
      </c>
      <c r="J2029" s="15">
        <v>0</v>
      </c>
      <c r="K2029" s="15">
        <v>0</v>
      </c>
      <c r="L2029" s="20">
        <v>0</v>
      </c>
      <c r="M2029" s="15">
        <v>0</v>
      </c>
      <c r="N2029" s="15">
        <v>0</v>
      </c>
      <c r="O2029" s="15">
        <v>0</v>
      </c>
      <c r="P2029" s="15">
        <v>0</v>
      </c>
      <c r="Q2029" s="15">
        <v>0</v>
      </c>
      <c r="R2029" s="15">
        <v>0</v>
      </c>
      <c r="S2029" s="15">
        <v>0</v>
      </c>
      <c r="T2029" s="15">
        <v>0</v>
      </c>
      <c r="U2029" s="15">
        <v>0</v>
      </c>
      <c r="V2029" s="15">
        <v>0</v>
      </c>
      <c r="W2029" s="15">
        <v>0</v>
      </c>
      <c r="X2029" s="15">
        <v>0</v>
      </c>
      <c r="Y2029" s="15">
        <v>0</v>
      </c>
      <c r="Z2029" s="15">
        <v>0</v>
      </c>
      <c r="AA2029" s="15"/>
      <c r="AB2029" s="15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</row>
    <row r="2030" spans="1:43">
      <c r="A2030" s="15" t="s">
        <v>43</v>
      </c>
      <c r="B2030" s="15" t="s">
        <v>44</v>
      </c>
      <c r="C2030" s="15" t="s">
        <v>45</v>
      </c>
      <c r="D2030" s="15" t="s">
        <v>5343</v>
      </c>
      <c r="E2030" s="15" t="s">
        <v>5344</v>
      </c>
      <c r="F2030" s="16">
        <v>42360.7090856481</v>
      </c>
      <c r="G2030" s="15" t="s">
        <v>5344</v>
      </c>
      <c r="H2030" s="15" t="s">
        <v>885</v>
      </c>
      <c r="I2030" s="15">
        <v>0</v>
      </c>
      <c r="J2030" s="15">
        <v>0</v>
      </c>
      <c r="K2030" s="15">
        <v>0</v>
      </c>
      <c r="L2030" s="20">
        <v>0</v>
      </c>
      <c r="M2030" s="15">
        <v>0</v>
      </c>
      <c r="N2030" s="15">
        <v>0</v>
      </c>
      <c r="O2030" s="15">
        <v>0</v>
      </c>
      <c r="P2030" s="15">
        <v>0</v>
      </c>
      <c r="Q2030" s="15">
        <v>0</v>
      </c>
      <c r="R2030" s="15">
        <v>0</v>
      </c>
      <c r="S2030" s="15">
        <v>0</v>
      </c>
      <c r="T2030" s="15">
        <v>0</v>
      </c>
      <c r="U2030" s="15">
        <v>0</v>
      </c>
      <c r="V2030" s="15">
        <v>0</v>
      </c>
      <c r="W2030" s="15">
        <v>0</v>
      </c>
      <c r="X2030" s="15">
        <v>0</v>
      </c>
      <c r="Y2030" s="15">
        <v>0</v>
      </c>
      <c r="Z2030" s="15">
        <v>0</v>
      </c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</row>
    <row r="2031" spans="1:43">
      <c r="A2031" s="15" t="s">
        <v>43</v>
      </c>
      <c r="B2031" s="15" t="s">
        <v>44</v>
      </c>
      <c r="C2031" s="15" t="s">
        <v>45</v>
      </c>
      <c r="D2031" s="15" t="s">
        <v>5345</v>
      </c>
      <c r="E2031" s="15" t="s">
        <v>5346</v>
      </c>
      <c r="F2031" s="16">
        <v>43180.4071990741</v>
      </c>
      <c r="G2031" s="15" t="s">
        <v>5346</v>
      </c>
      <c r="H2031" s="15" t="s">
        <v>5347</v>
      </c>
      <c r="I2031" s="15">
        <v>0</v>
      </c>
      <c r="J2031" s="15">
        <v>0</v>
      </c>
      <c r="K2031" s="15">
        <v>0</v>
      </c>
      <c r="L2031" s="20">
        <v>0</v>
      </c>
      <c r="M2031" s="15">
        <v>0</v>
      </c>
      <c r="N2031" s="15">
        <v>0</v>
      </c>
      <c r="O2031" s="15">
        <v>0</v>
      </c>
      <c r="P2031" s="15">
        <v>0</v>
      </c>
      <c r="Q2031" s="15">
        <v>0</v>
      </c>
      <c r="R2031" s="15">
        <v>0</v>
      </c>
      <c r="S2031" s="15">
        <v>0</v>
      </c>
      <c r="T2031" s="15">
        <v>0</v>
      </c>
      <c r="U2031" s="15">
        <v>0</v>
      </c>
      <c r="V2031" s="15">
        <v>0</v>
      </c>
      <c r="W2031" s="15">
        <v>0</v>
      </c>
      <c r="X2031" s="15">
        <v>0</v>
      </c>
      <c r="Y2031" s="15">
        <v>0</v>
      </c>
      <c r="Z2031" s="15">
        <v>0</v>
      </c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</row>
    <row r="2032" spans="1:43">
      <c r="A2032" s="15" t="s">
        <v>43</v>
      </c>
      <c r="B2032" s="15" t="s">
        <v>44</v>
      </c>
      <c r="C2032" s="15" t="s">
        <v>440</v>
      </c>
      <c r="D2032" s="15" t="s">
        <v>5348</v>
      </c>
      <c r="E2032" s="15" t="s">
        <v>5349</v>
      </c>
      <c r="F2032" s="16">
        <v>45124.482662037</v>
      </c>
      <c r="G2032" s="15" t="s">
        <v>5349</v>
      </c>
      <c r="H2032" s="15" t="s">
        <v>54</v>
      </c>
      <c r="I2032" s="15">
        <v>0</v>
      </c>
      <c r="J2032" s="15">
        <v>0</v>
      </c>
      <c r="K2032" s="15">
        <v>0</v>
      </c>
      <c r="L2032" s="20">
        <v>0</v>
      </c>
      <c r="M2032" s="15">
        <v>0</v>
      </c>
      <c r="N2032" s="15">
        <v>0</v>
      </c>
      <c r="O2032" s="15">
        <v>0</v>
      </c>
      <c r="P2032" s="15">
        <v>0</v>
      </c>
      <c r="Q2032" s="15">
        <v>0</v>
      </c>
      <c r="R2032" s="15">
        <v>0</v>
      </c>
      <c r="S2032" s="15">
        <v>0</v>
      </c>
      <c r="T2032" s="15">
        <v>0</v>
      </c>
      <c r="U2032" s="15">
        <v>0</v>
      </c>
      <c r="V2032" s="15">
        <v>0</v>
      </c>
      <c r="W2032" s="15">
        <v>0</v>
      </c>
      <c r="X2032" s="15">
        <v>0</v>
      </c>
      <c r="Y2032" s="15">
        <v>0</v>
      </c>
      <c r="Z2032" s="15">
        <v>0</v>
      </c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</row>
    <row r="2033" spans="1:43">
      <c r="A2033" s="15" t="s">
        <v>43</v>
      </c>
      <c r="B2033" s="15" t="s">
        <v>44</v>
      </c>
      <c r="C2033" s="15" t="s">
        <v>45</v>
      </c>
      <c r="D2033" s="15" t="s">
        <v>5350</v>
      </c>
      <c r="E2033" s="15" t="s">
        <v>5351</v>
      </c>
      <c r="F2033" s="16">
        <v>41690.6657986111</v>
      </c>
      <c r="G2033" s="15" t="s">
        <v>5351</v>
      </c>
      <c r="H2033" s="15" t="s">
        <v>54</v>
      </c>
      <c r="I2033" s="15">
        <v>0</v>
      </c>
      <c r="J2033" s="15">
        <v>0</v>
      </c>
      <c r="K2033" s="15">
        <v>0</v>
      </c>
      <c r="L2033" s="20">
        <v>0</v>
      </c>
      <c r="M2033" s="15">
        <v>0</v>
      </c>
      <c r="N2033" s="15">
        <v>0</v>
      </c>
      <c r="O2033" s="15">
        <v>0</v>
      </c>
      <c r="P2033" s="15">
        <v>0</v>
      </c>
      <c r="Q2033" s="15">
        <v>0</v>
      </c>
      <c r="R2033" s="15">
        <v>0</v>
      </c>
      <c r="S2033" s="15">
        <v>0</v>
      </c>
      <c r="T2033" s="15">
        <v>0</v>
      </c>
      <c r="U2033" s="15">
        <v>0</v>
      </c>
      <c r="V2033" s="15">
        <v>0</v>
      </c>
      <c r="W2033" s="15">
        <v>0</v>
      </c>
      <c r="X2033" s="15">
        <v>0</v>
      </c>
      <c r="Y2033" s="15">
        <v>0</v>
      </c>
      <c r="Z2033" s="15">
        <v>0</v>
      </c>
      <c r="AA2033" s="15"/>
      <c r="AB2033" s="15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</row>
    <row r="2034" spans="1:43">
      <c r="A2034" s="15" t="s">
        <v>64</v>
      </c>
      <c r="B2034" s="15" t="s">
        <v>65</v>
      </c>
      <c r="C2034" s="15" t="s">
        <v>78</v>
      </c>
      <c r="D2034" s="15" t="s">
        <v>5352</v>
      </c>
      <c r="E2034" s="15" t="s">
        <v>3391</v>
      </c>
      <c r="F2034" s="16">
        <v>44613.4703587963</v>
      </c>
      <c r="G2034" s="15" t="s">
        <v>3391</v>
      </c>
      <c r="H2034" s="15" t="s">
        <v>3392</v>
      </c>
      <c r="I2034" s="15">
        <v>0</v>
      </c>
      <c r="J2034" s="15">
        <v>0</v>
      </c>
      <c r="K2034" s="15">
        <v>0</v>
      </c>
      <c r="L2034" s="20">
        <v>0</v>
      </c>
      <c r="M2034" s="15">
        <v>0</v>
      </c>
      <c r="N2034" s="15">
        <v>0</v>
      </c>
      <c r="O2034" s="15">
        <v>0</v>
      </c>
      <c r="P2034" s="15">
        <v>0</v>
      </c>
      <c r="Q2034" s="15">
        <v>0</v>
      </c>
      <c r="R2034" s="15">
        <v>0</v>
      </c>
      <c r="S2034" s="15">
        <v>0</v>
      </c>
      <c r="T2034" s="15">
        <v>0</v>
      </c>
      <c r="U2034" s="15">
        <v>0</v>
      </c>
      <c r="V2034" s="15">
        <v>0</v>
      </c>
      <c r="W2034" s="15">
        <v>0</v>
      </c>
      <c r="X2034" s="15">
        <v>0</v>
      </c>
      <c r="Y2034" s="15">
        <v>0</v>
      </c>
      <c r="Z2034" s="15">
        <v>0</v>
      </c>
      <c r="AA2034" s="15"/>
      <c r="AB2034" s="15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/>
      <c r="AM2034" s="15"/>
      <c r="AN2034" s="15"/>
      <c r="AO2034" s="15"/>
      <c r="AP2034" s="15"/>
      <c r="AQ2034" s="15"/>
    </row>
    <row r="2035" spans="1:43">
      <c r="A2035" s="15" t="s">
        <v>49</v>
      </c>
      <c r="B2035" s="15" t="s">
        <v>50</v>
      </c>
      <c r="C2035" s="15" t="s">
        <v>61</v>
      </c>
      <c r="D2035" s="15" t="s">
        <v>5353</v>
      </c>
      <c r="E2035" s="15" t="s">
        <v>1816</v>
      </c>
      <c r="F2035" s="16">
        <v>0</v>
      </c>
      <c r="G2035" s="15" t="s">
        <v>1816</v>
      </c>
      <c r="H2035" s="15" t="s">
        <v>54</v>
      </c>
      <c r="I2035" s="15">
        <v>0</v>
      </c>
      <c r="J2035" s="15">
        <v>0</v>
      </c>
      <c r="K2035" s="15">
        <v>0</v>
      </c>
      <c r="L2035" s="20">
        <v>0</v>
      </c>
      <c r="M2035" s="15">
        <v>0</v>
      </c>
      <c r="N2035" s="15">
        <v>0</v>
      </c>
      <c r="O2035" s="15">
        <v>0</v>
      </c>
      <c r="P2035" s="15">
        <v>0</v>
      </c>
      <c r="Q2035" s="15">
        <v>0</v>
      </c>
      <c r="R2035" s="15">
        <v>0</v>
      </c>
      <c r="S2035" s="15">
        <v>0</v>
      </c>
      <c r="T2035" s="15">
        <v>0</v>
      </c>
      <c r="U2035" s="15">
        <v>0</v>
      </c>
      <c r="V2035" s="15">
        <v>0</v>
      </c>
      <c r="W2035" s="15">
        <v>0</v>
      </c>
      <c r="X2035" s="15">
        <v>0</v>
      </c>
      <c r="Y2035" s="15">
        <v>0</v>
      </c>
      <c r="Z2035" s="15">
        <v>0</v>
      </c>
      <c r="AA2035" s="15"/>
      <c r="AB2035" s="15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</row>
    <row r="2036" spans="1:43">
      <c r="A2036" s="15" t="s">
        <v>49</v>
      </c>
      <c r="B2036" s="15" t="s">
        <v>50</v>
      </c>
      <c r="C2036" s="15" t="s">
        <v>61</v>
      </c>
      <c r="D2036" s="15" t="s">
        <v>5354</v>
      </c>
      <c r="E2036" s="15" t="s">
        <v>5355</v>
      </c>
      <c r="F2036" s="16">
        <v>0</v>
      </c>
      <c r="G2036" s="15" t="s">
        <v>5355</v>
      </c>
      <c r="H2036" s="15" t="s">
        <v>5356</v>
      </c>
      <c r="I2036" s="15">
        <v>0</v>
      </c>
      <c r="J2036" s="15">
        <v>0</v>
      </c>
      <c r="K2036" s="15">
        <v>0</v>
      </c>
      <c r="L2036" s="20">
        <v>0</v>
      </c>
      <c r="M2036" s="15">
        <v>0</v>
      </c>
      <c r="N2036" s="15">
        <v>0</v>
      </c>
      <c r="O2036" s="15">
        <v>0</v>
      </c>
      <c r="P2036" s="15">
        <v>0</v>
      </c>
      <c r="Q2036" s="15">
        <v>0</v>
      </c>
      <c r="R2036" s="15">
        <v>0</v>
      </c>
      <c r="S2036" s="15">
        <v>0</v>
      </c>
      <c r="T2036" s="15">
        <v>0</v>
      </c>
      <c r="U2036" s="15">
        <v>0</v>
      </c>
      <c r="V2036" s="15">
        <v>0</v>
      </c>
      <c r="W2036" s="15">
        <v>0</v>
      </c>
      <c r="X2036" s="15">
        <v>0</v>
      </c>
      <c r="Y2036" s="15">
        <v>0</v>
      </c>
      <c r="Z2036" s="15">
        <v>0</v>
      </c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</row>
    <row r="2037" spans="1:43">
      <c r="A2037" s="15" t="s">
        <v>43</v>
      </c>
      <c r="B2037" s="15" t="s">
        <v>44</v>
      </c>
      <c r="C2037" s="15" t="s">
        <v>45</v>
      </c>
      <c r="D2037" s="15" t="s">
        <v>5357</v>
      </c>
      <c r="E2037" s="15" t="s">
        <v>5358</v>
      </c>
      <c r="F2037" s="16">
        <v>42224.3968171296</v>
      </c>
      <c r="G2037" s="15" t="s">
        <v>5358</v>
      </c>
      <c r="H2037" s="15" t="s">
        <v>5359</v>
      </c>
      <c r="I2037" s="15">
        <v>0</v>
      </c>
      <c r="J2037" s="15">
        <v>0</v>
      </c>
      <c r="K2037" s="15">
        <v>0</v>
      </c>
      <c r="L2037" s="20">
        <v>0</v>
      </c>
      <c r="M2037" s="15">
        <v>0</v>
      </c>
      <c r="N2037" s="15">
        <v>0</v>
      </c>
      <c r="O2037" s="15">
        <v>0</v>
      </c>
      <c r="P2037" s="15">
        <v>0</v>
      </c>
      <c r="Q2037" s="15">
        <v>0</v>
      </c>
      <c r="R2037" s="15">
        <v>0</v>
      </c>
      <c r="S2037" s="15">
        <v>0</v>
      </c>
      <c r="T2037" s="15">
        <v>0</v>
      </c>
      <c r="U2037" s="15">
        <v>0</v>
      </c>
      <c r="V2037" s="15">
        <v>0</v>
      </c>
      <c r="W2037" s="15">
        <v>0</v>
      </c>
      <c r="X2037" s="15">
        <v>0</v>
      </c>
      <c r="Y2037" s="15">
        <v>0</v>
      </c>
      <c r="Z2037" s="15">
        <v>0</v>
      </c>
      <c r="AA2037" s="15"/>
      <c r="AB2037" s="15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/>
      <c r="AM2037" s="15"/>
      <c r="AN2037" s="15"/>
      <c r="AO2037" s="15"/>
      <c r="AP2037" s="15"/>
      <c r="AQ2037" s="15"/>
    </row>
    <row r="2038" spans="1:43">
      <c r="A2038" s="15" t="s">
        <v>43</v>
      </c>
      <c r="B2038" s="15" t="s">
        <v>44</v>
      </c>
      <c r="C2038" s="15" t="s">
        <v>45</v>
      </c>
      <c r="D2038" s="15" t="s">
        <v>5360</v>
      </c>
      <c r="E2038" s="15" t="s">
        <v>5361</v>
      </c>
      <c r="F2038" s="16">
        <v>43535.6391782407</v>
      </c>
      <c r="G2038" s="15" t="s">
        <v>5361</v>
      </c>
      <c r="H2038" s="15" t="s">
        <v>5362</v>
      </c>
      <c r="I2038" s="15">
        <v>0</v>
      </c>
      <c r="J2038" s="15">
        <v>0</v>
      </c>
      <c r="K2038" s="15">
        <v>0</v>
      </c>
      <c r="L2038" s="20">
        <v>0</v>
      </c>
      <c r="M2038" s="15">
        <v>0</v>
      </c>
      <c r="N2038" s="15">
        <v>0</v>
      </c>
      <c r="O2038" s="15">
        <v>0</v>
      </c>
      <c r="P2038" s="15">
        <v>0</v>
      </c>
      <c r="Q2038" s="15">
        <v>0</v>
      </c>
      <c r="R2038" s="15">
        <v>0</v>
      </c>
      <c r="S2038" s="15">
        <v>0</v>
      </c>
      <c r="T2038" s="15">
        <v>0</v>
      </c>
      <c r="U2038" s="15">
        <v>0</v>
      </c>
      <c r="V2038" s="15">
        <v>0</v>
      </c>
      <c r="W2038" s="15">
        <v>0</v>
      </c>
      <c r="X2038" s="15">
        <v>0</v>
      </c>
      <c r="Y2038" s="15">
        <v>0</v>
      </c>
      <c r="Z2038" s="15">
        <v>0</v>
      </c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</row>
    <row r="2039" spans="1:43">
      <c r="A2039" s="15" t="s">
        <v>43</v>
      </c>
      <c r="B2039" s="15" t="s">
        <v>44</v>
      </c>
      <c r="C2039" s="15" t="s">
        <v>45</v>
      </c>
      <c r="D2039" s="15" t="s">
        <v>5363</v>
      </c>
      <c r="E2039" s="15" t="s">
        <v>5364</v>
      </c>
      <c r="F2039" s="16">
        <v>42814.6366666667</v>
      </c>
      <c r="G2039" s="15" t="s">
        <v>5364</v>
      </c>
      <c r="H2039" s="15" t="s">
        <v>5365</v>
      </c>
      <c r="I2039" s="15">
        <v>0</v>
      </c>
      <c r="J2039" s="15">
        <v>0</v>
      </c>
      <c r="K2039" s="15">
        <v>0</v>
      </c>
      <c r="L2039" s="20">
        <v>0</v>
      </c>
      <c r="M2039" s="15">
        <v>0</v>
      </c>
      <c r="N2039" s="15">
        <v>0</v>
      </c>
      <c r="O2039" s="15">
        <v>0</v>
      </c>
      <c r="P2039" s="15">
        <v>0</v>
      </c>
      <c r="Q2039" s="15">
        <v>0</v>
      </c>
      <c r="R2039" s="15">
        <v>0</v>
      </c>
      <c r="S2039" s="15">
        <v>0</v>
      </c>
      <c r="T2039" s="15">
        <v>0</v>
      </c>
      <c r="U2039" s="15">
        <v>0</v>
      </c>
      <c r="V2039" s="15">
        <v>0</v>
      </c>
      <c r="W2039" s="15">
        <v>0</v>
      </c>
      <c r="X2039" s="15">
        <v>0</v>
      </c>
      <c r="Y2039" s="15">
        <v>0</v>
      </c>
      <c r="Z2039" s="15">
        <v>0</v>
      </c>
      <c r="AA2039" s="15"/>
      <c r="AB2039" s="15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/>
      <c r="AM2039" s="15"/>
      <c r="AN2039" s="15"/>
      <c r="AO2039" s="15"/>
      <c r="AP2039" s="15"/>
      <c r="AQ2039" s="15"/>
    </row>
    <row r="2040" spans="1:43">
      <c r="A2040" s="15" t="s">
        <v>49</v>
      </c>
      <c r="B2040" s="15" t="s">
        <v>50</v>
      </c>
      <c r="C2040" s="15" t="s">
        <v>61</v>
      </c>
      <c r="D2040" s="15" t="s">
        <v>5366</v>
      </c>
      <c r="E2040" s="15" t="s">
        <v>5367</v>
      </c>
      <c r="F2040" s="16">
        <v>0</v>
      </c>
      <c r="G2040" s="15" t="s">
        <v>5367</v>
      </c>
      <c r="H2040" s="15" t="s">
        <v>54</v>
      </c>
      <c r="I2040" s="15">
        <v>0</v>
      </c>
      <c r="J2040" s="15">
        <v>0</v>
      </c>
      <c r="K2040" s="15">
        <v>0</v>
      </c>
      <c r="L2040" s="20">
        <v>0</v>
      </c>
      <c r="M2040" s="15">
        <v>0</v>
      </c>
      <c r="N2040" s="15">
        <v>0</v>
      </c>
      <c r="O2040" s="15">
        <v>0</v>
      </c>
      <c r="P2040" s="15">
        <v>0</v>
      </c>
      <c r="Q2040" s="15">
        <v>0</v>
      </c>
      <c r="R2040" s="15">
        <v>0</v>
      </c>
      <c r="S2040" s="15">
        <v>0</v>
      </c>
      <c r="T2040" s="15">
        <v>0</v>
      </c>
      <c r="U2040" s="15">
        <v>0</v>
      </c>
      <c r="V2040" s="15">
        <v>0</v>
      </c>
      <c r="W2040" s="15">
        <v>0</v>
      </c>
      <c r="X2040" s="15">
        <v>0</v>
      </c>
      <c r="Y2040" s="15">
        <v>0</v>
      </c>
      <c r="Z2040" s="15">
        <v>0</v>
      </c>
      <c r="AA2040" s="15"/>
      <c r="AB2040" s="15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</row>
    <row r="2041" spans="1:43">
      <c r="A2041" s="15" t="s">
        <v>43</v>
      </c>
      <c r="B2041" s="15" t="s">
        <v>44</v>
      </c>
      <c r="C2041" s="15" t="s">
        <v>45</v>
      </c>
      <c r="D2041" s="15" t="s">
        <v>5368</v>
      </c>
      <c r="E2041" s="15" t="s">
        <v>5369</v>
      </c>
      <c r="F2041" s="16">
        <v>42900.6734375</v>
      </c>
      <c r="G2041" s="15" t="s">
        <v>5369</v>
      </c>
      <c r="H2041" s="15" t="s">
        <v>5370</v>
      </c>
      <c r="I2041" s="15">
        <v>0</v>
      </c>
      <c r="J2041" s="15">
        <v>0</v>
      </c>
      <c r="K2041" s="15">
        <v>0</v>
      </c>
      <c r="L2041" s="20">
        <v>0</v>
      </c>
      <c r="M2041" s="15">
        <v>0</v>
      </c>
      <c r="N2041" s="15">
        <v>0</v>
      </c>
      <c r="O2041" s="15">
        <v>0</v>
      </c>
      <c r="P2041" s="15">
        <v>0</v>
      </c>
      <c r="Q2041" s="15">
        <v>0</v>
      </c>
      <c r="R2041" s="15">
        <v>0</v>
      </c>
      <c r="S2041" s="15">
        <v>0</v>
      </c>
      <c r="T2041" s="15">
        <v>0</v>
      </c>
      <c r="U2041" s="15">
        <v>0</v>
      </c>
      <c r="V2041" s="15">
        <v>0</v>
      </c>
      <c r="W2041" s="15">
        <v>0</v>
      </c>
      <c r="X2041" s="15">
        <v>0</v>
      </c>
      <c r="Y2041" s="15">
        <v>0</v>
      </c>
      <c r="Z2041" s="15">
        <v>0</v>
      </c>
      <c r="AA2041" s="15"/>
      <c r="AB2041" s="15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</row>
    <row r="2042" spans="1:43">
      <c r="A2042" s="15" t="s">
        <v>43</v>
      </c>
      <c r="B2042" s="15" t="s">
        <v>44</v>
      </c>
      <c r="C2042" s="15" t="s">
        <v>45</v>
      </c>
      <c r="D2042" s="15" t="s">
        <v>5371</v>
      </c>
      <c r="E2042" s="15" t="s">
        <v>5372</v>
      </c>
      <c r="F2042" s="16">
        <v>41527.6192013889</v>
      </c>
      <c r="G2042" s="15" t="s">
        <v>5372</v>
      </c>
      <c r="H2042" s="15" t="s">
        <v>5373</v>
      </c>
      <c r="I2042" s="15">
        <v>0</v>
      </c>
      <c r="J2042" s="15">
        <v>0</v>
      </c>
      <c r="K2042" s="15">
        <v>0</v>
      </c>
      <c r="L2042" s="20">
        <v>0</v>
      </c>
      <c r="M2042" s="15">
        <v>0</v>
      </c>
      <c r="N2042" s="15">
        <v>0</v>
      </c>
      <c r="O2042" s="15">
        <v>0</v>
      </c>
      <c r="P2042" s="15">
        <v>0</v>
      </c>
      <c r="Q2042" s="15">
        <v>0</v>
      </c>
      <c r="R2042" s="15">
        <v>0</v>
      </c>
      <c r="S2042" s="15">
        <v>0</v>
      </c>
      <c r="T2042" s="15">
        <v>0</v>
      </c>
      <c r="U2042" s="15">
        <v>0</v>
      </c>
      <c r="V2042" s="15">
        <v>0</v>
      </c>
      <c r="W2042" s="15">
        <v>0</v>
      </c>
      <c r="X2042" s="15">
        <v>0</v>
      </c>
      <c r="Y2042" s="15">
        <v>0</v>
      </c>
      <c r="Z2042" s="15">
        <v>0</v>
      </c>
      <c r="AA2042" s="15"/>
      <c r="AB2042" s="15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/>
      <c r="AM2042" s="15"/>
      <c r="AN2042" s="15"/>
      <c r="AO2042" s="15"/>
      <c r="AP2042" s="15"/>
      <c r="AQ2042" s="15"/>
    </row>
    <row r="2043" spans="1:43">
      <c r="A2043" s="15" t="s">
        <v>43</v>
      </c>
      <c r="B2043" s="15" t="s">
        <v>44</v>
      </c>
      <c r="C2043" s="15" t="s">
        <v>45</v>
      </c>
      <c r="D2043" s="15" t="s">
        <v>5374</v>
      </c>
      <c r="E2043" s="15" t="s">
        <v>5375</v>
      </c>
      <c r="F2043" s="16">
        <v>41781.4668171296</v>
      </c>
      <c r="G2043" s="15" t="s">
        <v>5375</v>
      </c>
      <c r="H2043" s="15" t="s">
        <v>5376</v>
      </c>
      <c r="I2043" s="15">
        <v>0</v>
      </c>
      <c r="J2043" s="15">
        <v>0</v>
      </c>
      <c r="K2043" s="15">
        <v>0</v>
      </c>
      <c r="L2043" s="20">
        <v>0</v>
      </c>
      <c r="M2043" s="15">
        <v>0</v>
      </c>
      <c r="N2043" s="15">
        <v>0</v>
      </c>
      <c r="O2043" s="15">
        <v>0</v>
      </c>
      <c r="P2043" s="15">
        <v>0</v>
      </c>
      <c r="Q2043" s="15">
        <v>0</v>
      </c>
      <c r="R2043" s="15">
        <v>0</v>
      </c>
      <c r="S2043" s="15">
        <v>0</v>
      </c>
      <c r="T2043" s="15">
        <v>0</v>
      </c>
      <c r="U2043" s="15">
        <v>0</v>
      </c>
      <c r="V2043" s="15">
        <v>0</v>
      </c>
      <c r="W2043" s="15">
        <v>0</v>
      </c>
      <c r="X2043" s="15">
        <v>0</v>
      </c>
      <c r="Y2043" s="15">
        <v>0</v>
      </c>
      <c r="Z2043" s="15">
        <v>0</v>
      </c>
      <c r="AA2043" s="15"/>
      <c r="AB2043" s="15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</row>
    <row r="2044" spans="1:43">
      <c r="A2044" s="15" t="s">
        <v>43</v>
      </c>
      <c r="B2044" s="15" t="s">
        <v>44</v>
      </c>
      <c r="C2044" s="15" t="s">
        <v>45</v>
      </c>
      <c r="D2044" s="15" t="s">
        <v>5377</v>
      </c>
      <c r="E2044" s="15" t="s">
        <v>5378</v>
      </c>
      <c r="F2044" s="16">
        <v>42438.4041319444</v>
      </c>
      <c r="G2044" s="15" t="s">
        <v>5378</v>
      </c>
      <c r="H2044" s="15" t="s">
        <v>5379</v>
      </c>
      <c r="I2044" s="15">
        <v>0</v>
      </c>
      <c r="J2044" s="15">
        <v>0</v>
      </c>
      <c r="K2044" s="15">
        <v>0</v>
      </c>
      <c r="L2044" s="20">
        <v>0</v>
      </c>
      <c r="M2044" s="15">
        <v>0</v>
      </c>
      <c r="N2044" s="15">
        <v>0</v>
      </c>
      <c r="O2044" s="15">
        <v>0</v>
      </c>
      <c r="P2044" s="15">
        <v>0</v>
      </c>
      <c r="Q2044" s="15">
        <v>0</v>
      </c>
      <c r="R2044" s="15">
        <v>0</v>
      </c>
      <c r="S2044" s="15">
        <v>0</v>
      </c>
      <c r="T2044" s="15">
        <v>0</v>
      </c>
      <c r="U2044" s="15">
        <v>0</v>
      </c>
      <c r="V2044" s="15">
        <v>0</v>
      </c>
      <c r="W2044" s="15">
        <v>0</v>
      </c>
      <c r="X2044" s="15">
        <v>0</v>
      </c>
      <c r="Y2044" s="15">
        <v>0</v>
      </c>
      <c r="Z2044" s="15">
        <v>0</v>
      </c>
      <c r="AA2044" s="15"/>
      <c r="AB2044" s="15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</row>
    <row r="2045" spans="1:43">
      <c r="A2045" s="15" t="s">
        <v>49</v>
      </c>
      <c r="B2045" s="15" t="s">
        <v>50</v>
      </c>
      <c r="C2045" s="15" t="s">
        <v>61</v>
      </c>
      <c r="D2045" s="15" t="s">
        <v>5380</v>
      </c>
      <c r="E2045" s="15" t="s">
        <v>5381</v>
      </c>
      <c r="F2045" s="16">
        <v>0</v>
      </c>
      <c r="G2045" s="15" t="s">
        <v>5381</v>
      </c>
      <c r="H2045" s="15" t="s">
        <v>5382</v>
      </c>
      <c r="I2045" s="15">
        <v>0</v>
      </c>
      <c r="J2045" s="15">
        <v>0</v>
      </c>
      <c r="K2045" s="15">
        <v>0</v>
      </c>
      <c r="L2045" s="20">
        <v>0</v>
      </c>
      <c r="M2045" s="15">
        <v>0</v>
      </c>
      <c r="N2045" s="15">
        <v>0</v>
      </c>
      <c r="O2045" s="15">
        <v>0</v>
      </c>
      <c r="P2045" s="15">
        <v>0</v>
      </c>
      <c r="Q2045" s="15">
        <v>0</v>
      </c>
      <c r="R2045" s="15">
        <v>0</v>
      </c>
      <c r="S2045" s="15">
        <v>0</v>
      </c>
      <c r="T2045" s="15">
        <v>0</v>
      </c>
      <c r="U2045" s="15">
        <v>0</v>
      </c>
      <c r="V2045" s="15">
        <v>0</v>
      </c>
      <c r="W2045" s="15">
        <v>0</v>
      </c>
      <c r="X2045" s="15">
        <v>0</v>
      </c>
      <c r="Y2045" s="15">
        <v>0</v>
      </c>
      <c r="Z2045" s="15">
        <v>0</v>
      </c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</row>
    <row r="2046" spans="1:43">
      <c r="A2046" s="15" t="s">
        <v>49</v>
      </c>
      <c r="B2046" s="15" t="s">
        <v>50</v>
      </c>
      <c r="C2046" s="15" t="s">
        <v>61</v>
      </c>
      <c r="D2046" s="15" t="s">
        <v>5383</v>
      </c>
      <c r="E2046" s="15" t="s">
        <v>5384</v>
      </c>
      <c r="F2046" s="16">
        <v>0</v>
      </c>
      <c r="G2046" s="15" t="s">
        <v>5384</v>
      </c>
      <c r="H2046" s="15" t="s">
        <v>5385</v>
      </c>
      <c r="I2046" s="15">
        <v>0</v>
      </c>
      <c r="J2046" s="15">
        <v>0</v>
      </c>
      <c r="K2046" s="15">
        <v>0</v>
      </c>
      <c r="L2046" s="20">
        <v>0</v>
      </c>
      <c r="M2046" s="15">
        <v>0</v>
      </c>
      <c r="N2046" s="15">
        <v>0</v>
      </c>
      <c r="O2046" s="15">
        <v>0</v>
      </c>
      <c r="P2046" s="15">
        <v>0</v>
      </c>
      <c r="Q2046" s="15">
        <v>0</v>
      </c>
      <c r="R2046" s="15">
        <v>0</v>
      </c>
      <c r="S2046" s="15">
        <v>0</v>
      </c>
      <c r="T2046" s="15">
        <v>0</v>
      </c>
      <c r="U2046" s="15">
        <v>0</v>
      </c>
      <c r="V2046" s="15">
        <v>0</v>
      </c>
      <c r="W2046" s="15">
        <v>0</v>
      </c>
      <c r="X2046" s="15">
        <v>0</v>
      </c>
      <c r="Y2046" s="15">
        <v>0</v>
      </c>
      <c r="Z2046" s="15">
        <v>0</v>
      </c>
      <c r="AA2046" s="15"/>
      <c r="AB2046" s="15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/>
      <c r="AM2046" s="15"/>
      <c r="AN2046" s="15"/>
      <c r="AO2046" s="15"/>
      <c r="AP2046" s="15"/>
      <c r="AQ2046" s="15"/>
    </row>
    <row r="2047" spans="1:43">
      <c r="A2047" s="15" t="s">
        <v>49</v>
      </c>
      <c r="B2047" s="15" t="s">
        <v>50</v>
      </c>
      <c r="C2047" s="15" t="s">
        <v>61</v>
      </c>
      <c r="D2047" s="15" t="s">
        <v>5386</v>
      </c>
      <c r="E2047" s="15" t="s">
        <v>3055</v>
      </c>
      <c r="F2047" s="16">
        <v>0</v>
      </c>
      <c r="G2047" s="15" t="s">
        <v>3055</v>
      </c>
      <c r="H2047" s="15" t="s">
        <v>3056</v>
      </c>
      <c r="I2047" s="15">
        <v>0</v>
      </c>
      <c r="J2047" s="15">
        <v>0</v>
      </c>
      <c r="K2047" s="15">
        <v>0</v>
      </c>
      <c r="L2047" s="20">
        <v>0</v>
      </c>
      <c r="M2047" s="15">
        <v>0</v>
      </c>
      <c r="N2047" s="15">
        <v>0</v>
      </c>
      <c r="O2047" s="15">
        <v>0</v>
      </c>
      <c r="P2047" s="15">
        <v>0</v>
      </c>
      <c r="Q2047" s="15">
        <v>0</v>
      </c>
      <c r="R2047" s="15">
        <v>0</v>
      </c>
      <c r="S2047" s="15">
        <v>0</v>
      </c>
      <c r="T2047" s="15">
        <v>0</v>
      </c>
      <c r="U2047" s="15">
        <v>0</v>
      </c>
      <c r="V2047" s="15">
        <v>0</v>
      </c>
      <c r="W2047" s="15">
        <v>0</v>
      </c>
      <c r="X2047" s="15">
        <v>0</v>
      </c>
      <c r="Y2047" s="15">
        <v>0</v>
      </c>
      <c r="Z2047" s="15">
        <v>0</v>
      </c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</row>
    <row r="2048" spans="1:43">
      <c r="A2048" s="15" t="s">
        <v>49</v>
      </c>
      <c r="B2048" s="15" t="s">
        <v>50</v>
      </c>
      <c r="C2048" s="15" t="s">
        <v>61</v>
      </c>
      <c r="D2048" s="15" t="s">
        <v>5387</v>
      </c>
      <c r="E2048" s="15" t="s">
        <v>5388</v>
      </c>
      <c r="F2048" s="16">
        <v>0</v>
      </c>
      <c r="G2048" s="15" t="s">
        <v>5388</v>
      </c>
      <c r="H2048" s="15" t="s">
        <v>54</v>
      </c>
      <c r="I2048" s="15">
        <v>0</v>
      </c>
      <c r="J2048" s="15">
        <v>0</v>
      </c>
      <c r="K2048" s="15">
        <v>0</v>
      </c>
      <c r="L2048" s="20">
        <v>0</v>
      </c>
      <c r="M2048" s="15">
        <v>0</v>
      </c>
      <c r="N2048" s="15">
        <v>0</v>
      </c>
      <c r="O2048" s="15">
        <v>0</v>
      </c>
      <c r="P2048" s="15">
        <v>0</v>
      </c>
      <c r="Q2048" s="15">
        <v>0</v>
      </c>
      <c r="R2048" s="15">
        <v>0</v>
      </c>
      <c r="S2048" s="15">
        <v>0</v>
      </c>
      <c r="T2048" s="15">
        <v>0</v>
      </c>
      <c r="U2048" s="15">
        <v>0</v>
      </c>
      <c r="V2048" s="15">
        <v>0</v>
      </c>
      <c r="W2048" s="15">
        <v>0</v>
      </c>
      <c r="X2048" s="15">
        <v>0</v>
      </c>
      <c r="Y2048" s="15">
        <v>0</v>
      </c>
      <c r="Z2048" s="15">
        <v>0</v>
      </c>
      <c r="AA2048" s="15"/>
      <c r="AB2048" s="15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</row>
    <row r="2049" spans="1:43">
      <c r="A2049" s="15" t="s">
        <v>49</v>
      </c>
      <c r="B2049" s="15" t="s">
        <v>50</v>
      </c>
      <c r="C2049" s="15" t="s">
        <v>61</v>
      </c>
      <c r="D2049" s="15" t="s">
        <v>5389</v>
      </c>
      <c r="E2049" s="15" t="s">
        <v>5390</v>
      </c>
      <c r="F2049" s="16">
        <v>0</v>
      </c>
      <c r="G2049" s="15" t="s">
        <v>5390</v>
      </c>
      <c r="H2049" s="15" t="s">
        <v>5391</v>
      </c>
      <c r="I2049" s="15">
        <v>0</v>
      </c>
      <c r="J2049" s="15">
        <v>0</v>
      </c>
      <c r="K2049" s="15">
        <v>0</v>
      </c>
      <c r="L2049" s="20">
        <v>0</v>
      </c>
      <c r="M2049" s="15">
        <v>0</v>
      </c>
      <c r="N2049" s="15">
        <v>0</v>
      </c>
      <c r="O2049" s="15">
        <v>0</v>
      </c>
      <c r="P2049" s="15">
        <v>0</v>
      </c>
      <c r="Q2049" s="15">
        <v>0</v>
      </c>
      <c r="R2049" s="15">
        <v>0</v>
      </c>
      <c r="S2049" s="15">
        <v>0</v>
      </c>
      <c r="T2049" s="15">
        <v>0</v>
      </c>
      <c r="U2049" s="15">
        <v>0</v>
      </c>
      <c r="V2049" s="15">
        <v>0</v>
      </c>
      <c r="W2049" s="15">
        <v>0</v>
      </c>
      <c r="X2049" s="15">
        <v>0</v>
      </c>
      <c r="Y2049" s="15">
        <v>0</v>
      </c>
      <c r="Z2049" s="15">
        <v>0</v>
      </c>
      <c r="AA2049" s="15"/>
      <c r="AB2049" s="15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</row>
    <row r="2050" spans="1:43">
      <c r="A2050" s="15" t="s">
        <v>43</v>
      </c>
      <c r="B2050" s="15" t="s">
        <v>44</v>
      </c>
      <c r="C2050" s="15" t="s">
        <v>45</v>
      </c>
      <c r="D2050" s="15" t="s">
        <v>5392</v>
      </c>
      <c r="E2050" s="15" t="s">
        <v>5393</v>
      </c>
      <c r="F2050" s="16">
        <v>43038.6663310185</v>
      </c>
      <c r="G2050" s="15" t="s">
        <v>5393</v>
      </c>
      <c r="H2050" s="15" t="s">
        <v>5394</v>
      </c>
      <c r="I2050" s="15">
        <v>0</v>
      </c>
      <c r="J2050" s="15">
        <v>0</v>
      </c>
      <c r="K2050" s="15">
        <v>0</v>
      </c>
      <c r="L2050" s="20">
        <v>0</v>
      </c>
      <c r="M2050" s="15">
        <v>0</v>
      </c>
      <c r="N2050" s="15">
        <v>0</v>
      </c>
      <c r="O2050" s="15">
        <v>0</v>
      </c>
      <c r="P2050" s="15">
        <v>0</v>
      </c>
      <c r="Q2050" s="15">
        <v>0</v>
      </c>
      <c r="R2050" s="15">
        <v>0</v>
      </c>
      <c r="S2050" s="15">
        <v>0</v>
      </c>
      <c r="T2050" s="15">
        <v>0</v>
      </c>
      <c r="U2050" s="15">
        <v>0</v>
      </c>
      <c r="V2050" s="15">
        <v>0</v>
      </c>
      <c r="W2050" s="15">
        <v>0</v>
      </c>
      <c r="X2050" s="15">
        <v>0</v>
      </c>
      <c r="Y2050" s="15">
        <v>0</v>
      </c>
      <c r="Z2050" s="15">
        <v>0</v>
      </c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</row>
    <row r="2051" spans="1:43">
      <c r="A2051" s="15" t="s">
        <v>49</v>
      </c>
      <c r="B2051" s="15" t="s">
        <v>50</v>
      </c>
      <c r="C2051" s="15" t="s">
        <v>61</v>
      </c>
      <c r="D2051" s="15" t="s">
        <v>5395</v>
      </c>
      <c r="E2051" s="15" t="s">
        <v>829</v>
      </c>
      <c r="F2051" s="16">
        <v>0</v>
      </c>
      <c r="G2051" s="15" t="s">
        <v>829</v>
      </c>
      <c r="H2051" s="15" t="s">
        <v>54</v>
      </c>
      <c r="I2051" s="15">
        <v>0</v>
      </c>
      <c r="J2051" s="15">
        <v>0</v>
      </c>
      <c r="K2051" s="15">
        <v>0</v>
      </c>
      <c r="L2051" s="20">
        <v>0</v>
      </c>
      <c r="M2051" s="15">
        <v>0</v>
      </c>
      <c r="N2051" s="15">
        <v>0</v>
      </c>
      <c r="O2051" s="15">
        <v>0</v>
      </c>
      <c r="P2051" s="15">
        <v>0</v>
      </c>
      <c r="Q2051" s="15">
        <v>0</v>
      </c>
      <c r="R2051" s="15">
        <v>0</v>
      </c>
      <c r="S2051" s="15">
        <v>0</v>
      </c>
      <c r="T2051" s="15">
        <v>0</v>
      </c>
      <c r="U2051" s="15">
        <v>0</v>
      </c>
      <c r="V2051" s="15">
        <v>0</v>
      </c>
      <c r="W2051" s="15">
        <v>0</v>
      </c>
      <c r="X2051" s="15">
        <v>0</v>
      </c>
      <c r="Y2051" s="15">
        <v>0</v>
      </c>
      <c r="Z2051" s="15">
        <v>0</v>
      </c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</row>
    <row r="2052" spans="1:43">
      <c r="A2052" s="15" t="s">
        <v>43</v>
      </c>
      <c r="B2052" s="15" t="s">
        <v>44</v>
      </c>
      <c r="C2052" s="15" t="s">
        <v>45</v>
      </c>
      <c r="D2052" s="15" t="s">
        <v>5396</v>
      </c>
      <c r="E2052" s="15" t="s">
        <v>5397</v>
      </c>
      <c r="F2052" s="16">
        <v>42729.5001851852</v>
      </c>
      <c r="G2052" s="15" t="s">
        <v>5397</v>
      </c>
      <c r="H2052" s="15" t="s">
        <v>5398</v>
      </c>
      <c r="I2052" s="15">
        <v>0</v>
      </c>
      <c r="J2052" s="15">
        <v>0</v>
      </c>
      <c r="K2052" s="15">
        <v>0</v>
      </c>
      <c r="L2052" s="20">
        <v>0</v>
      </c>
      <c r="M2052" s="15">
        <v>0</v>
      </c>
      <c r="N2052" s="15">
        <v>0</v>
      </c>
      <c r="O2052" s="15">
        <v>0</v>
      </c>
      <c r="P2052" s="15">
        <v>0</v>
      </c>
      <c r="Q2052" s="15">
        <v>0</v>
      </c>
      <c r="R2052" s="15">
        <v>0</v>
      </c>
      <c r="S2052" s="15">
        <v>0</v>
      </c>
      <c r="T2052" s="15">
        <v>0</v>
      </c>
      <c r="U2052" s="15">
        <v>0</v>
      </c>
      <c r="V2052" s="15">
        <v>0</v>
      </c>
      <c r="W2052" s="15">
        <v>0</v>
      </c>
      <c r="X2052" s="15">
        <v>0</v>
      </c>
      <c r="Y2052" s="15">
        <v>0</v>
      </c>
      <c r="Z2052" s="15">
        <v>0</v>
      </c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</row>
    <row r="2053" spans="1:43">
      <c r="A2053" s="15" t="s">
        <v>49</v>
      </c>
      <c r="B2053" s="15" t="s">
        <v>50</v>
      </c>
      <c r="C2053" s="15" t="s">
        <v>61</v>
      </c>
      <c r="D2053" s="15" t="s">
        <v>5399</v>
      </c>
      <c r="E2053" s="15" t="s">
        <v>5400</v>
      </c>
      <c r="F2053" s="16">
        <v>0</v>
      </c>
      <c r="G2053" s="15" t="s">
        <v>5400</v>
      </c>
      <c r="H2053" s="15" t="s">
        <v>54</v>
      </c>
      <c r="I2053" s="15">
        <v>0</v>
      </c>
      <c r="J2053" s="15">
        <v>0</v>
      </c>
      <c r="K2053" s="15">
        <v>0</v>
      </c>
      <c r="L2053" s="20">
        <v>0</v>
      </c>
      <c r="M2053" s="15">
        <v>0</v>
      </c>
      <c r="N2053" s="15">
        <v>0</v>
      </c>
      <c r="O2053" s="15">
        <v>0</v>
      </c>
      <c r="P2053" s="15">
        <v>0</v>
      </c>
      <c r="Q2053" s="15">
        <v>0</v>
      </c>
      <c r="R2053" s="15">
        <v>0</v>
      </c>
      <c r="S2053" s="15">
        <v>0</v>
      </c>
      <c r="T2053" s="15">
        <v>0</v>
      </c>
      <c r="U2053" s="15">
        <v>0</v>
      </c>
      <c r="V2053" s="15">
        <v>0</v>
      </c>
      <c r="W2053" s="15">
        <v>0</v>
      </c>
      <c r="X2053" s="15">
        <v>0</v>
      </c>
      <c r="Y2053" s="15">
        <v>0</v>
      </c>
      <c r="Z2053" s="15">
        <v>0</v>
      </c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</row>
    <row r="2054" spans="1:43">
      <c r="A2054" s="15" t="s">
        <v>49</v>
      </c>
      <c r="B2054" s="15" t="s">
        <v>50</v>
      </c>
      <c r="C2054" s="15" t="s">
        <v>61</v>
      </c>
      <c r="D2054" s="15" t="s">
        <v>5401</v>
      </c>
      <c r="E2054" s="15" t="s">
        <v>5402</v>
      </c>
      <c r="F2054" s="16">
        <v>0</v>
      </c>
      <c r="G2054" s="15" t="s">
        <v>5402</v>
      </c>
      <c r="H2054" s="15" t="s">
        <v>5403</v>
      </c>
      <c r="I2054" s="15">
        <v>0</v>
      </c>
      <c r="J2054" s="15">
        <v>0</v>
      </c>
      <c r="K2054" s="15">
        <v>0</v>
      </c>
      <c r="L2054" s="20">
        <v>0</v>
      </c>
      <c r="M2054" s="15">
        <v>0</v>
      </c>
      <c r="N2054" s="15">
        <v>0</v>
      </c>
      <c r="O2054" s="15">
        <v>0</v>
      </c>
      <c r="P2054" s="15">
        <v>0</v>
      </c>
      <c r="Q2054" s="15">
        <v>0</v>
      </c>
      <c r="R2054" s="15">
        <v>0</v>
      </c>
      <c r="S2054" s="15">
        <v>0</v>
      </c>
      <c r="T2054" s="15">
        <v>0</v>
      </c>
      <c r="U2054" s="15">
        <v>0</v>
      </c>
      <c r="V2054" s="15">
        <v>0</v>
      </c>
      <c r="W2054" s="15">
        <v>0</v>
      </c>
      <c r="X2054" s="15">
        <v>0</v>
      </c>
      <c r="Y2054" s="15">
        <v>0</v>
      </c>
      <c r="Z2054" s="15">
        <v>0</v>
      </c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</row>
    <row r="2055" spans="1:43">
      <c r="A2055" s="15" t="s">
        <v>49</v>
      </c>
      <c r="B2055" s="15" t="s">
        <v>50</v>
      </c>
      <c r="C2055" s="15" t="s">
        <v>61</v>
      </c>
      <c r="D2055" s="15" t="s">
        <v>5404</v>
      </c>
      <c r="E2055" s="15" t="s">
        <v>5405</v>
      </c>
      <c r="F2055" s="16">
        <v>0</v>
      </c>
      <c r="G2055" s="15" t="s">
        <v>5405</v>
      </c>
      <c r="H2055" s="15" t="s">
        <v>5406</v>
      </c>
      <c r="I2055" s="15">
        <v>0</v>
      </c>
      <c r="J2055" s="15">
        <v>0</v>
      </c>
      <c r="K2055" s="15">
        <v>0</v>
      </c>
      <c r="L2055" s="20">
        <v>0</v>
      </c>
      <c r="M2055" s="15">
        <v>0</v>
      </c>
      <c r="N2055" s="15">
        <v>0</v>
      </c>
      <c r="O2055" s="15">
        <v>0</v>
      </c>
      <c r="P2055" s="15">
        <v>0</v>
      </c>
      <c r="Q2055" s="15">
        <v>0</v>
      </c>
      <c r="R2055" s="15">
        <v>0</v>
      </c>
      <c r="S2055" s="15">
        <v>0</v>
      </c>
      <c r="T2055" s="15">
        <v>0</v>
      </c>
      <c r="U2055" s="15">
        <v>0</v>
      </c>
      <c r="V2055" s="15">
        <v>0</v>
      </c>
      <c r="W2055" s="15">
        <v>0</v>
      </c>
      <c r="X2055" s="15">
        <v>0</v>
      </c>
      <c r="Y2055" s="15">
        <v>0</v>
      </c>
      <c r="Z2055" s="15">
        <v>0</v>
      </c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</row>
    <row r="2056" spans="1:43">
      <c r="A2056" s="15" t="s">
        <v>49</v>
      </c>
      <c r="B2056" s="15" t="s">
        <v>50</v>
      </c>
      <c r="C2056" s="15" t="s">
        <v>61</v>
      </c>
      <c r="D2056" s="15" t="s">
        <v>5407</v>
      </c>
      <c r="E2056" s="15" t="s">
        <v>5408</v>
      </c>
      <c r="F2056" s="16">
        <v>0</v>
      </c>
      <c r="G2056" s="15" t="s">
        <v>5408</v>
      </c>
      <c r="H2056" s="15" t="s">
        <v>54</v>
      </c>
      <c r="I2056" s="15">
        <v>0</v>
      </c>
      <c r="J2056" s="15">
        <v>0</v>
      </c>
      <c r="K2056" s="15">
        <v>0</v>
      </c>
      <c r="L2056" s="20">
        <v>0</v>
      </c>
      <c r="M2056" s="15">
        <v>0</v>
      </c>
      <c r="N2056" s="15">
        <v>0</v>
      </c>
      <c r="O2056" s="15">
        <v>0</v>
      </c>
      <c r="P2056" s="15">
        <v>0</v>
      </c>
      <c r="Q2056" s="15">
        <v>0</v>
      </c>
      <c r="R2056" s="15">
        <v>0</v>
      </c>
      <c r="S2056" s="15">
        <v>0</v>
      </c>
      <c r="T2056" s="15">
        <v>0</v>
      </c>
      <c r="U2056" s="15">
        <v>0</v>
      </c>
      <c r="V2056" s="15">
        <v>0</v>
      </c>
      <c r="W2056" s="15">
        <v>0</v>
      </c>
      <c r="X2056" s="15">
        <v>0</v>
      </c>
      <c r="Y2056" s="15">
        <v>0</v>
      </c>
      <c r="Z2056" s="15">
        <v>0</v>
      </c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</row>
    <row r="2057" spans="1:43">
      <c r="A2057" s="15" t="s">
        <v>43</v>
      </c>
      <c r="B2057" s="15" t="s">
        <v>44</v>
      </c>
      <c r="C2057" s="15" t="s">
        <v>45</v>
      </c>
      <c r="D2057" s="15" t="s">
        <v>5409</v>
      </c>
      <c r="E2057" s="15" t="s">
        <v>5410</v>
      </c>
      <c r="F2057" s="16">
        <v>44315.6471527778</v>
      </c>
      <c r="G2057" s="15" t="s">
        <v>5410</v>
      </c>
      <c r="H2057" s="15" t="s">
        <v>54</v>
      </c>
      <c r="I2057" s="15">
        <v>0</v>
      </c>
      <c r="J2057" s="15">
        <v>0</v>
      </c>
      <c r="K2057" s="15">
        <v>0</v>
      </c>
      <c r="L2057" s="20">
        <v>0</v>
      </c>
      <c r="M2057" s="15">
        <v>0</v>
      </c>
      <c r="N2057" s="15">
        <v>0</v>
      </c>
      <c r="O2057" s="15">
        <v>0</v>
      </c>
      <c r="P2057" s="15">
        <v>0</v>
      </c>
      <c r="Q2057" s="15">
        <v>0</v>
      </c>
      <c r="R2057" s="15">
        <v>0</v>
      </c>
      <c r="S2057" s="15">
        <v>0</v>
      </c>
      <c r="T2057" s="15">
        <v>0</v>
      </c>
      <c r="U2057" s="15">
        <v>0</v>
      </c>
      <c r="V2057" s="15">
        <v>0</v>
      </c>
      <c r="W2057" s="15">
        <v>0</v>
      </c>
      <c r="X2057" s="15">
        <v>0</v>
      </c>
      <c r="Y2057" s="15">
        <v>0</v>
      </c>
      <c r="Z2057" s="15">
        <v>0</v>
      </c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</row>
    <row r="2058" spans="1:43">
      <c r="A2058" s="15" t="s">
        <v>43</v>
      </c>
      <c r="B2058" s="15" t="s">
        <v>44</v>
      </c>
      <c r="C2058" s="15" t="s">
        <v>45</v>
      </c>
      <c r="D2058" s="15" t="s">
        <v>5411</v>
      </c>
      <c r="E2058" s="15" t="s">
        <v>5412</v>
      </c>
      <c r="F2058" s="16">
        <v>43165.7188078704</v>
      </c>
      <c r="G2058" s="15" t="s">
        <v>5412</v>
      </c>
      <c r="H2058" s="15" t="s">
        <v>5413</v>
      </c>
      <c r="I2058" s="15">
        <v>0</v>
      </c>
      <c r="J2058" s="15">
        <v>0</v>
      </c>
      <c r="K2058" s="15">
        <v>0</v>
      </c>
      <c r="L2058" s="20">
        <v>0</v>
      </c>
      <c r="M2058" s="15">
        <v>0</v>
      </c>
      <c r="N2058" s="15">
        <v>0</v>
      </c>
      <c r="O2058" s="15">
        <v>0</v>
      </c>
      <c r="P2058" s="15">
        <v>0</v>
      </c>
      <c r="Q2058" s="15">
        <v>0</v>
      </c>
      <c r="R2058" s="15">
        <v>0</v>
      </c>
      <c r="S2058" s="15">
        <v>0</v>
      </c>
      <c r="T2058" s="15">
        <v>0</v>
      </c>
      <c r="U2058" s="15">
        <v>0</v>
      </c>
      <c r="V2058" s="15">
        <v>0</v>
      </c>
      <c r="W2058" s="15">
        <v>0</v>
      </c>
      <c r="X2058" s="15">
        <v>0</v>
      </c>
      <c r="Y2058" s="15">
        <v>0</v>
      </c>
      <c r="Z2058" s="15">
        <v>0</v>
      </c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</row>
    <row r="2059" spans="1:43">
      <c r="A2059" s="15" t="s">
        <v>43</v>
      </c>
      <c r="B2059" s="15" t="s">
        <v>44</v>
      </c>
      <c r="C2059" s="15" t="s">
        <v>45</v>
      </c>
      <c r="D2059" s="15" t="s">
        <v>5414</v>
      </c>
      <c r="E2059" s="15" t="s">
        <v>5415</v>
      </c>
      <c r="F2059" s="16">
        <v>41739.4641203704</v>
      </c>
      <c r="G2059" s="15" t="s">
        <v>5415</v>
      </c>
      <c r="H2059" s="15" t="s">
        <v>5416</v>
      </c>
      <c r="I2059" s="15">
        <v>0</v>
      </c>
      <c r="J2059" s="15">
        <v>0</v>
      </c>
      <c r="K2059" s="15">
        <v>0</v>
      </c>
      <c r="L2059" s="20">
        <v>0</v>
      </c>
      <c r="M2059" s="15">
        <v>0</v>
      </c>
      <c r="N2059" s="15">
        <v>0</v>
      </c>
      <c r="O2059" s="15">
        <v>0</v>
      </c>
      <c r="P2059" s="15">
        <v>0</v>
      </c>
      <c r="Q2059" s="15">
        <v>0</v>
      </c>
      <c r="R2059" s="15">
        <v>0</v>
      </c>
      <c r="S2059" s="15">
        <v>0</v>
      </c>
      <c r="T2059" s="15">
        <v>0</v>
      </c>
      <c r="U2059" s="15">
        <v>0</v>
      </c>
      <c r="V2059" s="15">
        <v>0</v>
      </c>
      <c r="W2059" s="15">
        <v>0</v>
      </c>
      <c r="X2059" s="15">
        <v>0</v>
      </c>
      <c r="Y2059" s="15">
        <v>0</v>
      </c>
      <c r="Z2059" s="15">
        <v>0</v>
      </c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</row>
    <row r="2060" spans="1:43">
      <c r="A2060" s="15" t="s">
        <v>49</v>
      </c>
      <c r="B2060" s="15" t="s">
        <v>50</v>
      </c>
      <c r="C2060" s="15" t="s">
        <v>61</v>
      </c>
      <c r="D2060" s="15" t="s">
        <v>5417</v>
      </c>
      <c r="E2060" s="15" t="s">
        <v>5418</v>
      </c>
      <c r="F2060" s="16">
        <v>0</v>
      </c>
      <c r="G2060" s="15" t="s">
        <v>5418</v>
      </c>
      <c r="H2060" s="15" t="s">
        <v>54</v>
      </c>
      <c r="I2060" s="15">
        <v>0</v>
      </c>
      <c r="J2060" s="15">
        <v>0</v>
      </c>
      <c r="K2060" s="15">
        <v>0</v>
      </c>
      <c r="L2060" s="20">
        <v>0</v>
      </c>
      <c r="M2060" s="15">
        <v>0</v>
      </c>
      <c r="N2060" s="15">
        <v>0</v>
      </c>
      <c r="O2060" s="15">
        <v>0</v>
      </c>
      <c r="P2060" s="15">
        <v>0</v>
      </c>
      <c r="Q2060" s="15">
        <v>0</v>
      </c>
      <c r="R2060" s="15">
        <v>0</v>
      </c>
      <c r="S2060" s="15">
        <v>0</v>
      </c>
      <c r="T2060" s="15">
        <v>0</v>
      </c>
      <c r="U2060" s="15">
        <v>0</v>
      </c>
      <c r="V2060" s="15">
        <v>0</v>
      </c>
      <c r="W2060" s="15">
        <v>0</v>
      </c>
      <c r="X2060" s="15">
        <v>0</v>
      </c>
      <c r="Y2060" s="15">
        <v>0</v>
      </c>
      <c r="Z2060" s="15">
        <v>0</v>
      </c>
      <c r="AA2060" s="15"/>
      <c r="AB2060" s="15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</row>
    <row r="2061" spans="1:43">
      <c r="A2061" s="15" t="s">
        <v>49</v>
      </c>
      <c r="B2061" s="15" t="s">
        <v>50</v>
      </c>
      <c r="C2061" s="15" t="s">
        <v>301</v>
      </c>
      <c r="D2061" s="15" t="s">
        <v>5419</v>
      </c>
      <c r="E2061" s="15" t="s">
        <v>5420</v>
      </c>
      <c r="F2061" s="16">
        <v>45119.4711689815</v>
      </c>
      <c r="G2061" s="15" t="s">
        <v>5420</v>
      </c>
      <c r="H2061" s="15" t="s">
        <v>54</v>
      </c>
      <c r="I2061" s="15">
        <v>1259.03</v>
      </c>
      <c r="J2061" s="15">
        <v>14</v>
      </c>
      <c r="K2061" s="15">
        <v>89.9307142857143</v>
      </c>
      <c r="L2061" s="20">
        <v>1.79861428571429</v>
      </c>
      <c r="M2061" s="15">
        <v>108.91</v>
      </c>
      <c r="N2061" s="15">
        <v>88</v>
      </c>
      <c r="O2061" s="15">
        <v>102.66</v>
      </c>
      <c r="P2061" s="15">
        <v>60.15</v>
      </c>
      <c r="Q2061" s="15">
        <v>54.13</v>
      </c>
      <c r="R2061" s="15">
        <v>113.51</v>
      </c>
      <c r="S2061" s="15">
        <v>100.56</v>
      </c>
      <c r="T2061" s="15">
        <v>103.54</v>
      </c>
      <c r="U2061" s="15">
        <v>110.29</v>
      </c>
      <c r="V2061" s="15">
        <v>102.66</v>
      </c>
      <c r="W2061" s="15">
        <v>78.84</v>
      </c>
      <c r="X2061" s="15">
        <v>102.21</v>
      </c>
      <c r="Y2061" s="15">
        <v>67.9</v>
      </c>
      <c r="Z2061" s="15">
        <v>65.67</v>
      </c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</row>
    <row r="2062" spans="1:43">
      <c r="A2062" s="15" t="s">
        <v>43</v>
      </c>
      <c r="B2062" s="15" t="s">
        <v>44</v>
      </c>
      <c r="C2062" s="15" t="s">
        <v>45</v>
      </c>
      <c r="D2062" s="15" t="s">
        <v>5421</v>
      </c>
      <c r="E2062" s="15" t="s">
        <v>5422</v>
      </c>
      <c r="F2062" s="16">
        <v>42637.465</v>
      </c>
      <c r="G2062" s="15" t="s">
        <v>5422</v>
      </c>
      <c r="H2062" s="15" t="s">
        <v>5423</v>
      </c>
      <c r="I2062" s="15">
        <v>0</v>
      </c>
      <c r="J2062" s="15">
        <v>0</v>
      </c>
      <c r="K2062" s="15">
        <v>0</v>
      </c>
      <c r="L2062" s="20">
        <v>0</v>
      </c>
      <c r="M2062" s="15">
        <v>0</v>
      </c>
      <c r="N2062" s="15">
        <v>0</v>
      </c>
      <c r="O2062" s="15">
        <v>0</v>
      </c>
      <c r="P2062" s="15">
        <v>0</v>
      </c>
      <c r="Q2062" s="15">
        <v>0</v>
      </c>
      <c r="R2062" s="15">
        <v>0</v>
      </c>
      <c r="S2062" s="15">
        <v>0</v>
      </c>
      <c r="T2062" s="15">
        <v>0</v>
      </c>
      <c r="U2062" s="15">
        <v>0</v>
      </c>
      <c r="V2062" s="15">
        <v>0</v>
      </c>
      <c r="W2062" s="15">
        <v>0</v>
      </c>
      <c r="X2062" s="15">
        <v>0</v>
      </c>
      <c r="Y2062" s="15">
        <v>0</v>
      </c>
      <c r="Z2062" s="15">
        <v>0</v>
      </c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</row>
    <row r="2063" spans="1:43">
      <c r="A2063" s="15" t="s">
        <v>64</v>
      </c>
      <c r="B2063" s="15" t="s">
        <v>118</v>
      </c>
      <c r="C2063" s="15" t="s">
        <v>119</v>
      </c>
      <c r="D2063" s="15" t="s">
        <v>5424</v>
      </c>
      <c r="E2063" s="15" t="s">
        <v>2063</v>
      </c>
      <c r="F2063" s="16">
        <v>44916.6775810185</v>
      </c>
      <c r="G2063" s="15" t="s">
        <v>2063</v>
      </c>
      <c r="H2063" s="15" t="s">
        <v>54</v>
      </c>
      <c r="I2063" s="15">
        <v>0</v>
      </c>
      <c r="J2063" s="15">
        <v>0</v>
      </c>
      <c r="K2063" s="15">
        <v>0</v>
      </c>
      <c r="L2063" s="20">
        <v>0</v>
      </c>
      <c r="M2063" s="15">
        <v>0</v>
      </c>
      <c r="N2063" s="15">
        <v>0</v>
      </c>
      <c r="O2063" s="15">
        <v>0</v>
      </c>
      <c r="P2063" s="15">
        <v>0</v>
      </c>
      <c r="Q2063" s="15">
        <v>0</v>
      </c>
      <c r="R2063" s="15">
        <v>0</v>
      </c>
      <c r="S2063" s="15">
        <v>0</v>
      </c>
      <c r="T2063" s="15">
        <v>0</v>
      </c>
      <c r="U2063" s="15">
        <v>0</v>
      </c>
      <c r="V2063" s="15">
        <v>0</v>
      </c>
      <c r="W2063" s="15">
        <v>0</v>
      </c>
      <c r="X2063" s="15">
        <v>0</v>
      </c>
      <c r="Y2063" s="15">
        <v>0</v>
      </c>
      <c r="Z2063" s="15">
        <v>0</v>
      </c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</row>
    <row r="2064" spans="1:43">
      <c r="A2064" s="15" t="s">
        <v>43</v>
      </c>
      <c r="B2064" s="15" t="s">
        <v>44</v>
      </c>
      <c r="C2064" s="15" t="s">
        <v>45</v>
      </c>
      <c r="D2064" s="15" t="s">
        <v>5425</v>
      </c>
      <c r="E2064" s="15" t="s">
        <v>5426</v>
      </c>
      <c r="F2064" s="16">
        <v>43559.6026157407</v>
      </c>
      <c r="G2064" s="15" t="s">
        <v>5426</v>
      </c>
      <c r="H2064" s="15" t="s">
        <v>5427</v>
      </c>
      <c r="I2064" s="15">
        <v>0</v>
      </c>
      <c r="J2064" s="15">
        <v>0</v>
      </c>
      <c r="K2064" s="15">
        <v>0</v>
      </c>
      <c r="L2064" s="20">
        <v>0</v>
      </c>
      <c r="M2064" s="15">
        <v>0</v>
      </c>
      <c r="N2064" s="15">
        <v>0</v>
      </c>
      <c r="O2064" s="15">
        <v>0</v>
      </c>
      <c r="P2064" s="15">
        <v>0</v>
      </c>
      <c r="Q2064" s="15">
        <v>0</v>
      </c>
      <c r="R2064" s="15">
        <v>0</v>
      </c>
      <c r="S2064" s="15">
        <v>0</v>
      </c>
      <c r="T2064" s="15">
        <v>0</v>
      </c>
      <c r="U2064" s="15">
        <v>0</v>
      </c>
      <c r="V2064" s="15">
        <v>0</v>
      </c>
      <c r="W2064" s="15">
        <v>0</v>
      </c>
      <c r="X2064" s="15">
        <v>0</v>
      </c>
      <c r="Y2064" s="15">
        <v>0</v>
      </c>
      <c r="Z2064" s="15">
        <v>0</v>
      </c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</row>
    <row r="2065" spans="1:43">
      <c r="A2065" s="15" t="s">
        <v>43</v>
      </c>
      <c r="B2065" s="15" t="s">
        <v>44</v>
      </c>
      <c r="C2065" s="15" t="s">
        <v>45</v>
      </c>
      <c r="D2065" s="15" t="s">
        <v>5428</v>
      </c>
      <c r="E2065" s="15" t="s">
        <v>5429</v>
      </c>
      <c r="F2065" s="16">
        <v>42123.394212963</v>
      </c>
      <c r="G2065" s="15" t="s">
        <v>5429</v>
      </c>
      <c r="H2065" s="15" t="s">
        <v>5430</v>
      </c>
      <c r="I2065" s="15">
        <v>0</v>
      </c>
      <c r="J2065" s="15">
        <v>0</v>
      </c>
      <c r="K2065" s="15">
        <v>0</v>
      </c>
      <c r="L2065" s="20">
        <v>0</v>
      </c>
      <c r="M2065" s="15">
        <v>0</v>
      </c>
      <c r="N2065" s="15">
        <v>0</v>
      </c>
      <c r="O2065" s="15">
        <v>0</v>
      </c>
      <c r="P2065" s="15">
        <v>0</v>
      </c>
      <c r="Q2065" s="15">
        <v>0</v>
      </c>
      <c r="R2065" s="15">
        <v>0</v>
      </c>
      <c r="S2065" s="15">
        <v>0</v>
      </c>
      <c r="T2065" s="15">
        <v>0</v>
      </c>
      <c r="U2065" s="15">
        <v>0</v>
      </c>
      <c r="V2065" s="15">
        <v>0</v>
      </c>
      <c r="W2065" s="15">
        <v>0</v>
      </c>
      <c r="X2065" s="15">
        <v>0</v>
      </c>
      <c r="Y2065" s="15">
        <v>0</v>
      </c>
      <c r="Z2065" s="15">
        <v>0</v>
      </c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</row>
    <row r="2066" spans="1:43">
      <c r="A2066" s="15" t="s">
        <v>49</v>
      </c>
      <c r="B2066" s="15" t="s">
        <v>50</v>
      </c>
      <c r="C2066" s="15" t="s">
        <v>1300</v>
      </c>
      <c r="D2066" s="15" t="s">
        <v>5431</v>
      </c>
      <c r="E2066" s="15" t="s">
        <v>1302</v>
      </c>
      <c r="F2066" s="16">
        <v>45082.6712037037</v>
      </c>
      <c r="G2066" s="15" t="s">
        <v>1302</v>
      </c>
      <c r="H2066" s="15" t="s">
        <v>54</v>
      </c>
      <c r="I2066" s="15">
        <v>0</v>
      </c>
      <c r="J2066" s="15">
        <v>0</v>
      </c>
      <c r="K2066" s="15">
        <v>0</v>
      </c>
      <c r="L2066" s="20">
        <v>0</v>
      </c>
      <c r="M2066" s="15">
        <v>0</v>
      </c>
      <c r="N2066" s="15">
        <v>0</v>
      </c>
      <c r="O2066" s="15">
        <v>0</v>
      </c>
      <c r="P2066" s="15">
        <v>0</v>
      </c>
      <c r="Q2066" s="15">
        <v>0</v>
      </c>
      <c r="R2066" s="15">
        <v>0</v>
      </c>
      <c r="S2066" s="15">
        <v>0</v>
      </c>
      <c r="T2066" s="15">
        <v>0</v>
      </c>
      <c r="U2066" s="15">
        <v>0</v>
      </c>
      <c r="V2066" s="15">
        <v>0</v>
      </c>
      <c r="W2066" s="15">
        <v>0</v>
      </c>
      <c r="X2066" s="15">
        <v>0</v>
      </c>
      <c r="Y2066" s="15">
        <v>0</v>
      </c>
      <c r="Z2066" s="15">
        <v>0</v>
      </c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</row>
    <row r="2067" spans="1:43">
      <c r="A2067" s="15" t="s">
        <v>43</v>
      </c>
      <c r="B2067" s="15" t="s">
        <v>44</v>
      </c>
      <c r="C2067" s="15" t="s">
        <v>45</v>
      </c>
      <c r="D2067" s="15" t="s">
        <v>5432</v>
      </c>
      <c r="E2067" s="15" t="s">
        <v>5433</v>
      </c>
      <c r="F2067" s="16">
        <v>42906.7408333333</v>
      </c>
      <c r="G2067" s="15" t="s">
        <v>5433</v>
      </c>
      <c r="H2067" s="15" t="s">
        <v>5434</v>
      </c>
      <c r="I2067" s="15">
        <v>0</v>
      </c>
      <c r="J2067" s="15">
        <v>0</v>
      </c>
      <c r="K2067" s="15">
        <v>0</v>
      </c>
      <c r="L2067" s="20">
        <v>0</v>
      </c>
      <c r="M2067" s="15">
        <v>0</v>
      </c>
      <c r="N2067" s="15">
        <v>0</v>
      </c>
      <c r="O2067" s="15">
        <v>0</v>
      </c>
      <c r="P2067" s="15">
        <v>0</v>
      </c>
      <c r="Q2067" s="15">
        <v>0</v>
      </c>
      <c r="R2067" s="15">
        <v>0</v>
      </c>
      <c r="S2067" s="15">
        <v>0</v>
      </c>
      <c r="T2067" s="15">
        <v>0</v>
      </c>
      <c r="U2067" s="15">
        <v>0</v>
      </c>
      <c r="V2067" s="15">
        <v>0</v>
      </c>
      <c r="W2067" s="15">
        <v>0</v>
      </c>
      <c r="X2067" s="15">
        <v>0</v>
      </c>
      <c r="Y2067" s="15">
        <v>0</v>
      </c>
      <c r="Z2067" s="15">
        <v>0</v>
      </c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</row>
    <row r="2068" spans="1:43">
      <c r="A2068" s="15" t="s">
        <v>43</v>
      </c>
      <c r="B2068" s="15" t="s">
        <v>44</v>
      </c>
      <c r="C2068" s="15" t="s">
        <v>440</v>
      </c>
      <c r="D2068" s="15" t="s">
        <v>5435</v>
      </c>
      <c r="E2068" s="15" t="s">
        <v>5436</v>
      </c>
      <c r="F2068" s="16">
        <v>45121.6959375</v>
      </c>
      <c r="G2068" s="15" t="s">
        <v>5436</v>
      </c>
      <c r="H2068" s="15" t="s">
        <v>54</v>
      </c>
      <c r="I2068" s="15">
        <v>412.86</v>
      </c>
      <c r="J2068" s="15">
        <v>13</v>
      </c>
      <c r="K2068" s="15">
        <v>31.7584615384615</v>
      </c>
      <c r="L2068" s="20">
        <v>0.635169230769231</v>
      </c>
      <c r="M2068" s="15">
        <v>91.09</v>
      </c>
      <c r="N2068" s="15">
        <v>96.23</v>
      </c>
      <c r="O2068" s="15">
        <v>96.82</v>
      </c>
      <c r="P2068" s="15">
        <v>1.98</v>
      </c>
      <c r="Q2068" s="15">
        <v>0</v>
      </c>
      <c r="R2068" s="15">
        <v>0.44</v>
      </c>
      <c r="S2068" s="15">
        <v>0.59</v>
      </c>
      <c r="T2068" s="15">
        <v>11.84</v>
      </c>
      <c r="U2068" s="15">
        <v>16.61</v>
      </c>
      <c r="V2068" s="15">
        <v>20.77</v>
      </c>
      <c r="W2068" s="15">
        <v>14.23</v>
      </c>
      <c r="X2068" s="15">
        <v>17.84</v>
      </c>
      <c r="Y2068" s="15">
        <v>12.57</v>
      </c>
      <c r="Z2068" s="15">
        <v>31.85</v>
      </c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</row>
    <row r="2069" spans="1:43">
      <c r="A2069" s="15" t="s">
        <v>43</v>
      </c>
      <c r="B2069" s="15" t="s">
        <v>44</v>
      </c>
      <c r="C2069" s="15" t="s">
        <v>45</v>
      </c>
      <c r="D2069" s="15" t="s">
        <v>5437</v>
      </c>
      <c r="E2069" s="15" t="s">
        <v>5438</v>
      </c>
      <c r="F2069" s="16">
        <v>43372.4484143518</v>
      </c>
      <c r="G2069" s="15" t="s">
        <v>5438</v>
      </c>
      <c r="H2069" s="15" t="s">
        <v>54</v>
      </c>
      <c r="I2069" s="15">
        <v>0</v>
      </c>
      <c r="J2069" s="15">
        <v>0</v>
      </c>
      <c r="K2069" s="15">
        <v>0</v>
      </c>
      <c r="L2069" s="20">
        <v>0</v>
      </c>
      <c r="M2069" s="15">
        <v>0</v>
      </c>
      <c r="N2069" s="15">
        <v>0</v>
      </c>
      <c r="O2069" s="15">
        <v>0</v>
      </c>
      <c r="P2069" s="15">
        <v>0</v>
      </c>
      <c r="Q2069" s="15">
        <v>0</v>
      </c>
      <c r="R2069" s="15">
        <v>0</v>
      </c>
      <c r="S2069" s="15">
        <v>0</v>
      </c>
      <c r="T2069" s="15">
        <v>0</v>
      </c>
      <c r="U2069" s="15">
        <v>0</v>
      </c>
      <c r="V2069" s="15">
        <v>0</v>
      </c>
      <c r="W2069" s="15">
        <v>0</v>
      </c>
      <c r="X2069" s="15">
        <v>0</v>
      </c>
      <c r="Y2069" s="15">
        <v>0</v>
      </c>
      <c r="Z2069" s="15">
        <v>0</v>
      </c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</row>
    <row r="2070" spans="1:43">
      <c r="A2070" s="15" t="s">
        <v>43</v>
      </c>
      <c r="B2070" s="15" t="s">
        <v>44</v>
      </c>
      <c r="C2070" s="15" t="s">
        <v>45</v>
      </c>
      <c r="D2070" s="15" t="s">
        <v>5439</v>
      </c>
      <c r="E2070" s="15" t="s">
        <v>5440</v>
      </c>
      <c r="F2070" s="16">
        <v>41996.7170486111</v>
      </c>
      <c r="G2070" s="15" t="s">
        <v>5440</v>
      </c>
      <c r="H2070" s="15" t="s">
        <v>5441</v>
      </c>
      <c r="I2070" s="15">
        <v>0</v>
      </c>
      <c r="J2070" s="15">
        <v>0</v>
      </c>
      <c r="K2070" s="15">
        <v>0</v>
      </c>
      <c r="L2070" s="20">
        <v>0</v>
      </c>
      <c r="M2070" s="15">
        <v>0</v>
      </c>
      <c r="N2070" s="15">
        <v>0</v>
      </c>
      <c r="O2070" s="15">
        <v>0</v>
      </c>
      <c r="P2070" s="15">
        <v>0</v>
      </c>
      <c r="Q2070" s="15">
        <v>0</v>
      </c>
      <c r="R2070" s="15">
        <v>0</v>
      </c>
      <c r="S2070" s="15">
        <v>0</v>
      </c>
      <c r="T2070" s="15">
        <v>0</v>
      </c>
      <c r="U2070" s="15">
        <v>0</v>
      </c>
      <c r="V2070" s="15">
        <v>0</v>
      </c>
      <c r="W2070" s="15">
        <v>0</v>
      </c>
      <c r="X2070" s="15">
        <v>0</v>
      </c>
      <c r="Y2070" s="15">
        <v>0</v>
      </c>
      <c r="Z2070" s="15">
        <v>0</v>
      </c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</row>
    <row r="2071" spans="1:43">
      <c r="A2071" s="15" t="s">
        <v>43</v>
      </c>
      <c r="B2071" s="15" t="s">
        <v>44</v>
      </c>
      <c r="C2071" s="15" t="s">
        <v>45</v>
      </c>
      <c r="D2071" s="15" t="s">
        <v>5442</v>
      </c>
      <c r="E2071" s="15" t="s">
        <v>5443</v>
      </c>
      <c r="F2071" s="16">
        <v>40662.4668287037</v>
      </c>
      <c r="G2071" s="15" t="s">
        <v>5443</v>
      </c>
      <c r="H2071" s="15" t="s">
        <v>5444</v>
      </c>
      <c r="I2071" s="15">
        <v>0</v>
      </c>
      <c r="J2071" s="15">
        <v>0</v>
      </c>
      <c r="K2071" s="15">
        <v>0</v>
      </c>
      <c r="L2071" s="20">
        <v>0</v>
      </c>
      <c r="M2071" s="15">
        <v>0</v>
      </c>
      <c r="N2071" s="15">
        <v>0</v>
      </c>
      <c r="O2071" s="15">
        <v>0</v>
      </c>
      <c r="P2071" s="15">
        <v>0</v>
      </c>
      <c r="Q2071" s="15">
        <v>0</v>
      </c>
      <c r="R2071" s="15">
        <v>0</v>
      </c>
      <c r="S2071" s="15">
        <v>0</v>
      </c>
      <c r="T2071" s="15">
        <v>0</v>
      </c>
      <c r="U2071" s="15">
        <v>0</v>
      </c>
      <c r="V2071" s="15">
        <v>0</v>
      </c>
      <c r="W2071" s="15">
        <v>0</v>
      </c>
      <c r="X2071" s="15">
        <v>0</v>
      </c>
      <c r="Y2071" s="15">
        <v>0</v>
      </c>
      <c r="Z2071" s="15">
        <v>0</v>
      </c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</row>
    <row r="2072" spans="1:43">
      <c r="A2072" s="15" t="s">
        <v>49</v>
      </c>
      <c r="B2072" s="15" t="s">
        <v>50</v>
      </c>
      <c r="C2072" s="15" t="s">
        <v>61</v>
      </c>
      <c r="D2072" s="15" t="s">
        <v>5445</v>
      </c>
      <c r="E2072" s="15" t="s">
        <v>5446</v>
      </c>
      <c r="F2072" s="16">
        <v>0</v>
      </c>
      <c r="G2072" s="15" t="s">
        <v>5446</v>
      </c>
      <c r="H2072" s="15" t="s">
        <v>5447</v>
      </c>
      <c r="I2072" s="15">
        <v>0</v>
      </c>
      <c r="J2072" s="15">
        <v>0</v>
      </c>
      <c r="K2072" s="15">
        <v>0</v>
      </c>
      <c r="L2072" s="20">
        <v>0</v>
      </c>
      <c r="M2072" s="15">
        <v>0</v>
      </c>
      <c r="N2072" s="15">
        <v>0</v>
      </c>
      <c r="O2072" s="15">
        <v>0</v>
      </c>
      <c r="P2072" s="15">
        <v>0</v>
      </c>
      <c r="Q2072" s="15">
        <v>0</v>
      </c>
      <c r="R2072" s="15">
        <v>0</v>
      </c>
      <c r="S2072" s="15">
        <v>0</v>
      </c>
      <c r="T2072" s="15">
        <v>0</v>
      </c>
      <c r="U2072" s="15">
        <v>0</v>
      </c>
      <c r="V2072" s="15">
        <v>0</v>
      </c>
      <c r="W2072" s="15">
        <v>0</v>
      </c>
      <c r="X2072" s="15">
        <v>0</v>
      </c>
      <c r="Y2072" s="15">
        <v>0</v>
      </c>
      <c r="Z2072" s="15">
        <v>0</v>
      </c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</row>
    <row r="2073" spans="1:43">
      <c r="A2073" s="15" t="s">
        <v>49</v>
      </c>
      <c r="B2073" s="15" t="s">
        <v>50</v>
      </c>
      <c r="C2073" s="15" t="s">
        <v>61</v>
      </c>
      <c r="D2073" s="15" t="s">
        <v>5448</v>
      </c>
      <c r="E2073" s="15" t="s">
        <v>5449</v>
      </c>
      <c r="F2073" s="16">
        <v>0</v>
      </c>
      <c r="G2073" s="15" t="s">
        <v>5449</v>
      </c>
      <c r="H2073" s="15" t="s">
        <v>5450</v>
      </c>
      <c r="I2073" s="15">
        <v>0</v>
      </c>
      <c r="J2073" s="15">
        <v>0</v>
      </c>
      <c r="K2073" s="15">
        <v>0</v>
      </c>
      <c r="L2073" s="20">
        <v>0</v>
      </c>
      <c r="M2073" s="15">
        <v>0</v>
      </c>
      <c r="N2073" s="15">
        <v>0</v>
      </c>
      <c r="O2073" s="15">
        <v>0</v>
      </c>
      <c r="P2073" s="15">
        <v>0</v>
      </c>
      <c r="Q2073" s="15">
        <v>0</v>
      </c>
      <c r="R2073" s="15">
        <v>0</v>
      </c>
      <c r="S2073" s="15">
        <v>0</v>
      </c>
      <c r="T2073" s="15">
        <v>0</v>
      </c>
      <c r="U2073" s="15">
        <v>0</v>
      </c>
      <c r="V2073" s="15">
        <v>0</v>
      </c>
      <c r="W2073" s="15">
        <v>0</v>
      </c>
      <c r="X2073" s="15">
        <v>0</v>
      </c>
      <c r="Y2073" s="15">
        <v>0</v>
      </c>
      <c r="Z2073" s="15">
        <v>0</v>
      </c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</row>
    <row r="2074" spans="1:43">
      <c r="A2074" s="15" t="s">
        <v>49</v>
      </c>
      <c r="B2074" s="15" t="s">
        <v>50</v>
      </c>
      <c r="C2074" s="15" t="s">
        <v>61</v>
      </c>
      <c r="D2074" s="15" t="s">
        <v>5451</v>
      </c>
      <c r="E2074" s="15" t="s">
        <v>2086</v>
      </c>
      <c r="F2074" s="16">
        <v>0</v>
      </c>
      <c r="G2074" s="15" t="s">
        <v>2086</v>
      </c>
      <c r="H2074" s="15" t="s">
        <v>5452</v>
      </c>
      <c r="I2074" s="15">
        <v>0</v>
      </c>
      <c r="J2074" s="15">
        <v>0</v>
      </c>
      <c r="K2074" s="15">
        <v>0</v>
      </c>
      <c r="L2074" s="20">
        <v>0</v>
      </c>
      <c r="M2074" s="15">
        <v>0</v>
      </c>
      <c r="N2074" s="15">
        <v>0</v>
      </c>
      <c r="O2074" s="15">
        <v>0</v>
      </c>
      <c r="P2074" s="15">
        <v>0</v>
      </c>
      <c r="Q2074" s="15">
        <v>0</v>
      </c>
      <c r="R2074" s="15">
        <v>0</v>
      </c>
      <c r="S2074" s="15">
        <v>0</v>
      </c>
      <c r="T2074" s="15">
        <v>0</v>
      </c>
      <c r="U2074" s="15">
        <v>0</v>
      </c>
      <c r="V2074" s="15">
        <v>0</v>
      </c>
      <c r="W2074" s="15">
        <v>0</v>
      </c>
      <c r="X2074" s="15">
        <v>0</v>
      </c>
      <c r="Y2074" s="15">
        <v>0</v>
      </c>
      <c r="Z2074" s="15">
        <v>0</v>
      </c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</row>
    <row r="2075" spans="1:43">
      <c r="A2075" s="15" t="s">
        <v>64</v>
      </c>
      <c r="B2075" s="15" t="s">
        <v>118</v>
      </c>
      <c r="C2075" s="15" t="s">
        <v>131</v>
      </c>
      <c r="D2075" s="15" t="s">
        <v>5453</v>
      </c>
      <c r="E2075" s="15" t="s">
        <v>2505</v>
      </c>
      <c r="F2075" s="16">
        <v>45090.4714583333</v>
      </c>
      <c r="G2075" s="15" t="s">
        <v>2505</v>
      </c>
      <c r="H2075" s="15" t="s">
        <v>54</v>
      </c>
      <c r="I2075" s="15">
        <v>1970.21</v>
      </c>
      <c r="J2075" s="15">
        <v>14</v>
      </c>
      <c r="K2075" s="15">
        <v>140.729285714286</v>
      </c>
      <c r="L2075" s="20">
        <v>2.01041836734694</v>
      </c>
      <c r="M2075" s="15">
        <v>164.92</v>
      </c>
      <c r="N2075" s="15">
        <v>123.37</v>
      </c>
      <c r="O2075" s="15">
        <v>64.98</v>
      </c>
      <c r="P2075" s="15">
        <v>58.23</v>
      </c>
      <c r="Q2075" s="15">
        <v>109.37</v>
      </c>
      <c r="R2075" s="15">
        <v>73.69</v>
      </c>
      <c r="S2075" s="15">
        <v>191.33</v>
      </c>
      <c r="T2075" s="15">
        <v>215.82</v>
      </c>
      <c r="U2075" s="15">
        <v>172.81</v>
      </c>
      <c r="V2075" s="15">
        <v>167.96</v>
      </c>
      <c r="W2075" s="15">
        <v>149.62</v>
      </c>
      <c r="X2075" s="15">
        <v>118.69</v>
      </c>
      <c r="Y2075" s="15">
        <v>132.04</v>
      </c>
      <c r="Z2075" s="15">
        <v>227.38</v>
      </c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</row>
    <row r="2076" spans="1:43">
      <c r="A2076" s="15" t="s">
        <v>43</v>
      </c>
      <c r="B2076" s="15" t="s">
        <v>44</v>
      </c>
      <c r="C2076" s="15" t="s">
        <v>45</v>
      </c>
      <c r="D2076" s="15" t="s">
        <v>5454</v>
      </c>
      <c r="E2076" s="15" t="s">
        <v>5455</v>
      </c>
      <c r="F2076" s="16">
        <v>43537.4690625</v>
      </c>
      <c r="G2076" s="15" t="s">
        <v>5455</v>
      </c>
      <c r="H2076" s="15" t="s">
        <v>5456</v>
      </c>
      <c r="I2076" s="15">
        <v>0</v>
      </c>
      <c r="J2076" s="15">
        <v>0</v>
      </c>
      <c r="K2076" s="15">
        <v>0</v>
      </c>
      <c r="L2076" s="20">
        <v>0</v>
      </c>
      <c r="M2076" s="15">
        <v>0</v>
      </c>
      <c r="N2076" s="15">
        <v>0</v>
      </c>
      <c r="O2076" s="15">
        <v>0</v>
      </c>
      <c r="P2076" s="15">
        <v>0</v>
      </c>
      <c r="Q2076" s="15">
        <v>0</v>
      </c>
      <c r="R2076" s="15">
        <v>0</v>
      </c>
      <c r="S2076" s="15">
        <v>0</v>
      </c>
      <c r="T2076" s="15">
        <v>0</v>
      </c>
      <c r="U2076" s="15">
        <v>0</v>
      </c>
      <c r="V2076" s="15">
        <v>0</v>
      </c>
      <c r="W2076" s="15">
        <v>0</v>
      </c>
      <c r="X2076" s="15">
        <v>0</v>
      </c>
      <c r="Y2076" s="15">
        <v>0</v>
      </c>
      <c r="Z2076" s="15">
        <v>0</v>
      </c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</row>
    <row r="2077" spans="1:43">
      <c r="A2077" s="15" t="s">
        <v>49</v>
      </c>
      <c r="B2077" s="15" t="s">
        <v>50</v>
      </c>
      <c r="C2077" s="15" t="s">
        <v>61</v>
      </c>
      <c r="D2077" s="15" t="s">
        <v>5457</v>
      </c>
      <c r="E2077" s="15" t="s">
        <v>5458</v>
      </c>
      <c r="F2077" s="16">
        <v>0</v>
      </c>
      <c r="G2077" s="15" t="s">
        <v>5458</v>
      </c>
      <c r="H2077" s="15" t="s">
        <v>54</v>
      </c>
      <c r="I2077" s="15">
        <v>0</v>
      </c>
      <c r="J2077" s="15">
        <v>0</v>
      </c>
      <c r="K2077" s="15">
        <v>0</v>
      </c>
      <c r="L2077" s="20">
        <v>0</v>
      </c>
      <c r="M2077" s="15">
        <v>0</v>
      </c>
      <c r="N2077" s="15">
        <v>0</v>
      </c>
      <c r="O2077" s="15">
        <v>0</v>
      </c>
      <c r="P2077" s="15">
        <v>0</v>
      </c>
      <c r="Q2077" s="15">
        <v>0</v>
      </c>
      <c r="R2077" s="15">
        <v>0</v>
      </c>
      <c r="S2077" s="15">
        <v>0</v>
      </c>
      <c r="T2077" s="15">
        <v>0</v>
      </c>
      <c r="U2077" s="15">
        <v>0</v>
      </c>
      <c r="V2077" s="15">
        <v>0</v>
      </c>
      <c r="W2077" s="15">
        <v>0</v>
      </c>
      <c r="X2077" s="15">
        <v>0</v>
      </c>
      <c r="Y2077" s="15">
        <v>0</v>
      </c>
      <c r="Z2077" s="15">
        <v>0</v>
      </c>
      <c r="AA2077" s="15"/>
      <c r="AB2077" s="15"/>
      <c r="AC2077" s="15"/>
      <c r="AD2077" s="15"/>
      <c r="AE2077" s="15"/>
      <c r="AF2077" s="15"/>
      <c r="AG2077" s="15"/>
      <c r="AH2077" s="15"/>
      <c r="AI2077" s="15"/>
      <c r="AJ2077" s="15"/>
      <c r="AK2077" s="15"/>
      <c r="AL2077" s="15"/>
      <c r="AM2077" s="15"/>
      <c r="AN2077" s="15"/>
      <c r="AO2077" s="15"/>
      <c r="AP2077" s="15"/>
      <c r="AQ2077" s="15"/>
    </row>
    <row r="2078" spans="1:43">
      <c r="A2078" s="15" t="s">
        <v>43</v>
      </c>
      <c r="B2078" s="15" t="s">
        <v>44</v>
      </c>
      <c r="C2078" s="15" t="s">
        <v>440</v>
      </c>
      <c r="D2078" s="15" t="s">
        <v>5459</v>
      </c>
      <c r="E2078" s="15" t="s">
        <v>5459</v>
      </c>
      <c r="F2078" s="16">
        <v>44877.4725115741</v>
      </c>
      <c r="G2078" s="15" t="s">
        <v>5459</v>
      </c>
      <c r="H2078" s="15" t="s">
        <v>54</v>
      </c>
      <c r="I2078" s="15">
        <v>718.3</v>
      </c>
      <c r="J2078" s="15">
        <v>14</v>
      </c>
      <c r="K2078" s="15">
        <v>51.3071428571429</v>
      </c>
      <c r="L2078" s="20">
        <v>1.02614285714286</v>
      </c>
      <c r="M2078" s="15">
        <v>50.68</v>
      </c>
      <c r="N2078" s="15">
        <v>51.47</v>
      </c>
      <c r="O2078" s="15">
        <v>52.39</v>
      </c>
      <c r="P2078" s="15">
        <v>50.54</v>
      </c>
      <c r="Q2078" s="15">
        <v>50.3</v>
      </c>
      <c r="R2078" s="15">
        <v>54.03</v>
      </c>
      <c r="S2078" s="15">
        <v>51.99</v>
      </c>
      <c r="T2078" s="15">
        <v>50.04</v>
      </c>
      <c r="U2078" s="15">
        <v>52.45</v>
      </c>
      <c r="V2078" s="15">
        <v>51.15</v>
      </c>
      <c r="W2078" s="15">
        <v>50.44</v>
      </c>
      <c r="X2078" s="15">
        <v>50.31</v>
      </c>
      <c r="Y2078" s="15">
        <v>51.64</v>
      </c>
      <c r="Z2078" s="15">
        <v>50.87</v>
      </c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</row>
    <row r="2079" spans="1:43">
      <c r="A2079" s="15" t="s">
        <v>64</v>
      </c>
      <c r="B2079" s="15" t="s">
        <v>118</v>
      </c>
      <c r="C2079" s="15" t="s">
        <v>131</v>
      </c>
      <c r="D2079" s="15" t="s">
        <v>5460</v>
      </c>
      <c r="E2079" s="15" t="s">
        <v>5461</v>
      </c>
      <c r="F2079" s="16">
        <v>44998.3871527778</v>
      </c>
      <c r="G2079" s="15" t="s">
        <v>5461</v>
      </c>
      <c r="H2079" s="15" t="s">
        <v>5462</v>
      </c>
      <c r="I2079" s="15">
        <v>1886.43</v>
      </c>
      <c r="J2079" s="15">
        <v>14</v>
      </c>
      <c r="K2079" s="15">
        <v>134.745</v>
      </c>
      <c r="L2079" s="20">
        <v>1.92492857142857</v>
      </c>
      <c r="M2079" s="15">
        <v>40.95</v>
      </c>
      <c r="N2079" s="15">
        <v>42.26</v>
      </c>
      <c r="O2079" s="15">
        <v>102.53</v>
      </c>
      <c r="P2079" s="15">
        <v>167.57</v>
      </c>
      <c r="Q2079" s="15">
        <v>181.29</v>
      </c>
      <c r="R2079" s="15">
        <v>203</v>
      </c>
      <c r="S2079" s="15">
        <v>233.23</v>
      </c>
      <c r="T2079" s="15">
        <v>163.24</v>
      </c>
      <c r="U2079" s="15">
        <v>213.45</v>
      </c>
      <c r="V2079" s="15">
        <v>81.69</v>
      </c>
      <c r="W2079" s="15">
        <v>75.5</v>
      </c>
      <c r="X2079" s="15">
        <v>44.06</v>
      </c>
      <c r="Y2079" s="15">
        <v>212.62</v>
      </c>
      <c r="Z2079" s="15">
        <v>125.04</v>
      </c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</row>
    <row r="2080" spans="1:43">
      <c r="A2080" s="15" t="s">
        <v>49</v>
      </c>
      <c r="B2080" s="15" t="s">
        <v>50</v>
      </c>
      <c r="C2080" s="15" t="s">
        <v>61</v>
      </c>
      <c r="D2080" s="15" t="s">
        <v>5463</v>
      </c>
      <c r="E2080" s="15" t="s">
        <v>4176</v>
      </c>
      <c r="F2080" s="16">
        <v>0</v>
      </c>
      <c r="G2080" s="15" t="s">
        <v>4176</v>
      </c>
      <c r="H2080" s="15" t="s">
        <v>4177</v>
      </c>
      <c r="I2080" s="15">
        <v>0</v>
      </c>
      <c r="J2080" s="15">
        <v>0</v>
      </c>
      <c r="K2080" s="15">
        <v>0</v>
      </c>
      <c r="L2080" s="20">
        <v>0</v>
      </c>
      <c r="M2080" s="15">
        <v>0</v>
      </c>
      <c r="N2080" s="15">
        <v>0</v>
      </c>
      <c r="O2080" s="15">
        <v>0</v>
      </c>
      <c r="P2080" s="15">
        <v>0</v>
      </c>
      <c r="Q2080" s="15">
        <v>0</v>
      </c>
      <c r="R2080" s="15">
        <v>0</v>
      </c>
      <c r="S2080" s="15">
        <v>0</v>
      </c>
      <c r="T2080" s="15">
        <v>0</v>
      </c>
      <c r="U2080" s="15">
        <v>0</v>
      </c>
      <c r="V2080" s="15">
        <v>0</v>
      </c>
      <c r="W2080" s="15">
        <v>0</v>
      </c>
      <c r="X2080" s="15">
        <v>0</v>
      </c>
      <c r="Y2080" s="15">
        <v>0</v>
      </c>
      <c r="Z2080" s="15">
        <v>0</v>
      </c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</row>
    <row r="2081" spans="1:43">
      <c r="A2081" s="15" t="s">
        <v>43</v>
      </c>
      <c r="B2081" s="15" t="s">
        <v>44</v>
      </c>
      <c r="C2081" s="15" t="s">
        <v>45</v>
      </c>
      <c r="D2081" s="15" t="s">
        <v>5464</v>
      </c>
      <c r="E2081" s="15" t="s">
        <v>5465</v>
      </c>
      <c r="F2081" s="16">
        <v>41976.689537037</v>
      </c>
      <c r="G2081" s="15" t="s">
        <v>5465</v>
      </c>
      <c r="H2081" s="15" t="s">
        <v>5466</v>
      </c>
      <c r="I2081" s="15">
        <v>0</v>
      </c>
      <c r="J2081" s="15">
        <v>0</v>
      </c>
      <c r="K2081" s="15">
        <v>0</v>
      </c>
      <c r="L2081" s="20">
        <v>0</v>
      </c>
      <c r="M2081" s="15">
        <v>0</v>
      </c>
      <c r="N2081" s="15">
        <v>0</v>
      </c>
      <c r="O2081" s="15">
        <v>0</v>
      </c>
      <c r="P2081" s="15">
        <v>0</v>
      </c>
      <c r="Q2081" s="15">
        <v>0</v>
      </c>
      <c r="R2081" s="15">
        <v>0</v>
      </c>
      <c r="S2081" s="15">
        <v>0</v>
      </c>
      <c r="T2081" s="15">
        <v>0</v>
      </c>
      <c r="U2081" s="15">
        <v>0</v>
      </c>
      <c r="V2081" s="15">
        <v>0</v>
      </c>
      <c r="W2081" s="15">
        <v>0</v>
      </c>
      <c r="X2081" s="15">
        <v>0</v>
      </c>
      <c r="Y2081" s="15">
        <v>0</v>
      </c>
      <c r="Z2081" s="15">
        <v>0</v>
      </c>
      <c r="AA2081" s="15"/>
      <c r="AB2081" s="15"/>
      <c r="AC2081" s="15"/>
      <c r="AD2081" s="15"/>
      <c r="AE2081" s="15"/>
      <c r="AF2081" s="15"/>
      <c r="AG2081" s="15"/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</row>
    <row r="2082" spans="1:43">
      <c r="A2082" s="15" t="s">
        <v>64</v>
      </c>
      <c r="B2082" s="15" t="s">
        <v>65</v>
      </c>
      <c r="C2082" s="15" t="s">
        <v>401</v>
      </c>
      <c r="D2082" s="15" t="s">
        <v>5467</v>
      </c>
      <c r="E2082" s="15" t="s">
        <v>5468</v>
      </c>
      <c r="F2082" s="16">
        <v>45036.4306365741</v>
      </c>
      <c r="G2082" s="15" t="s">
        <v>5468</v>
      </c>
      <c r="H2082" s="15" t="s">
        <v>5469</v>
      </c>
      <c r="I2082" s="15">
        <v>1438.23</v>
      </c>
      <c r="J2082" s="15">
        <v>14</v>
      </c>
      <c r="K2082" s="15">
        <v>102.730714285714</v>
      </c>
      <c r="L2082" s="20">
        <v>1.46758163265306</v>
      </c>
      <c r="M2082" s="15">
        <v>73.81</v>
      </c>
      <c r="N2082" s="15">
        <v>102.89</v>
      </c>
      <c r="O2082" s="15">
        <v>129.78</v>
      </c>
      <c r="P2082" s="15">
        <v>103.65</v>
      </c>
      <c r="Q2082" s="15">
        <v>105.44</v>
      </c>
      <c r="R2082" s="15">
        <v>113.55</v>
      </c>
      <c r="S2082" s="15">
        <v>124.09</v>
      </c>
      <c r="T2082" s="15">
        <v>94.48</v>
      </c>
      <c r="U2082" s="15">
        <v>89.28</v>
      </c>
      <c r="V2082" s="15">
        <v>95.41</v>
      </c>
      <c r="W2082" s="15">
        <v>101.13</v>
      </c>
      <c r="X2082" s="15">
        <v>100.15</v>
      </c>
      <c r="Y2082" s="15">
        <v>100.4</v>
      </c>
      <c r="Z2082" s="15">
        <v>104.17</v>
      </c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</row>
    <row r="2083" spans="1:43">
      <c r="A2083" s="15" t="s">
        <v>49</v>
      </c>
      <c r="B2083" s="15" t="s">
        <v>50</v>
      </c>
      <c r="C2083" s="15" t="s">
        <v>61</v>
      </c>
      <c r="D2083" s="15" t="s">
        <v>5470</v>
      </c>
      <c r="E2083" s="15" t="s">
        <v>4840</v>
      </c>
      <c r="F2083" s="16">
        <v>0</v>
      </c>
      <c r="G2083" s="15" t="s">
        <v>4840</v>
      </c>
      <c r="H2083" s="15" t="s">
        <v>54</v>
      </c>
      <c r="I2083" s="15">
        <v>0</v>
      </c>
      <c r="J2083" s="15">
        <v>0</v>
      </c>
      <c r="K2083" s="15">
        <v>0</v>
      </c>
      <c r="L2083" s="20">
        <v>0</v>
      </c>
      <c r="M2083" s="15">
        <v>0</v>
      </c>
      <c r="N2083" s="15">
        <v>0</v>
      </c>
      <c r="O2083" s="15">
        <v>0</v>
      </c>
      <c r="P2083" s="15">
        <v>0</v>
      </c>
      <c r="Q2083" s="15">
        <v>0</v>
      </c>
      <c r="R2083" s="15">
        <v>0</v>
      </c>
      <c r="S2083" s="15">
        <v>0</v>
      </c>
      <c r="T2083" s="15">
        <v>0</v>
      </c>
      <c r="U2083" s="15">
        <v>0</v>
      </c>
      <c r="V2083" s="15">
        <v>0</v>
      </c>
      <c r="W2083" s="15">
        <v>0</v>
      </c>
      <c r="X2083" s="15">
        <v>0</v>
      </c>
      <c r="Y2083" s="15">
        <v>0</v>
      </c>
      <c r="Z2083" s="15">
        <v>0</v>
      </c>
      <c r="AA2083" s="15"/>
      <c r="AB2083" s="15"/>
      <c r="AC2083" s="15"/>
      <c r="AD2083" s="15"/>
      <c r="AE2083" s="15"/>
      <c r="AF2083" s="15"/>
      <c r="AG2083" s="15"/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</row>
    <row r="2084" spans="1:43">
      <c r="A2084" s="15" t="s">
        <v>64</v>
      </c>
      <c r="B2084" s="15" t="s">
        <v>65</v>
      </c>
      <c r="C2084" s="15" t="s">
        <v>93</v>
      </c>
      <c r="D2084" s="15" t="s">
        <v>5471</v>
      </c>
      <c r="E2084" s="15" t="s">
        <v>148</v>
      </c>
      <c r="F2084" s="16">
        <v>45083.6410416667</v>
      </c>
      <c r="G2084" s="15" t="s">
        <v>148</v>
      </c>
      <c r="H2084" s="15" t="s">
        <v>5110</v>
      </c>
      <c r="I2084" s="15">
        <v>0</v>
      </c>
      <c r="J2084" s="15">
        <v>0</v>
      </c>
      <c r="K2084" s="15">
        <v>0</v>
      </c>
      <c r="L2084" s="20">
        <v>0</v>
      </c>
      <c r="M2084" s="15">
        <v>0</v>
      </c>
      <c r="N2084" s="15">
        <v>0</v>
      </c>
      <c r="O2084" s="15">
        <v>0</v>
      </c>
      <c r="P2084" s="15">
        <v>0</v>
      </c>
      <c r="Q2084" s="15">
        <v>0</v>
      </c>
      <c r="R2084" s="15">
        <v>0</v>
      </c>
      <c r="S2084" s="15">
        <v>0</v>
      </c>
      <c r="T2084" s="15">
        <v>0</v>
      </c>
      <c r="U2084" s="15">
        <v>0</v>
      </c>
      <c r="V2084" s="15">
        <v>0</v>
      </c>
      <c r="W2084" s="15">
        <v>0</v>
      </c>
      <c r="X2084" s="15">
        <v>0</v>
      </c>
      <c r="Y2084" s="15">
        <v>0</v>
      </c>
      <c r="Z2084" s="15">
        <v>0</v>
      </c>
      <c r="AA2084" s="15"/>
      <c r="AB2084" s="15"/>
      <c r="AC2084" s="15"/>
      <c r="AD2084" s="15"/>
      <c r="AE2084" s="15"/>
      <c r="AF2084" s="15"/>
      <c r="AG2084" s="15"/>
      <c r="AH2084" s="15"/>
      <c r="AI2084" s="15"/>
      <c r="AJ2084" s="15"/>
      <c r="AK2084" s="15"/>
      <c r="AL2084" s="15"/>
      <c r="AM2084" s="15"/>
      <c r="AN2084" s="15"/>
      <c r="AO2084" s="15"/>
      <c r="AP2084" s="15"/>
      <c r="AQ2084" s="15"/>
    </row>
    <row r="2085" spans="1:43">
      <c r="A2085" s="15" t="s">
        <v>49</v>
      </c>
      <c r="B2085" s="15" t="s">
        <v>50</v>
      </c>
      <c r="C2085" s="15" t="s">
        <v>61</v>
      </c>
      <c r="D2085" s="15" t="s">
        <v>5472</v>
      </c>
      <c r="E2085" s="15" t="s">
        <v>5473</v>
      </c>
      <c r="F2085" s="16">
        <v>0</v>
      </c>
      <c r="G2085" s="15" t="s">
        <v>5473</v>
      </c>
      <c r="H2085" s="15" t="s">
        <v>54</v>
      </c>
      <c r="I2085" s="15">
        <v>0</v>
      </c>
      <c r="J2085" s="15">
        <v>0</v>
      </c>
      <c r="K2085" s="15">
        <v>0</v>
      </c>
      <c r="L2085" s="20">
        <v>0</v>
      </c>
      <c r="M2085" s="15">
        <v>0</v>
      </c>
      <c r="N2085" s="15">
        <v>0</v>
      </c>
      <c r="O2085" s="15">
        <v>0</v>
      </c>
      <c r="P2085" s="15">
        <v>0</v>
      </c>
      <c r="Q2085" s="15">
        <v>0</v>
      </c>
      <c r="R2085" s="15">
        <v>0</v>
      </c>
      <c r="S2085" s="15">
        <v>0</v>
      </c>
      <c r="T2085" s="15">
        <v>0</v>
      </c>
      <c r="U2085" s="15">
        <v>0</v>
      </c>
      <c r="V2085" s="15">
        <v>0</v>
      </c>
      <c r="W2085" s="15">
        <v>0</v>
      </c>
      <c r="X2085" s="15">
        <v>0</v>
      </c>
      <c r="Y2085" s="15">
        <v>0</v>
      </c>
      <c r="Z2085" s="15">
        <v>0</v>
      </c>
      <c r="AA2085" s="15"/>
      <c r="AB2085" s="15"/>
      <c r="AC2085" s="15"/>
      <c r="AD2085" s="15"/>
      <c r="AE2085" s="15"/>
      <c r="AF2085" s="15"/>
      <c r="AG2085" s="15"/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</row>
    <row r="2086" spans="1:43">
      <c r="A2086" s="15" t="s">
        <v>43</v>
      </c>
      <c r="B2086" s="15" t="s">
        <v>44</v>
      </c>
      <c r="C2086" s="15" t="s">
        <v>45</v>
      </c>
      <c r="D2086" s="15" t="s">
        <v>5474</v>
      </c>
      <c r="E2086" s="15" t="s">
        <v>5475</v>
      </c>
      <c r="F2086" s="16">
        <v>39715.7234722222</v>
      </c>
      <c r="G2086" s="15" t="s">
        <v>5475</v>
      </c>
      <c r="H2086" s="15" t="s">
        <v>5476</v>
      </c>
      <c r="I2086" s="15">
        <v>0</v>
      </c>
      <c r="J2086" s="15">
        <v>0</v>
      </c>
      <c r="K2086" s="15">
        <v>0</v>
      </c>
      <c r="L2086" s="20">
        <v>0</v>
      </c>
      <c r="M2086" s="15">
        <v>0</v>
      </c>
      <c r="N2086" s="15">
        <v>0</v>
      </c>
      <c r="O2086" s="15">
        <v>0</v>
      </c>
      <c r="P2086" s="15">
        <v>0</v>
      </c>
      <c r="Q2086" s="15">
        <v>0</v>
      </c>
      <c r="R2086" s="15">
        <v>0</v>
      </c>
      <c r="S2086" s="15">
        <v>0</v>
      </c>
      <c r="T2086" s="15">
        <v>0</v>
      </c>
      <c r="U2086" s="15">
        <v>0</v>
      </c>
      <c r="V2086" s="15">
        <v>0</v>
      </c>
      <c r="W2086" s="15">
        <v>0</v>
      </c>
      <c r="X2086" s="15">
        <v>0</v>
      </c>
      <c r="Y2086" s="15">
        <v>0</v>
      </c>
      <c r="Z2086" s="15">
        <v>0</v>
      </c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</row>
    <row r="2087" spans="1:43">
      <c r="A2087" s="15" t="s">
        <v>49</v>
      </c>
      <c r="B2087" s="15" t="s">
        <v>50</v>
      </c>
      <c r="C2087" s="15" t="s">
        <v>61</v>
      </c>
      <c r="D2087" s="15" t="s">
        <v>5477</v>
      </c>
      <c r="E2087" s="15" t="s">
        <v>5478</v>
      </c>
      <c r="F2087" s="16">
        <v>0</v>
      </c>
      <c r="G2087" s="15" t="s">
        <v>5478</v>
      </c>
      <c r="H2087" s="15" t="s">
        <v>5479</v>
      </c>
      <c r="I2087" s="15">
        <v>0</v>
      </c>
      <c r="J2087" s="15">
        <v>0</v>
      </c>
      <c r="K2087" s="15">
        <v>0</v>
      </c>
      <c r="L2087" s="20">
        <v>0</v>
      </c>
      <c r="M2087" s="15">
        <v>0</v>
      </c>
      <c r="N2087" s="15">
        <v>0</v>
      </c>
      <c r="O2087" s="15">
        <v>0</v>
      </c>
      <c r="P2087" s="15">
        <v>0</v>
      </c>
      <c r="Q2087" s="15">
        <v>0</v>
      </c>
      <c r="R2087" s="15">
        <v>0</v>
      </c>
      <c r="S2087" s="15">
        <v>0</v>
      </c>
      <c r="T2087" s="15">
        <v>0</v>
      </c>
      <c r="U2087" s="15">
        <v>0</v>
      </c>
      <c r="V2087" s="15">
        <v>0</v>
      </c>
      <c r="W2087" s="15">
        <v>0</v>
      </c>
      <c r="X2087" s="15">
        <v>0</v>
      </c>
      <c r="Y2087" s="15">
        <v>0</v>
      </c>
      <c r="Z2087" s="15">
        <v>0</v>
      </c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</row>
    <row r="2088" spans="1:43">
      <c r="A2088" s="15" t="s">
        <v>49</v>
      </c>
      <c r="B2088" s="15" t="s">
        <v>50</v>
      </c>
      <c r="C2088" s="15" t="s">
        <v>75</v>
      </c>
      <c r="D2088" s="15" t="s">
        <v>5480</v>
      </c>
      <c r="E2088" s="15" t="s">
        <v>5481</v>
      </c>
      <c r="F2088" s="16">
        <v>45152.6540162037</v>
      </c>
      <c r="G2088" s="15" t="s">
        <v>5481</v>
      </c>
      <c r="H2088" s="15" t="s">
        <v>54</v>
      </c>
      <c r="I2088" s="15">
        <v>0</v>
      </c>
      <c r="J2088" s="15">
        <v>0</v>
      </c>
      <c r="K2088" s="15">
        <v>0</v>
      </c>
      <c r="L2088" s="20">
        <v>0</v>
      </c>
      <c r="M2088" s="15">
        <v>0</v>
      </c>
      <c r="N2088" s="15">
        <v>0</v>
      </c>
      <c r="O2088" s="15">
        <v>0</v>
      </c>
      <c r="P2088" s="15">
        <v>0</v>
      </c>
      <c r="Q2088" s="15">
        <v>0</v>
      </c>
      <c r="R2088" s="15">
        <v>0</v>
      </c>
      <c r="S2088" s="15">
        <v>0</v>
      </c>
      <c r="T2088" s="15">
        <v>0</v>
      </c>
      <c r="U2088" s="15">
        <v>0</v>
      </c>
      <c r="V2088" s="15">
        <v>0</v>
      </c>
      <c r="W2088" s="15">
        <v>0</v>
      </c>
      <c r="X2088" s="15">
        <v>0</v>
      </c>
      <c r="Y2088" s="15">
        <v>0</v>
      </c>
      <c r="Z2088" s="15">
        <v>0</v>
      </c>
      <c r="AA2088" s="15"/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  <c r="AN2088" s="15"/>
      <c r="AO2088" s="15"/>
      <c r="AP2088" s="15"/>
      <c r="AQ2088" s="15"/>
    </row>
    <row r="2089" spans="1:43">
      <c r="A2089" s="15" t="s">
        <v>43</v>
      </c>
      <c r="B2089" s="15" t="s">
        <v>44</v>
      </c>
      <c r="C2089" s="15" t="s">
        <v>45</v>
      </c>
      <c r="D2089" s="15" t="s">
        <v>5482</v>
      </c>
      <c r="E2089" s="15" t="s">
        <v>5483</v>
      </c>
      <c r="F2089" s="16">
        <v>44139.5867361111</v>
      </c>
      <c r="G2089" s="15" t="s">
        <v>5483</v>
      </c>
      <c r="H2089" s="15" t="s">
        <v>54</v>
      </c>
      <c r="I2089" s="15">
        <v>0</v>
      </c>
      <c r="J2089" s="15">
        <v>0</v>
      </c>
      <c r="K2089" s="15">
        <v>0</v>
      </c>
      <c r="L2089" s="20">
        <v>0</v>
      </c>
      <c r="M2089" s="15">
        <v>0</v>
      </c>
      <c r="N2089" s="15">
        <v>0</v>
      </c>
      <c r="O2089" s="15">
        <v>0</v>
      </c>
      <c r="P2089" s="15">
        <v>0</v>
      </c>
      <c r="Q2089" s="15">
        <v>0</v>
      </c>
      <c r="R2089" s="15">
        <v>0</v>
      </c>
      <c r="S2089" s="15">
        <v>0</v>
      </c>
      <c r="T2089" s="15">
        <v>0</v>
      </c>
      <c r="U2089" s="15">
        <v>0</v>
      </c>
      <c r="V2089" s="15">
        <v>0</v>
      </c>
      <c r="W2089" s="15">
        <v>0</v>
      </c>
      <c r="X2089" s="15">
        <v>0</v>
      </c>
      <c r="Y2089" s="15">
        <v>0</v>
      </c>
      <c r="Z2089" s="15">
        <v>0</v>
      </c>
      <c r="AA2089" s="15"/>
      <c r="AB2089" s="15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/>
      <c r="AM2089" s="15"/>
      <c r="AN2089" s="15"/>
      <c r="AO2089" s="15"/>
      <c r="AP2089" s="15"/>
      <c r="AQ2089" s="15"/>
    </row>
    <row r="2090" spans="1:43">
      <c r="A2090" s="15" t="s">
        <v>43</v>
      </c>
      <c r="B2090" s="15" t="s">
        <v>44</v>
      </c>
      <c r="C2090" s="15" t="s">
        <v>228</v>
      </c>
      <c r="D2090" s="15" t="s">
        <v>5484</v>
      </c>
      <c r="E2090" s="15" t="s">
        <v>5485</v>
      </c>
      <c r="F2090" s="16">
        <v>44585.6930902778</v>
      </c>
      <c r="G2090" s="15" t="s">
        <v>5485</v>
      </c>
      <c r="H2090" s="15" t="s">
        <v>54</v>
      </c>
      <c r="I2090" s="15">
        <v>0</v>
      </c>
      <c r="J2090" s="15">
        <v>0</v>
      </c>
      <c r="K2090" s="15">
        <v>0</v>
      </c>
      <c r="L2090" s="20">
        <v>0</v>
      </c>
      <c r="M2090" s="15">
        <v>0</v>
      </c>
      <c r="N2090" s="15">
        <v>0</v>
      </c>
      <c r="O2090" s="15">
        <v>0</v>
      </c>
      <c r="P2090" s="15">
        <v>0</v>
      </c>
      <c r="Q2090" s="15">
        <v>0</v>
      </c>
      <c r="R2090" s="15">
        <v>0</v>
      </c>
      <c r="S2090" s="15">
        <v>0</v>
      </c>
      <c r="T2090" s="15">
        <v>0</v>
      </c>
      <c r="U2090" s="15">
        <v>0</v>
      </c>
      <c r="V2090" s="15">
        <v>0</v>
      </c>
      <c r="W2090" s="15">
        <v>0</v>
      </c>
      <c r="X2090" s="15">
        <v>0</v>
      </c>
      <c r="Y2090" s="15">
        <v>0</v>
      </c>
      <c r="Z2090" s="15">
        <v>0</v>
      </c>
      <c r="AA2090" s="15"/>
      <c r="AB2090" s="15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</row>
    <row r="2091" spans="1:43">
      <c r="A2091" s="15" t="s">
        <v>49</v>
      </c>
      <c r="B2091" s="15" t="s">
        <v>50</v>
      </c>
      <c r="C2091" s="15" t="s">
        <v>61</v>
      </c>
      <c r="D2091" s="15" t="s">
        <v>5486</v>
      </c>
      <c r="E2091" s="15" t="s">
        <v>5487</v>
      </c>
      <c r="F2091" s="16">
        <v>0</v>
      </c>
      <c r="G2091" s="15" t="s">
        <v>5487</v>
      </c>
      <c r="H2091" s="15" t="s">
        <v>5488</v>
      </c>
      <c r="I2091" s="15">
        <v>0</v>
      </c>
      <c r="J2091" s="15">
        <v>0</v>
      </c>
      <c r="K2091" s="15">
        <v>0</v>
      </c>
      <c r="L2091" s="20">
        <v>0</v>
      </c>
      <c r="M2091" s="15">
        <v>0</v>
      </c>
      <c r="N2091" s="15">
        <v>0</v>
      </c>
      <c r="O2091" s="15">
        <v>0</v>
      </c>
      <c r="P2091" s="15">
        <v>0</v>
      </c>
      <c r="Q2091" s="15">
        <v>0</v>
      </c>
      <c r="R2091" s="15">
        <v>0</v>
      </c>
      <c r="S2091" s="15">
        <v>0</v>
      </c>
      <c r="T2091" s="15">
        <v>0</v>
      </c>
      <c r="U2091" s="15">
        <v>0</v>
      </c>
      <c r="V2091" s="15">
        <v>0</v>
      </c>
      <c r="W2091" s="15">
        <v>0</v>
      </c>
      <c r="X2091" s="15">
        <v>0</v>
      </c>
      <c r="Y2091" s="15">
        <v>0</v>
      </c>
      <c r="Z2091" s="15">
        <v>0</v>
      </c>
      <c r="AA2091" s="15"/>
      <c r="AB2091" s="15"/>
      <c r="AC2091" s="15"/>
      <c r="AD2091" s="15"/>
      <c r="AE2091" s="15"/>
      <c r="AF2091" s="15"/>
      <c r="AG2091" s="15"/>
      <c r="AH2091" s="15"/>
      <c r="AI2091" s="15"/>
      <c r="AJ2091" s="15"/>
      <c r="AK2091" s="15"/>
      <c r="AL2091" s="15"/>
      <c r="AM2091" s="15"/>
      <c r="AN2091" s="15"/>
      <c r="AO2091" s="15"/>
      <c r="AP2091" s="15"/>
      <c r="AQ2091" s="15"/>
    </row>
    <row r="2092" spans="1:43">
      <c r="A2092" s="15" t="s">
        <v>49</v>
      </c>
      <c r="B2092" s="15" t="s">
        <v>50</v>
      </c>
      <c r="C2092" s="15" t="s">
        <v>301</v>
      </c>
      <c r="D2092" s="15" t="s">
        <v>5489</v>
      </c>
      <c r="E2092" s="15" t="s">
        <v>5490</v>
      </c>
      <c r="F2092" s="16">
        <v>44330.4226157407</v>
      </c>
      <c r="G2092" s="15" t="s">
        <v>5490</v>
      </c>
      <c r="H2092" s="15" t="s">
        <v>5491</v>
      </c>
      <c r="I2092" s="15">
        <v>1487.91</v>
      </c>
      <c r="J2092" s="15">
        <v>14</v>
      </c>
      <c r="K2092" s="15">
        <v>106.279285714286</v>
      </c>
      <c r="L2092" s="20">
        <v>2.12558571428571</v>
      </c>
      <c r="M2092" s="15">
        <v>106.61</v>
      </c>
      <c r="N2092" s="15">
        <v>119.04</v>
      </c>
      <c r="O2092" s="15">
        <v>103.15</v>
      </c>
      <c r="P2092" s="15">
        <v>108.79</v>
      </c>
      <c r="Q2092" s="15">
        <v>101.53</v>
      </c>
      <c r="R2092" s="15">
        <v>104.37</v>
      </c>
      <c r="S2092" s="15">
        <v>102.73</v>
      </c>
      <c r="T2092" s="15">
        <v>105.18</v>
      </c>
      <c r="U2092" s="15">
        <v>117.72</v>
      </c>
      <c r="V2092" s="15">
        <v>96.9</v>
      </c>
      <c r="W2092" s="15">
        <v>105.14</v>
      </c>
      <c r="X2092" s="15">
        <v>105.92</v>
      </c>
      <c r="Y2092" s="15">
        <v>102.7</v>
      </c>
      <c r="Z2092" s="15">
        <v>108.13</v>
      </c>
      <c r="AA2092" s="15"/>
      <c r="AB2092" s="15"/>
      <c r="AC2092" s="15"/>
      <c r="AD2092" s="15"/>
      <c r="AE2092" s="15"/>
      <c r="AF2092" s="15"/>
      <c r="AG2092" s="15"/>
      <c r="AH2092" s="15"/>
      <c r="AI2092" s="15"/>
      <c r="AJ2092" s="15"/>
      <c r="AK2092" s="15"/>
      <c r="AL2092" s="15"/>
      <c r="AM2092" s="15"/>
      <c r="AN2092" s="15"/>
      <c r="AO2092" s="15"/>
      <c r="AP2092" s="15"/>
      <c r="AQ2092" s="15"/>
    </row>
    <row r="2093" spans="1:43">
      <c r="A2093" s="15" t="s">
        <v>49</v>
      </c>
      <c r="B2093" s="15" t="s">
        <v>50</v>
      </c>
      <c r="C2093" s="15" t="s">
        <v>61</v>
      </c>
      <c r="D2093" s="15" t="s">
        <v>5492</v>
      </c>
      <c r="E2093" s="15" t="s">
        <v>5493</v>
      </c>
      <c r="F2093" s="16">
        <v>0</v>
      </c>
      <c r="G2093" s="15" t="s">
        <v>5493</v>
      </c>
      <c r="H2093" s="15" t="s">
        <v>5494</v>
      </c>
      <c r="I2093" s="15">
        <v>0</v>
      </c>
      <c r="J2093" s="15">
        <v>0</v>
      </c>
      <c r="K2093" s="15">
        <v>0</v>
      </c>
      <c r="L2093" s="20">
        <v>0</v>
      </c>
      <c r="M2093" s="15">
        <v>0</v>
      </c>
      <c r="N2093" s="15">
        <v>0</v>
      </c>
      <c r="O2093" s="15">
        <v>0</v>
      </c>
      <c r="P2093" s="15">
        <v>0</v>
      </c>
      <c r="Q2093" s="15">
        <v>0</v>
      </c>
      <c r="R2093" s="15">
        <v>0</v>
      </c>
      <c r="S2093" s="15">
        <v>0</v>
      </c>
      <c r="T2093" s="15">
        <v>0</v>
      </c>
      <c r="U2093" s="15">
        <v>0</v>
      </c>
      <c r="V2093" s="15">
        <v>0</v>
      </c>
      <c r="W2093" s="15">
        <v>0</v>
      </c>
      <c r="X2093" s="15">
        <v>0</v>
      </c>
      <c r="Y2093" s="15">
        <v>0</v>
      </c>
      <c r="Z2093" s="15">
        <v>0</v>
      </c>
      <c r="AA2093" s="15"/>
      <c r="AB2093" s="15"/>
      <c r="AC2093" s="15"/>
      <c r="AD2093" s="15"/>
      <c r="AE2093" s="15"/>
      <c r="AF2093" s="15"/>
      <c r="AG2093" s="15"/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</row>
    <row r="2094" spans="1:43">
      <c r="A2094" s="15" t="s">
        <v>43</v>
      </c>
      <c r="B2094" s="15" t="s">
        <v>44</v>
      </c>
      <c r="C2094" s="15" t="s">
        <v>45</v>
      </c>
      <c r="D2094" s="15" t="s">
        <v>5495</v>
      </c>
      <c r="E2094" s="15" t="s">
        <v>5496</v>
      </c>
      <c r="F2094" s="16">
        <v>42727.4068634259</v>
      </c>
      <c r="G2094" s="15" t="s">
        <v>5496</v>
      </c>
      <c r="H2094" s="15" t="s">
        <v>5497</v>
      </c>
      <c r="I2094" s="15">
        <v>0</v>
      </c>
      <c r="J2094" s="15">
        <v>0</v>
      </c>
      <c r="K2094" s="15">
        <v>0</v>
      </c>
      <c r="L2094" s="20">
        <v>0</v>
      </c>
      <c r="M2094" s="15">
        <v>0</v>
      </c>
      <c r="N2094" s="15">
        <v>0</v>
      </c>
      <c r="O2094" s="15">
        <v>0</v>
      </c>
      <c r="P2094" s="15">
        <v>0</v>
      </c>
      <c r="Q2094" s="15">
        <v>0</v>
      </c>
      <c r="R2094" s="15">
        <v>0</v>
      </c>
      <c r="S2094" s="15">
        <v>0</v>
      </c>
      <c r="T2094" s="15">
        <v>0</v>
      </c>
      <c r="U2094" s="15">
        <v>0</v>
      </c>
      <c r="V2094" s="15">
        <v>0</v>
      </c>
      <c r="W2094" s="15">
        <v>0</v>
      </c>
      <c r="X2094" s="15">
        <v>0</v>
      </c>
      <c r="Y2094" s="15">
        <v>0</v>
      </c>
      <c r="Z2094" s="15">
        <v>0</v>
      </c>
      <c r="AA2094" s="15"/>
      <c r="AB2094" s="15"/>
      <c r="AC2094" s="15"/>
      <c r="AD2094" s="15"/>
      <c r="AE2094" s="15"/>
      <c r="AF2094" s="15"/>
      <c r="AG2094" s="15"/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</row>
    <row r="2095" spans="1:43">
      <c r="A2095" s="15" t="s">
        <v>49</v>
      </c>
      <c r="B2095" s="15" t="s">
        <v>50</v>
      </c>
      <c r="C2095" s="15" t="s">
        <v>61</v>
      </c>
      <c r="D2095" s="15" t="s">
        <v>5498</v>
      </c>
      <c r="E2095" s="15" t="s">
        <v>5499</v>
      </c>
      <c r="F2095" s="16">
        <v>0</v>
      </c>
      <c r="G2095" s="15" t="s">
        <v>5499</v>
      </c>
      <c r="H2095" s="15" t="s">
        <v>5500</v>
      </c>
      <c r="I2095" s="15">
        <v>0</v>
      </c>
      <c r="J2095" s="15">
        <v>0</v>
      </c>
      <c r="K2095" s="15">
        <v>0</v>
      </c>
      <c r="L2095" s="20">
        <v>0</v>
      </c>
      <c r="M2095" s="15">
        <v>0</v>
      </c>
      <c r="N2095" s="15">
        <v>0</v>
      </c>
      <c r="O2095" s="15">
        <v>0</v>
      </c>
      <c r="P2095" s="15">
        <v>0</v>
      </c>
      <c r="Q2095" s="15">
        <v>0</v>
      </c>
      <c r="R2095" s="15">
        <v>0</v>
      </c>
      <c r="S2095" s="15">
        <v>0</v>
      </c>
      <c r="T2095" s="15">
        <v>0</v>
      </c>
      <c r="U2095" s="15">
        <v>0</v>
      </c>
      <c r="V2095" s="15">
        <v>0</v>
      </c>
      <c r="W2095" s="15">
        <v>0</v>
      </c>
      <c r="X2095" s="15">
        <v>0</v>
      </c>
      <c r="Y2095" s="15">
        <v>0</v>
      </c>
      <c r="Z2095" s="15">
        <v>0</v>
      </c>
      <c r="AA2095" s="15"/>
      <c r="AB2095" s="15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</row>
    <row r="2096" spans="1:43">
      <c r="A2096" s="15" t="s">
        <v>49</v>
      </c>
      <c r="B2096" s="15" t="s">
        <v>50</v>
      </c>
      <c r="C2096" s="15" t="s">
        <v>61</v>
      </c>
      <c r="D2096" s="15" t="s">
        <v>5501</v>
      </c>
      <c r="E2096" s="15" t="s">
        <v>5502</v>
      </c>
      <c r="F2096" s="16">
        <v>0</v>
      </c>
      <c r="G2096" s="15" t="s">
        <v>5502</v>
      </c>
      <c r="H2096" s="15" t="s">
        <v>5503</v>
      </c>
      <c r="I2096" s="15">
        <v>0</v>
      </c>
      <c r="J2096" s="15">
        <v>0</v>
      </c>
      <c r="K2096" s="15">
        <v>0</v>
      </c>
      <c r="L2096" s="20">
        <v>0</v>
      </c>
      <c r="M2096" s="15">
        <v>0</v>
      </c>
      <c r="N2096" s="15">
        <v>0</v>
      </c>
      <c r="O2096" s="15">
        <v>0</v>
      </c>
      <c r="P2096" s="15">
        <v>0</v>
      </c>
      <c r="Q2096" s="15">
        <v>0</v>
      </c>
      <c r="R2096" s="15">
        <v>0</v>
      </c>
      <c r="S2096" s="15">
        <v>0</v>
      </c>
      <c r="T2096" s="15">
        <v>0</v>
      </c>
      <c r="U2096" s="15">
        <v>0</v>
      </c>
      <c r="V2096" s="15">
        <v>0</v>
      </c>
      <c r="W2096" s="15">
        <v>0</v>
      </c>
      <c r="X2096" s="15">
        <v>0</v>
      </c>
      <c r="Y2096" s="15">
        <v>0</v>
      </c>
      <c r="Z2096" s="15">
        <v>0</v>
      </c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</row>
    <row r="2097" spans="1:43">
      <c r="A2097" s="15" t="s">
        <v>43</v>
      </c>
      <c r="B2097" s="15" t="s">
        <v>44</v>
      </c>
      <c r="C2097" s="15" t="s">
        <v>45</v>
      </c>
      <c r="D2097" s="15" t="s">
        <v>5504</v>
      </c>
      <c r="E2097" s="15" t="s">
        <v>5505</v>
      </c>
      <c r="F2097" s="16">
        <v>42086.5956018519</v>
      </c>
      <c r="G2097" s="15" t="s">
        <v>5505</v>
      </c>
      <c r="H2097" s="15" t="s">
        <v>5506</v>
      </c>
      <c r="I2097" s="15">
        <v>0</v>
      </c>
      <c r="J2097" s="15">
        <v>0</v>
      </c>
      <c r="K2097" s="15">
        <v>0</v>
      </c>
      <c r="L2097" s="20">
        <v>0</v>
      </c>
      <c r="M2097" s="15">
        <v>0</v>
      </c>
      <c r="N2097" s="15">
        <v>0</v>
      </c>
      <c r="O2097" s="15">
        <v>0</v>
      </c>
      <c r="P2097" s="15">
        <v>0</v>
      </c>
      <c r="Q2097" s="15">
        <v>0</v>
      </c>
      <c r="R2097" s="15">
        <v>0</v>
      </c>
      <c r="S2097" s="15">
        <v>0</v>
      </c>
      <c r="T2097" s="15">
        <v>0</v>
      </c>
      <c r="U2097" s="15">
        <v>0</v>
      </c>
      <c r="V2097" s="15">
        <v>0</v>
      </c>
      <c r="W2097" s="15">
        <v>0</v>
      </c>
      <c r="X2097" s="15">
        <v>0</v>
      </c>
      <c r="Y2097" s="15">
        <v>0</v>
      </c>
      <c r="Z2097" s="15">
        <v>0</v>
      </c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</row>
    <row r="2098" spans="1:43">
      <c r="A2098" s="15" t="s">
        <v>43</v>
      </c>
      <c r="B2098" s="15" t="s">
        <v>44</v>
      </c>
      <c r="C2098" s="15" t="s">
        <v>45</v>
      </c>
      <c r="D2098" s="15" t="s">
        <v>5507</v>
      </c>
      <c r="E2098" s="15" t="s">
        <v>5508</v>
      </c>
      <c r="F2098" s="16">
        <v>42073.6336689815</v>
      </c>
      <c r="G2098" s="15" t="s">
        <v>5508</v>
      </c>
      <c r="H2098" s="15" t="s">
        <v>5509</v>
      </c>
      <c r="I2098" s="15">
        <v>0</v>
      </c>
      <c r="J2098" s="15">
        <v>0</v>
      </c>
      <c r="K2098" s="15">
        <v>0</v>
      </c>
      <c r="L2098" s="20">
        <v>0</v>
      </c>
      <c r="M2098" s="15">
        <v>0</v>
      </c>
      <c r="N2098" s="15">
        <v>0</v>
      </c>
      <c r="O2098" s="15">
        <v>0</v>
      </c>
      <c r="P2098" s="15">
        <v>0</v>
      </c>
      <c r="Q2098" s="15">
        <v>0</v>
      </c>
      <c r="R2098" s="15">
        <v>0</v>
      </c>
      <c r="S2098" s="15">
        <v>0</v>
      </c>
      <c r="T2098" s="15">
        <v>0</v>
      </c>
      <c r="U2098" s="15">
        <v>0</v>
      </c>
      <c r="V2098" s="15">
        <v>0</v>
      </c>
      <c r="W2098" s="15">
        <v>0</v>
      </c>
      <c r="X2098" s="15">
        <v>0</v>
      </c>
      <c r="Y2098" s="15">
        <v>0</v>
      </c>
      <c r="Z2098" s="15">
        <v>0</v>
      </c>
      <c r="AA2098" s="15"/>
      <c r="AB2098" s="15"/>
      <c r="AC2098" s="15"/>
      <c r="AD2098" s="15"/>
      <c r="AE2098" s="15"/>
      <c r="AF2098" s="15"/>
      <c r="AG2098" s="15"/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</row>
    <row r="2099" spans="1:43">
      <c r="A2099" s="15" t="s">
        <v>64</v>
      </c>
      <c r="B2099" s="15" t="s">
        <v>65</v>
      </c>
      <c r="C2099" s="15" t="s">
        <v>93</v>
      </c>
      <c r="D2099" s="15" t="s">
        <v>5510</v>
      </c>
      <c r="E2099" s="15" t="s">
        <v>249</v>
      </c>
      <c r="F2099" s="16">
        <v>44700.6060648148</v>
      </c>
      <c r="G2099" s="15" t="s">
        <v>249</v>
      </c>
      <c r="H2099" s="15" t="s">
        <v>54</v>
      </c>
      <c r="I2099" s="15">
        <v>0</v>
      </c>
      <c r="J2099" s="15">
        <v>0</v>
      </c>
      <c r="K2099" s="15">
        <v>0</v>
      </c>
      <c r="L2099" s="20">
        <v>0</v>
      </c>
      <c r="M2099" s="15">
        <v>0</v>
      </c>
      <c r="N2099" s="15">
        <v>0</v>
      </c>
      <c r="O2099" s="15">
        <v>0</v>
      </c>
      <c r="P2099" s="15">
        <v>0</v>
      </c>
      <c r="Q2099" s="15">
        <v>0</v>
      </c>
      <c r="R2099" s="15">
        <v>0</v>
      </c>
      <c r="S2099" s="15">
        <v>0</v>
      </c>
      <c r="T2099" s="15">
        <v>0</v>
      </c>
      <c r="U2099" s="15">
        <v>0</v>
      </c>
      <c r="V2099" s="15">
        <v>0</v>
      </c>
      <c r="W2099" s="15">
        <v>0</v>
      </c>
      <c r="X2099" s="15">
        <v>0</v>
      </c>
      <c r="Y2099" s="15">
        <v>0</v>
      </c>
      <c r="Z2099" s="15">
        <v>0</v>
      </c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/>
      <c r="AM2099" s="15"/>
      <c r="AN2099" s="15"/>
      <c r="AO2099" s="15"/>
      <c r="AP2099" s="15"/>
      <c r="AQ2099" s="15"/>
    </row>
    <row r="2100" spans="1:43">
      <c r="A2100" s="15" t="s">
        <v>49</v>
      </c>
      <c r="B2100" s="15" t="s">
        <v>50</v>
      </c>
      <c r="C2100" s="15" t="s">
        <v>61</v>
      </c>
      <c r="D2100" s="15" t="s">
        <v>5511</v>
      </c>
      <c r="E2100" s="15" t="s">
        <v>5512</v>
      </c>
      <c r="F2100" s="16">
        <v>0</v>
      </c>
      <c r="G2100" s="15" t="s">
        <v>5512</v>
      </c>
      <c r="H2100" s="15" t="s">
        <v>5513</v>
      </c>
      <c r="I2100" s="15">
        <v>0</v>
      </c>
      <c r="J2100" s="15">
        <v>0</v>
      </c>
      <c r="K2100" s="15">
        <v>0</v>
      </c>
      <c r="L2100" s="20">
        <v>0</v>
      </c>
      <c r="M2100" s="15">
        <v>0</v>
      </c>
      <c r="N2100" s="15">
        <v>0</v>
      </c>
      <c r="O2100" s="15">
        <v>0</v>
      </c>
      <c r="P2100" s="15">
        <v>0</v>
      </c>
      <c r="Q2100" s="15">
        <v>0</v>
      </c>
      <c r="R2100" s="15">
        <v>0</v>
      </c>
      <c r="S2100" s="15">
        <v>0</v>
      </c>
      <c r="T2100" s="15">
        <v>0</v>
      </c>
      <c r="U2100" s="15">
        <v>0</v>
      </c>
      <c r="V2100" s="15">
        <v>0</v>
      </c>
      <c r="W2100" s="15">
        <v>0</v>
      </c>
      <c r="X2100" s="15">
        <v>0</v>
      </c>
      <c r="Y2100" s="15">
        <v>0</v>
      </c>
      <c r="Z2100" s="15">
        <v>0</v>
      </c>
      <c r="AA2100" s="15"/>
      <c r="AB2100" s="15"/>
      <c r="AC2100" s="15"/>
      <c r="AD2100" s="15"/>
      <c r="AE2100" s="15"/>
      <c r="AF2100" s="15"/>
      <c r="AG2100" s="15"/>
      <c r="AH2100" s="15"/>
      <c r="AI2100" s="15"/>
      <c r="AJ2100" s="15"/>
      <c r="AK2100" s="15"/>
      <c r="AL2100" s="15"/>
      <c r="AM2100" s="15"/>
      <c r="AN2100" s="15"/>
      <c r="AO2100" s="15"/>
      <c r="AP2100" s="15"/>
      <c r="AQ2100" s="15"/>
    </row>
    <row r="2101" spans="1:43">
      <c r="A2101" s="15" t="s">
        <v>43</v>
      </c>
      <c r="B2101" s="15" t="s">
        <v>44</v>
      </c>
      <c r="C2101" s="15" t="s">
        <v>45</v>
      </c>
      <c r="D2101" s="15" t="s">
        <v>5514</v>
      </c>
      <c r="E2101" s="15" t="s">
        <v>5515</v>
      </c>
      <c r="F2101" s="16">
        <v>43776.5841319444</v>
      </c>
      <c r="G2101" s="15" t="s">
        <v>5515</v>
      </c>
      <c r="H2101" s="15" t="s">
        <v>54</v>
      </c>
      <c r="I2101" s="15">
        <v>0</v>
      </c>
      <c r="J2101" s="15">
        <v>0</v>
      </c>
      <c r="K2101" s="15">
        <v>0</v>
      </c>
      <c r="L2101" s="20">
        <v>0</v>
      </c>
      <c r="M2101" s="15">
        <v>0</v>
      </c>
      <c r="N2101" s="15">
        <v>0</v>
      </c>
      <c r="O2101" s="15">
        <v>0</v>
      </c>
      <c r="P2101" s="15">
        <v>0</v>
      </c>
      <c r="Q2101" s="15">
        <v>0</v>
      </c>
      <c r="R2101" s="15">
        <v>0</v>
      </c>
      <c r="S2101" s="15">
        <v>0</v>
      </c>
      <c r="T2101" s="15">
        <v>0</v>
      </c>
      <c r="U2101" s="15">
        <v>0</v>
      </c>
      <c r="V2101" s="15">
        <v>0</v>
      </c>
      <c r="W2101" s="15">
        <v>0</v>
      </c>
      <c r="X2101" s="15">
        <v>0</v>
      </c>
      <c r="Y2101" s="15">
        <v>0</v>
      </c>
      <c r="Z2101" s="15">
        <v>0</v>
      </c>
      <c r="AA2101" s="15"/>
      <c r="AB2101" s="15"/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</row>
    <row r="2102" spans="1:43">
      <c r="A2102" s="15" t="s">
        <v>43</v>
      </c>
      <c r="B2102" s="15" t="s">
        <v>44</v>
      </c>
      <c r="C2102" s="15" t="s">
        <v>45</v>
      </c>
      <c r="D2102" s="15" t="s">
        <v>5516</v>
      </c>
      <c r="E2102" s="15" t="s">
        <v>5517</v>
      </c>
      <c r="F2102" s="16">
        <v>43445.4637962963</v>
      </c>
      <c r="G2102" s="15" t="s">
        <v>5517</v>
      </c>
      <c r="H2102" s="15" t="s">
        <v>5518</v>
      </c>
      <c r="I2102" s="15">
        <v>0</v>
      </c>
      <c r="J2102" s="15">
        <v>0</v>
      </c>
      <c r="K2102" s="15">
        <v>0</v>
      </c>
      <c r="L2102" s="20">
        <v>0</v>
      </c>
      <c r="M2102" s="15">
        <v>0</v>
      </c>
      <c r="N2102" s="15">
        <v>0</v>
      </c>
      <c r="O2102" s="15">
        <v>0</v>
      </c>
      <c r="P2102" s="15">
        <v>0</v>
      </c>
      <c r="Q2102" s="15">
        <v>0</v>
      </c>
      <c r="R2102" s="15">
        <v>0</v>
      </c>
      <c r="S2102" s="15">
        <v>0</v>
      </c>
      <c r="T2102" s="15">
        <v>0</v>
      </c>
      <c r="U2102" s="15">
        <v>0</v>
      </c>
      <c r="V2102" s="15">
        <v>0</v>
      </c>
      <c r="W2102" s="15">
        <v>0</v>
      </c>
      <c r="X2102" s="15">
        <v>0</v>
      </c>
      <c r="Y2102" s="15">
        <v>0</v>
      </c>
      <c r="Z2102" s="15">
        <v>0</v>
      </c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</row>
    <row r="2103" spans="1:43">
      <c r="A2103" s="15" t="s">
        <v>43</v>
      </c>
      <c r="B2103" s="15" t="s">
        <v>44</v>
      </c>
      <c r="C2103" s="15" t="s">
        <v>45</v>
      </c>
      <c r="D2103" s="15" t="s">
        <v>5519</v>
      </c>
      <c r="E2103" s="15" t="s">
        <v>5520</v>
      </c>
      <c r="F2103" s="16">
        <v>41817.4475115741</v>
      </c>
      <c r="G2103" s="15" t="s">
        <v>5520</v>
      </c>
      <c r="H2103" s="15" t="s">
        <v>5521</v>
      </c>
      <c r="I2103" s="15">
        <v>0</v>
      </c>
      <c r="J2103" s="15">
        <v>0</v>
      </c>
      <c r="K2103" s="15">
        <v>0</v>
      </c>
      <c r="L2103" s="20">
        <v>0</v>
      </c>
      <c r="M2103" s="15">
        <v>0</v>
      </c>
      <c r="N2103" s="15">
        <v>0</v>
      </c>
      <c r="O2103" s="15">
        <v>0</v>
      </c>
      <c r="P2103" s="15">
        <v>0</v>
      </c>
      <c r="Q2103" s="15">
        <v>0</v>
      </c>
      <c r="R2103" s="15">
        <v>0</v>
      </c>
      <c r="S2103" s="15">
        <v>0</v>
      </c>
      <c r="T2103" s="15">
        <v>0</v>
      </c>
      <c r="U2103" s="15">
        <v>0</v>
      </c>
      <c r="V2103" s="15">
        <v>0</v>
      </c>
      <c r="W2103" s="15">
        <v>0</v>
      </c>
      <c r="X2103" s="15">
        <v>0</v>
      </c>
      <c r="Y2103" s="15">
        <v>0</v>
      </c>
      <c r="Z2103" s="15">
        <v>0</v>
      </c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</row>
    <row r="2104" spans="1:43">
      <c r="A2104" s="15" t="s">
        <v>49</v>
      </c>
      <c r="B2104" s="15" t="s">
        <v>50</v>
      </c>
      <c r="C2104" s="15" t="s">
        <v>61</v>
      </c>
      <c r="D2104" s="15" t="s">
        <v>5522</v>
      </c>
      <c r="E2104" s="15" t="s">
        <v>5523</v>
      </c>
      <c r="F2104" s="16">
        <v>0</v>
      </c>
      <c r="G2104" s="15" t="s">
        <v>5523</v>
      </c>
      <c r="H2104" s="15" t="s">
        <v>5524</v>
      </c>
      <c r="I2104" s="15">
        <v>0</v>
      </c>
      <c r="J2104" s="15">
        <v>0</v>
      </c>
      <c r="K2104" s="15">
        <v>0</v>
      </c>
      <c r="L2104" s="20">
        <v>0</v>
      </c>
      <c r="M2104" s="15">
        <v>0</v>
      </c>
      <c r="N2104" s="15">
        <v>0</v>
      </c>
      <c r="O2104" s="15">
        <v>0</v>
      </c>
      <c r="P2104" s="15">
        <v>0</v>
      </c>
      <c r="Q2104" s="15">
        <v>0</v>
      </c>
      <c r="R2104" s="15">
        <v>0</v>
      </c>
      <c r="S2104" s="15">
        <v>0</v>
      </c>
      <c r="T2104" s="15">
        <v>0</v>
      </c>
      <c r="U2104" s="15">
        <v>0</v>
      </c>
      <c r="V2104" s="15">
        <v>0</v>
      </c>
      <c r="W2104" s="15">
        <v>0</v>
      </c>
      <c r="X2104" s="15">
        <v>0</v>
      </c>
      <c r="Y2104" s="15">
        <v>0</v>
      </c>
      <c r="Z2104" s="15">
        <v>0</v>
      </c>
      <c r="AA2104" s="15"/>
      <c r="AB2104" s="15"/>
      <c r="AC2104" s="15"/>
      <c r="AD2104" s="15"/>
      <c r="AE2104" s="15"/>
      <c r="AF2104" s="15"/>
      <c r="AG2104" s="15"/>
      <c r="AH2104" s="15"/>
      <c r="AI2104" s="15"/>
      <c r="AJ2104" s="15"/>
      <c r="AK2104" s="15"/>
      <c r="AL2104" s="15"/>
      <c r="AM2104" s="15"/>
      <c r="AN2104" s="15"/>
      <c r="AO2104" s="15"/>
      <c r="AP2104" s="15"/>
      <c r="AQ2104" s="15"/>
    </row>
    <row r="2105" spans="1:43">
      <c r="A2105" s="15" t="s">
        <v>43</v>
      </c>
      <c r="B2105" s="15" t="s">
        <v>44</v>
      </c>
      <c r="C2105" s="15" t="s">
        <v>45</v>
      </c>
      <c r="D2105" s="15" t="s">
        <v>5525</v>
      </c>
      <c r="E2105" s="15" t="s">
        <v>5526</v>
      </c>
      <c r="F2105" s="16">
        <v>43087.406400463</v>
      </c>
      <c r="G2105" s="15" t="s">
        <v>5526</v>
      </c>
      <c r="H2105" s="15" t="s">
        <v>5527</v>
      </c>
      <c r="I2105" s="15">
        <v>0</v>
      </c>
      <c r="J2105" s="15">
        <v>0</v>
      </c>
      <c r="K2105" s="15">
        <v>0</v>
      </c>
      <c r="L2105" s="20">
        <v>0</v>
      </c>
      <c r="M2105" s="15">
        <v>0</v>
      </c>
      <c r="N2105" s="15">
        <v>0</v>
      </c>
      <c r="O2105" s="15">
        <v>0</v>
      </c>
      <c r="P2105" s="15">
        <v>0</v>
      </c>
      <c r="Q2105" s="15">
        <v>0</v>
      </c>
      <c r="R2105" s="15">
        <v>0</v>
      </c>
      <c r="S2105" s="15">
        <v>0</v>
      </c>
      <c r="T2105" s="15">
        <v>0</v>
      </c>
      <c r="U2105" s="15">
        <v>0</v>
      </c>
      <c r="V2105" s="15">
        <v>0</v>
      </c>
      <c r="W2105" s="15">
        <v>0</v>
      </c>
      <c r="X2105" s="15">
        <v>0</v>
      </c>
      <c r="Y2105" s="15">
        <v>0</v>
      </c>
      <c r="Z2105" s="15">
        <v>0</v>
      </c>
      <c r="AA2105" s="15"/>
      <c r="AB2105" s="15"/>
      <c r="AC2105" s="15"/>
      <c r="AD2105" s="15"/>
      <c r="AE2105" s="15"/>
      <c r="AF2105" s="15"/>
      <c r="AG2105" s="15"/>
      <c r="AH2105" s="15"/>
      <c r="AI2105" s="15"/>
      <c r="AJ2105" s="15"/>
      <c r="AK2105" s="15"/>
      <c r="AL2105" s="15"/>
      <c r="AM2105" s="15"/>
      <c r="AN2105" s="15"/>
      <c r="AO2105" s="15"/>
      <c r="AP2105" s="15"/>
      <c r="AQ2105" s="15"/>
    </row>
    <row r="2106" spans="1:43">
      <c r="A2106" s="15" t="s">
        <v>43</v>
      </c>
      <c r="B2106" s="15" t="s">
        <v>44</v>
      </c>
      <c r="C2106" s="15" t="s">
        <v>45</v>
      </c>
      <c r="D2106" s="15" t="s">
        <v>5528</v>
      </c>
      <c r="E2106" s="15" t="s">
        <v>5529</v>
      </c>
      <c r="F2106" s="16">
        <v>43045.4626736111</v>
      </c>
      <c r="G2106" s="15" t="s">
        <v>5529</v>
      </c>
      <c r="H2106" s="15" t="s">
        <v>5530</v>
      </c>
      <c r="I2106" s="15">
        <v>0</v>
      </c>
      <c r="J2106" s="15">
        <v>0</v>
      </c>
      <c r="K2106" s="15">
        <v>0</v>
      </c>
      <c r="L2106" s="20">
        <v>0</v>
      </c>
      <c r="M2106" s="15">
        <v>0</v>
      </c>
      <c r="N2106" s="15">
        <v>0</v>
      </c>
      <c r="O2106" s="15">
        <v>0</v>
      </c>
      <c r="P2106" s="15">
        <v>0</v>
      </c>
      <c r="Q2106" s="15">
        <v>0</v>
      </c>
      <c r="R2106" s="15">
        <v>0</v>
      </c>
      <c r="S2106" s="15">
        <v>0</v>
      </c>
      <c r="T2106" s="15">
        <v>0</v>
      </c>
      <c r="U2106" s="15">
        <v>0</v>
      </c>
      <c r="V2106" s="15">
        <v>0</v>
      </c>
      <c r="W2106" s="15">
        <v>0</v>
      </c>
      <c r="X2106" s="15">
        <v>0</v>
      </c>
      <c r="Y2106" s="15">
        <v>0</v>
      </c>
      <c r="Z2106" s="15">
        <v>0</v>
      </c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</row>
    <row r="2107" spans="1:43">
      <c r="A2107" s="15" t="s">
        <v>43</v>
      </c>
      <c r="B2107" s="15" t="s">
        <v>44</v>
      </c>
      <c r="C2107" s="15" t="s">
        <v>45</v>
      </c>
      <c r="D2107" s="15" t="s">
        <v>5531</v>
      </c>
      <c r="E2107" s="15" t="s">
        <v>5532</v>
      </c>
      <c r="F2107" s="16">
        <v>44068.5790972222</v>
      </c>
      <c r="G2107" s="15" t="s">
        <v>5532</v>
      </c>
      <c r="H2107" s="15" t="s">
        <v>54</v>
      </c>
      <c r="I2107" s="15">
        <v>0</v>
      </c>
      <c r="J2107" s="15">
        <v>0</v>
      </c>
      <c r="K2107" s="15">
        <v>0</v>
      </c>
      <c r="L2107" s="20">
        <v>0</v>
      </c>
      <c r="M2107" s="15">
        <v>0</v>
      </c>
      <c r="N2107" s="15">
        <v>0</v>
      </c>
      <c r="O2107" s="15">
        <v>0</v>
      </c>
      <c r="P2107" s="15">
        <v>0</v>
      </c>
      <c r="Q2107" s="15">
        <v>0</v>
      </c>
      <c r="R2107" s="15">
        <v>0</v>
      </c>
      <c r="S2107" s="15">
        <v>0</v>
      </c>
      <c r="T2107" s="15">
        <v>0</v>
      </c>
      <c r="U2107" s="15">
        <v>0</v>
      </c>
      <c r="V2107" s="15">
        <v>0</v>
      </c>
      <c r="W2107" s="15">
        <v>0</v>
      </c>
      <c r="X2107" s="15">
        <v>0</v>
      </c>
      <c r="Y2107" s="15">
        <v>0</v>
      </c>
      <c r="Z2107" s="15">
        <v>0</v>
      </c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</row>
    <row r="2108" spans="1:43">
      <c r="A2108" s="15" t="s">
        <v>49</v>
      </c>
      <c r="B2108" s="15" t="s">
        <v>50</v>
      </c>
      <c r="C2108" s="15" t="s">
        <v>61</v>
      </c>
      <c r="D2108" s="15" t="s">
        <v>5533</v>
      </c>
      <c r="E2108" s="15" t="s">
        <v>1727</v>
      </c>
      <c r="F2108" s="16">
        <v>0</v>
      </c>
      <c r="G2108" s="15" t="s">
        <v>1727</v>
      </c>
      <c r="H2108" s="15" t="s">
        <v>54</v>
      </c>
      <c r="I2108" s="15">
        <v>0</v>
      </c>
      <c r="J2108" s="15">
        <v>0</v>
      </c>
      <c r="K2108" s="15">
        <v>0</v>
      </c>
      <c r="L2108" s="20">
        <v>0</v>
      </c>
      <c r="M2108" s="15">
        <v>0</v>
      </c>
      <c r="N2108" s="15">
        <v>0</v>
      </c>
      <c r="O2108" s="15">
        <v>0</v>
      </c>
      <c r="P2108" s="15">
        <v>0</v>
      </c>
      <c r="Q2108" s="15">
        <v>0</v>
      </c>
      <c r="R2108" s="15">
        <v>0</v>
      </c>
      <c r="S2108" s="15">
        <v>0</v>
      </c>
      <c r="T2108" s="15">
        <v>0</v>
      </c>
      <c r="U2108" s="15">
        <v>0</v>
      </c>
      <c r="V2108" s="15">
        <v>0</v>
      </c>
      <c r="W2108" s="15">
        <v>0</v>
      </c>
      <c r="X2108" s="15">
        <v>0</v>
      </c>
      <c r="Y2108" s="15">
        <v>0</v>
      </c>
      <c r="Z2108" s="15">
        <v>0</v>
      </c>
      <c r="AA2108" s="15"/>
      <c r="AB2108" s="15"/>
      <c r="AC2108" s="15"/>
      <c r="AD2108" s="15"/>
      <c r="AE2108" s="15"/>
      <c r="AF2108" s="15"/>
      <c r="AG2108" s="15"/>
      <c r="AH2108" s="15"/>
      <c r="AI2108" s="15"/>
      <c r="AJ2108" s="15"/>
      <c r="AK2108" s="15"/>
      <c r="AL2108" s="15"/>
      <c r="AM2108" s="15"/>
      <c r="AN2108" s="15"/>
      <c r="AO2108" s="15"/>
      <c r="AP2108" s="15"/>
      <c r="AQ2108" s="15"/>
    </row>
    <row r="2109" spans="1:43">
      <c r="A2109" s="15" t="s">
        <v>43</v>
      </c>
      <c r="B2109" s="15" t="s">
        <v>44</v>
      </c>
      <c r="C2109" s="15" t="s">
        <v>45</v>
      </c>
      <c r="D2109" s="15" t="s">
        <v>5534</v>
      </c>
      <c r="E2109" s="15" t="s">
        <v>5535</v>
      </c>
      <c r="F2109" s="16">
        <v>41219.464525463</v>
      </c>
      <c r="G2109" s="15" t="s">
        <v>5535</v>
      </c>
      <c r="H2109" s="15" t="s">
        <v>5536</v>
      </c>
      <c r="I2109" s="15">
        <v>0</v>
      </c>
      <c r="J2109" s="15">
        <v>0</v>
      </c>
      <c r="K2109" s="15">
        <v>0</v>
      </c>
      <c r="L2109" s="20">
        <v>0</v>
      </c>
      <c r="M2109" s="15">
        <v>0</v>
      </c>
      <c r="N2109" s="15">
        <v>0</v>
      </c>
      <c r="O2109" s="15">
        <v>0</v>
      </c>
      <c r="P2109" s="15">
        <v>0</v>
      </c>
      <c r="Q2109" s="15">
        <v>0</v>
      </c>
      <c r="R2109" s="15">
        <v>0</v>
      </c>
      <c r="S2109" s="15">
        <v>0</v>
      </c>
      <c r="T2109" s="15">
        <v>0</v>
      </c>
      <c r="U2109" s="15">
        <v>0</v>
      </c>
      <c r="V2109" s="15">
        <v>0</v>
      </c>
      <c r="W2109" s="15">
        <v>0</v>
      </c>
      <c r="X2109" s="15">
        <v>0</v>
      </c>
      <c r="Y2109" s="15">
        <v>0</v>
      </c>
      <c r="Z2109" s="15">
        <v>0</v>
      </c>
      <c r="AA2109" s="15"/>
      <c r="AB2109" s="15"/>
      <c r="AC2109" s="15"/>
      <c r="AD2109" s="15"/>
      <c r="AE2109" s="15"/>
      <c r="AF2109" s="15"/>
      <c r="AG2109" s="15"/>
      <c r="AH2109" s="15"/>
      <c r="AI2109" s="15"/>
      <c r="AJ2109" s="15"/>
      <c r="AK2109" s="15"/>
      <c r="AL2109" s="15"/>
      <c r="AM2109" s="15"/>
      <c r="AN2109" s="15"/>
      <c r="AO2109" s="15"/>
      <c r="AP2109" s="15"/>
      <c r="AQ2109" s="15"/>
    </row>
    <row r="2110" spans="1:43">
      <c r="A2110" s="15" t="s">
        <v>49</v>
      </c>
      <c r="B2110" s="15" t="s">
        <v>50</v>
      </c>
      <c r="C2110" s="15" t="s">
        <v>61</v>
      </c>
      <c r="D2110" s="15" t="s">
        <v>5537</v>
      </c>
      <c r="E2110" s="15" t="s">
        <v>5538</v>
      </c>
      <c r="F2110" s="16">
        <v>0</v>
      </c>
      <c r="G2110" s="15" t="s">
        <v>5538</v>
      </c>
      <c r="H2110" s="15" t="s">
        <v>5539</v>
      </c>
      <c r="I2110" s="15">
        <v>0</v>
      </c>
      <c r="J2110" s="15">
        <v>0</v>
      </c>
      <c r="K2110" s="15">
        <v>0</v>
      </c>
      <c r="L2110" s="20">
        <v>0</v>
      </c>
      <c r="M2110" s="15">
        <v>0</v>
      </c>
      <c r="N2110" s="15">
        <v>0</v>
      </c>
      <c r="O2110" s="15">
        <v>0</v>
      </c>
      <c r="P2110" s="15">
        <v>0</v>
      </c>
      <c r="Q2110" s="15">
        <v>0</v>
      </c>
      <c r="R2110" s="15">
        <v>0</v>
      </c>
      <c r="S2110" s="15">
        <v>0</v>
      </c>
      <c r="T2110" s="15">
        <v>0</v>
      </c>
      <c r="U2110" s="15">
        <v>0</v>
      </c>
      <c r="V2110" s="15">
        <v>0</v>
      </c>
      <c r="W2110" s="15">
        <v>0</v>
      </c>
      <c r="X2110" s="15">
        <v>0</v>
      </c>
      <c r="Y2110" s="15">
        <v>0</v>
      </c>
      <c r="Z2110" s="15">
        <v>0</v>
      </c>
      <c r="AA2110" s="15"/>
      <c r="AB2110" s="15"/>
      <c r="AC2110" s="15"/>
      <c r="AD2110" s="15"/>
      <c r="AE2110" s="15"/>
      <c r="AF2110" s="15"/>
      <c r="AG2110" s="15"/>
      <c r="AH2110" s="15"/>
      <c r="AI2110" s="15"/>
      <c r="AJ2110" s="15"/>
      <c r="AK2110" s="15"/>
      <c r="AL2110" s="15"/>
      <c r="AM2110" s="15"/>
      <c r="AN2110" s="15"/>
      <c r="AO2110" s="15"/>
      <c r="AP2110" s="15"/>
      <c r="AQ2110" s="15"/>
    </row>
    <row r="2111" spans="1:43">
      <c r="A2111" s="15" t="s">
        <v>43</v>
      </c>
      <c r="B2111" s="15" t="s">
        <v>44</v>
      </c>
      <c r="C2111" s="15" t="s">
        <v>45</v>
      </c>
      <c r="D2111" s="15" t="s">
        <v>5540</v>
      </c>
      <c r="E2111" s="15" t="s">
        <v>5541</v>
      </c>
      <c r="F2111" s="16">
        <v>41859.4433564815</v>
      </c>
      <c r="G2111" s="15" t="s">
        <v>5541</v>
      </c>
      <c r="H2111" s="15" t="s">
        <v>5542</v>
      </c>
      <c r="I2111" s="15">
        <v>0</v>
      </c>
      <c r="J2111" s="15">
        <v>0</v>
      </c>
      <c r="K2111" s="15">
        <v>0</v>
      </c>
      <c r="L2111" s="20">
        <v>0</v>
      </c>
      <c r="M2111" s="15">
        <v>0</v>
      </c>
      <c r="N2111" s="15">
        <v>0</v>
      </c>
      <c r="O2111" s="15">
        <v>0</v>
      </c>
      <c r="P2111" s="15">
        <v>0</v>
      </c>
      <c r="Q2111" s="15">
        <v>0</v>
      </c>
      <c r="R2111" s="15">
        <v>0</v>
      </c>
      <c r="S2111" s="15">
        <v>0</v>
      </c>
      <c r="T2111" s="15">
        <v>0</v>
      </c>
      <c r="U2111" s="15">
        <v>0</v>
      </c>
      <c r="V2111" s="15">
        <v>0</v>
      </c>
      <c r="W2111" s="15">
        <v>0</v>
      </c>
      <c r="X2111" s="15">
        <v>0</v>
      </c>
      <c r="Y2111" s="15">
        <v>0</v>
      </c>
      <c r="Z2111" s="15">
        <v>0</v>
      </c>
      <c r="AA2111" s="15"/>
      <c r="AB2111" s="15"/>
      <c r="AC2111" s="15"/>
      <c r="AD2111" s="15"/>
      <c r="AE2111" s="15"/>
      <c r="AF2111" s="15"/>
      <c r="AG2111" s="15"/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</row>
    <row r="2112" spans="1:43">
      <c r="A2112" s="15" t="s">
        <v>64</v>
      </c>
      <c r="B2112" s="15" t="s">
        <v>118</v>
      </c>
      <c r="C2112" s="15" t="s">
        <v>119</v>
      </c>
      <c r="D2112" s="15" t="s">
        <v>5543</v>
      </c>
      <c r="E2112" s="15" t="s">
        <v>5544</v>
      </c>
      <c r="F2112" s="16">
        <v>45068.6606134259</v>
      </c>
      <c r="G2112" s="15" t="s">
        <v>5544</v>
      </c>
      <c r="H2112" s="15" t="s">
        <v>5545</v>
      </c>
      <c r="I2112" s="15">
        <v>2444.96</v>
      </c>
      <c r="J2112" s="15">
        <v>8</v>
      </c>
      <c r="K2112" s="15">
        <v>305.62</v>
      </c>
      <c r="L2112" s="20">
        <v>4.366</v>
      </c>
      <c r="M2112" s="15">
        <v>0</v>
      </c>
      <c r="N2112" s="15">
        <v>0</v>
      </c>
      <c r="O2112" s="15">
        <v>0</v>
      </c>
      <c r="P2112" s="15">
        <v>0</v>
      </c>
      <c r="Q2112" s="15">
        <v>0</v>
      </c>
      <c r="R2112" s="15">
        <v>0</v>
      </c>
      <c r="S2112" s="15">
        <v>279.92</v>
      </c>
      <c r="T2112" s="15">
        <v>352.19</v>
      </c>
      <c r="U2112" s="15">
        <v>300.5</v>
      </c>
      <c r="V2112" s="15">
        <v>303.54</v>
      </c>
      <c r="W2112" s="15">
        <v>304.38</v>
      </c>
      <c r="X2112" s="15">
        <v>300.96</v>
      </c>
      <c r="Y2112" s="15">
        <v>301.59</v>
      </c>
      <c r="Z2112" s="15">
        <v>301.88</v>
      </c>
      <c r="AA2112" s="15"/>
      <c r="AB2112" s="15"/>
      <c r="AC2112" s="15"/>
      <c r="AD2112" s="15"/>
      <c r="AE2112" s="15"/>
      <c r="AF2112" s="15"/>
      <c r="AG2112" s="15"/>
      <c r="AH2112" s="15"/>
      <c r="AI2112" s="15"/>
      <c r="AJ2112" s="15"/>
      <c r="AK2112" s="15"/>
      <c r="AL2112" s="15"/>
      <c r="AM2112" s="15"/>
      <c r="AN2112" s="15"/>
      <c r="AO2112" s="15"/>
      <c r="AP2112" s="15"/>
      <c r="AQ2112" s="15"/>
    </row>
    <row r="2113" spans="1:43">
      <c r="A2113" s="15" t="s">
        <v>49</v>
      </c>
      <c r="B2113" s="15" t="s">
        <v>50</v>
      </c>
      <c r="C2113" s="15" t="s">
        <v>61</v>
      </c>
      <c r="D2113" s="15" t="s">
        <v>5546</v>
      </c>
      <c r="E2113" s="15" t="s">
        <v>5547</v>
      </c>
      <c r="F2113" s="16">
        <v>0</v>
      </c>
      <c r="G2113" s="15" t="s">
        <v>5547</v>
      </c>
      <c r="H2113" s="15" t="s">
        <v>5548</v>
      </c>
      <c r="I2113" s="15">
        <v>0</v>
      </c>
      <c r="J2113" s="15">
        <v>0</v>
      </c>
      <c r="K2113" s="15">
        <v>0</v>
      </c>
      <c r="L2113" s="20">
        <v>0</v>
      </c>
      <c r="M2113" s="15">
        <v>0</v>
      </c>
      <c r="N2113" s="15">
        <v>0</v>
      </c>
      <c r="O2113" s="15">
        <v>0</v>
      </c>
      <c r="P2113" s="15">
        <v>0</v>
      </c>
      <c r="Q2113" s="15">
        <v>0</v>
      </c>
      <c r="R2113" s="15">
        <v>0</v>
      </c>
      <c r="S2113" s="15">
        <v>0</v>
      </c>
      <c r="T2113" s="15">
        <v>0</v>
      </c>
      <c r="U2113" s="15">
        <v>0</v>
      </c>
      <c r="V2113" s="15">
        <v>0</v>
      </c>
      <c r="W2113" s="15">
        <v>0</v>
      </c>
      <c r="X2113" s="15">
        <v>0</v>
      </c>
      <c r="Y2113" s="15">
        <v>0</v>
      </c>
      <c r="Z2113" s="15">
        <v>0</v>
      </c>
      <c r="AA2113" s="15"/>
      <c r="AB2113" s="15"/>
      <c r="AC2113" s="15"/>
      <c r="AD2113" s="15"/>
      <c r="AE2113" s="15"/>
      <c r="AF2113" s="15"/>
      <c r="AG2113" s="15"/>
      <c r="AH2113" s="15"/>
      <c r="AI2113" s="15"/>
      <c r="AJ2113" s="15"/>
      <c r="AK2113" s="15"/>
      <c r="AL2113" s="15"/>
      <c r="AM2113" s="15"/>
      <c r="AN2113" s="15"/>
      <c r="AO2113" s="15"/>
      <c r="AP2113" s="15"/>
      <c r="AQ2113" s="15"/>
    </row>
    <row r="2114" spans="1:43">
      <c r="A2114" s="15" t="s">
        <v>43</v>
      </c>
      <c r="B2114" s="15" t="s">
        <v>44</v>
      </c>
      <c r="C2114" s="15" t="s">
        <v>45</v>
      </c>
      <c r="D2114" s="15" t="s">
        <v>5549</v>
      </c>
      <c r="E2114" s="15" t="s">
        <v>5550</v>
      </c>
      <c r="F2114" s="16">
        <v>42457.7446412037</v>
      </c>
      <c r="G2114" s="15" t="s">
        <v>5550</v>
      </c>
      <c r="H2114" s="15" t="s">
        <v>5551</v>
      </c>
      <c r="I2114" s="15">
        <v>0</v>
      </c>
      <c r="J2114" s="15">
        <v>0</v>
      </c>
      <c r="K2114" s="15">
        <v>0</v>
      </c>
      <c r="L2114" s="20">
        <v>0</v>
      </c>
      <c r="M2114" s="15">
        <v>0</v>
      </c>
      <c r="N2114" s="15">
        <v>0</v>
      </c>
      <c r="O2114" s="15">
        <v>0</v>
      </c>
      <c r="P2114" s="15">
        <v>0</v>
      </c>
      <c r="Q2114" s="15">
        <v>0</v>
      </c>
      <c r="R2114" s="15">
        <v>0</v>
      </c>
      <c r="S2114" s="15">
        <v>0</v>
      </c>
      <c r="T2114" s="15">
        <v>0</v>
      </c>
      <c r="U2114" s="15">
        <v>0</v>
      </c>
      <c r="V2114" s="15">
        <v>0</v>
      </c>
      <c r="W2114" s="15">
        <v>0</v>
      </c>
      <c r="X2114" s="15">
        <v>0</v>
      </c>
      <c r="Y2114" s="15">
        <v>0</v>
      </c>
      <c r="Z2114" s="15">
        <v>0</v>
      </c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</row>
    <row r="2115" spans="1:43">
      <c r="A2115" s="15" t="s">
        <v>43</v>
      </c>
      <c r="B2115" s="15" t="s">
        <v>44</v>
      </c>
      <c r="C2115" s="15" t="s">
        <v>45</v>
      </c>
      <c r="D2115" s="15" t="s">
        <v>5552</v>
      </c>
      <c r="E2115" s="15" t="s">
        <v>5553</v>
      </c>
      <c r="F2115" s="16">
        <v>43965.6777430556</v>
      </c>
      <c r="G2115" s="15" t="s">
        <v>5553</v>
      </c>
      <c r="H2115" s="15" t="s">
        <v>54</v>
      </c>
      <c r="I2115" s="15">
        <v>0</v>
      </c>
      <c r="J2115" s="15">
        <v>0</v>
      </c>
      <c r="K2115" s="15">
        <v>0</v>
      </c>
      <c r="L2115" s="20">
        <v>0</v>
      </c>
      <c r="M2115" s="15">
        <v>0</v>
      </c>
      <c r="N2115" s="15">
        <v>0</v>
      </c>
      <c r="O2115" s="15">
        <v>0</v>
      </c>
      <c r="P2115" s="15">
        <v>0</v>
      </c>
      <c r="Q2115" s="15">
        <v>0</v>
      </c>
      <c r="R2115" s="15">
        <v>0</v>
      </c>
      <c r="S2115" s="15">
        <v>0</v>
      </c>
      <c r="T2115" s="15">
        <v>0</v>
      </c>
      <c r="U2115" s="15">
        <v>0</v>
      </c>
      <c r="V2115" s="15">
        <v>0</v>
      </c>
      <c r="W2115" s="15">
        <v>0</v>
      </c>
      <c r="X2115" s="15">
        <v>0</v>
      </c>
      <c r="Y2115" s="15">
        <v>0</v>
      </c>
      <c r="Z2115" s="15">
        <v>0</v>
      </c>
      <c r="AA2115" s="15"/>
      <c r="AB2115" s="15"/>
      <c r="AC2115" s="15"/>
      <c r="AD2115" s="15"/>
      <c r="AE2115" s="15"/>
      <c r="AF2115" s="15"/>
      <c r="AG2115" s="15"/>
      <c r="AH2115" s="15"/>
      <c r="AI2115" s="15"/>
      <c r="AJ2115" s="15"/>
      <c r="AK2115" s="15"/>
      <c r="AL2115" s="15"/>
      <c r="AM2115" s="15"/>
      <c r="AN2115" s="15"/>
      <c r="AO2115" s="15"/>
      <c r="AP2115" s="15"/>
      <c r="AQ2115" s="15"/>
    </row>
    <row r="2116" spans="1:43">
      <c r="A2116" s="15" t="s">
        <v>43</v>
      </c>
      <c r="B2116" s="15" t="s">
        <v>44</v>
      </c>
      <c r="C2116" s="15" t="s">
        <v>440</v>
      </c>
      <c r="D2116" s="15" t="s">
        <v>5554</v>
      </c>
      <c r="E2116" s="15" t="s">
        <v>5555</v>
      </c>
      <c r="F2116" s="16">
        <v>44733.7216435185</v>
      </c>
      <c r="G2116" s="15" t="s">
        <v>5555</v>
      </c>
      <c r="H2116" s="15" t="s">
        <v>54</v>
      </c>
      <c r="I2116" s="15">
        <v>422.35</v>
      </c>
      <c r="J2116" s="15">
        <v>14</v>
      </c>
      <c r="K2116" s="15">
        <v>30.1678571428571</v>
      </c>
      <c r="L2116" s="20">
        <v>0.603357142857143</v>
      </c>
      <c r="M2116" s="15">
        <v>38.6</v>
      </c>
      <c r="N2116" s="15">
        <v>38.49</v>
      </c>
      <c r="O2116" s="15">
        <v>23.72</v>
      </c>
      <c r="P2116" s="15">
        <v>20.6</v>
      </c>
      <c r="Q2116" s="15">
        <v>20.96</v>
      </c>
      <c r="R2116" s="15">
        <v>18.63</v>
      </c>
      <c r="S2116" s="15">
        <v>35.26</v>
      </c>
      <c r="T2116" s="15">
        <v>23.57</v>
      </c>
      <c r="U2116" s="15">
        <v>42.08</v>
      </c>
      <c r="V2116" s="15">
        <v>30.87</v>
      </c>
      <c r="W2116" s="15">
        <v>26.4</v>
      </c>
      <c r="X2116" s="15">
        <v>32.27</v>
      </c>
      <c r="Y2116" s="15">
        <v>35.02</v>
      </c>
      <c r="Z2116" s="15">
        <v>35.88</v>
      </c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</row>
    <row r="2117" spans="1:43">
      <c r="A2117" s="15" t="s">
        <v>43</v>
      </c>
      <c r="B2117" s="15" t="s">
        <v>44</v>
      </c>
      <c r="C2117" s="15" t="s">
        <v>228</v>
      </c>
      <c r="D2117" s="15" t="s">
        <v>5556</v>
      </c>
      <c r="E2117" s="15" t="s">
        <v>1029</v>
      </c>
      <c r="F2117" s="16">
        <v>44622.6383101852</v>
      </c>
      <c r="G2117" s="15" t="s">
        <v>1029</v>
      </c>
      <c r="H2117" s="15" t="s">
        <v>5557</v>
      </c>
      <c r="I2117" s="15">
        <v>0</v>
      </c>
      <c r="J2117" s="15">
        <v>0</v>
      </c>
      <c r="K2117" s="15">
        <v>0</v>
      </c>
      <c r="L2117" s="20">
        <v>0</v>
      </c>
      <c r="M2117" s="15">
        <v>0</v>
      </c>
      <c r="N2117" s="15">
        <v>0</v>
      </c>
      <c r="O2117" s="15">
        <v>0</v>
      </c>
      <c r="P2117" s="15">
        <v>0</v>
      </c>
      <c r="Q2117" s="15">
        <v>0</v>
      </c>
      <c r="R2117" s="15">
        <v>0</v>
      </c>
      <c r="S2117" s="15">
        <v>0</v>
      </c>
      <c r="T2117" s="15">
        <v>0</v>
      </c>
      <c r="U2117" s="15">
        <v>0</v>
      </c>
      <c r="V2117" s="15">
        <v>0</v>
      </c>
      <c r="W2117" s="15">
        <v>0</v>
      </c>
      <c r="X2117" s="15">
        <v>0</v>
      </c>
      <c r="Y2117" s="15">
        <v>0</v>
      </c>
      <c r="Z2117" s="15">
        <v>0</v>
      </c>
      <c r="AA2117" s="15"/>
      <c r="AB2117" s="15"/>
      <c r="AC2117" s="15"/>
      <c r="AD2117" s="15"/>
      <c r="AE2117" s="15"/>
      <c r="AF2117" s="15"/>
      <c r="AG2117" s="15"/>
      <c r="AH2117" s="15"/>
      <c r="AI2117" s="15"/>
      <c r="AJ2117" s="15"/>
      <c r="AK2117" s="15"/>
      <c r="AL2117" s="15"/>
      <c r="AM2117" s="15"/>
      <c r="AN2117" s="15"/>
      <c r="AO2117" s="15"/>
      <c r="AP2117" s="15"/>
      <c r="AQ2117" s="15"/>
    </row>
    <row r="2118" spans="1:43">
      <c r="A2118" s="15" t="s">
        <v>43</v>
      </c>
      <c r="B2118" s="15" t="s">
        <v>44</v>
      </c>
      <c r="C2118" s="15" t="s">
        <v>45</v>
      </c>
      <c r="D2118" s="15" t="s">
        <v>5558</v>
      </c>
      <c r="E2118" s="15" t="s">
        <v>5559</v>
      </c>
      <c r="F2118" s="16">
        <v>42325.4622453704</v>
      </c>
      <c r="G2118" s="15" t="s">
        <v>5559</v>
      </c>
      <c r="H2118" s="15" t="s">
        <v>5560</v>
      </c>
      <c r="I2118" s="15">
        <v>0</v>
      </c>
      <c r="J2118" s="15">
        <v>0</v>
      </c>
      <c r="K2118" s="15">
        <v>0</v>
      </c>
      <c r="L2118" s="20">
        <v>0</v>
      </c>
      <c r="M2118" s="15">
        <v>0</v>
      </c>
      <c r="N2118" s="15">
        <v>0</v>
      </c>
      <c r="O2118" s="15">
        <v>0</v>
      </c>
      <c r="P2118" s="15">
        <v>0</v>
      </c>
      <c r="Q2118" s="15">
        <v>0</v>
      </c>
      <c r="R2118" s="15">
        <v>0</v>
      </c>
      <c r="S2118" s="15">
        <v>0</v>
      </c>
      <c r="T2118" s="15">
        <v>0</v>
      </c>
      <c r="U2118" s="15">
        <v>0</v>
      </c>
      <c r="V2118" s="15">
        <v>0</v>
      </c>
      <c r="W2118" s="15">
        <v>0</v>
      </c>
      <c r="X2118" s="15">
        <v>0</v>
      </c>
      <c r="Y2118" s="15">
        <v>0</v>
      </c>
      <c r="Z2118" s="15">
        <v>0</v>
      </c>
      <c r="AA2118" s="15"/>
      <c r="AB2118" s="15"/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/>
      <c r="AM2118" s="15"/>
      <c r="AN2118" s="15"/>
      <c r="AO2118" s="15"/>
      <c r="AP2118" s="15"/>
      <c r="AQ2118" s="15"/>
    </row>
    <row r="2119" spans="1:43">
      <c r="A2119" s="15" t="s">
        <v>43</v>
      </c>
      <c r="B2119" s="15" t="s">
        <v>44</v>
      </c>
      <c r="C2119" s="15" t="s">
        <v>45</v>
      </c>
      <c r="D2119" s="15" t="s">
        <v>5561</v>
      </c>
      <c r="E2119" s="15" t="s">
        <v>5562</v>
      </c>
      <c r="F2119" s="16">
        <v>43305.6221412037</v>
      </c>
      <c r="G2119" s="15" t="s">
        <v>5562</v>
      </c>
      <c r="H2119" s="15" t="s">
        <v>5563</v>
      </c>
      <c r="I2119" s="15">
        <v>0</v>
      </c>
      <c r="J2119" s="15">
        <v>0</v>
      </c>
      <c r="K2119" s="15">
        <v>0</v>
      </c>
      <c r="L2119" s="20">
        <v>0</v>
      </c>
      <c r="M2119" s="15">
        <v>0</v>
      </c>
      <c r="N2119" s="15">
        <v>0</v>
      </c>
      <c r="O2119" s="15">
        <v>0</v>
      </c>
      <c r="P2119" s="15">
        <v>0</v>
      </c>
      <c r="Q2119" s="15">
        <v>0</v>
      </c>
      <c r="R2119" s="15">
        <v>0</v>
      </c>
      <c r="S2119" s="15">
        <v>0</v>
      </c>
      <c r="T2119" s="15">
        <v>0</v>
      </c>
      <c r="U2119" s="15">
        <v>0</v>
      </c>
      <c r="V2119" s="15">
        <v>0</v>
      </c>
      <c r="W2119" s="15">
        <v>0</v>
      </c>
      <c r="X2119" s="15">
        <v>0</v>
      </c>
      <c r="Y2119" s="15">
        <v>0</v>
      </c>
      <c r="Z2119" s="15">
        <v>0</v>
      </c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</row>
    <row r="2120" spans="1:43">
      <c r="A2120" s="15" t="s">
        <v>49</v>
      </c>
      <c r="B2120" s="15" t="s">
        <v>50</v>
      </c>
      <c r="C2120" s="15" t="s">
        <v>61</v>
      </c>
      <c r="D2120" s="15" t="s">
        <v>5564</v>
      </c>
      <c r="E2120" s="15" t="s">
        <v>5565</v>
      </c>
      <c r="F2120" s="16">
        <v>0</v>
      </c>
      <c r="G2120" s="15" t="s">
        <v>5565</v>
      </c>
      <c r="H2120" s="15" t="s">
        <v>54</v>
      </c>
      <c r="I2120" s="15">
        <v>0</v>
      </c>
      <c r="J2120" s="15">
        <v>0</v>
      </c>
      <c r="K2120" s="15">
        <v>0</v>
      </c>
      <c r="L2120" s="20">
        <v>0</v>
      </c>
      <c r="M2120" s="15">
        <v>0</v>
      </c>
      <c r="N2120" s="15">
        <v>0</v>
      </c>
      <c r="O2120" s="15">
        <v>0</v>
      </c>
      <c r="P2120" s="15">
        <v>0</v>
      </c>
      <c r="Q2120" s="15">
        <v>0</v>
      </c>
      <c r="R2120" s="15">
        <v>0</v>
      </c>
      <c r="S2120" s="15">
        <v>0</v>
      </c>
      <c r="T2120" s="15">
        <v>0</v>
      </c>
      <c r="U2120" s="15">
        <v>0</v>
      </c>
      <c r="V2120" s="15">
        <v>0</v>
      </c>
      <c r="W2120" s="15">
        <v>0</v>
      </c>
      <c r="X2120" s="15">
        <v>0</v>
      </c>
      <c r="Y2120" s="15">
        <v>0</v>
      </c>
      <c r="Z2120" s="15">
        <v>0</v>
      </c>
      <c r="AA2120" s="15"/>
      <c r="AB2120" s="15"/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</row>
    <row r="2121" spans="1:43">
      <c r="A2121" s="15" t="s">
        <v>49</v>
      </c>
      <c r="B2121" s="15" t="s">
        <v>50</v>
      </c>
      <c r="C2121" s="15" t="s">
        <v>61</v>
      </c>
      <c r="D2121" s="15" t="s">
        <v>5566</v>
      </c>
      <c r="E2121" s="15" t="s">
        <v>5567</v>
      </c>
      <c r="F2121" s="16">
        <v>0</v>
      </c>
      <c r="G2121" s="15" t="s">
        <v>5567</v>
      </c>
      <c r="H2121" s="15" t="s">
        <v>5568</v>
      </c>
      <c r="I2121" s="15">
        <v>0</v>
      </c>
      <c r="J2121" s="15">
        <v>0</v>
      </c>
      <c r="K2121" s="15">
        <v>0</v>
      </c>
      <c r="L2121" s="20">
        <v>0</v>
      </c>
      <c r="M2121" s="15">
        <v>0</v>
      </c>
      <c r="N2121" s="15">
        <v>0</v>
      </c>
      <c r="O2121" s="15">
        <v>0</v>
      </c>
      <c r="P2121" s="15">
        <v>0</v>
      </c>
      <c r="Q2121" s="15">
        <v>0</v>
      </c>
      <c r="R2121" s="15">
        <v>0</v>
      </c>
      <c r="S2121" s="15">
        <v>0</v>
      </c>
      <c r="T2121" s="15">
        <v>0</v>
      </c>
      <c r="U2121" s="15">
        <v>0</v>
      </c>
      <c r="V2121" s="15">
        <v>0</v>
      </c>
      <c r="W2121" s="15">
        <v>0</v>
      </c>
      <c r="X2121" s="15">
        <v>0</v>
      </c>
      <c r="Y2121" s="15">
        <v>0</v>
      </c>
      <c r="Z2121" s="15">
        <v>0</v>
      </c>
      <c r="AA2121" s="15"/>
      <c r="AB2121" s="15"/>
      <c r="AC2121" s="15"/>
      <c r="AD2121" s="15"/>
      <c r="AE2121" s="15"/>
      <c r="AF2121" s="15"/>
      <c r="AG2121" s="15"/>
      <c r="AH2121" s="15"/>
      <c r="AI2121" s="15"/>
      <c r="AJ2121" s="15"/>
      <c r="AK2121" s="15"/>
      <c r="AL2121" s="15"/>
      <c r="AM2121" s="15"/>
      <c r="AN2121" s="15"/>
      <c r="AO2121" s="15"/>
      <c r="AP2121" s="15"/>
      <c r="AQ2121" s="15"/>
    </row>
    <row r="2122" spans="1:43">
      <c r="A2122" s="15" t="s">
        <v>49</v>
      </c>
      <c r="B2122" s="15" t="s">
        <v>50</v>
      </c>
      <c r="C2122" s="15" t="s">
        <v>51</v>
      </c>
      <c r="D2122" s="15" t="s">
        <v>5569</v>
      </c>
      <c r="E2122" s="15" t="s">
        <v>622</v>
      </c>
      <c r="F2122" s="16">
        <v>45043.6313888889</v>
      </c>
      <c r="G2122" s="15" t="s">
        <v>622</v>
      </c>
      <c r="H2122" s="15" t="s">
        <v>2316</v>
      </c>
      <c r="I2122" s="15">
        <v>0</v>
      </c>
      <c r="J2122" s="15">
        <v>0</v>
      </c>
      <c r="K2122" s="15">
        <v>0</v>
      </c>
      <c r="L2122" s="20">
        <v>0</v>
      </c>
      <c r="M2122" s="15">
        <v>0</v>
      </c>
      <c r="N2122" s="15">
        <v>0</v>
      </c>
      <c r="O2122" s="15">
        <v>0</v>
      </c>
      <c r="P2122" s="15">
        <v>0</v>
      </c>
      <c r="Q2122" s="15">
        <v>0</v>
      </c>
      <c r="R2122" s="15">
        <v>0</v>
      </c>
      <c r="S2122" s="15">
        <v>0</v>
      </c>
      <c r="T2122" s="15">
        <v>0</v>
      </c>
      <c r="U2122" s="15">
        <v>0</v>
      </c>
      <c r="V2122" s="15">
        <v>0</v>
      </c>
      <c r="W2122" s="15">
        <v>0</v>
      </c>
      <c r="X2122" s="15">
        <v>0</v>
      </c>
      <c r="Y2122" s="15">
        <v>0</v>
      </c>
      <c r="Z2122" s="15">
        <v>0</v>
      </c>
      <c r="AA2122" s="15"/>
      <c r="AB2122" s="15"/>
      <c r="AC2122" s="15"/>
      <c r="AD2122" s="15"/>
      <c r="AE2122" s="15"/>
      <c r="AF2122" s="15"/>
      <c r="AG2122" s="15"/>
      <c r="AH2122" s="15"/>
      <c r="AI2122" s="15"/>
      <c r="AJ2122" s="15"/>
      <c r="AK2122" s="15"/>
      <c r="AL2122" s="15"/>
      <c r="AM2122" s="15"/>
      <c r="AN2122" s="15"/>
      <c r="AO2122" s="15"/>
      <c r="AP2122" s="15"/>
      <c r="AQ2122" s="15"/>
    </row>
    <row r="2123" spans="1:43">
      <c r="A2123" s="15" t="s">
        <v>43</v>
      </c>
      <c r="B2123" s="15" t="s">
        <v>44</v>
      </c>
      <c r="C2123" s="15" t="s">
        <v>45</v>
      </c>
      <c r="D2123" s="15" t="s">
        <v>5570</v>
      </c>
      <c r="E2123" s="15" t="s">
        <v>5571</v>
      </c>
      <c r="F2123" s="16">
        <v>41997.4121412037</v>
      </c>
      <c r="G2123" s="15" t="s">
        <v>5571</v>
      </c>
      <c r="H2123" s="15" t="s">
        <v>5572</v>
      </c>
      <c r="I2123" s="15">
        <v>0</v>
      </c>
      <c r="J2123" s="15">
        <v>0</v>
      </c>
      <c r="K2123" s="15">
        <v>0</v>
      </c>
      <c r="L2123" s="20">
        <v>0</v>
      </c>
      <c r="M2123" s="15">
        <v>0</v>
      </c>
      <c r="N2123" s="15">
        <v>0</v>
      </c>
      <c r="O2123" s="15">
        <v>0</v>
      </c>
      <c r="P2123" s="15">
        <v>0</v>
      </c>
      <c r="Q2123" s="15">
        <v>0</v>
      </c>
      <c r="R2123" s="15">
        <v>0</v>
      </c>
      <c r="S2123" s="15">
        <v>0</v>
      </c>
      <c r="T2123" s="15">
        <v>0</v>
      </c>
      <c r="U2123" s="15">
        <v>0</v>
      </c>
      <c r="V2123" s="15">
        <v>0</v>
      </c>
      <c r="W2123" s="15">
        <v>0</v>
      </c>
      <c r="X2123" s="15">
        <v>0</v>
      </c>
      <c r="Y2123" s="15">
        <v>0</v>
      </c>
      <c r="Z2123" s="15">
        <v>0</v>
      </c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</row>
    <row r="2124" spans="1:43">
      <c r="A2124" s="15" t="s">
        <v>43</v>
      </c>
      <c r="B2124" s="15" t="s">
        <v>44</v>
      </c>
      <c r="C2124" s="15" t="s">
        <v>45</v>
      </c>
      <c r="D2124" s="15" t="s">
        <v>5573</v>
      </c>
      <c r="E2124" s="15" t="s">
        <v>5574</v>
      </c>
      <c r="F2124" s="16">
        <v>41253.7110416667</v>
      </c>
      <c r="G2124" s="15" t="s">
        <v>5574</v>
      </c>
      <c r="H2124" s="15" t="s">
        <v>5575</v>
      </c>
      <c r="I2124" s="15">
        <v>0</v>
      </c>
      <c r="J2124" s="15">
        <v>0</v>
      </c>
      <c r="K2124" s="15">
        <v>0</v>
      </c>
      <c r="L2124" s="20">
        <v>0</v>
      </c>
      <c r="M2124" s="15">
        <v>0</v>
      </c>
      <c r="N2124" s="15">
        <v>0</v>
      </c>
      <c r="O2124" s="15">
        <v>0</v>
      </c>
      <c r="P2124" s="15">
        <v>0</v>
      </c>
      <c r="Q2124" s="15">
        <v>0</v>
      </c>
      <c r="R2124" s="15">
        <v>0</v>
      </c>
      <c r="S2124" s="15">
        <v>0</v>
      </c>
      <c r="T2124" s="15">
        <v>0</v>
      </c>
      <c r="U2124" s="15">
        <v>0</v>
      </c>
      <c r="V2124" s="15">
        <v>0</v>
      </c>
      <c r="W2124" s="15">
        <v>0</v>
      </c>
      <c r="X2124" s="15">
        <v>0</v>
      </c>
      <c r="Y2124" s="15">
        <v>0</v>
      </c>
      <c r="Z2124" s="15">
        <v>0</v>
      </c>
      <c r="AA2124" s="15"/>
      <c r="AB2124" s="15"/>
      <c r="AC2124" s="15"/>
      <c r="AD2124" s="15"/>
      <c r="AE2124" s="15"/>
      <c r="AF2124" s="15"/>
      <c r="AG2124" s="15"/>
      <c r="AH2124" s="15"/>
      <c r="AI2124" s="15"/>
      <c r="AJ2124" s="15"/>
      <c r="AK2124" s="15"/>
      <c r="AL2124" s="15"/>
      <c r="AM2124" s="15"/>
      <c r="AN2124" s="15"/>
      <c r="AO2124" s="15"/>
      <c r="AP2124" s="15"/>
      <c r="AQ2124" s="15"/>
    </row>
    <row r="2125" spans="1:43">
      <c r="A2125" s="15" t="s">
        <v>43</v>
      </c>
      <c r="B2125" s="15" t="s">
        <v>44</v>
      </c>
      <c r="C2125" s="15" t="s">
        <v>45</v>
      </c>
      <c r="D2125" s="15" t="s">
        <v>5576</v>
      </c>
      <c r="E2125" s="15" t="s">
        <v>5577</v>
      </c>
      <c r="F2125" s="16">
        <v>41720.3909259259</v>
      </c>
      <c r="G2125" s="15" t="s">
        <v>5577</v>
      </c>
      <c r="H2125" s="15" t="s">
        <v>5578</v>
      </c>
      <c r="I2125" s="15">
        <v>0</v>
      </c>
      <c r="J2125" s="15">
        <v>0</v>
      </c>
      <c r="K2125" s="15">
        <v>0</v>
      </c>
      <c r="L2125" s="20">
        <v>0</v>
      </c>
      <c r="M2125" s="15">
        <v>0</v>
      </c>
      <c r="N2125" s="15">
        <v>0</v>
      </c>
      <c r="O2125" s="15">
        <v>0</v>
      </c>
      <c r="P2125" s="15">
        <v>0</v>
      </c>
      <c r="Q2125" s="15">
        <v>0</v>
      </c>
      <c r="R2125" s="15">
        <v>0</v>
      </c>
      <c r="S2125" s="15">
        <v>0</v>
      </c>
      <c r="T2125" s="15">
        <v>0</v>
      </c>
      <c r="U2125" s="15">
        <v>0</v>
      </c>
      <c r="V2125" s="15">
        <v>0</v>
      </c>
      <c r="W2125" s="15">
        <v>0</v>
      </c>
      <c r="X2125" s="15">
        <v>0</v>
      </c>
      <c r="Y2125" s="15">
        <v>0</v>
      </c>
      <c r="Z2125" s="15">
        <v>0</v>
      </c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</row>
    <row r="2126" spans="1:43">
      <c r="A2126" s="15" t="s">
        <v>49</v>
      </c>
      <c r="B2126" s="15" t="s">
        <v>50</v>
      </c>
      <c r="C2126" s="15" t="s">
        <v>61</v>
      </c>
      <c r="D2126" s="15" t="s">
        <v>5579</v>
      </c>
      <c r="E2126" s="15" t="s">
        <v>1355</v>
      </c>
      <c r="F2126" s="16">
        <v>0</v>
      </c>
      <c r="G2126" s="15" t="s">
        <v>1355</v>
      </c>
      <c r="H2126" s="15" t="s">
        <v>1356</v>
      </c>
      <c r="I2126" s="15">
        <v>0</v>
      </c>
      <c r="J2126" s="15">
        <v>0</v>
      </c>
      <c r="K2126" s="15">
        <v>0</v>
      </c>
      <c r="L2126" s="20">
        <v>0</v>
      </c>
      <c r="M2126" s="15">
        <v>0</v>
      </c>
      <c r="N2126" s="15">
        <v>0</v>
      </c>
      <c r="O2126" s="15">
        <v>0</v>
      </c>
      <c r="P2126" s="15">
        <v>0</v>
      </c>
      <c r="Q2126" s="15">
        <v>0</v>
      </c>
      <c r="R2126" s="15">
        <v>0</v>
      </c>
      <c r="S2126" s="15">
        <v>0</v>
      </c>
      <c r="T2126" s="15">
        <v>0</v>
      </c>
      <c r="U2126" s="15">
        <v>0</v>
      </c>
      <c r="V2126" s="15">
        <v>0</v>
      </c>
      <c r="W2126" s="15">
        <v>0</v>
      </c>
      <c r="X2126" s="15">
        <v>0</v>
      </c>
      <c r="Y2126" s="15">
        <v>0</v>
      </c>
      <c r="Z2126" s="15">
        <v>0</v>
      </c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</row>
    <row r="2127" spans="1:43">
      <c r="A2127" s="15" t="s">
        <v>64</v>
      </c>
      <c r="B2127" s="15" t="s">
        <v>118</v>
      </c>
      <c r="C2127" s="15" t="s">
        <v>131</v>
      </c>
      <c r="D2127" s="15" t="s">
        <v>5580</v>
      </c>
      <c r="E2127" s="15" t="s">
        <v>5581</v>
      </c>
      <c r="F2127" s="16">
        <v>44880.69625</v>
      </c>
      <c r="G2127" s="15" t="s">
        <v>5581</v>
      </c>
      <c r="H2127" s="15" t="s">
        <v>5582</v>
      </c>
      <c r="I2127" s="15">
        <v>0</v>
      </c>
      <c r="J2127" s="15">
        <v>0</v>
      </c>
      <c r="K2127" s="15">
        <v>0</v>
      </c>
      <c r="L2127" s="20">
        <v>0</v>
      </c>
      <c r="M2127" s="15">
        <v>0</v>
      </c>
      <c r="N2127" s="15">
        <v>0</v>
      </c>
      <c r="O2127" s="15">
        <v>0</v>
      </c>
      <c r="P2127" s="15">
        <v>0</v>
      </c>
      <c r="Q2127" s="15">
        <v>0</v>
      </c>
      <c r="R2127" s="15">
        <v>0</v>
      </c>
      <c r="S2127" s="15">
        <v>0</v>
      </c>
      <c r="T2127" s="15">
        <v>0</v>
      </c>
      <c r="U2127" s="15">
        <v>0</v>
      </c>
      <c r="V2127" s="15">
        <v>0</v>
      </c>
      <c r="W2127" s="15">
        <v>0</v>
      </c>
      <c r="X2127" s="15">
        <v>0</v>
      </c>
      <c r="Y2127" s="15">
        <v>0</v>
      </c>
      <c r="Z2127" s="15">
        <v>0</v>
      </c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</row>
    <row r="2128" spans="1:43">
      <c r="A2128" s="15" t="s">
        <v>43</v>
      </c>
      <c r="B2128" s="15" t="s">
        <v>44</v>
      </c>
      <c r="C2128" s="15" t="s">
        <v>45</v>
      </c>
      <c r="D2128" s="15" t="s">
        <v>5583</v>
      </c>
      <c r="E2128" s="15" t="s">
        <v>5584</v>
      </c>
      <c r="F2128" s="16">
        <v>43402.3571180556</v>
      </c>
      <c r="G2128" s="15" t="s">
        <v>5584</v>
      </c>
      <c r="H2128" s="15" t="s">
        <v>5585</v>
      </c>
      <c r="I2128" s="15">
        <v>0</v>
      </c>
      <c r="J2128" s="15">
        <v>0</v>
      </c>
      <c r="K2128" s="15">
        <v>0</v>
      </c>
      <c r="L2128" s="20">
        <v>0</v>
      </c>
      <c r="M2128" s="15">
        <v>0</v>
      </c>
      <c r="N2128" s="15">
        <v>0</v>
      </c>
      <c r="O2128" s="15">
        <v>0</v>
      </c>
      <c r="P2128" s="15">
        <v>0</v>
      </c>
      <c r="Q2128" s="15">
        <v>0</v>
      </c>
      <c r="R2128" s="15">
        <v>0</v>
      </c>
      <c r="S2128" s="15">
        <v>0</v>
      </c>
      <c r="T2128" s="15">
        <v>0</v>
      </c>
      <c r="U2128" s="15">
        <v>0</v>
      </c>
      <c r="V2128" s="15">
        <v>0</v>
      </c>
      <c r="W2128" s="15">
        <v>0</v>
      </c>
      <c r="X2128" s="15">
        <v>0</v>
      </c>
      <c r="Y2128" s="15">
        <v>0</v>
      </c>
      <c r="Z2128" s="15">
        <v>0</v>
      </c>
      <c r="AA2128" s="15"/>
      <c r="AB2128" s="15"/>
      <c r="AC2128" s="15"/>
      <c r="AD2128" s="15"/>
      <c r="AE2128" s="15"/>
      <c r="AF2128" s="15"/>
      <c r="AG2128" s="15"/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</row>
    <row r="2129" spans="1:43">
      <c r="A2129" s="15" t="s">
        <v>43</v>
      </c>
      <c r="B2129" s="15" t="s">
        <v>44</v>
      </c>
      <c r="C2129" s="15" t="s">
        <v>45</v>
      </c>
      <c r="D2129" s="15" t="s">
        <v>5586</v>
      </c>
      <c r="E2129" s="15" t="s">
        <v>5587</v>
      </c>
      <c r="F2129" s="16">
        <v>39905.4606018519</v>
      </c>
      <c r="G2129" s="15" t="s">
        <v>5587</v>
      </c>
      <c r="H2129" s="15" t="s">
        <v>5588</v>
      </c>
      <c r="I2129" s="15">
        <v>0</v>
      </c>
      <c r="J2129" s="15">
        <v>0</v>
      </c>
      <c r="K2129" s="15">
        <v>0</v>
      </c>
      <c r="L2129" s="20">
        <v>0</v>
      </c>
      <c r="M2129" s="15">
        <v>0</v>
      </c>
      <c r="N2129" s="15">
        <v>0</v>
      </c>
      <c r="O2129" s="15">
        <v>0</v>
      </c>
      <c r="P2129" s="15">
        <v>0</v>
      </c>
      <c r="Q2129" s="15">
        <v>0</v>
      </c>
      <c r="R2129" s="15">
        <v>0</v>
      </c>
      <c r="S2129" s="15">
        <v>0</v>
      </c>
      <c r="T2129" s="15">
        <v>0</v>
      </c>
      <c r="U2129" s="15">
        <v>0</v>
      </c>
      <c r="V2129" s="15">
        <v>0</v>
      </c>
      <c r="W2129" s="15">
        <v>0</v>
      </c>
      <c r="X2129" s="15">
        <v>0</v>
      </c>
      <c r="Y2129" s="15">
        <v>0</v>
      </c>
      <c r="Z2129" s="15">
        <v>0</v>
      </c>
      <c r="AA2129" s="15"/>
      <c r="AB2129" s="15"/>
      <c r="AC2129" s="15"/>
      <c r="AD2129" s="15"/>
      <c r="AE2129" s="15"/>
      <c r="AF2129" s="15"/>
      <c r="AG2129" s="15"/>
      <c r="AH2129" s="15"/>
      <c r="AI2129" s="15"/>
      <c r="AJ2129" s="15"/>
      <c r="AK2129" s="15"/>
      <c r="AL2129" s="15"/>
      <c r="AM2129" s="15"/>
      <c r="AN2129" s="15"/>
      <c r="AO2129" s="15"/>
      <c r="AP2129" s="15"/>
      <c r="AQ2129" s="15"/>
    </row>
    <row r="2130" spans="1:43">
      <c r="A2130" s="15" t="s">
        <v>49</v>
      </c>
      <c r="B2130" s="15" t="s">
        <v>50</v>
      </c>
      <c r="C2130" s="15" t="s">
        <v>61</v>
      </c>
      <c r="D2130" s="15" t="s">
        <v>5589</v>
      </c>
      <c r="E2130" s="15" t="s">
        <v>5590</v>
      </c>
      <c r="F2130" s="16">
        <v>0</v>
      </c>
      <c r="G2130" s="15" t="s">
        <v>5590</v>
      </c>
      <c r="H2130" s="15" t="s">
        <v>54</v>
      </c>
      <c r="I2130" s="15">
        <v>0</v>
      </c>
      <c r="J2130" s="15">
        <v>0</v>
      </c>
      <c r="K2130" s="15">
        <v>0</v>
      </c>
      <c r="L2130" s="20">
        <v>0</v>
      </c>
      <c r="M2130" s="15">
        <v>0</v>
      </c>
      <c r="N2130" s="15">
        <v>0</v>
      </c>
      <c r="O2130" s="15">
        <v>0</v>
      </c>
      <c r="P2130" s="15">
        <v>0</v>
      </c>
      <c r="Q2130" s="15">
        <v>0</v>
      </c>
      <c r="R2130" s="15">
        <v>0</v>
      </c>
      <c r="S2130" s="15">
        <v>0</v>
      </c>
      <c r="T2130" s="15">
        <v>0</v>
      </c>
      <c r="U2130" s="15">
        <v>0</v>
      </c>
      <c r="V2130" s="15">
        <v>0</v>
      </c>
      <c r="W2130" s="15">
        <v>0</v>
      </c>
      <c r="X2130" s="15">
        <v>0</v>
      </c>
      <c r="Y2130" s="15">
        <v>0</v>
      </c>
      <c r="Z2130" s="15">
        <v>0</v>
      </c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</row>
    <row r="2131" spans="1:43">
      <c r="A2131" s="15" t="s">
        <v>43</v>
      </c>
      <c r="B2131" s="15" t="s">
        <v>44</v>
      </c>
      <c r="C2131" s="15" t="s">
        <v>45</v>
      </c>
      <c r="D2131" s="15" t="s">
        <v>5591</v>
      </c>
      <c r="E2131" s="15" t="s">
        <v>5592</v>
      </c>
      <c r="F2131" s="16">
        <v>43368.4559606481</v>
      </c>
      <c r="G2131" s="15" t="s">
        <v>5592</v>
      </c>
      <c r="H2131" s="15" t="s">
        <v>5593</v>
      </c>
      <c r="I2131" s="15">
        <v>0</v>
      </c>
      <c r="J2131" s="15">
        <v>0</v>
      </c>
      <c r="K2131" s="15">
        <v>0</v>
      </c>
      <c r="L2131" s="20">
        <v>0</v>
      </c>
      <c r="M2131" s="15">
        <v>0</v>
      </c>
      <c r="N2131" s="15">
        <v>0</v>
      </c>
      <c r="O2131" s="15">
        <v>0</v>
      </c>
      <c r="P2131" s="15">
        <v>0</v>
      </c>
      <c r="Q2131" s="15">
        <v>0</v>
      </c>
      <c r="R2131" s="15">
        <v>0</v>
      </c>
      <c r="S2131" s="15">
        <v>0</v>
      </c>
      <c r="T2131" s="15">
        <v>0</v>
      </c>
      <c r="U2131" s="15">
        <v>0</v>
      </c>
      <c r="V2131" s="15">
        <v>0</v>
      </c>
      <c r="W2131" s="15">
        <v>0</v>
      </c>
      <c r="X2131" s="15">
        <v>0</v>
      </c>
      <c r="Y2131" s="15">
        <v>0</v>
      </c>
      <c r="Z2131" s="15">
        <v>0</v>
      </c>
      <c r="AA2131" s="15"/>
      <c r="AB2131" s="15"/>
      <c r="AC2131" s="15"/>
      <c r="AD2131" s="15"/>
      <c r="AE2131" s="15"/>
      <c r="AF2131" s="15"/>
      <c r="AG2131" s="15"/>
      <c r="AH2131" s="15"/>
      <c r="AI2131" s="15"/>
      <c r="AJ2131" s="15"/>
      <c r="AK2131" s="15"/>
      <c r="AL2131" s="15"/>
      <c r="AM2131" s="15"/>
      <c r="AN2131" s="15"/>
      <c r="AO2131" s="15"/>
      <c r="AP2131" s="15"/>
      <c r="AQ2131" s="15"/>
    </row>
    <row r="2132" spans="1:43">
      <c r="A2132" s="15" t="s">
        <v>43</v>
      </c>
      <c r="B2132" s="15" t="s">
        <v>44</v>
      </c>
      <c r="C2132" s="15" t="s">
        <v>45</v>
      </c>
      <c r="D2132" s="15" t="s">
        <v>5594</v>
      </c>
      <c r="E2132" s="15" t="s">
        <v>5595</v>
      </c>
      <c r="F2132" s="16">
        <v>42219.7105787037</v>
      </c>
      <c r="G2132" s="15" t="s">
        <v>5595</v>
      </c>
      <c r="H2132" s="15" t="s">
        <v>5596</v>
      </c>
      <c r="I2132" s="15">
        <v>0</v>
      </c>
      <c r="J2132" s="15">
        <v>0</v>
      </c>
      <c r="K2132" s="15">
        <v>0</v>
      </c>
      <c r="L2132" s="20">
        <v>0</v>
      </c>
      <c r="M2132" s="15">
        <v>0</v>
      </c>
      <c r="N2132" s="15">
        <v>0</v>
      </c>
      <c r="O2132" s="15">
        <v>0</v>
      </c>
      <c r="P2132" s="15">
        <v>0</v>
      </c>
      <c r="Q2132" s="15">
        <v>0</v>
      </c>
      <c r="R2132" s="15">
        <v>0</v>
      </c>
      <c r="S2132" s="15">
        <v>0</v>
      </c>
      <c r="T2132" s="15">
        <v>0</v>
      </c>
      <c r="U2132" s="15">
        <v>0</v>
      </c>
      <c r="V2132" s="15">
        <v>0</v>
      </c>
      <c r="W2132" s="15">
        <v>0</v>
      </c>
      <c r="X2132" s="15">
        <v>0</v>
      </c>
      <c r="Y2132" s="15">
        <v>0</v>
      </c>
      <c r="Z2132" s="15">
        <v>0</v>
      </c>
      <c r="AA2132" s="15"/>
      <c r="AB2132" s="15"/>
      <c r="AC2132" s="15"/>
      <c r="AD2132" s="15"/>
      <c r="AE2132" s="15"/>
      <c r="AF2132" s="15"/>
      <c r="AG2132" s="15"/>
      <c r="AH2132" s="15"/>
      <c r="AI2132" s="15"/>
      <c r="AJ2132" s="15"/>
      <c r="AK2132" s="15"/>
      <c r="AL2132" s="15"/>
      <c r="AM2132" s="15"/>
      <c r="AN2132" s="15"/>
      <c r="AO2132" s="15"/>
      <c r="AP2132" s="15"/>
      <c r="AQ2132" s="15"/>
    </row>
    <row r="2133" spans="1:43">
      <c r="A2133" s="15" t="s">
        <v>64</v>
      </c>
      <c r="B2133" s="15" t="s">
        <v>65</v>
      </c>
      <c r="C2133" s="15" t="s">
        <v>93</v>
      </c>
      <c r="D2133" s="15" t="s">
        <v>5597</v>
      </c>
      <c r="E2133" s="15" t="s">
        <v>5598</v>
      </c>
      <c r="F2133" s="16">
        <v>44845.7065972222</v>
      </c>
      <c r="G2133" s="15" t="s">
        <v>5598</v>
      </c>
      <c r="H2133" s="15" t="s">
        <v>5599</v>
      </c>
      <c r="I2133" s="15">
        <v>0</v>
      </c>
      <c r="J2133" s="15">
        <v>0</v>
      </c>
      <c r="K2133" s="15">
        <v>0</v>
      </c>
      <c r="L2133" s="20">
        <v>0</v>
      </c>
      <c r="M2133" s="15">
        <v>0</v>
      </c>
      <c r="N2133" s="15">
        <v>0</v>
      </c>
      <c r="O2133" s="15">
        <v>0</v>
      </c>
      <c r="P2133" s="15">
        <v>0</v>
      </c>
      <c r="Q2133" s="15">
        <v>0</v>
      </c>
      <c r="R2133" s="15">
        <v>0</v>
      </c>
      <c r="S2133" s="15">
        <v>0</v>
      </c>
      <c r="T2133" s="15">
        <v>0</v>
      </c>
      <c r="U2133" s="15">
        <v>0</v>
      </c>
      <c r="V2133" s="15">
        <v>0</v>
      </c>
      <c r="W2133" s="15">
        <v>0</v>
      </c>
      <c r="X2133" s="15">
        <v>0</v>
      </c>
      <c r="Y2133" s="15">
        <v>0</v>
      </c>
      <c r="Z2133" s="15">
        <v>0</v>
      </c>
      <c r="AA2133" s="15"/>
      <c r="AB2133" s="15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/>
      <c r="AM2133" s="15"/>
      <c r="AN2133" s="15"/>
      <c r="AO2133" s="15"/>
      <c r="AP2133" s="15"/>
      <c r="AQ2133" s="15"/>
    </row>
    <row r="2134" spans="1:43">
      <c r="A2134" s="15" t="s">
        <v>49</v>
      </c>
      <c r="B2134" s="15" t="s">
        <v>50</v>
      </c>
      <c r="C2134" s="15" t="s">
        <v>301</v>
      </c>
      <c r="D2134" s="15" t="s">
        <v>5600</v>
      </c>
      <c r="E2134" s="15" t="s">
        <v>5601</v>
      </c>
      <c r="F2134" s="16">
        <v>44739.6853009259</v>
      </c>
      <c r="G2134" s="15" t="s">
        <v>5601</v>
      </c>
      <c r="H2134" s="15" t="s">
        <v>5602</v>
      </c>
      <c r="I2134" s="15">
        <v>336.06</v>
      </c>
      <c r="J2134" s="15">
        <v>8</v>
      </c>
      <c r="K2134" s="15">
        <v>42.0075</v>
      </c>
      <c r="L2134" s="20">
        <v>0.84015</v>
      </c>
      <c r="M2134" s="15">
        <v>70.44</v>
      </c>
      <c r="N2134" s="15">
        <v>54.26</v>
      </c>
      <c r="O2134" s="15">
        <v>65.03</v>
      </c>
      <c r="P2134" s="15">
        <v>57.84</v>
      </c>
      <c r="Q2134" s="15">
        <v>80.66</v>
      </c>
      <c r="R2134" s="15">
        <v>4.27</v>
      </c>
      <c r="S2134" s="15">
        <v>0</v>
      </c>
      <c r="T2134" s="15">
        <v>2.8</v>
      </c>
      <c r="U2134" s="15">
        <v>0</v>
      </c>
      <c r="V2134" s="15">
        <v>0</v>
      </c>
      <c r="W2134" s="15">
        <v>0</v>
      </c>
      <c r="X2134" s="15">
        <v>0.76</v>
      </c>
      <c r="Y2134" s="15">
        <v>0</v>
      </c>
      <c r="Z2134" s="15">
        <v>0</v>
      </c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</row>
    <row r="2135" spans="1:43">
      <c r="A2135" s="15" t="s">
        <v>49</v>
      </c>
      <c r="B2135" s="15" t="s">
        <v>50</v>
      </c>
      <c r="C2135" s="15" t="s">
        <v>301</v>
      </c>
      <c r="D2135" s="15" t="s">
        <v>5603</v>
      </c>
      <c r="E2135" s="15" t="s">
        <v>5604</v>
      </c>
      <c r="F2135" s="16">
        <v>44831.408900463</v>
      </c>
      <c r="G2135" s="15" t="s">
        <v>5604</v>
      </c>
      <c r="H2135" s="15" t="s">
        <v>54</v>
      </c>
      <c r="I2135" s="15">
        <v>0</v>
      </c>
      <c r="J2135" s="15">
        <v>0</v>
      </c>
      <c r="K2135" s="15">
        <v>0</v>
      </c>
      <c r="L2135" s="20">
        <v>0</v>
      </c>
      <c r="M2135" s="15">
        <v>0</v>
      </c>
      <c r="N2135" s="15">
        <v>0</v>
      </c>
      <c r="O2135" s="15">
        <v>0</v>
      </c>
      <c r="P2135" s="15">
        <v>0</v>
      </c>
      <c r="Q2135" s="15">
        <v>0</v>
      </c>
      <c r="R2135" s="15">
        <v>0</v>
      </c>
      <c r="S2135" s="15">
        <v>0</v>
      </c>
      <c r="T2135" s="15">
        <v>0</v>
      </c>
      <c r="U2135" s="15">
        <v>0</v>
      </c>
      <c r="V2135" s="15">
        <v>0</v>
      </c>
      <c r="W2135" s="15">
        <v>0</v>
      </c>
      <c r="X2135" s="15">
        <v>0</v>
      </c>
      <c r="Y2135" s="15">
        <v>0</v>
      </c>
      <c r="Z2135" s="15">
        <v>0</v>
      </c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</row>
    <row r="2136" spans="1:43">
      <c r="A2136" s="15" t="s">
        <v>43</v>
      </c>
      <c r="B2136" s="15" t="s">
        <v>44</v>
      </c>
      <c r="C2136" s="15" t="s">
        <v>45</v>
      </c>
      <c r="D2136" s="15" t="s">
        <v>5605</v>
      </c>
      <c r="E2136" s="15" t="s">
        <v>5606</v>
      </c>
      <c r="F2136" s="16">
        <v>44034.4647337963</v>
      </c>
      <c r="G2136" s="15" t="s">
        <v>5606</v>
      </c>
      <c r="H2136" s="15" t="s">
        <v>5607</v>
      </c>
      <c r="I2136" s="15">
        <v>0</v>
      </c>
      <c r="J2136" s="15">
        <v>0</v>
      </c>
      <c r="K2136" s="15">
        <v>0</v>
      </c>
      <c r="L2136" s="20">
        <v>0</v>
      </c>
      <c r="M2136" s="15">
        <v>0</v>
      </c>
      <c r="N2136" s="15">
        <v>0</v>
      </c>
      <c r="O2136" s="15">
        <v>0</v>
      </c>
      <c r="P2136" s="15">
        <v>0</v>
      </c>
      <c r="Q2136" s="15">
        <v>0</v>
      </c>
      <c r="R2136" s="15">
        <v>0</v>
      </c>
      <c r="S2136" s="15">
        <v>0</v>
      </c>
      <c r="T2136" s="15">
        <v>0</v>
      </c>
      <c r="U2136" s="15">
        <v>0</v>
      </c>
      <c r="V2136" s="15">
        <v>0</v>
      </c>
      <c r="W2136" s="15">
        <v>0</v>
      </c>
      <c r="X2136" s="15">
        <v>0</v>
      </c>
      <c r="Y2136" s="15">
        <v>0</v>
      </c>
      <c r="Z2136" s="15">
        <v>0</v>
      </c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</row>
    <row r="2137" spans="1:43">
      <c r="A2137" s="15" t="s">
        <v>43</v>
      </c>
      <c r="B2137" s="15" t="s">
        <v>44</v>
      </c>
      <c r="C2137" s="15" t="s">
        <v>45</v>
      </c>
      <c r="D2137" s="15" t="s">
        <v>5608</v>
      </c>
      <c r="E2137" s="15" t="s">
        <v>5609</v>
      </c>
      <c r="F2137" s="16">
        <v>41253.466724537</v>
      </c>
      <c r="G2137" s="15" t="s">
        <v>5609</v>
      </c>
      <c r="H2137" s="15" t="s">
        <v>5610</v>
      </c>
      <c r="I2137" s="15">
        <v>0</v>
      </c>
      <c r="J2137" s="15">
        <v>0</v>
      </c>
      <c r="K2137" s="15">
        <v>0</v>
      </c>
      <c r="L2137" s="20">
        <v>0</v>
      </c>
      <c r="M2137" s="15">
        <v>0</v>
      </c>
      <c r="N2137" s="15">
        <v>0</v>
      </c>
      <c r="O2137" s="15">
        <v>0</v>
      </c>
      <c r="P2137" s="15">
        <v>0</v>
      </c>
      <c r="Q2137" s="15">
        <v>0</v>
      </c>
      <c r="R2137" s="15">
        <v>0</v>
      </c>
      <c r="S2137" s="15">
        <v>0</v>
      </c>
      <c r="T2137" s="15">
        <v>0</v>
      </c>
      <c r="U2137" s="15">
        <v>0</v>
      </c>
      <c r="V2137" s="15">
        <v>0</v>
      </c>
      <c r="W2137" s="15">
        <v>0</v>
      </c>
      <c r="X2137" s="15">
        <v>0</v>
      </c>
      <c r="Y2137" s="15">
        <v>0</v>
      </c>
      <c r="Z2137" s="15">
        <v>0</v>
      </c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</row>
    <row r="2138" spans="1:43">
      <c r="A2138" s="15" t="s">
        <v>43</v>
      </c>
      <c r="B2138" s="15" t="s">
        <v>44</v>
      </c>
      <c r="C2138" s="15" t="s">
        <v>45</v>
      </c>
      <c r="D2138" s="15" t="s">
        <v>5611</v>
      </c>
      <c r="E2138" s="15" t="s">
        <v>5612</v>
      </c>
      <c r="F2138" s="16">
        <v>42955.3825231482</v>
      </c>
      <c r="G2138" s="15" t="s">
        <v>5612</v>
      </c>
      <c r="H2138" s="15" t="s">
        <v>5613</v>
      </c>
      <c r="I2138" s="15">
        <v>0</v>
      </c>
      <c r="J2138" s="15">
        <v>0</v>
      </c>
      <c r="K2138" s="15">
        <v>0</v>
      </c>
      <c r="L2138" s="20">
        <v>0</v>
      </c>
      <c r="M2138" s="15">
        <v>0</v>
      </c>
      <c r="N2138" s="15">
        <v>0</v>
      </c>
      <c r="O2138" s="15">
        <v>0</v>
      </c>
      <c r="P2138" s="15">
        <v>0</v>
      </c>
      <c r="Q2138" s="15">
        <v>0</v>
      </c>
      <c r="R2138" s="15">
        <v>0</v>
      </c>
      <c r="S2138" s="15">
        <v>0</v>
      </c>
      <c r="T2138" s="15">
        <v>0</v>
      </c>
      <c r="U2138" s="15">
        <v>0</v>
      </c>
      <c r="V2138" s="15">
        <v>0</v>
      </c>
      <c r="W2138" s="15">
        <v>0</v>
      </c>
      <c r="X2138" s="15">
        <v>0</v>
      </c>
      <c r="Y2138" s="15">
        <v>0</v>
      </c>
      <c r="Z2138" s="15">
        <v>0</v>
      </c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</row>
    <row r="2139" spans="1:43">
      <c r="A2139" s="15" t="s">
        <v>49</v>
      </c>
      <c r="B2139" s="15" t="s">
        <v>50</v>
      </c>
      <c r="C2139" s="15" t="s">
        <v>61</v>
      </c>
      <c r="D2139" s="15" t="s">
        <v>5614</v>
      </c>
      <c r="E2139" s="15" t="s">
        <v>5615</v>
      </c>
      <c r="F2139" s="16">
        <v>0</v>
      </c>
      <c r="G2139" s="15" t="s">
        <v>5615</v>
      </c>
      <c r="H2139" s="15" t="s">
        <v>5616</v>
      </c>
      <c r="I2139" s="15">
        <v>0</v>
      </c>
      <c r="J2139" s="15">
        <v>0</v>
      </c>
      <c r="K2139" s="15">
        <v>0</v>
      </c>
      <c r="L2139" s="20">
        <v>0</v>
      </c>
      <c r="M2139" s="15">
        <v>0</v>
      </c>
      <c r="N2139" s="15">
        <v>0</v>
      </c>
      <c r="O2139" s="15">
        <v>0</v>
      </c>
      <c r="P2139" s="15">
        <v>0</v>
      </c>
      <c r="Q2139" s="15">
        <v>0</v>
      </c>
      <c r="R2139" s="15">
        <v>0</v>
      </c>
      <c r="S2139" s="15">
        <v>0</v>
      </c>
      <c r="T2139" s="15">
        <v>0</v>
      </c>
      <c r="U2139" s="15">
        <v>0</v>
      </c>
      <c r="V2139" s="15">
        <v>0</v>
      </c>
      <c r="W2139" s="15">
        <v>0</v>
      </c>
      <c r="X2139" s="15">
        <v>0</v>
      </c>
      <c r="Y2139" s="15">
        <v>0</v>
      </c>
      <c r="Z2139" s="15">
        <v>0</v>
      </c>
      <c r="AA2139" s="15"/>
      <c r="AB2139" s="15"/>
      <c r="AC2139" s="15"/>
      <c r="AD2139" s="15"/>
      <c r="AE2139" s="15"/>
      <c r="AF2139" s="15"/>
      <c r="AG2139" s="15"/>
      <c r="AH2139" s="15"/>
      <c r="AI2139" s="15"/>
      <c r="AJ2139" s="15"/>
      <c r="AK2139" s="15"/>
      <c r="AL2139" s="15"/>
      <c r="AM2139" s="15"/>
      <c r="AN2139" s="15"/>
      <c r="AO2139" s="15"/>
      <c r="AP2139" s="15"/>
      <c r="AQ2139" s="15"/>
    </row>
    <row r="2140" spans="1:43">
      <c r="A2140" s="15" t="s">
        <v>49</v>
      </c>
      <c r="B2140" s="15" t="s">
        <v>50</v>
      </c>
      <c r="C2140" s="15" t="s">
        <v>61</v>
      </c>
      <c r="D2140" s="15" t="s">
        <v>5617</v>
      </c>
      <c r="E2140" s="15" t="s">
        <v>5618</v>
      </c>
      <c r="F2140" s="16">
        <v>0</v>
      </c>
      <c r="G2140" s="15" t="s">
        <v>5618</v>
      </c>
      <c r="H2140" s="15" t="s">
        <v>5619</v>
      </c>
      <c r="I2140" s="15">
        <v>0</v>
      </c>
      <c r="J2140" s="15">
        <v>0</v>
      </c>
      <c r="K2140" s="15">
        <v>0</v>
      </c>
      <c r="L2140" s="20">
        <v>0</v>
      </c>
      <c r="M2140" s="15">
        <v>0</v>
      </c>
      <c r="N2140" s="15">
        <v>0</v>
      </c>
      <c r="O2140" s="15">
        <v>0</v>
      </c>
      <c r="P2140" s="15">
        <v>0</v>
      </c>
      <c r="Q2140" s="15">
        <v>0</v>
      </c>
      <c r="R2140" s="15">
        <v>0</v>
      </c>
      <c r="S2140" s="15">
        <v>0</v>
      </c>
      <c r="T2140" s="15">
        <v>0</v>
      </c>
      <c r="U2140" s="15">
        <v>0</v>
      </c>
      <c r="V2140" s="15">
        <v>0</v>
      </c>
      <c r="W2140" s="15">
        <v>0</v>
      </c>
      <c r="X2140" s="15">
        <v>0</v>
      </c>
      <c r="Y2140" s="15">
        <v>0</v>
      </c>
      <c r="Z2140" s="15">
        <v>0</v>
      </c>
      <c r="AA2140" s="15"/>
      <c r="AB2140" s="15"/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</row>
    <row r="2141" spans="1:43">
      <c r="A2141" s="15" t="s">
        <v>49</v>
      </c>
      <c r="B2141" s="15" t="s">
        <v>50</v>
      </c>
      <c r="C2141" s="15" t="s">
        <v>61</v>
      </c>
      <c r="D2141" s="15" t="s">
        <v>5620</v>
      </c>
      <c r="E2141" s="15" t="s">
        <v>5621</v>
      </c>
      <c r="F2141" s="16">
        <v>0</v>
      </c>
      <c r="G2141" s="15" t="s">
        <v>5621</v>
      </c>
      <c r="H2141" s="15" t="s">
        <v>54</v>
      </c>
      <c r="I2141" s="15">
        <v>0</v>
      </c>
      <c r="J2141" s="15">
        <v>0</v>
      </c>
      <c r="K2141" s="15">
        <v>0</v>
      </c>
      <c r="L2141" s="20">
        <v>0</v>
      </c>
      <c r="M2141" s="15">
        <v>0</v>
      </c>
      <c r="N2141" s="15">
        <v>0</v>
      </c>
      <c r="O2141" s="15">
        <v>0</v>
      </c>
      <c r="P2141" s="15">
        <v>0</v>
      </c>
      <c r="Q2141" s="15">
        <v>0</v>
      </c>
      <c r="R2141" s="15">
        <v>0</v>
      </c>
      <c r="S2141" s="15">
        <v>0</v>
      </c>
      <c r="T2141" s="15">
        <v>0</v>
      </c>
      <c r="U2141" s="15">
        <v>0</v>
      </c>
      <c r="V2141" s="15">
        <v>0</v>
      </c>
      <c r="W2141" s="15">
        <v>0</v>
      </c>
      <c r="X2141" s="15">
        <v>0</v>
      </c>
      <c r="Y2141" s="15">
        <v>0</v>
      </c>
      <c r="Z2141" s="15">
        <v>0</v>
      </c>
      <c r="AA2141" s="15"/>
      <c r="AB2141" s="15"/>
      <c r="AC2141" s="15"/>
      <c r="AD2141" s="15"/>
      <c r="AE2141" s="15"/>
      <c r="AF2141" s="15"/>
      <c r="AG2141" s="15"/>
      <c r="AH2141" s="15"/>
      <c r="AI2141" s="15"/>
      <c r="AJ2141" s="15"/>
      <c r="AK2141" s="15"/>
      <c r="AL2141" s="15"/>
      <c r="AM2141" s="15"/>
      <c r="AN2141" s="15"/>
      <c r="AO2141" s="15"/>
      <c r="AP2141" s="15"/>
      <c r="AQ2141" s="15"/>
    </row>
    <row r="2142" spans="1:43">
      <c r="A2142" s="15" t="s">
        <v>64</v>
      </c>
      <c r="B2142" s="15" t="s">
        <v>65</v>
      </c>
      <c r="C2142" s="15" t="s">
        <v>78</v>
      </c>
      <c r="D2142" s="15" t="s">
        <v>5622</v>
      </c>
      <c r="E2142" s="15" t="s">
        <v>5623</v>
      </c>
      <c r="F2142" s="16">
        <v>44783.6626157407</v>
      </c>
      <c r="G2142" s="15" t="s">
        <v>5623</v>
      </c>
      <c r="H2142" s="15" t="s">
        <v>54</v>
      </c>
      <c r="I2142" s="15">
        <v>1397.16</v>
      </c>
      <c r="J2142" s="15">
        <v>14</v>
      </c>
      <c r="K2142" s="15">
        <v>99.7971428571428</v>
      </c>
      <c r="L2142" s="20">
        <v>1.42567346938776</v>
      </c>
      <c r="M2142" s="15">
        <v>164.33</v>
      </c>
      <c r="N2142" s="15">
        <v>89.85</v>
      </c>
      <c r="O2142" s="15">
        <v>12.78</v>
      </c>
      <c r="P2142" s="15">
        <v>9.42</v>
      </c>
      <c r="Q2142" s="15">
        <v>26.25</v>
      </c>
      <c r="R2142" s="15">
        <v>7.61</v>
      </c>
      <c r="S2142" s="15">
        <v>94.1</v>
      </c>
      <c r="T2142" s="15">
        <v>47.14</v>
      </c>
      <c r="U2142" s="15">
        <v>151.73</v>
      </c>
      <c r="V2142" s="15">
        <v>151.7</v>
      </c>
      <c r="W2142" s="15">
        <v>142.43</v>
      </c>
      <c r="X2142" s="15">
        <v>160.62</v>
      </c>
      <c r="Y2142" s="15">
        <v>181.37</v>
      </c>
      <c r="Z2142" s="15">
        <v>157.83</v>
      </c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</row>
    <row r="2143" spans="1:43">
      <c r="A2143" s="15" t="s">
        <v>43</v>
      </c>
      <c r="B2143" s="15" t="s">
        <v>44</v>
      </c>
      <c r="C2143" s="15" t="s">
        <v>45</v>
      </c>
      <c r="D2143" s="15" t="s">
        <v>5624</v>
      </c>
      <c r="E2143" s="15" t="s">
        <v>5625</v>
      </c>
      <c r="F2143" s="16">
        <v>41617.4646527778</v>
      </c>
      <c r="G2143" s="15" t="s">
        <v>5625</v>
      </c>
      <c r="H2143" s="15" t="s">
        <v>5626</v>
      </c>
      <c r="I2143" s="15">
        <v>0</v>
      </c>
      <c r="J2143" s="15">
        <v>0</v>
      </c>
      <c r="K2143" s="15">
        <v>0</v>
      </c>
      <c r="L2143" s="20">
        <v>0</v>
      </c>
      <c r="M2143" s="15">
        <v>0</v>
      </c>
      <c r="N2143" s="15">
        <v>0</v>
      </c>
      <c r="O2143" s="15">
        <v>0</v>
      </c>
      <c r="P2143" s="15">
        <v>0</v>
      </c>
      <c r="Q2143" s="15">
        <v>0</v>
      </c>
      <c r="R2143" s="15">
        <v>0</v>
      </c>
      <c r="S2143" s="15">
        <v>0</v>
      </c>
      <c r="T2143" s="15">
        <v>0</v>
      </c>
      <c r="U2143" s="15">
        <v>0</v>
      </c>
      <c r="V2143" s="15">
        <v>0</v>
      </c>
      <c r="W2143" s="15">
        <v>0</v>
      </c>
      <c r="X2143" s="15">
        <v>0</v>
      </c>
      <c r="Y2143" s="15">
        <v>0</v>
      </c>
      <c r="Z2143" s="15">
        <v>0</v>
      </c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</row>
    <row r="2144" spans="1:43">
      <c r="A2144" s="15" t="s">
        <v>43</v>
      </c>
      <c r="B2144" s="15" t="s">
        <v>44</v>
      </c>
      <c r="C2144" s="15" t="s">
        <v>45</v>
      </c>
      <c r="D2144" s="15" t="s">
        <v>5627</v>
      </c>
      <c r="E2144" s="15" t="s">
        <v>5628</v>
      </c>
      <c r="F2144" s="16">
        <v>39192.470162037</v>
      </c>
      <c r="G2144" s="15" t="s">
        <v>5628</v>
      </c>
      <c r="H2144" s="15" t="s">
        <v>5629</v>
      </c>
      <c r="I2144" s="15">
        <v>0</v>
      </c>
      <c r="J2144" s="15">
        <v>0</v>
      </c>
      <c r="K2144" s="15">
        <v>0</v>
      </c>
      <c r="L2144" s="20">
        <v>0</v>
      </c>
      <c r="M2144" s="15">
        <v>0</v>
      </c>
      <c r="N2144" s="15">
        <v>0</v>
      </c>
      <c r="O2144" s="15">
        <v>0</v>
      </c>
      <c r="P2144" s="15">
        <v>0</v>
      </c>
      <c r="Q2144" s="15">
        <v>0</v>
      </c>
      <c r="R2144" s="15">
        <v>0</v>
      </c>
      <c r="S2144" s="15">
        <v>0</v>
      </c>
      <c r="T2144" s="15">
        <v>0</v>
      </c>
      <c r="U2144" s="15">
        <v>0</v>
      </c>
      <c r="V2144" s="15">
        <v>0</v>
      </c>
      <c r="W2144" s="15">
        <v>0</v>
      </c>
      <c r="X2144" s="15">
        <v>0</v>
      </c>
      <c r="Y2144" s="15">
        <v>0</v>
      </c>
      <c r="Z2144" s="15">
        <v>0</v>
      </c>
      <c r="AA2144" s="15"/>
      <c r="AB2144" s="15"/>
      <c r="AC2144" s="15"/>
      <c r="AD2144" s="15"/>
      <c r="AE2144" s="15"/>
      <c r="AF2144" s="15"/>
      <c r="AG2144" s="15"/>
      <c r="AH2144" s="15"/>
      <c r="AI2144" s="15"/>
      <c r="AJ2144" s="15"/>
      <c r="AK2144" s="15"/>
      <c r="AL2144" s="15"/>
      <c r="AM2144" s="15"/>
      <c r="AN2144" s="15"/>
      <c r="AO2144" s="15"/>
      <c r="AP2144" s="15"/>
      <c r="AQ2144" s="15"/>
    </row>
    <row r="2145" spans="1:43">
      <c r="A2145" s="15" t="s">
        <v>49</v>
      </c>
      <c r="B2145" s="15" t="s">
        <v>50</v>
      </c>
      <c r="C2145" s="15" t="s">
        <v>61</v>
      </c>
      <c r="D2145" s="15" t="s">
        <v>5630</v>
      </c>
      <c r="E2145" s="15" t="s">
        <v>5631</v>
      </c>
      <c r="F2145" s="16">
        <v>0</v>
      </c>
      <c r="G2145" s="15" t="s">
        <v>5631</v>
      </c>
      <c r="H2145" s="15" t="s">
        <v>54</v>
      </c>
      <c r="I2145" s="15">
        <v>0</v>
      </c>
      <c r="J2145" s="15">
        <v>0</v>
      </c>
      <c r="K2145" s="15">
        <v>0</v>
      </c>
      <c r="L2145" s="20">
        <v>0</v>
      </c>
      <c r="M2145" s="15">
        <v>0</v>
      </c>
      <c r="N2145" s="15">
        <v>0</v>
      </c>
      <c r="O2145" s="15">
        <v>0</v>
      </c>
      <c r="P2145" s="15">
        <v>0</v>
      </c>
      <c r="Q2145" s="15">
        <v>0</v>
      </c>
      <c r="R2145" s="15">
        <v>0</v>
      </c>
      <c r="S2145" s="15">
        <v>0</v>
      </c>
      <c r="T2145" s="15">
        <v>0</v>
      </c>
      <c r="U2145" s="15">
        <v>0</v>
      </c>
      <c r="V2145" s="15">
        <v>0</v>
      </c>
      <c r="W2145" s="15">
        <v>0</v>
      </c>
      <c r="X2145" s="15">
        <v>0</v>
      </c>
      <c r="Y2145" s="15">
        <v>0</v>
      </c>
      <c r="Z2145" s="15">
        <v>0</v>
      </c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</row>
    <row r="2146" spans="1:43">
      <c r="A2146" s="15" t="s">
        <v>43</v>
      </c>
      <c r="B2146" s="15" t="s">
        <v>44</v>
      </c>
      <c r="C2146" s="15" t="s">
        <v>45</v>
      </c>
      <c r="D2146" s="15" t="s">
        <v>5632</v>
      </c>
      <c r="E2146" s="15" t="s">
        <v>5633</v>
      </c>
      <c r="F2146" s="16">
        <v>41849.7316782407</v>
      </c>
      <c r="G2146" s="15" t="s">
        <v>5633</v>
      </c>
      <c r="H2146" s="15" t="s">
        <v>5634</v>
      </c>
      <c r="I2146" s="15">
        <v>0</v>
      </c>
      <c r="J2146" s="15">
        <v>0</v>
      </c>
      <c r="K2146" s="15">
        <v>0</v>
      </c>
      <c r="L2146" s="20">
        <v>0</v>
      </c>
      <c r="M2146" s="15">
        <v>0</v>
      </c>
      <c r="N2146" s="15">
        <v>0</v>
      </c>
      <c r="O2146" s="15">
        <v>0</v>
      </c>
      <c r="P2146" s="15">
        <v>0</v>
      </c>
      <c r="Q2146" s="15">
        <v>0</v>
      </c>
      <c r="R2146" s="15">
        <v>0</v>
      </c>
      <c r="S2146" s="15">
        <v>0</v>
      </c>
      <c r="T2146" s="15">
        <v>0</v>
      </c>
      <c r="U2146" s="15">
        <v>0</v>
      </c>
      <c r="V2146" s="15">
        <v>0</v>
      </c>
      <c r="W2146" s="15">
        <v>0</v>
      </c>
      <c r="X2146" s="15">
        <v>0</v>
      </c>
      <c r="Y2146" s="15">
        <v>0</v>
      </c>
      <c r="Z2146" s="15">
        <v>0</v>
      </c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</row>
    <row r="2147" spans="1:43">
      <c r="A2147" s="15" t="s">
        <v>49</v>
      </c>
      <c r="B2147" s="15" t="s">
        <v>50</v>
      </c>
      <c r="C2147" s="15" t="s">
        <v>61</v>
      </c>
      <c r="D2147" s="15" t="s">
        <v>5635</v>
      </c>
      <c r="E2147" s="15" t="s">
        <v>5636</v>
      </c>
      <c r="F2147" s="16">
        <v>0</v>
      </c>
      <c r="G2147" s="15" t="s">
        <v>5636</v>
      </c>
      <c r="H2147" s="15" t="s">
        <v>54</v>
      </c>
      <c r="I2147" s="15">
        <v>0</v>
      </c>
      <c r="J2147" s="15">
        <v>0</v>
      </c>
      <c r="K2147" s="15">
        <v>0</v>
      </c>
      <c r="L2147" s="20">
        <v>0</v>
      </c>
      <c r="M2147" s="15">
        <v>0</v>
      </c>
      <c r="N2147" s="15">
        <v>0</v>
      </c>
      <c r="O2147" s="15">
        <v>0</v>
      </c>
      <c r="P2147" s="15">
        <v>0</v>
      </c>
      <c r="Q2147" s="15">
        <v>0</v>
      </c>
      <c r="R2147" s="15">
        <v>0</v>
      </c>
      <c r="S2147" s="15">
        <v>0</v>
      </c>
      <c r="T2147" s="15">
        <v>0</v>
      </c>
      <c r="U2147" s="15">
        <v>0</v>
      </c>
      <c r="V2147" s="15">
        <v>0</v>
      </c>
      <c r="W2147" s="15">
        <v>0</v>
      </c>
      <c r="X2147" s="15">
        <v>0</v>
      </c>
      <c r="Y2147" s="15">
        <v>0</v>
      </c>
      <c r="Z2147" s="15">
        <v>0</v>
      </c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</row>
    <row r="2148" spans="1:43">
      <c r="A2148" s="15" t="s">
        <v>43</v>
      </c>
      <c r="B2148" s="15" t="s">
        <v>44</v>
      </c>
      <c r="C2148" s="15" t="s">
        <v>653</v>
      </c>
      <c r="D2148" s="15" t="s">
        <v>5637</v>
      </c>
      <c r="E2148" s="15" t="s">
        <v>655</v>
      </c>
      <c r="F2148" s="16">
        <v>40737.4822569444</v>
      </c>
      <c r="G2148" s="15" t="s">
        <v>655</v>
      </c>
      <c r="H2148" s="15" t="s">
        <v>5638</v>
      </c>
      <c r="I2148" s="15">
        <v>0</v>
      </c>
      <c r="J2148" s="15">
        <v>0</v>
      </c>
      <c r="K2148" s="15">
        <v>0</v>
      </c>
      <c r="L2148" s="20">
        <v>0</v>
      </c>
      <c r="M2148" s="15">
        <v>0</v>
      </c>
      <c r="N2148" s="15">
        <v>0</v>
      </c>
      <c r="O2148" s="15">
        <v>0</v>
      </c>
      <c r="P2148" s="15">
        <v>0</v>
      </c>
      <c r="Q2148" s="15">
        <v>0</v>
      </c>
      <c r="R2148" s="15">
        <v>0</v>
      </c>
      <c r="S2148" s="15">
        <v>0</v>
      </c>
      <c r="T2148" s="15">
        <v>0</v>
      </c>
      <c r="U2148" s="15">
        <v>0</v>
      </c>
      <c r="V2148" s="15">
        <v>0</v>
      </c>
      <c r="W2148" s="15">
        <v>0</v>
      </c>
      <c r="X2148" s="15">
        <v>0</v>
      </c>
      <c r="Y2148" s="15">
        <v>0</v>
      </c>
      <c r="Z2148" s="15">
        <v>0</v>
      </c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</row>
    <row r="2149" spans="1:43">
      <c r="A2149" s="15" t="s">
        <v>43</v>
      </c>
      <c r="B2149" s="15" t="s">
        <v>44</v>
      </c>
      <c r="C2149" s="15" t="s">
        <v>45</v>
      </c>
      <c r="D2149" s="15" t="s">
        <v>5639</v>
      </c>
      <c r="E2149" s="15" t="s">
        <v>5640</v>
      </c>
      <c r="F2149" s="16">
        <v>42359.7205787037</v>
      </c>
      <c r="G2149" s="15" t="s">
        <v>5640</v>
      </c>
      <c r="H2149" s="15" t="s">
        <v>5641</v>
      </c>
      <c r="I2149" s="15">
        <v>0</v>
      </c>
      <c r="J2149" s="15">
        <v>0</v>
      </c>
      <c r="K2149" s="15">
        <v>0</v>
      </c>
      <c r="L2149" s="20">
        <v>0</v>
      </c>
      <c r="M2149" s="15">
        <v>0</v>
      </c>
      <c r="N2149" s="15">
        <v>0</v>
      </c>
      <c r="O2149" s="15">
        <v>0</v>
      </c>
      <c r="P2149" s="15">
        <v>0</v>
      </c>
      <c r="Q2149" s="15">
        <v>0</v>
      </c>
      <c r="R2149" s="15">
        <v>0</v>
      </c>
      <c r="S2149" s="15">
        <v>0</v>
      </c>
      <c r="T2149" s="15">
        <v>0</v>
      </c>
      <c r="U2149" s="15">
        <v>0</v>
      </c>
      <c r="V2149" s="15">
        <v>0</v>
      </c>
      <c r="W2149" s="15">
        <v>0</v>
      </c>
      <c r="X2149" s="15">
        <v>0</v>
      </c>
      <c r="Y2149" s="15">
        <v>0</v>
      </c>
      <c r="Z2149" s="15">
        <v>0</v>
      </c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</row>
    <row r="2150" spans="1:43">
      <c r="A2150" s="15" t="s">
        <v>43</v>
      </c>
      <c r="B2150" s="15" t="s">
        <v>44</v>
      </c>
      <c r="C2150" s="15" t="s">
        <v>45</v>
      </c>
      <c r="D2150" s="15" t="s">
        <v>5642</v>
      </c>
      <c r="E2150" s="15" t="s">
        <v>4056</v>
      </c>
      <c r="F2150" s="16">
        <v>44340.4841087963</v>
      </c>
      <c r="G2150" s="15" t="s">
        <v>4056</v>
      </c>
      <c r="H2150" s="15" t="s">
        <v>5643</v>
      </c>
      <c r="I2150" s="15">
        <v>0</v>
      </c>
      <c r="J2150" s="15">
        <v>0</v>
      </c>
      <c r="K2150" s="15">
        <v>0</v>
      </c>
      <c r="L2150" s="20">
        <v>0</v>
      </c>
      <c r="M2150" s="15">
        <v>0</v>
      </c>
      <c r="N2150" s="15">
        <v>0</v>
      </c>
      <c r="O2150" s="15">
        <v>0</v>
      </c>
      <c r="P2150" s="15">
        <v>0</v>
      </c>
      <c r="Q2150" s="15">
        <v>0</v>
      </c>
      <c r="R2150" s="15">
        <v>0</v>
      </c>
      <c r="S2150" s="15">
        <v>0</v>
      </c>
      <c r="T2150" s="15">
        <v>0</v>
      </c>
      <c r="U2150" s="15">
        <v>0</v>
      </c>
      <c r="V2150" s="15">
        <v>0</v>
      </c>
      <c r="W2150" s="15">
        <v>0</v>
      </c>
      <c r="X2150" s="15">
        <v>0</v>
      </c>
      <c r="Y2150" s="15">
        <v>0</v>
      </c>
      <c r="Z2150" s="15">
        <v>0</v>
      </c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</row>
    <row r="2151" spans="1:43">
      <c r="A2151" s="15" t="s">
        <v>43</v>
      </c>
      <c r="B2151" s="15" t="s">
        <v>44</v>
      </c>
      <c r="C2151" s="15" t="s">
        <v>45</v>
      </c>
      <c r="D2151" s="15" t="s">
        <v>5644</v>
      </c>
      <c r="E2151" s="15" t="s">
        <v>5645</v>
      </c>
      <c r="F2151" s="16">
        <v>42248.669849537</v>
      </c>
      <c r="G2151" s="15" t="s">
        <v>5645</v>
      </c>
      <c r="H2151" s="15" t="s">
        <v>5646</v>
      </c>
      <c r="I2151" s="15">
        <v>0</v>
      </c>
      <c r="J2151" s="15">
        <v>0</v>
      </c>
      <c r="K2151" s="15">
        <v>0</v>
      </c>
      <c r="L2151" s="20">
        <v>0</v>
      </c>
      <c r="M2151" s="15">
        <v>0</v>
      </c>
      <c r="N2151" s="15">
        <v>0</v>
      </c>
      <c r="O2151" s="15">
        <v>0</v>
      </c>
      <c r="P2151" s="15">
        <v>0</v>
      </c>
      <c r="Q2151" s="15">
        <v>0</v>
      </c>
      <c r="R2151" s="15">
        <v>0</v>
      </c>
      <c r="S2151" s="15">
        <v>0</v>
      </c>
      <c r="T2151" s="15">
        <v>0</v>
      </c>
      <c r="U2151" s="15">
        <v>0</v>
      </c>
      <c r="V2151" s="15">
        <v>0</v>
      </c>
      <c r="W2151" s="15">
        <v>0</v>
      </c>
      <c r="X2151" s="15">
        <v>0</v>
      </c>
      <c r="Y2151" s="15">
        <v>0</v>
      </c>
      <c r="Z2151" s="15">
        <v>0</v>
      </c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</row>
    <row r="2152" spans="1:43">
      <c r="A2152" s="15" t="s">
        <v>43</v>
      </c>
      <c r="B2152" s="15" t="s">
        <v>44</v>
      </c>
      <c r="C2152" s="15" t="s">
        <v>45</v>
      </c>
      <c r="D2152" s="15" t="s">
        <v>5647</v>
      </c>
      <c r="E2152" s="15" t="s">
        <v>5648</v>
      </c>
      <c r="F2152" s="16">
        <v>44403.4853009259</v>
      </c>
      <c r="G2152" s="15" t="s">
        <v>5648</v>
      </c>
      <c r="H2152" s="15" t="s">
        <v>54</v>
      </c>
      <c r="I2152" s="15">
        <v>0</v>
      </c>
      <c r="J2152" s="15">
        <v>0</v>
      </c>
      <c r="K2152" s="15">
        <v>0</v>
      </c>
      <c r="L2152" s="20">
        <v>0</v>
      </c>
      <c r="M2152" s="15">
        <v>0</v>
      </c>
      <c r="N2152" s="15">
        <v>0</v>
      </c>
      <c r="O2152" s="15">
        <v>0</v>
      </c>
      <c r="P2152" s="15">
        <v>0</v>
      </c>
      <c r="Q2152" s="15">
        <v>0</v>
      </c>
      <c r="R2152" s="15">
        <v>0</v>
      </c>
      <c r="S2152" s="15">
        <v>0</v>
      </c>
      <c r="T2152" s="15">
        <v>0</v>
      </c>
      <c r="U2152" s="15">
        <v>0</v>
      </c>
      <c r="V2152" s="15">
        <v>0</v>
      </c>
      <c r="W2152" s="15">
        <v>0</v>
      </c>
      <c r="X2152" s="15">
        <v>0</v>
      </c>
      <c r="Y2152" s="15">
        <v>0</v>
      </c>
      <c r="Z2152" s="15">
        <v>0</v>
      </c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</row>
    <row r="2153" spans="1:43">
      <c r="A2153" s="15" t="s">
        <v>49</v>
      </c>
      <c r="B2153" s="15" t="s">
        <v>50</v>
      </c>
      <c r="C2153" s="15" t="s">
        <v>51</v>
      </c>
      <c r="D2153" s="15" t="s">
        <v>5649</v>
      </c>
      <c r="E2153" s="15" t="s">
        <v>5650</v>
      </c>
      <c r="F2153" s="16">
        <v>44259.482650463</v>
      </c>
      <c r="G2153" s="15" t="s">
        <v>5650</v>
      </c>
      <c r="H2153" s="15" t="s">
        <v>54</v>
      </c>
      <c r="I2153" s="15">
        <v>345.27</v>
      </c>
      <c r="J2153" s="15">
        <v>14</v>
      </c>
      <c r="K2153" s="15">
        <v>24.6621428571429</v>
      </c>
      <c r="L2153" s="20">
        <v>0.493242857142857</v>
      </c>
      <c r="M2153" s="15">
        <v>19.9</v>
      </c>
      <c r="N2153" s="15">
        <v>50.87</v>
      </c>
      <c r="O2153" s="15">
        <v>18.58</v>
      </c>
      <c r="P2153" s="15">
        <v>18.29</v>
      </c>
      <c r="Q2153" s="15">
        <v>28.84</v>
      </c>
      <c r="R2153" s="15">
        <v>71.5</v>
      </c>
      <c r="S2153" s="15">
        <v>22.28</v>
      </c>
      <c r="T2153" s="15">
        <v>33.45</v>
      </c>
      <c r="U2153" s="15">
        <v>4.45</v>
      </c>
      <c r="V2153" s="15">
        <v>12.14</v>
      </c>
      <c r="W2153" s="15">
        <v>12.89</v>
      </c>
      <c r="X2153" s="15">
        <v>31.49</v>
      </c>
      <c r="Y2153" s="15">
        <v>12.65</v>
      </c>
      <c r="Z2153" s="15">
        <v>7.94</v>
      </c>
      <c r="AA2153" s="15"/>
      <c r="AB2153" s="15"/>
      <c r="AC2153" s="15"/>
      <c r="AD2153" s="15"/>
      <c r="AE2153" s="15"/>
      <c r="AF2153" s="15"/>
      <c r="AG2153" s="15"/>
      <c r="AH2153" s="15"/>
      <c r="AI2153" s="15"/>
      <c r="AJ2153" s="15"/>
      <c r="AK2153" s="15"/>
      <c r="AL2153" s="15"/>
      <c r="AM2153" s="15"/>
      <c r="AN2153" s="15"/>
      <c r="AO2153" s="15"/>
      <c r="AP2153" s="15"/>
      <c r="AQ2153" s="15"/>
    </row>
    <row r="2154" spans="1:43">
      <c r="A2154" s="15" t="s">
        <v>43</v>
      </c>
      <c r="B2154" s="15" t="s">
        <v>44</v>
      </c>
      <c r="C2154" s="15" t="s">
        <v>45</v>
      </c>
      <c r="D2154" s="15" t="s">
        <v>5651</v>
      </c>
      <c r="E2154" s="15" t="s">
        <v>5652</v>
      </c>
      <c r="F2154" s="16">
        <v>42431.6023958333</v>
      </c>
      <c r="G2154" s="15" t="s">
        <v>5652</v>
      </c>
      <c r="H2154" s="15" t="s">
        <v>5653</v>
      </c>
      <c r="I2154" s="15">
        <v>0</v>
      </c>
      <c r="J2154" s="15">
        <v>0</v>
      </c>
      <c r="K2154" s="15">
        <v>0</v>
      </c>
      <c r="L2154" s="20">
        <v>0</v>
      </c>
      <c r="M2154" s="15">
        <v>0</v>
      </c>
      <c r="N2154" s="15">
        <v>0</v>
      </c>
      <c r="O2154" s="15">
        <v>0</v>
      </c>
      <c r="P2154" s="15">
        <v>0</v>
      </c>
      <c r="Q2154" s="15">
        <v>0</v>
      </c>
      <c r="R2154" s="15">
        <v>0</v>
      </c>
      <c r="S2154" s="15">
        <v>0</v>
      </c>
      <c r="T2154" s="15">
        <v>0</v>
      </c>
      <c r="U2154" s="15">
        <v>0</v>
      </c>
      <c r="V2154" s="15">
        <v>0</v>
      </c>
      <c r="W2154" s="15">
        <v>0</v>
      </c>
      <c r="X2154" s="15">
        <v>0</v>
      </c>
      <c r="Y2154" s="15">
        <v>0</v>
      </c>
      <c r="Z2154" s="15">
        <v>0</v>
      </c>
      <c r="AA2154" s="15"/>
      <c r="AB2154" s="15"/>
      <c r="AC2154" s="15"/>
      <c r="AD2154" s="15"/>
      <c r="AE2154" s="15"/>
      <c r="AF2154" s="15"/>
      <c r="AG2154" s="15"/>
      <c r="AH2154" s="15"/>
      <c r="AI2154" s="15"/>
      <c r="AJ2154" s="15"/>
      <c r="AK2154" s="15"/>
      <c r="AL2154" s="15"/>
      <c r="AM2154" s="15"/>
      <c r="AN2154" s="15"/>
      <c r="AO2154" s="15"/>
      <c r="AP2154" s="15"/>
      <c r="AQ2154" s="15"/>
    </row>
    <row r="2155" spans="1:43">
      <c r="A2155" s="15" t="s">
        <v>43</v>
      </c>
      <c r="B2155" s="15" t="s">
        <v>44</v>
      </c>
      <c r="C2155" s="15" t="s">
        <v>45</v>
      </c>
      <c r="D2155" s="15" t="s">
        <v>5654</v>
      </c>
      <c r="E2155" s="15" t="s">
        <v>5655</v>
      </c>
      <c r="F2155" s="16">
        <v>42691.4182986111</v>
      </c>
      <c r="G2155" s="15" t="s">
        <v>5655</v>
      </c>
      <c r="H2155" s="15" t="s">
        <v>5656</v>
      </c>
      <c r="I2155" s="15">
        <v>0</v>
      </c>
      <c r="J2155" s="15">
        <v>0</v>
      </c>
      <c r="K2155" s="15">
        <v>0</v>
      </c>
      <c r="L2155" s="20">
        <v>0</v>
      </c>
      <c r="M2155" s="15">
        <v>0</v>
      </c>
      <c r="N2155" s="15">
        <v>0</v>
      </c>
      <c r="O2155" s="15">
        <v>0</v>
      </c>
      <c r="P2155" s="15">
        <v>0</v>
      </c>
      <c r="Q2155" s="15">
        <v>0</v>
      </c>
      <c r="R2155" s="15">
        <v>0</v>
      </c>
      <c r="S2155" s="15">
        <v>0</v>
      </c>
      <c r="T2155" s="15">
        <v>0</v>
      </c>
      <c r="U2155" s="15">
        <v>0</v>
      </c>
      <c r="V2155" s="15">
        <v>0</v>
      </c>
      <c r="W2155" s="15">
        <v>0</v>
      </c>
      <c r="X2155" s="15">
        <v>0</v>
      </c>
      <c r="Y2155" s="15">
        <v>0</v>
      </c>
      <c r="Z2155" s="15">
        <v>0</v>
      </c>
      <c r="AA2155" s="15"/>
      <c r="AB2155" s="15"/>
      <c r="AC2155" s="15"/>
      <c r="AD2155" s="15"/>
      <c r="AE2155" s="15"/>
      <c r="AF2155" s="15"/>
      <c r="AG2155" s="15"/>
      <c r="AH2155" s="15"/>
      <c r="AI2155" s="15"/>
      <c r="AJ2155" s="15"/>
      <c r="AK2155" s="15"/>
      <c r="AL2155" s="15"/>
      <c r="AM2155" s="15"/>
      <c r="AN2155" s="15"/>
      <c r="AO2155" s="15"/>
      <c r="AP2155" s="15"/>
      <c r="AQ2155" s="15"/>
    </row>
    <row r="2156" spans="1:43">
      <c r="A2156" s="15" t="s">
        <v>49</v>
      </c>
      <c r="B2156" s="15" t="s">
        <v>50</v>
      </c>
      <c r="C2156" s="15" t="s">
        <v>61</v>
      </c>
      <c r="D2156" s="15" t="s">
        <v>5657</v>
      </c>
      <c r="E2156" s="15" t="s">
        <v>1480</v>
      </c>
      <c r="F2156" s="16">
        <v>42858.6014930555</v>
      </c>
      <c r="G2156" s="15" t="s">
        <v>1480</v>
      </c>
      <c r="H2156" s="15" t="s">
        <v>5658</v>
      </c>
      <c r="I2156" s="15">
        <v>0</v>
      </c>
      <c r="J2156" s="15">
        <v>0</v>
      </c>
      <c r="K2156" s="15">
        <v>0</v>
      </c>
      <c r="L2156" s="20">
        <v>0</v>
      </c>
      <c r="M2156" s="15">
        <v>0</v>
      </c>
      <c r="N2156" s="15">
        <v>0</v>
      </c>
      <c r="O2156" s="15">
        <v>0</v>
      </c>
      <c r="P2156" s="15">
        <v>0</v>
      </c>
      <c r="Q2156" s="15">
        <v>0</v>
      </c>
      <c r="R2156" s="15">
        <v>0</v>
      </c>
      <c r="S2156" s="15">
        <v>0</v>
      </c>
      <c r="T2156" s="15">
        <v>0</v>
      </c>
      <c r="U2156" s="15">
        <v>0</v>
      </c>
      <c r="V2156" s="15">
        <v>0</v>
      </c>
      <c r="W2156" s="15">
        <v>0</v>
      </c>
      <c r="X2156" s="15">
        <v>0</v>
      </c>
      <c r="Y2156" s="15">
        <v>0</v>
      </c>
      <c r="Z2156" s="15">
        <v>0</v>
      </c>
      <c r="AA2156" s="15"/>
      <c r="AB2156" s="15"/>
      <c r="AC2156" s="15"/>
      <c r="AD2156" s="15"/>
      <c r="AE2156" s="15"/>
      <c r="AF2156" s="15"/>
      <c r="AG2156" s="15"/>
      <c r="AH2156" s="15"/>
      <c r="AI2156" s="15"/>
      <c r="AJ2156" s="15"/>
      <c r="AK2156" s="15"/>
      <c r="AL2156" s="15"/>
      <c r="AM2156" s="15"/>
      <c r="AN2156" s="15"/>
      <c r="AO2156" s="15"/>
      <c r="AP2156" s="15"/>
      <c r="AQ2156" s="15"/>
    </row>
    <row r="2157" spans="1:43">
      <c r="A2157" s="15" t="s">
        <v>43</v>
      </c>
      <c r="B2157" s="15" t="s">
        <v>44</v>
      </c>
      <c r="C2157" s="15" t="s">
        <v>45</v>
      </c>
      <c r="D2157" s="15" t="s">
        <v>5659</v>
      </c>
      <c r="E2157" s="15" t="s">
        <v>5660</v>
      </c>
      <c r="F2157" s="16">
        <v>44054.4190740741</v>
      </c>
      <c r="G2157" s="15" t="s">
        <v>5660</v>
      </c>
      <c r="H2157" s="15" t="s">
        <v>5661</v>
      </c>
      <c r="I2157" s="15">
        <v>0</v>
      </c>
      <c r="J2157" s="15">
        <v>0</v>
      </c>
      <c r="K2157" s="15">
        <v>0</v>
      </c>
      <c r="L2157" s="20">
        <v>0</v>
      </c>
      <c r="M2157" s="15">
        <v>0</v>
      </c>
      <c r="N2157" s="15">
        <v>0</v>
      </c>
      <c r="O2157" s="15">
        <v>0</v>
      </c>
      <c r="P2157" s="15">
        <v>0</v>
      </c>
      <c r="Q2157" s="15">
        <v>0</v>
      </c>
      <c r="R2157" s="15">
        <v>0</v>
      </c>
      <c r="S2157" s="15">
        <v>0</v>
      </c>
      <c r="T2157" s="15">
        <v>0</v>
      </c>
      <c r="U2157" s="15">
        <v>0</v>
      </c>
      <c r="V2157" s="15">
        <v>0</v>
      </c>
      <c r="W2157" s="15">
        <v>0</v>
      </c>
      <c r="X2157" s="15">
        <v>0</v>
      </c>
      <c r="Y2157" s="15">
        <v>0</v>
      </c>
      <c r="Z2157" s="15">
        <v>0</v>
      </c>
      <c r="AA2157" s="15"/>
      <c r="AB2157" s="15"/>
      <c r="AC2157" s="15"/>
      <c r="AD2157" s="15"/>
      <c r="AE2157" s="15"/>
      <c r="AF2157" s="15"/>
      <c r="AG2157" s="15"/>
      <c r="AH2157" s="15"/>
      <c r="AI2157" s="15"/>
      <c r="AJ2157" s="15"/>
      <c r="AK2157" s="15"/>
      <c r="AL2157" s="15"/>
      <c r="AM2157" s="15"/>
      <c r="AN2157" s="15"/>
      <c r="AO2157" s="15"/>
      <c r="AP2157" s="15"/>
      <c r="AQ2157" s="15"/>
    </row>
    <row r="2158" spans="1:43">
      <c r="A2158" s="15" t="s">
        <v>49</v>
      </c>
      <c r="B2158" s="15" t="s">
        <v>50</v>
      </c>
      <c r="C2158" s="15" t="s">
        <v>61</v>
      </c>
      <c r="D2158" s="15" t="s">
        <v>5662</v>
      </c>
      <c r="E2158" s="15" t="s">
        <v>5663</v>
      </c>
      <c r="F2158" s="16">
        <v>0</v>
      </c>
      <c r="G2158" s="15" t="s">
        <v>5663</v>
      </c>
      <c r="H2158" s="15" t="s">
        <v>54</v>
      </c>
      <c r="I2158" s="15">
        <v>0</v>
      </c>
      <c r="J2158" s="15">
        <v>0</v>
      </c>
      <c r="K2158" s="15">
        <v>0</v>
      </c>
      <c r="L2158" s="20">
        <v>0</v>
      </c>
      <c r="M2158" s="15">
        <v>0</v>
      </c>
      <c r="N2158" s="15">
        <v>0</v>
      </c>
      <c r="O2158" s="15">
        <v>0</v>
      </c>
      <c r="P2158" s="15">
        <v>0</v>
      </c>
      <c r="Q2158" s="15">
        <v>0</v>
      </c>
      <c r="R2158" s="15">
        <v>0</v>
      </c>
      <c r="S2158" s="15">
        <v>0</v>
      </c>
      <c r="T2158" s="15">
        <v>0</v>
      </c>
      <c r="U2158" s="15">
        <v>0</v>
      </c>
      <c r="V2158" s="15">
        <v>0</v>
      </c>
      <c r="W2158" s="15">
        <v>0</v>
      </c>
      <c r="X2158" s="15">
        <v>0</v>
      </c>
      <c r="Y2158" s="15">
        <v>0</v>
      </c>
      <c r="Z2158" s="15">
        <v>0</v>
      </c>
      <c r="AA2158" s="15"/>
      <c r="AB2158" s="15"/>
      <c r="AC2158" s="15"/>
      <c r="AD2158" s="15"/>
      <c r="AE2158" s="15"/>
      <c r="AF2158" s="15"/>
      <c r="AG2158" s="15"/>
      <c r="AH2158" s="15"/>
      <c r="AI2158" s="15"/>
      <c r="AJ2158" s="15"/>
      <c r="AK2158" s="15"/>
      <c r="AL2158" s="15"/>
      <c r="AM2158" s="15"/>
      <c r="AN2158" s="15"/>
      <c r="AO2158" s="15"/>
      <c r="AP2158" s="15"/>
      <c r="AQ2158" s="15"/>
    </row>
    <row r="2159" spans="1:43">
      <c r="A2159" s="15" t="s">
        <v>43</v>
      </c>
      <c r="B2159" s="15" t="s">
        <v>44</v>
      </c>
      <c r="C2159" s="15" t="s">
        <v>45</v>
      </c>
      <c r="D2159" s="15" t="s">
        <v>5664</v>
      </c>
      <c r="E2159" s="15" t="s">
        <v>5665</v>
      </c>
      <c r="F2159" s="16">
        <v>42245.4965393519</v>
      </c>
      <c r="G2159" s="15" t="s">
        <v>5665</v>
      </c>
      <c r="H2159" s="15" t="s">
        <v>5666</v>
      </c>
      <c r="I2159" s="15">
        <v>0</v>
      </c>
      <c r="J2159" s="15">
        <v>0</v>
      </c>
      <c r="K2159" s="15">
        <v>0</v>
      </c>
      <c r="L2159" s="20">
        <v>0</v>
      </c>
      <c r="M2159" s="15">
        <v>0</v>
      </c>
      <c r="N2159" s="15">
        <v>0</v>
      </c>
      <c r="O2159" s="15">
        <v>0</v>
      </c>
      <c r="P2159" s="15">
        <v>0</v>
      </c>
      <c r="Q2159" s="15">
        <v>0</v>
      </c>
      <c r="R2159" s="15">
        <v>0</v>
      </c>
      <c r="S2159" s="15">
        <v>0</v>
      </c>
      <c r="T2159" s="15">
        <v>0</v>
      </c>
      <c r="U2159" s="15">
        <v>0</v>
      </c>
      <c r="V2159" s="15">
        <v>0</v>
      </c>
      <c r="W2159" s="15">
        <v>0</v>
      </c>
      <c r="X2159" s="15">
        <v>0</v>
      </c>
      <c r="Y2159" s="15">
        <v>0</v>
      </c>
      <c r="Z2159" s="15">
        <v>0</v>
      </c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</row>
    <row r="2160" spans="1:43">
      <c r="A2160" s="15" t="s">
        <v>49</v>
      </c>
      <c r="B2160" s="15" t="s">
        <v>50</v>
      </c>
      <c r="C2160" s="15" t="s">
        <v>61</v>
      </c>
      <c r="D2160" s="15" t="s">
        <v>5667</v>
      </c>
      <c r="E2160" s="15" t="s">
        <v>5668</v>
      </c>
      <c r="F2160" s="16">
        <v>0</v>
      </c>
      <c r="G2160" s="15" t="s">
        <v>5668</v>
      </c>
      <c r="H2160" s="15" t="s">
        <v>54</v>
      </c>
      <c r="I2160" s="15">
        <v>0</v>
      </c>
      <c r="J2160" s="15">
        <v>0</v>
      </c>
      <c r="K2160" s="15">
        <v>0</v>
      </c>
      <c r="L2160" s="20">
        <v>0</v>
      </c>
      <c r="M2160" s="15">
        <v>0</v>
      </c>
      <c r="N2160" s="15">
        <v>0</v>
      </c>
      <c r="O2160" s="15">
        <v>0</v>
      </c>
      <c r="P2160" s="15">
        <v>0</v>
      </c>
      <c r="Q2160" s="15">
        <v>0</v>
      </c>
      <c r="R2160" s="15">
        <v>0</v>
      </c>
      <c r="S2160" s="15">
        <v>0</v>
      </c>
      <c r="T2160" s="15">
        <v>0</v>
      </c>
      <c r="U2160" s="15">
        <v>0</v>
      </c>
      <c r="V2160" s="15">
        <v>0</v>
      </c>
      <c r="W2160" s="15">
        <v>0</v>
      </c>
      <c r="X2160" s="15">
        <v>0</v>
      </c>
      <c r="Y2160" s="15">
        <v>0</v>
      </c>
      <c r="Z2160" s="15">
        <v>0</v>
      </c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</row>
    <row r="2161" spans="1:43">
      <c r="A2161" s="15" t="s">
        <v>49</v>
      </c>
      <c r="B2161" s="15" t="s">
        <v>50</v>
      </c>
      <c r="C2161" s="15" t="s">
        <v>61</v>
      </c>
      <c r="D2161" s="15" t="s">
        <v>5669</v>
      </c>
      <c r="E2161" s="15" t="s">
        <v>5670</v>
      </c>
      <c r="F2161" s="16">
        <v>0</v>
      </c>
      <c r="G2161" s="15" t="s">
        <v>5670</v>
      </c>
      <c r="H2161" s="15" t="s">
        <v>5671</v>
      </c>
      <c r="I2161" s="15">
        <v>0</v>
      </c>
      <c r="J2161" s="15">
        <v>0</v>
      </c>
      <c r="K2161" s="15">
        <v>0</v>
      </c>
      <c r="L2161" s="20">
        <v>0</v>
      </c>
      <c r="M2161" s="15">
        <v>0</v>
      </c>
      <c r="N2161" s="15">
        <v>0</v>
      </c>
      <c r="O2161" s="15">
        <v>0</v>
      </c>
      <c r="P2161" s="15">
        <v>0</v>
      </c>
      <c r="Q2161" s="15">
        <v>0</v>
      </c>
      <c r="R2161" s="15">
        <v>0</v>
      </c>
      <c r="S2161" s="15">
        <v>0</v>
      </c>
      <c r="T2161" s="15">
        <v>0</v>
      </c>
      <c r="U2161" s="15">
        <v>0</v>
      </c>
      <c r="V2161" s="15">
        <v>0</v>
      </c>
      <c r="W2161" s="15">
        <v>0</v>
      </c>
      <c r="X2161" s="15">
        <v>0</v>
      </c>
      <c r="Y2161" s="15">
        <v>0</v>
      </c>
      <c r="Z2161" s="15">
        <v>0</v>
      </c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</row>
    <row r="2162" spans="1:43">
      <c r="A2162" s="15" t="s">
        <v>49</v>
      </c>
      <c r="B2162" s="15" t="s">
        <v>50</v>
      </c>
      <c r="C2162" s="15" t="s">
        <v>61</v>
      </c>
      <c r="D2162" s="15" t="s">
        <v>5672</v>
      </c>
      <c r="E2162" s="15" t="s">
        <v>1364</v>
      </c>
      <c r="F2162" s="16">
        <v>0</v>
      </c>
      <c r="G2162" s="15" t="s">
        <v>1364</v>
      </c>
      <c r="H2162" s="15" t="s">
        <v>54</v>
      </c>
      <c r="I2162" s="15">
        <v>0</v>
      </c>
      <c r="J2162" s="15">
        <v>0</v>
      </c>
      <c r="K2162" s="15">
        <v>0</v>
      </c>
      <c r="L2162" s="20">
        <v>0</v>
      </c>
      <c r="M2162" s="15">
        <v>0</v>
      </c>
      <c r="N2162" s="15">
        <v>0</v>
      </c>
      <c r="O2162" s="15">
        <v>0</v>
      </c>
      <c r="P2162" s="15">
        <v>0</v>
      </c>
      <c r="Q2162" s="15">
        <v>0</v>
      </c>
      <c r="R2162" s="15">
        <v>0</v>
      </c>
      <c r="S2162" s="15">
        <v>0</v>
      </c>
      <c r="T2162" s="15">
        <v>0</v>
      </c>
      <c r="U2162" s="15">
        <v>0</v>
      </c>
      <c r="V2162" s="15">
        <v>0</v>
      </c>
      <c r="W2162" s="15">
        <v>0</v>
      </c>
      <c r="X2162" s="15">
        <v>0</v>
      </c>
      <c r="Y2162" s="15">
        <v>0</v>
      </c>
      <c r="Z2162" s="15">
        <v>0</v>
      </c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</row>
    <row r="2163" spans="1:43">
      <c r="A2163" s="15" t="s">
        <v>43</v>
      </c>
      <c r="B2163" s="15" t="s">
        <v>44</v>
      </c>
      <c r="C2163" s="15" t="s">
        <v>45</v>
      </c>
      <c r="D2163" s="15" t="s">
        <v>5673</v>
      </c>
      <c r="E2163" s="15" t="s">
        <v>5674</v>
      </c>
      <c r="F2163" s="16">
        <v>42726.7018287037</v>
      </c>
      <c r="G2163" s="15" t="s">
        <v>5674</v>
      </c>
      <c r="H2163" s="15" t="s">
        <v>5675</v>
      </c>
      <c r="I2163" s="15">
        <v>0</v>
      </c>
      <c r="J2163" s="15">
        <v>0</v>
      </c>
      <c r="K2163" s="15">
        <v>0</v>
      </c>
      <c r="L2163" s="20">
        <v>0</v>
      </c>
      <c r="M2163" s="15">
        <v>0</v>
      </c>
      <c r="N2163" s="15">
        <v>0</v>
      </c>
      <c r="O2163" s="15">
        <v>0</v>
      </c>
      <c r="P2163" s="15">
        <v>0</v>
      </c>
      <c r="Q2163" s="15">
        <v>0</v>
      </c>
      <c r="R2163" s="15">
        <v>0</v>
      </c>
      <c r="S2163" s="15">
        <v>0</v>
      </c>
      <c r="T2163" s="15">
        <v>0</v>
      </c>
      <c r="U2163" s="15">
        <v>0</v>
      </c>
      <c r="V2163" s="15">
        <v>0</v>
      </c>
      <c r="W2163" s="15">
        <v>0</v>
      </c>
      <c r="X2163" s="15">
        <v>0</v>
      </c>
      <c r="Y2163" s="15">
        <v>0</v>
      </c>
      <c r="Z2163" s="15">
        <v>0</v>
      </c>
      <c r="AA2163" s="15"/>
      <c r="AB2163" s="15"/>
      <c r="AC2163" s="15"/>
      <c r="AD2163" s="15"/>
      <c r="AE2163" s="15"/>
      <c r="AF2163" s="15"/>
      <c r="AG2163" s="15"/>
      <c r="AH2163" s="15"/>
      <c r="AI2163" s="15"/>
      <c r="AJ2163" s="15"/>
      <c r="AK2163" s="15"/>
      <c r="AL2163" s="15"/>
      <c r="AM2163" s="15"/>
      <c r="AN2163" s="15"/>
      <c r="AO2163" s="15"/>
      <c r="AP2163" s="15"/>
      <c r="AQ2163" s="15"/>
    </row>
    <row r="2164" spans="1:43">
      <c r="A2164" s="15" t="s">
        <v>49</v>
      </c>
      <c r="B2164" s="15" t="s">
        <v>50</v>
      </c>
      <c r="C2164" s="15" t="s">
        <v>61</v>
      </c>
      <c r="D2164" s="15" t="s">
        <v>5676</v>
      </c>
      <c r="E2164" s="15" t="s">
        <v>1209</v>
      </c>
      <c r="F2164" s="16">
        <v>43697.6755324074</v>
      </c>
      <c r="G2164" s="15" t="s">
        <v>1209</v>
      </c>
      <c r="H2164" s="15" t="s">
        <v>1210</v>
      </c>
      <c r="I2164" s="15">
        <v>0</v>
      </c>
      <c r="J2164" s="15">
        <v>0</v>
      </c>
      <c r="K2164" s="15">
        <v>0</v>
      </c>
      <c r="L2164" s="20">
        <v>0</v>
      </c>
      <c r="M2164" s="15">
        <v>0</v>
      </c>
      <c r="N2164" s="15">
        <v>0</v>
      </c>
      <c r="O2164" s="15">
        <v>0</v>
      </c>
      <c r="P2164" s="15">
        <v>0</v>
      </c>
      <c r="Q2164" s="15">
        <v>0</v>
      </c>
      <c r="R2164" s="15">
        <v>0</v>
      </c>
      <c r="S2164" s="15">
        <v>0</v>
      </c>
      <c r="T2164" s="15">
        <v>0</v>
      </c>
      <c r="U2164" s="15">
        <v>0</v>
      </c>
      <c r="V2164" s="15">
        <v>0</v>
      </c>
      <c r="W2164" s="15">
        <v>0</v>
      </c>
      <c r="X2164" s="15">
        <v>0</v>
      </c>
      <c r="Y2164" s="15">
        <v>0</v>
      </c>
      <c r="Z2164" s="15">
        <v>0</v>
      </c>
      <c r="AA2164" s="15"/>
      <c r="AB2164" s="15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/>
      <c r="AM2164" s="15"/>
      <c r="AN2164" s="15"/>
      <c r="AO2164" s="15"/>
      <c r="AP2164" s="15"/>
      <c r="AQ2164" s="15"/>
    </row>
    <row r="2165" spans="1:43">
      <c r="A2165" s="15" t="s">
        <v>43</v>
      </c>
      <c r="B2165" s="15" t="s">
        <v>44</v>
      </c>
      <c r="C2165" s="15" t="s">
        <v>45</v>
      </c>
      <c r="D2165" s="15" t="s">
        <v>5677</v>
      </c>
      <c r="E2165" s="15" t="s">
        <v>5678</v>
      </c>
      <c r="F2165" s="16">
        <v>41817.4590625</v>
      </c>
      <c r="G2165" s="15" t="s">
        <v>5678</v>
      </c>
      <c r="H2165" s="15" t="s">
        <v>5679</v>
      </c>
      <c r="I2165" s="15">
        <v>0</v>
      </c>
      <c r="J2165" s="15">
        <v>0</v>
      </c>
      <c r="K2165" s="15">
        <v>0</v>
      </c>
      <c r="L2165" s="20">
        <v>0</v>
      </c>
      <c r="M2165" s="15">
        <v>0</v>
      </c>
      <c r="N2165" s="15">
        <v>0</v>
      </c>
      <c r="O2165" s="15">
        <v>0</v>
      </c>
      <c r="P2165" s="15">
        <v>0</v>
      </c>
      <c r="Q2165" s="15">
        <v>0</v>
      </c>
      <c r="R2165" s="15">
        <v>0</v>
      </c>
      <c r="S2165" s="15">
        <v>0</v>
      </c>
      <c r="T2165" s="15">
        <v>0</v>
      </c>
      <c r="U2165" s="15">
        <v>0</v>
      </c>
      <c r="V2165" s="15">
        <v>0</v>
      </c>
      <c r="W2165" s="15">
        <v>0</v>
      </c>
      <c r="X2165" s="15">
        <v>0</v>
      </c>
      <c r="Y2165" s="15">
        <v>0</v>
      </c>
      <c r="Z2165" s="15">
        <v>0</v>
      </c>
      <c r="AA2165" s="15"/>
      <c r="AB2165" s="15"/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  <c r="AN2165" s="15"/>
      <c r="AO2165" s="15"/>
      <c r="AP2165" s="15"/>
      <c r="AQ2165" s="15"/>
    </row>
    <row r="2166" spans="1:43">
      <c r="A2166" s="15" t="s">
        <v>43</v>
      </c>
      <c r="B2166" s="15" t="s">
        <v>44</v>
      </c>
      <c r="C2166" s="15" t="s">
        <v>45</v>
      </c>
      <c r="D2166" s="15" t="s">
        <v>5680</v>
      </c>
      <c r="E2166" s="15" t="s">
        <v>5681</v>
      </c>
      <c r="F2166" s="16">
        <v>41234.6249074074</v>
      </c>
      <c r="G2166" s="15" t="s">
        <v>5681</v>
      </c>
      <c r="H2166" s="15" t="s">
        <v>5682</v>
      </c>
      <c r="I2166" s="15">
        <v>0</v>
      </c>
      <c r="J2166" s="15">
        <v>0</v>
      </c>
      <c r="K2166" s="15">
        <v>0</v>
      </c>
      <c r="L2166" s="20">
        <v>0</v>
      </c>
      <c r="M2166" s="15">
        <v>0</v>
      </c>
      <c r="N2166" s="15">
        <v>0</v>
      </c>
      <c r="O2166" s="15">
        <v>0</v>
      </c>
      <c r="P2166" s="15">
        <v>0</v>
      </c>
      <c r="Q2166" s="15">
        <v>0</v>
      </c>
      <c r="R2166" s="15">
        <v>0</v>
      </c>
      <c r="S2166" s="15">
        <v>0</v>
      </c>
      <c r="T2166" s="15">
        <v>0</v>
      </c>
      <c r="U2166" s="15">
        <v>0</v>
      </c>
      <c r="V2166" s="15">
        <v>0</v>
      </c>
      <c r="W2166" s="15">
        <v>0</v>
      </c>
      <c r="X2166" s="15">
        <v>0</v>
      </c>
      <c r="Y2166" s="15">
        <v>0</v>
      </c>
      <c r="Z2166" s="15">
        <v>0</v>
      </c>
      <c r="AA2166" s="15"/>
      <c r="AB2166" s="15"/>
      <c r="AC2166" s="15"/>
      <c r="AD2166" s="15"/>
      <c r="AE2166" s="15"/>
      <c r="AF2166" s="15"/>
      <c r="AG2166" s="15"/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</row>
    <row r="2167" spans="1:43">
      <c r="A2167" s="15" t="s">
        <v>43</v>
      </c>
      <c r="B2167" s="15" t="s">
        <v>44</v>
      </c>
      <c r="C2167" s="15" t="s">
        <v>45</v>
      </c>
      <c r="D2167" s="15" t="s">
        <v>5683</v>
      </c>
      <c r="E2167" s="15" t="s">
        <v>5684</v>
      </c>
      <c r="F2167" s="16">
        <v>43495.6806365741</v>
      </c>
      <c r="G2167" s="15" t="s">
        <v>5684</v>
      </c>
      <c r="H2167" s="15" t="s">
        <v>5685</v>
      </c>
      <c r="I2167" s="15">
        <v>0</v>
      </c>
      <c r="J2167" s="15">
        <v>0</v>
      </c>
      <c r="K2167" s="15">
        <v>0</v>
      </c>
      <c r="L2167" s="20">
        <v>0</v>
      </c>
      <c r="M2167" s="15">
        <v>0</v>
      </c>
      <c r="N2167" s="15">
        <v>0</v>
      </c>
      <c r="O2167" s="15">
        <v>0</v>
      </c>
      <c r="P2167" s="15">
        <v>0</v>
      </c>
      <c r="Q2167" s="15">
        <v>0</v>
      </c>
      <c r="R2167" s="15">
        <v>0</v>
      </c>
      <c r="S2167" s="15">
        <v>0</v>
      </c>
      <c r="T2167" s="15">
        <v>0</v>
      </c>
      <c r="U2167" s="15">
        <v>0</v>
      </c>
      <c r="V2167" s="15">
        <v>0</v>
      </c>
      <c r="W2167" s="15">
        <v>0</v>
      </c>
      <c r="X2167" s="15">
        <v>0</v>
      </c>
      <c r="Y2167" s="15">
        <v>0</v>
      </c>
      <c r="Z2167" s="15">
        <v>0</v>
      </c>
      <c r="AA2167" s="15"/>
      <c r="AB2167" s="15"/>
      <c r="AC2167" s="15"/>
      <c r="AD2167" s="15"/>
      <c r="AE2167" s="15"/>
      <c r="AF2167" s="15"/>
      <c r="AG2167" s="15"/>
      <c r="AH2167" s="15"/>
      <c r="AI2167" s="15"/>
      <c r="AJ2167" s="15"/>
      <c r="AK2167" s="15"/>
      <c r="AL2167" s="15"/>
      <c r="AM2167" s="15"/>
      <c r="AN2167" s="15"/>
      <c r="AO2167" s="15"/>
      <c r="AP2167" s="15"/>
      <c r="AQ2167" s="15"/>
    </row>
    <row r="2168" spans="1:43">
      <c r="A2168" s="15" t="s">
        <v>43</v>
      </c>
      <c r="B2168" s="15" t="s">
        <v>44</v>
      </c>
      <c r="C2168" s="15" t="s">
        <v>45</v>
      </c>
      <c r="D2168" s="15" t="s">
        <v>5686</v>
      </c>
      <c r="E2168" s="15" t="s">
        <v>5687</v>
      </c>
      <c r="F2168" s="16">
        <v>43353.6964814815</v>
      </c>
      <c r="G2168" s="15" t="s">
        <v>5687</v>
      </c>
      <c r="H2168" s="15" t="s">
        <v>5688</v>
      </c>
      <c r="I2168" s="15">
        <v>0</v>
      </c>
      <c r="J2168" s="15">
        <v>0</v>
      </c>
      <c r="K2168" s="15">
        <v>0</v>
      </c>
      <c r="L2168" s="20">
        <v>0</v>
      </c>
      <c r="M2168" s="15">
        <v>0</v>
      </c>
      <c r="N2168" s="15">
        <v>0</v>
      </c>
      <c r="O2168" s="15">
        <v>0</v>
      </c>
      <c r="P2168" s="15">
        <v>0</v>
      </c>
      <c r="Q2168" s="15">
        <v>0</v>
      </c>
      <c r="R2168" s="15">
        <v>0</v>
      </c>
      <c r="S2168" s="15">
        <v>0</v>
      </c>
      <c r="T2168" s="15">
        <v>0</v>
      </c>
      <c r="U2168" s="15">
        <v>0</v>
      </c>
      <c r="V2168" s="15">
        <v>0</v>
      </c>
      <c r="W2168" s="15">
        <v>0</v>
      </c>
      <c r="X2168" s="15">
        <v>0</v>
      </c>
      <c r="Y2168" s="15">
        <v>0</v>
      </c>
      <c r="Z2168" s="15">
        <v>0</v>
      </c>
      <c r="AA2168" s="15"/>
      <c r="AB2168" s="15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</row>
    <row r="2169" spans="1:43">
      <c r="A2169" s="15" t="s">
        <v>43</v>
      </c>
      <c r="B2169" s="15" t="s">
        <v>44</v>
      </c>
      <c r="C2169" s="15" t="s">
        <v>45</v>
      </c>
      <c r="D2169" s="15" t="s">
        <v>5689</v>
      </c>
      <c r="E2169" s="15" t="s">
        <v>5690</v>
      </c>
      <c r="F2169" s="16">
        <v>42907.4900347222</v>
      </c>
      <c r="G2169" s="15" t="s">
        <v>5690</v>
      </c>
      <c r="H2169" s="15" t="s">
        <v>5691</v>
      </c>
      <c r="I2169" s="15">
        <v>0</v>
      </c>
      <c r="J2169" s="15">
        <v>0</v>
      </c>
      <c r="K2169" s="15">
        <v>0</v>
      </c>
      <c r="L2169" s="20">
        <v>0</v>
      </c>
      <c r="M2169" s="15">
        <v>0</v>
      </c>
      <c r="N2169" s="15">
        <v>0</v>
      </c>
      <c r="O2169" s="15">
        <v>0</v>
      </c>
      <c r="P2169" s="15">
        <v>0</v>
      </c>
      <c r="Q2169" s="15">
        <v>0</v>
      </c>
      <c r="R2169" s="15">
        <v>0</v>
      </c>
      <c r="S2169" s="15">
        <v>0</v>
      </c>
      <c r="T2169" s="15">
        <v>0</v>
      </c>
      <c r="U2169" s="15">
        <v>0</v>
      </c>
      <c r="V2169" s="15">
        <v>0</v>
      </c>
      <c r="W2169" s="15">
        <v>0</v>
      </c>
      <c r="X2169" s="15">
        <v>0</v>
      </c>
      <c r="Y2169" s="15">
        <v>0</v>
      </c>
      <c r="Z2169" s="15">
        <v>0</v>
      </c>
      <c r="AA2169" s="15"/>
      <c r="AB2169" s="15"/>
      <c r="AC2169" s="15"/>
      <c r="AD2169" s="15"/>
      <c r="AE2169" s="15"/>
      <c r="AF2169" s="15"/>
      <c r="AG2169" s="15"/>
      <c r="AH2169" s="15"/>
      <c r="AI2169" s="15"/>
      <c r="AJ2169" s="15"/>
      <c r="AK2169" s="15"/>
      <c r="AL2169" s="15"/>
      <c r="AM2169" s="15"/>
      <c r="AN2169" s="15"/>
      <c r="AO2169" s="15"/>
      <c r="AP2169" s="15"/>
      <c r="AQ2169" s="1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7" workbookViewId="0">
      <selection activeCell="E18" sqref="E18"/>
    </sheetView>
  </sheetViews>
  <sheetFormatPr defaultColWidth="9" defaultRowHeight="16.5"/>
  <cols>
    <col min="1" max="1" width="12.625" style="2" customWidth="1"/>
    <col min="2" max="3" width="9" style="2" customWidth="1"/>
    <col min="4" max="4" width="11.125" style="2" customWidth="1"/>
    <col min="5" max="5" width="14.625" style="2" customWidth="1"/>
    <col min="6" max="6" width="10" style="2" customWidth="1"/>
    <col min="7" max="7" width="9" style="2" customWidth="1"/>
    <col min="8" max="8" width="7.25" style="2" customWidth="1"/>
    <col min="9" max="9" width="11.125" style="2" customWidth="1"/>
    <col min="10" max="10" width="9" style="2" customWidth="1"/>
    <col min="11" max="12" width="13" style="2" customWidth="1"/>
    <col min="13" max="13" width="15.875" style="2" customWidth="1"/>
    <col min="14" max="16384" width="9" style="2" customWidth="1"/>
  </cols>
  <sheetData>
    <row r="1" s="1" customFormat="1" spans="1:13">
      <c r="A1" s="3" t="s">
        <v>5692</v>
      </c>
      <c r="B1" s="3" t="s">
        <v>5693</v>
      </c>
      <c r="C1" s="3" t="s">
        <v>2</v>
      </c>
      <c r="D1" s="3" t="s">
        <v>5694</v>
      </c>
      <c r="E1" s="3" t="s">
        <v>5695</v>
      </c>
      <c r="F1" s="3" t="s">
        <v>5696</v>
      </c>
      <c r="I1" s="3" t="s">
        <v>0</v>
      </c>
      <c r="J1" s="3" t="s">
        <v>5693</v>
      </c>
      <c r="K1" s="3" t="s">
        <v>5697</v>
      </c>
      <c r="L1" s="3" t="s">
        <v>5695</v>
      </c>
      <c r="M1" s="3" t="s">
        <v>5698</v>
      </c>
    </row>
    <row r="2" spans="1:13">
      <c r="A2" s="4" t="s">
        <v>5699</v>
      </c>
      <c r="B2" s="5" t="s">
        <v>64</v>
      </c>
      <c r="C2" s="5" t="s">
        <v>5700</v>
      </c>
      <c r="D2" s="5">
        <f>COUNTIFS(明细!$C:$C,各部门完成情况!C2,明细!$I:$I,"&gt;0")</f>
        <v>0</v>
      </c>
      <c r="E2" s="5">
        <f>COUNTIFS(明细!$C:$C,各部门完成情况!C2,明细!$K:$K,"&gt;=70")</f>
        <v>0</v>
      </c>
      <c r="F2" s="6" t="str">
        <f t="shared" ref="F2:F21" si="0">IF(D2=0,"0.00%",E2/D2)</f>
        <v>0.00%</v>
      </c>
      <c r="I2" s="5" t="s">
        <v>5701</v>
      </c>
      <c r="J2" s="5" t="s">
        <v>118</v>
      </c>
      <c r="K2" s="5">
        <f>COUNTIFS(明细!$B:$B,各部门完成情况!J2,明细!$J:$J,"&gt;0")</f>
        <v>43</v>
      </c>
      <c r="L2" s="5">
        <f>COUNTIFS(明细!$B:$B,各部门完成情况!J2,明细!$K:$K,"&gt;70")</f>
        <v>34</v>
      </c>
      <c r="M2" s="6">
        <f>L2/K2</f>
        <v>0.790697674418605</v>
      </c>
    </row>
    <row r="3" spans="1:13">
      <c r="A3" s="7"/>
      <c r="B3" s="5" t="s">
        <v>64</v>
      </c>
      <c r="C3" s="5" t="s">
        <v>3781</v>
      </c>
      <c r="D3" s="5">
        <f>COUNTIFS(明细!$C:$C,各部门完成情况!C3,明细!$I:$I,"&gt;0")</f>
        <v>0</v>
      </c>
      <c r="E3" s="5">
        <f>COUNTIFS(明细!$C:$C,各部门完成情况!C3,明细!$K:$K,"&gt;=70")</f>
        <v>0</v>
      </c>
      <c r="F3" s="6" t="str">
        <f t="shared" si="0"/>
        <v>0.00%</v>
      </c>
      <c r="I3" s="5" t="s">
        <v>5701</v>
      </c>
      <c r="J3" s="5" t="s">
        <v>65</v>
      </c>
      <c r="K3" s="5">
        <f>COUNTIFS(明细!$B:$B,各部门完成情况!J3,明细!$J:$J,"&gt;0")</f>
        <v>72</v>
      </c>
      <c r="L3" s="5">
        <f>COUNTIFS(明细!$B:$B,各部门完成情况!J3,明细!$K:$K,"&gt;70")</f>
        <v>48</v>
      </c>
      <c r="M3" s="6">
        <f>L3/K3</f>
        <v>0.666666666666667</v>
      </c>
    </row>
    <row r="4" spans="1:13">
      <c r="A4" s="7"/>
      <c r="B4" s="5" t="s">
        <v>118</v>
      </c>
      <c r="C4" s="5" t="s">
        <v>4988</v>
      </c>
      <c r="D4" s="5">
        <f>COUNTIFS(明细!$C:$C,各部门完成情况!C4,明细!$I:$I,"&gt;0")</f>
        <v>2</v>
      </c>
      <c r="E4" s="5">
        <f>COUNTIFS(明细!$C:$C,各部门完成情况!C4,明细!$K:$K,"&gt;=70")</f>
        <v>0</v>
      </c>
      <c r="F4" s="6">
        <f t="shared" si="0"/>
        <v>0</v>
      </c>
      <c r="I4" s="5" t="s">
        <v>5702</v>
      </c>
      <c r="J4" s="5" t="s">
        <v>50</v>
      </c>
      <c r="K4" s="5">
        <f>COUNTIFS(明细!$B:$B,各部门完成情况!J4,明细!$J:$J,"&gt;0")</f>
        <v>55</v>
      </c>
      <c r="L4" s="5">
        <f>COUNTIFS(明细!$B:$B,各部门完成情况!J4,明细!$K:$K,"&gt;50")</f>
        <v>39</v>
      </c>
      <c r="M4" s="6">
        <f>L4/K4</f>
        <v>0.709090909090909</v>
      </c>
    </row>
    <row r="5" spans="1:13">
      <c r="A5" s="7"/>
      <c r="B5" s="5" t="s">
        <v>118</v>
      </c>
      <c r="C5" s="5" t="s">
        <v>138</v>
      </c>
      <c r="D5" s="5">
        <f>COUNTIFS(明细!$C:$C,各部门完成情况!C5,明细!$I:$I,"&gt;0")</f>
        <v>12</v>
      </c>
      <c r="E5" s="5">
        <f>COUNTIFS(明细!$C:$C,各部门完成情况!C5,明细!$K:$K,"&gt;=70")</f>
        <v>9</v>
      </c>
      <c r="F5" s="6">
        <f t="shared" si="0"/>
        <v>0.75</v>
      </c>
      <c r="I5" s="5" t="s">
        <v>5703</v>
      </c>
      <c r="J5" s="5" t="s">
        <v>44</v>
      </c>
      <c r="K5" s="5">
        <f>COUNTIFS(明细!$B:$B,各部门完成情况!J5,明细!$J:$J,"&gt;0")</f>
        <v>34</v>
      </c>
      <c r="L5" s="5">
        <f>COUNTIFS(明细!$B:$B,各部门完成情况!J5,明细!$K:$K,"&gt;50")</f>
        <v>21</v>
      </c>
      <c r="M5" s="6">
        <f>L5/K5</f>
        <v>0.617647058823529</v>
      </c>
    </row>
    <row r="6" spans="1:13">
      <c r="A6" s="7"/>
      <c r="B6" s="5" t="s">
        <v>118</v>
      </c>
      <c r="C6" s="5" t="s">
        <v>119</v>
      </c>
      <c r="D6" s="5">
        <f>COUNTIFS(明细!$C:$C,各部门完成情况!C6,明细!$I:$I,"&gt;0")</f>
        <v>17</v>
      </c>
      <c r="E6" s="5">
        <f>COUNTIFS(明细!$C:$C,各部门完成情况!C6,明细!$K:$K,"&gt;=70")</f>
        <v>15</v>
      </c>
      <c r="F6" s="6">
        <f t="shared" si="0"/>
        <v>0.882352941176471</v>
      </c>
      <c r="M6" s="11"/>
    </row>
    <row r="7" spans="1:6">
      <c r="A7" s="7"/>
      <c r="B7" s="5" t="s">
        <v>118</v>
      </c>
      <c r="C7" s="5" t="s">
        <v>5704</v>
      </c>
      <c r="D7" s="5">
        <f>COUNTIFS(明细!$C:$C,各部门完成情况!C7,明细!$I:$I,"&gt;0")</f>
        <v>0</v>
      </c>
      <c r="E7" s="5">
        <f>COUNTIFS(明细!$C:$C,各部门完成情况!C7,明细!$K:$K,"&gt;=70")</f>
        <v>0</v>
      </c>
      <c r="F7" s="6" t="str">
        <f t="shared" si="0"/>
        <v>0.00%</v>
      </c>
    </row>
    <row r="8" spans="1:6">
      <c r="A8" s="7"/>
      <c r="B8" s="5" t="s">
        <v>118</v>
      </c>
      <c r="C8" s="5" t="s">
        <v>131</v>
      </c>
      <c r="D8" s="5">
        <f>COUNTIFS(明细!$C:$C,各部门完成情况!C8,明细!$I:$I,"&gt;0")</f>
        <v>12</v>
      </c>
      <c r="E8" s="5">
        <f>COUNTIFS(明细!$C:$C,各部门完成情况!C8,明细!$K:$K,"&gt;=70")</f>
        <v>10</v>
      </c>
      <c r="F8" s="6">
        <f t="shared" si="0"/>
        <v>0.833333333333333</v>
      </c>
    </row>
    <row r="9" spans="1:6">
      <c r="A9" s="7"/>
      <c r="B9" s="5" t="s">
        <v>65</v>
      </c>
      <c r="C9" s="8" t="s">
        <v>1086</v>
      </c>
      <c r="D9" s="5">
        <f>COUNTIFS(明细!$C:$C,各部门完成情况!C9,明细!$I:$I,"&gt;0")</f>
        <v>1</v>
      </c>
      <c r="E9" s="5">
        <f>COUNTIFS(明细!$C:$C,各部门完成情况!C9,明细!$K:$K,"&gt;=70")</f>
        <v>0</v>
      </c>
      <c r="F9" s="6">
        <f t="shared" si="0"/>
        <v>0</v>
      </c>
    </row>
    <row r="10" spans="1:6">
      <c r="A10" s="7"/>
      <c r="B10" s="5" t="s">
        <v>65</v>
      </c>
      <c r="C10" s="5" t="s">
        <v>66</v>
      </c>
      <c r="D10" s="5">
        <f>COUNTIFS(明细!$C:$C,各部门完成情况!C10,明细!$I:$I,"&gt;0")</f>
        <v>15</v>
      </c>
      <c r="E10" s="5">
        <f>COUNTIFS(明细!$C:$C,各部门完成情况!C10,明细!$K:$K,"&gt;=70")</f>
        <v>10</v>
      </c>
      <c r="F10" s="6">
        <f t="shared" si="0"/>
        <v>0.666666666666667</v>
      </c>
    </row>
    <row r="11" spans="1:6">
      <c r="A11" s="7"/>
      <c r="B11" s="5" t="s">
        <v>65</v>
      </c>
      <c r="C11" s="5" t="s">
        <v>93</v>
      </c>
      <c r="D11" s="5">
        <f>COUNTIFS(明细!$C:$C,各部门完成情况!C11,明细!$I:$I,"&gt;0")</f>
        <v>13</v>
      </c>
      <c r="E11" s="5">
        <f>COUNTIFS(明细!$C:$C,各部门完成情况!C11,明细!$K:$K,"&gt;=70")</f>
        <v>10</v>
      </c>
      <c r="F11" s="6">
        <f t="shared" si="0"/>
        <v>0.769230769230769</v>
      </c>
    </row>
    <row r="12" spans="1:6">
      <c r="A12" s="7"/>
      <c r="B12" s="5" t="s">
        <v>65</v>
      </c>
      <c r="C12" s="5" t="s">
        <v>78</v>
      </c>
      <c r="D12" s="5">
        <f>COUNTIFS(明细!$C:$C,各部门完成情况!C12,明细!$I:$I,"&gt;0")</f>
        <v>15</v>
      </c>
      <c r="E12" s="5">
        <f>COUNTIFS(明细!$C:$C,各部门完成情况!C12,明细!$K:$K,"&gt;=70")</f>
        <v>8</v>
      </c>
      <c r="F12" s="6">
        <f t="shared" si="0"/>
        <v>0.533333333333333</v>
      </c>
    </row>
    <row r="13" spans="1:6">
      <c r="A13" s="7"/>
      <c r="B13" s="5" t="s">
        <v>65</v>
      </c>
      <c r="C13" s="5" t="s">
        <v>522</v>
      </c>
      <c r="D13" s="5">
        <f>COUNTIFS(明细!$C:$C,各部门完成情况!C13,明细!$I:$I,"&gt;0")</f>
        <v>16</v>
      </c>
      <c r="E13" s="5">
        <f>COUNTIFS(明细!$C:$C,各部门完成情况!C13,明细!$K:$K,"&gt;=70")</f>
        <v>9</v>
      </c>
      <c r="F13" s="6">
        <f t="shared" si="0"/>
        <v>0.5625</v>
      </c>
    </row>
    <row r="14" spans="1:6">
      <c r="A14" s="9"/>
      <c r="B14" s="5" t="s">
        <v>65</v>
      </c>
      <c r="C14" s="5" t="s">
        <v>401</v>
      </c>
      <c r="D14" s="5">
        <f>COUNTIFS(明细!$C:$C,各部门完成情况!C14,明细!$I:$I,"&gt;0")</f>
        <v>12</v>
      </c>
      <c r="E14" s="5">
        <f>COUNTIFS(明细!$C:$C,各部门完成情况!C14,明细!$K:$K,"&gt;=70")</f>
        <v>11</v>
      </c>
      <c r="F14" s="6">
        <f t="shared" si="0"/>
        <v>0.916666666666667</v>
      </c>
    </row>
    <row r="15" spans="1:6">
      <c r="A15" s="4" t="s">
        <v>5705</v>
      </c>
      <c r="B15" s="5" t="s">
        <v>50</v>
      </c>
      <c r="C15" s="5" t="s">
        <v>3231</v>
      </c>
      <c r="D15" s="5">
        <f>COUNTIFS(明细!$C:$C,各部门完成情况!C15,明细!$I:$I,"&gt;0")</f>
        <v>0</v>
      </c>
      <c r="E15" s="5">
        <f>COUNTIFS(明细!$C:$C,各部门完成情况!C15,明细!$K:$K,"&gt;=70")</f>
        <v>0</v>
      </c>
      <c r="F15" s="6" t="str">
        <f t="shared" si="0"/>
        <v>0.00%</v>
      </c>
    </row>
    <row r="16" spans="1:6">
      <c r="A16" s="7"/>
      <c r="B16" s="5" t="s">
        <v>50</v>
      </c>
      <c r="C16" s="5" t="s">
        <v>61</v>
      </c>
      <c r="D16" s="5">
        <f>COUNTIFS(明细!$C:$C,各部门完成情况!C16,明细!$I:$I,"&gt;0")</f>
        <v>3</v>
      </c>
      <c r="E16" s="5">
        <f>COUNTIFS(明细!$C:$C,各部门完成情况!C16,明细!$K:$K,"&gt;=70")</f>
        <v>1</v>
      </c>
      <c r="F16" s="6">
        <f t="shared" si="0"/>
        <v>0.333333333333333</v>
      </c>
    </row>
    <row r="17" spans="1:6">
      <c r="A17" s="7"/>
      <c r="B17" s="5" t="s">
        <v>50</v>
      </c>
      <c r="C17" s="5" t="s">
        <v>75</v>
      </c>
      <c r="D17" s="5">
        <f>COUNTIFS(明细!$C:$C,各部门完成情况!C17,明细!$I:$I,"&gt;0")</f>
        <v>16</v>
      </c>
      <c r="E17" s="5">
        <f>COUNTIFS(明细!$C:$C,各部门完成情况!C17,明细!$K:$K,"&gt;=70")</f>
        <v>7</v>
      </c>
      <c r="F17" s="6">
        <f t="shared" si="0"/>
        <v>0.4375</v>
      </c>
    </row>
    <row r="18" spans="1:6">
      <c r="A18" s="7"/>
      <c r="B18" s="5" t="s">
        <v>50</v>
      </c>
      <c r="C18" s="5" t="s">
        <v>51</v>
      </c>
      <c r="D18" s="5">
        <f>COUNTIFS(明细!$C:$C,各部门完成情况!C18,明细!$I:$I,"&gt;0")</f>
        <v>16</v>
      </c>
      <c r="E18" s="5">
        <f>COUNTIFS(明细!$C:$C,各部门完成情况!C18,明细!$K:$K,"&gt;=70")</f>
        <v>9</v>
      </c>
      <c r="F18" s="6">
        <f t="shared" si="0"/>
        <v>0.5625</v>
      </c>
    </row>
    <row r="19" spans="1:6">
      <c r="A19" s="9"/>
      <c r="B19" s="10" t="s">
        <v>50</v>
      </c>
      <c r="C19" s="5" t="s">
        <v>301</v>
      </c>
      <c r="D19" s="5">
        <f>COUNTIFS(明细!$C:$C,各部门完成情况!C19,明细!$I:$I,"&gt;0")</f>
        <v>20</v>
      </c>
      <c r="E19" s="5">
        <f>COUNTIFS(明细!$C:$C,各部门完成情况!C19,明细!$K:$K,"&gt;=70")</f>
        <v>10</v>
      </c>
      <c r="F19" s="6">
        <f t="shared" si="0"/>
        <v>0.5</v>
      </c>
    </row>
    <row r="20" spans="1:6">
      <c r="A20" s="4" t="s">
        <v>5706</v>
      </c>
      <c r="B20" s="5" t="s">
        <v>44</v>
      </c>
      <c r="C20" s="5" t="s">
        <v>440</v>
      </c>
      <c r="D20" s="5">
        <f>COUNTIFS(明细!$C:$C,各部门完成情况!C20,明细!$I:$I,"&gt;0")</f>
        <v>18</v>
      </c>
      <c r="E20" s="5">
        <f>COUNTIFS(明细!$C:$C,各部门完成情况!C20,明细!$K:$K,"&gt;=70")</f>
        <v>6</v>
      </c>
      <c r="F20" s="6">
        <f t="shared" si="0"/>
        <v>0.333333333333333</v>
      </c>
    </row>
    <row r="21" spans="1:6">
      <c r="A21" s="9"/>
      <c r="B21" s="5" t="s">
        <v>44</v>
      </c>
      <c r="C21" s="5" t="s">
        <v>228</v>
      </c>
      <c r="D21" s="5">
        <f>COUNTIFS(明细!$C:$C,各部门完成情况!C21,明细!$I:$I,"&gt;0")</f>
        <v>16</v>
      </c>
      <c r="E21" s="5">
        <f>COUNTIFS(明细!$C:$C,各部门完成情况!C21,明细!$K:$K,"&gt;=70")</f>
        <v>7</v>
      </c>
      <c r="F21" s="6">
        <f t="shared" si="0"/>
        <v>0.4375</v>
      </c>
    </row>
  </sheetData>
  <mergeCells count="3">
    <mergeCell ref="A2:A14"/>
    <mergeCell ref="A15:A19"/>
    <mergeCell ref="A20:A21"/>
  </mergeCells>
  <conditionalFormatting sqref="C2:C11">
    <cfRule type="duplicateValues" dxfId="0" priority="44"/>
  </conditionalFormatting>
  <conditionalFormatting sqref="C12:C14">
    <cfRule type="duplicateValues" dxfId="0" priority="46"/>
  </conditionalFormatting>
  <conditionalFormatting sqref="C15:C2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各部门完成情况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2018-11-09T03:03:00Z</dcterms:created>
  <dcterms:modified xsi:type="dcterms:W3CDTF">2023-08-15T01:19:50Z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1C75B2DC4B944E259651191B432EA3AF</vt:lpwstr>
  </property>
</Properties>
</file>