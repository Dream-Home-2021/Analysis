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 activeTab="1"/>
  </bookViews>
  <sheets>
    <sheet name="明细" sheetId="1" r:id="rId1"/>
    <sheet name="各部门完成情况" sheetId="2" r:id="rId2"/>
  </sheets>
  <definedNames>
    <definedName name="_xlnm._FilterDatabase" localSheetId="0" hidden="1">明细!$C$1:$C$394</definedName>
  </definedNames>
  <calcPr calcId="144525"/>
</workbook>
</file>

<file path=xl/sharedStrings.xml><?xml version="1.0" encoding="utf-8"?>
<sst xmlns="http://schemas.openxmlformats.org/spreadsheetml/2006/main" count="105" uniqueCount="81">
  <si>
    <t>大区</t>
  </si>
  <si>
    <t>组别</t>
  </si>
  <si>
    <t>客服</t>
  </si>
  <si>
    <t>账户名称</t>
  </si>
  <si>
    <t>公司名称</t>
  </si>
  <si>
    <t>开户日期</t>
  </si>
  <si>
    <t>网站名称</t>
  </si>
  <si>
    <t>网站URL</t>
  </si>
  <si>
    <t>8月总消费</t>
  </si>
  <si>
    <t>有消费天数</t>
  </si>
  <si>
    <t>户均消费</t>
  </si>
  <si>
    <t>户均完成率</t>
  </si>
  <si>
    <t>搜索点击消费20230801</t>
  </si>
  <si>
    <t>搜索点击消费20230802</t>
  </si>
  <si>
    <t>搜索点击消费20230803</t>
  </si>
  <si>
    <t>搜索点击消费20230804</t>
  </si>
  <si>
    <t>搜索点击消费20230805</t>
  </si>
  <si>
    <t>搜索点击消费20230806</t>
  </si>
  <si>
    <t>搜索点击消费20230807</t>
  </si>
  <si>
    <t>搜索点击消费20230808</t>
  </si>
  <si>
    <t>搜索点击消费20230809</t>
  </si>
  <si>
    <t>搜索点击消费20230810</t>
  </si>
  <si>
    <t>搜索点击消费20230811</t>
  </si>
  <si>
    <t>搜索点击消费20230812</t>
  </si>
  <si>
    <t>搜索点击消费20230813</t>
  </si>
  <si>
    <t>搜索点击消费20230814</t>
  </si>
  <si>
    <t>搜索点击消费20230815</t>
  </si>
  <si>
    <t>搜索点击消费20230816</t>
  </si>
  <si>
    <t>搜索点击消费20230817</t>
  </si>
  <si>
    <t>搜索点击消费20230818</t>
  </si>
  <si>
    <t>搜索点击消费20230819</t>
  </si>
  <si>
    <t>搜索点击消费20230820</t>
  </si>
  <si>
    <t>搜索点击消费20230821</t>
  </si>
  <si>
    <t>搜索点击消费20230822</t>
  </si>
  <si>
    <t>搜索点击消费20230823</t>
  </si>
  <si>
    <t>搜索点击消费20230824</t>
  </si>
  <si>
    <t>搜索点击消费20230825</t>
  </si>
  <si>
    <t>搜索点击消费20230826</t>
  </si>
  <si>
    <t>搜索点击消费20230827</t>
  </si>
  <si>
    <t>搜索点击消费20230828</t>
  </si>
  <si>
    <t>搜索点击消费20230829</t>
  </si>
  <si>
    <t>搜索点击消费20230830</t>
  </si>
  <si>
    <t>搜索点击消费20230831</t>
  </si>
  <si>
    <t>部门</t>
  </si>
  <si>
    <t>部别</t>
  </si>
  <si>
    <t>有消费客户数</t>
  </si>
  <si>
    <t>达标客户数</t>
  </si>
  <si>
    <t>完成率</t>
  </si>
  <si>
    <t>有消费客户</t>
  </si>
  <si>
    <t>完成率-截止昨天</t>
  </si>
  <si>
    <t>新开部门
（户均70）</t>
  </si>
  <si>
    <t>新开部门</t>
  </si>
  <si>
    <t>朱惠敏</t>
  </si>
  <si>
    <t>新开部</t>
  </si>
  <si>
    <t>新开一部</t>
  </si>
  <si>
    <t>建站十分</t>
  </si>
  <si>
    <t>新开二部</t>
  </si>
  <si>
    <t>叶惠</t>
  </si>
  <si>
    <t>泉州部门</t>
  </si>
  <si>
    <t>泉州新开</t>
  </si>
  <si>
    <t>张唯唯</t>
  </si>
  <si>
    <t>漳州部门</t>
  </si>
  <si>
    <t>漳州新开</t>
  </si>
  <si>
    <t>林雅清</t>
  </si>
  <si>
    <t>蓝淑敏</t>
  </si>
  <si>
    <t>林裕芳</t>
  </si>
  <si>
    <t>叶晓欢</t>
  </si>
  <si>
    <t>林华卿</t>
  </si>
  <si>
    <t>程秋平</t>
  </si>
  <si>
    <t>梁烨</t>
  </si>
  <si>
    <t>林霖</t>
  </si>
  <si>
    <t>童莺莺</t>
  </si>
  <si>
    <t>泉州部门
（户均50）</t>
  </si>
  <si>
    <t>泉州建站</t>
  </si>
  <si>
    <t>吴燕红</t>
  </si>
  <si>
    <t>王凤钦</t>
  </si>
  <si>
    <t>傅佳玲</t>
  </si>
  <si>
    <t>邱彬彬</t>
  </si>
  <si>
    <t>漳州部门
（户均50）</t>
  </si>
  <si>
    <t>游惠卿</t>
  </si>
  <si>
    <t>吴清玉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</si>
</sst>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_);[Red]\(#,##0\)"/>
    <numFmt numFmtId="177" formatCode="#,##0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1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21" fillId="32" borderId="12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2" fillId="0" borderId="1" xfId="1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0" fontId="2" fillId="0" borderId="0" xfId="11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0" fontId="2" fillId="0" borderId="0" xfId="11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" fillId="0" borderId="0" xfId="11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8" applyNumberFormat="1" applyFont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注释 2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43"/>
  <sheetViews>
    <sheetView workbookViewId="0">
      <pane ySplit="1" topLeftCell="A2" activePane="bottomLeft" state="frozen"/>
      <selection/>
      <selection pane="bottomLeft" activeCell="AQ1" sqref="AQ1"/>
    </sheetView>
  </sheetViews>
  <sheetFormatPr defaultColWidth="9" defaultRowHeight="16.5"/>
  <cols>
    <col min="1" max="1" width="16" style="2" customWidth="1"/>
    <col min="2" max="2" width="11.875" style="2" customWidth="1"/>
    <col min="3" max="3" width="11" style="2" customWidth="1"/>
    <col min="4" max="4" width="13" style="2" customWidth="1"/>
    <col min="5" max="5" width="26.5" style="2" customWidth="1"/>
    <col min="6" max="6" width="12.375" style="13" customWidth="1"/>
    <col min="7" max="9" width="12.375" style="2" customWidth="1"/>
    <col min="10" max="10" width="14.625" style="2" customWidth="1"/>
    <col min="11" max="11" width="12.625" style="2" customWidth="1"/>
    <col min="12" max="12" width="12.625" style="14" customWidth="1"/>
    <col min="13" max="13" width="12.125" style="2" customWidth="1"/>
    <col min="14" max="14" width="12.75" style="2" customWidth="1"/>
    <col min="15" max="19" width="11.75" style="2" customWidth="1"/>
    <col min="20" max="20" width="13.75" style="2" customWidth="1"/>
    <col min="21" max="21" width="11.75" style="2" customWidth="1"/>
    <col min="22" max="22" width="10.75" style="2" customWidth="1"/>
    <col min="23" max="26" width="11.75" style="2" customWidth="1"/>
    <col min="27" max="27" width="11.75" style="15" customWidth="1"/>
    <col min="28" max="40" width="11.75" style="2" customWidth="1"/>
    <col min="41" max="16384" width="9" style="2"/>
  </cols>
  <sheetData>
    <row r="1" s="1" customFormat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9:40">
      <c r="I2" s="18"/>
      <c r="J2" s="18"/>
      <c r="K2" s="19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2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9:40">
      <c r="I3" s="18"/>
      <c r="J3" s="18"/>
      <c r="K3" s="19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2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9:40">
      <c r="I4" s="18"/>
      <c r="J4" s="18"/>
      <c r="K4" s="19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2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</row>
    <row r="5" spans="9:40">
      <c r="I5" s="18"/>
      <c r="J5" s="18"/>
      <c r="K5" s="1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2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6" spans="9:40">
      <c r="I6" s="18"/>
      <c r="J6" s="18"/>
      <c r="K6" s="19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2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9:40">
      <c r="I7" s="18"/>
      <c r="J7" s="18"/>
      <c r="K7" s="1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2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</row>
    <row r="8" spans="9:40">
      <c r="I8" s="18"/>
      <c r="J8" s="18"/>
      <c r="K8" s="19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2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9:40">
      <c r="I9" s="18"/>
      <c r="J9" s="18"/>
      <c r="K9" s="19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2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spans="9:40">
      <c r="I10" s="18"/>
      <c r="J10" s="18"/>
      <c r="K10" s="1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2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 spans="9:40">
      <c r="I11" s="18"/>
      <c r="J11" s="18"/>
      <c r="K11" s="1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2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9:40">
      <c r="I12" s="18"/>
      <c r="J12" s="18"/>
      <c r="K12" s="1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2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9:40">
      <c r="I13" s="18"/>
      <c r="J13" s="18"/>
      <c r="K13" s="1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2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9:40">
      <c r="I14" s="18"/>
      <c r="J14" s="18"/>
      <c r="K14" s="1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2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9:40">
      <c r="I15" s="18"/>
      <c r="J15" s="18"/>
      <c r="K15" s="19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2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9:40">
      <c r="I16" s="18"/>
      <c r="J16" s="18"/>
      <c r="K16" s="19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2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9:40">
      <c r="I17" s="18"/>
      <c r="J17" s="18"/>
      <c r="K17" s="19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2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9:40">
      <c r="I18" s="18"/>
      <c r="J18" s="18"/>
      <c r="K18" s="1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2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9:40">
      <c r="I19" s="18"/>
      <c r="J19" s="18"/>
      <c r="K19" s="1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2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9:40">
      <c r="I20" s="18"/>
      <c r="J20" s="18"/>
      <c r="K20" s="1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2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9:40">
      <c r="I21" s="18"/>
      <c r="J21" s="18"/>
      <c r="K21" s="1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2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9:40">
      <c r="I22" s="18"/>
      <c r="J22" s="18"/>
      <c r="K22" s="1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9:40">
      <c r="I23" s="18"/>
      <c r="J23" s="18"/>
      <c r="K23" s="19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2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9:40">
      <c r="I24" s="18"/>
      <c r="J24" s="18"/>
      <c r="K24" s="1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2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9:40">
      <c r="I25" s="18"/>
      <c r="J25" s="18"/>
      <c r="K25" s="19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2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9:40">
      <c r="I26" s="18"/>
      <c r="J26" s="18"/>
      <c r="K26" s="1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2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9:40">
      <c r="I27" s="18"/>
      <c r="J27" s="18"/>
      <c r="K27" s="19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9:40">
      <c r="I28" s="18"/>
      <c r="J28" s="18"/>
      <c r="K28" s="1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2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9:40">
      <c r="I29" s="18"/>
      <c r="J29" s="18"/>
      <c r="K29" s="19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2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9:40">
      <c r="I30" s="18"/>
      <c r="J30" s="18"/>
      <c r="K30" s="19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2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9:40">
      <c r="I31" s="18"/>
      <c r="J31" s="18"/>
      <c r="K31" s="19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2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9:40">
      <c r="I32" s="18"/>
      <c r="J32" s="18"/>
      <c r="K32" s="19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2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9:40">
      <c r="I33" s="18"/>
      <c r="J33" s="18"/>
      <c r="K33" s="19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2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9:40">
      <c r="I34" s="18"/>
      <c r="J34" s="18"/>
      <c r="K34" s="19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2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9:40">
      <c r="I35" s="18"/>
      <c r="J35" s="18"/>
      <c r="K35" s="19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2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9:40">
      <c r="I36" s="18"/>
      <c r="J36" s="18"/>
      <c r="K36" s="19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2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9:40">
      <c r="I37" s="18"/>
      <c r="J37" s="18"/>
      <c r="K37" s="19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2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9:40">
      <c r="I38" s="18"/>
      <c r="J38" s="18"/>
      <c r="K38" s="19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2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9:40">
      <c r="I39" s="18"/>
      <c r="J39" s="18"/>
      <c r="K39" s="19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2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9:40">
      <c r="I40" s="18"/>
      <c r="J40" s="18"/>
      <c r="K40" s="19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2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9:40">
      <c r="I41" s="18"/>
      <c r="J41" s="18"/>
      <c r="K41" s="19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2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9:40">
      <c r="I42" s="18"/>
      <c r="J42" s="18"/>
      <c r="K42" s="19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2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9:40">
      <c r="I43" s="18"/>
      <c r="J43" s="18"/>
      <c r="K43" s="19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2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9:40">
      <c r="I44" s="18"/>
      <c r="J44" s="18"/>
      <c r="K44" s="19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2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9:40">
      <c r="I45" s="18"/>
      <c r="J45" s="18"/>
      <c r="K45" s="19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2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9:40">
      <c r="I46" s="18"/>
      <c r="J46" s="18"/>
      <c r="K46" s="19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2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9:40">
      <c r="I47" s="18"/>
      <c r="J47" s="18"/>
      <c r="K47" s="19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2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9:40">
      <c r="I48" s="18"/>
      <c r="J48" s="18"/>
      <c r="K48" s="19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2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9:40">
      <c r="I49" s="18"/>
      <c r="J49" s="18"/>
      <c r="K49" s="19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2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9:40">
      <c r="I50" s="18"/>
      <c r="J50" s="18"/>
      <c r="K50" s="19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2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9:40">
      <c r="I51" s="18"/>
      <c r="J51" s="18"/>
      <c r="K51" s="19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2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9:40">
      <c r="I52" s="18"/>
      <c r="J52" s="18"/>
      <c r="K52" s="19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2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spans="9:40">
      <c r="I53" s="18"/>
      <c r="J53" s="18"/>
      <c r="K53" s="19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2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spans="9:40">
      <c r="I54" s="18"/>
      <c r="J54" s="18"/>
      <c r="K54" s="19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2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 spans="9:40">
      <c r="I55" s="18"/>
      <c r="J55" s="18"/>
      <c r="K55" s="19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2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spans="9:40">
      <c r="I56" s="18"/>
      <c r="J56" s="18"/>
      <c r="K56" s="19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2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spans="9:40">
      <c r="I57" s="18"/>
      <c r="J57" s="18"/>
      <c r="K57" s="19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2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spans="9:40">
      <c r="I58" s="18"/>
      <c r="J58" s="18"/>
      <c r="K58" s="19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2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spans="9:40">
      <c r="I59" s="18"/>
      <c r="J59" s="18"/>
      <c r="K59" s="19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2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</row>
    <row r="60" spans="9:40">
      <c r="I60" s="18"/>
      <c r="J60" s="18"/>
      <c r="K60" s="19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2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spans="9:40">
      <c r="I61" s="18"/>
      <c r="J61" s="18"/>
      <c r="K61" s="19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2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spans="9:40">
      <c r="I62" s="18"/>
      <c r="J62" s="18"/>
      <c r="K62" s="19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spans="9:40">
      <c r="I63" s="18"/>
      <c r="J63" s="18"/>
      <c r="K63" s="19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2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</row>
    <row r="64" spans="9:40">
      <c r="I64" s="18"/>
      <c r="J64" s="18"/>
      <c r="K64" s="19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2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spans="9:40">
      <c r="I65" s="18"/>
      <c r="J65" s="18"/>
      <c r="K65" s="19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2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spans="9:40">
      <c r="I66" s="18"/>
      <c r="J66" s="18"/>
      <c r="K66" s="19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2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spans="9:40">
      <c r="I67" s="18"/>
      <c r="J67" s="18"/>
      <c r="K67" s="19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2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spans="9:40">
      <c r="I68" s="18"/>
      <c r="J68" s="18"/>
      <c r="K68" s="19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2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spans="9:40">
      <c r="I69" s="18"/>
      <c r="J69" s="18"/>
      <c r="K69" s="19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2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spans="9:40">
      <c r="I70" s="18"/>
      <c r="J70" s="18"/>
      <c r="K70" s="19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2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spans="9:40">
      <c r="I71" s="18"/>
      <c r="J71" s="18"/>
      <c r="K71" s="19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2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spans="9:40">
      <c r="I72" s="18"/>
      <c r="J72" s="18"/>
      <c r="K72" s="19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2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spans="9:40">
      <c r="I73" s="18"/>
      <c r="J73" s="18"/>
      <c r="K73" s="19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2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spans="9:40">
      <c r="I74" s="18"/>
      <c r="J74" s="18"/>
      <c r="K74" s="19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2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spans="9:40">
      <c r="I75" s="18"/>
      <c r="J75" s="18"/>
      <c r="K75" s="19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2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spans="9:40">
      <c r="I76" s="18"/>
      <c r="J76" s="18"/>
      <c r="K76" s="19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2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spans="9:40">
      <c r="I77" s="18"/>
      <c r="J77" s="18"/>
      <c r="K77" s="19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2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spans="9:40">
      <c r="I78" s="18"/>
      <c r="J78" s="18"/>
      <c r="K78" s="19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2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spans="9:40">
      <c r="I79" s="18"/>
      <c r="J79" s="18"/>
      <c r="K79" s="19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2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spans="9:40">
      <c r="I80" s="18"/>
      <c r="J80" s="18"/>
      <c r="K80" s="19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2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spans="9:40">
      <c r="I81" s="18"/>
      <c r="J81" s="18"/>
      <c r="K81" s="19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2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spans="9:40">
      <c r="I82" s="18"/>
      <c r="J82" s="18"/>
      <c r="K82" s="19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2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spans="9:40">
      <c r="I83" s="18"/>
      <c r="J83" s="18"/>
      <c r="K83" s="19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2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spans="9:40">
      <c r="I84" s="18"/>
      <c r="J84" s="18"/>
      <c r="K84" s="19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2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spans="9:40">
      <c r="I85" s="18"/>
      <c r="J85" s="18"/>
      <c r="K85" s="19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2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spans="9:40">
      <c r="I86" s="18"/>
      <c r="J86" s="18"/>
      <c r="K86" s="19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2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spans="9:40">
      <c r="I87" s="18"/>
      <c r="J87" s="18"/>
      <c r="K87" s="19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2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spans="9:40">
      <c r="I88" s="18"/>
      <c r="J88" s="18"/>
      <c r="K88" s="19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2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spans="9:40">
      <c r="I89" s="18"/>
      <c r="J89" s="18"/>
      <c r="K89" s="19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2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spans="9:40">
      <c r="I90" s="18"/>
      <c r="J90" s="18"/>
      <c r="K90" s="19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2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spans="9:40">
      <c r="I91" s="18"/>
      <c r="J91" s="18"/>
      <c r="K91" s="19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2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spans="9:40">
      <c r="I92" s="18"/>
      <c r="J92" s="18"/>
      <c r="K92" s="19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2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spans="9:40">
      <c r="I93" s="18"/>
      <c r="J93" s="18"/>
      <c r="K93" s="19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2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spans="9:40">
      <c r="I94" s="18"/>
      <c r="J94" s="18"/>
      <c r="K94" s="19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2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spans="9:40">
      <c r="I95" s="18"/>
      <c r="J95" s="18"/>
      <c r="K95" s="19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2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spans="9:40">
      <c r="I96" s="18"/>
      <c r="J96" s="18"/>
      <c r="K96" s="19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2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spans="9:40">
      <c r="I97" s="18"/>
      <c r="J97" s="18"/>
      <c r="K97" s="19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2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spans="9:40">
      <c r="I98" s="18"/>
      <c r="J98" s="18"/>
      <c r="K98" s="19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2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spans="9:40">
      <c r="I99" s="18"/>
      <c r="J99" s="18"/>
      <c r="K99" s="19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2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spans="9:40">
      <c r="I100" s="18"/>
      <c r="J100" s="18"/>
      <c r="K100" s="19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2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spans="9:40">
      <c r="I101" s="18"/>
      <c r="J101" s="18"/>
      <c r="K101" s="19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2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spans="9:40">
      <c r="I102" s="18"/>
      <c r="J102" s="18"/>
      <c r="K102" s="19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2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spans="9:40">
      <c r="I103" s="18"/>
      <c r="J103" s="18"/>
      <c r="K103" s="19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2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spans="9:40">
      <c r="I104" s="18"/>
      <c r="J104" s="18"/>
      <c r="K104" s="19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2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spans="9:40">
      <c r="I105" s="18"/>
      <c r="J105" s="18"/>
      <c r="K105" s="19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2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spans="9:40">
      <c r="I106" s="18"/>
      <c r="J106" s="18"/>
      <c r="K106" s="19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2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spans="9:40">
      <c r="I107" s="18"/>
      <c r="J107" s="18"/>
      <c r="K107" s="19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2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spans="9:40">
      <c r="I108" s="18"/>
      <c r="J108" s="18"/>
      <c r="K108" s="19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2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spans="9:40">
      <c r="I109" s="18"/>
      <c r="J109" s="18"/>
      <c r="K109" s="19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2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spans="9:40">
      <c r="I110" s="18"/>
      <c r="J110" s="18"/>
      <c r="K110" s="19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2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spans="9:40">
      <c r="I111" s="18"/>
      <c r="J111" s="18"/>
      <c r="K111" s="19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2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spans="9:40">
      <c r="I112" s="18"/>
      <c r="J112" s="18"/>
      <c r="K112" s="19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2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spans="9:40">
      <c r="I113" s="18"/>
      <c r="J113" s="18"/>
      <c r="K113" s="19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2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spans="9:40">
      <c r="I114" s="18"/>
      <c r="J114" s="18"/>
      <c r="K114" s="19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2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spans="9:40">
      <c r="I115" s="18"/>
      <c r="J115" s="18"/>
      <c r="K115" s="19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2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spans="9:40">
      <c r="I116" s="18"/>
      <c r="J116" s="18"/>
      <c r="K116" s="19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2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spans="9:40">
      <c r="I117" s="18"/>
      <c r="J117" s="18"/>
      <c r="K117" s="19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2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spans="9:40">
      <c r="I118" s="18"/>
      <c r="J118" s="18"/>
      <c r="K118" s="19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2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spans="9:40">
      <c r="I119" s="18"/>
      <c r="J119" s="18"/>
      <c r="K119" s="19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2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spans="9:40">
      <c r="I120" s="18"/>
      <c r="J120" s="18"/>
      <c r="K120" s="19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2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spans="9:40">
      <c r="I121" s="18"/>
      <c r="J121" s="18"/>
      <c r="K121" s="19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2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spans="9:40">
      <c r="I122" s="18"/>
      <c r="J122" s="18"/>
      <c r="K122" s="19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2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spans="9:40">
      <c r="I123" s="18"/>
      <c r="J123" s="18"/>
      <c r="K123" s="19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2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spans="9:40">
      <c r="I124" s="18"/>
      <c r="J124" s="18"/>
      <c r="K124" s="19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2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spans="9:40">
      <c r="I125" s="18"/>
      <c r="J125" s="18"/>
      <c r="K125" s="19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2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spans="9:40">
      <c r="I126" s="18"/>
      <c r="J126" s="18"/>
      <c r="K126" s="19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2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spans="9:40">
      <c r="I127" s="18"/>
      <c r="J127" s="18"/>
      <c r="K127" s="19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2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spans="9:40">
      <c r="I128" s="18"/>
      <c r="J128" s="18"/>
      <c r="K128" s="19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2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spans="9:40">
      <c r="I129" s="18"/>
      <c r="J129" s="18"/>
      <c r="K129" s="19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2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spans="9:40">
      <c r="I130" s="18"/>
      <c r="J130" s="18"/>
      <c r="K130" s="19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2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spans="9:40">
      <c r="I131" s="18"/>
      <c r="J131" s="18"/>
      <c r="K131" s="19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2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spans="9:40">
      <c r="I132" s="18"/>
      <c r="J132" s="18"/>
      <c r="K132" s="19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2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spans="9:40">
      <c r="I133" s="18"/>
      <c r="J133" s="18"/>
      <c r="K133" s="19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2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spans="9:40">
      <c r="I134" s="18"/>
      <c r="J134" s="18"/>
      <c r="K134" s="19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2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spans="9:40">
      <c r="I135" s="18"/>
      <c r="J135" s="18"/>
      <c r="K135" s="19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2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spans="9:40">
      <c r="I136" s="18"/>
      <c r="J136" s="18"/>
      <c r="K136" s="19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2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spans="9:40">
      <c r="I137" s="18"/>
      <c r="J137" s="18"/>
      <c r="K137" s="19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2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spans="9:40">
      <c r="I138" s="18"/>
      <c r="J138" s="18"/>
      <c r="K138" s="19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2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spans="9:40">
      <c r="I139" s="18"/>
      <c r="J139" s="18"/>
      <c r="K139" s="19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2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spans="9:40">
      <c r="I140" s="18"/>
      <c r="J140" s="18"/>
      <c r="K140" s="19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2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spans="9:40">
      <c r="I141" s="18"/>
      <c r="J141" s="18"/>
      <c r="K141" s="19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2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spans="9:40">
      <c r="I142" s="18"/>
      <c r="J142" s="18"/>
      <c r="K142" s="19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2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spans="9:40">
      <c r="I143" s="18"/>
      <c r="J143" s="18"/>
      <c r="K143" s="19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2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spans="9:40">
      <c r="I144" s="18"/>
      <c r="J144" s="18"/>
      <c r="K144" s="19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2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spans="9:40">
      <c r="I145" s="18"/>
      <c r="J145" s="18"/>
      <c r="K145" s="19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2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spans="9:40">
      <c r="I146" s="18"/>
      <c r="J146" s="18"/>
      <c r="K146" s="19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2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spans="9:40">
      <c r="I147" s="18"/>
      <c r="J147" s="18"/>
      <c r="K147" s="19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2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spans="9:40">
      <c r="I148" s="18"/>
      <c r="J148" s="18"/>
      <c r="K148" s="19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2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spans="9:40">
      <c r="I149" s="18"/>
      <c r="J149" s="18"/>
      <c r="K149" s="19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2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spans="9:40">
      <c r="I150" s="18"/>
      <c r="J150" s="18"/>
      <c r="K150" s="19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2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spans="9:40">
      <c r="I151" s="18"/>
      <c r="J151" s="18"/>
      <c r="K151" s="19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2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spans="9:40">
      <c r="I152" s="18"/>
      <c r="J152" s="18"/>
      <c r="K152" s="19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2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spans="9:40">
      <c r="I153" s="18"/>
      <c r="J153" s="18"/>
      <c r="K153" s="19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2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spans="9:40">
      <c r="I154" s="18"/>
      <c r="J154" s="18"/>
      <c r="K154" s="19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2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spans="9:40">
      <c r="I155" s="18"/>
      <c r="J155" s="18"/>
      <c r="K155" s="19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2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spans="9:40">
      <c r="I156" s="18"/>
      <c r="J156" s="18"/>
      <c r="K156" s="19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2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spans="9:40">
      <c r="I157" s="18"/>
      <c r="J157" s="18"/>
      <c r="K157" s="19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2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spans="9:40">
      <c r="I158" s="18"/>
      <c r="J158" s="18"/>
      <c r="K158" s="19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2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spans="9:40">
      <c r="I159" s="18"/>
      <c r="J159" s="18"/>
      <c r="K159" s="19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2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spans="9:40">
      <c r="I160" s="18"/>
      <c r="J160" s="18"/>
      <c r="K160" s="19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2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spans="9:40">
      <c r="I161" s="18"/>
      <c r="J161" s="18"/>
      <c r="K161" s="19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2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spans="9:40">
      <c r="I162" s="18"/>
      <c r="J162" s="18"/>
      <c r="K162" s="19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2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spans="9:40">
      <c r="I163" s="18"/>
      <c r="J163" s="18"/>
      <c r="K163" s="19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2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spans="9:40">
      <c r="I164" s="18"/>
      <c r="J164" s="18"/>
      <c r="K164" s="19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2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spans="9:40">
      <c r="I165" s="18"/>
      <c r="J165" s="18"/>
      <c r="K165" s="19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2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spans="9:40">
      <c r="I166" s="18"/>
      <c r="J166" s="18"/>
      <c r="K166" s="19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2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spans="9:40">
      <c r="I167" s="18"/>
      <c r="J167" s="18"/>
      <c r="K167" s="19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2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spans="9:40">
      <c r="I168" s="18"/>
      <c r="J168" s="18"/>
      <c r="K168" s="19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2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spans="9:40">
      <c r="I169" s="18"/>
      <c r="J169" s="18"/>
      <c r="K169" s="19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2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spans="9:40">
      <c r="I170" s="18"/>
      <c r="J170" s="18"/>
      <c r="K170" s="19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2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spans="9:40">
      <c r="I171" s="18"/>
      <c r="J171" s="18"/>
      <c r="K171" s="19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2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spans="9:40">
      <c r="I172" s="18"/>
      <c r="J172" s="18"/>
      <c r="K172" s="19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2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spans="9:40">
      <c r="I173" s="18"/>
      <c r="J173" s="18"/>
      <c r="K173" s="19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2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spans="9:40">
      <c r="I174" s="18"/>
      <c r="J174" s="18"/>
      <c r="K174" s="19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2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spans="9:40">
      <c r="I175" s="18"/>
      <c r="J175" s="18"/>
      <c r="K175" s="19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2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spans="9:40">
      <c r="I176" s="18"/>
      <c r="J176" s="18"/>
      <c r="K176" s="19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2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spans="9:40">
      <c r="I177" s="18"/>
      <c r="J177" s="18"/>
      <c r="K177" s="19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2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spans="9:40">
      <c r="I178" s="18"/>
      <c r="J178" s="18"/>
      <c r="K178" s="19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2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spans="9:40">
      <c r="I179" s="18"/>
      <c r="J179" s="18"/>
      <c r="K179" s="19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2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spans="9:40">
      <c r="I180" s="18"/>
      <c r="J180" s="18"/>
      <c r="K180" s="19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2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spans="9:40">
      <c r="I181" s="18"/>
      <c r="J181" s="18"/>
      <c r="K181" s="19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2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spans="9:40">
      <c r="I182" s="18"/>
      <c r="J182" s="18"/>
      <c r="K182" s="19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2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spans="9:40">
      <c r="I183" s="18"/>
      <c r="J183" s="18"/>
      <c r="K183" s="19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2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spans="9:40">
      <c r="I184" s="18"/>
      <c r="J184" s="18"/>
      <c r="K184" s="19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2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spans="9:40">
      <c r="I185" s="18"/>
      <c r="J185" s="18"/>
      <c r="K185" s="19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2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spans="9:40">
      <c r="I186" s="18"/>
      <c r="J186" s="18"/>
      <c r="K186" s="19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2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spans="9:40">
      <c r="I187" s="18"/>
      <c r="J187" s="18"/>
      <c r="K187" s="19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2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spans="9:40">
      <c r="I188" s="18"/>
      <c r="J188" s="18"/>
      <c r="K188" s="19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2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spans="9:40">
      <c r="I189" s="18"/>
      <c r="J189" s="18"/>
      <c r="K189" s="19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2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spans="9:40">
      <c r="I190" s="18"/>
      <c r="J190" s="18"/>
      <c r="K190" s="19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2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spans="9:40">
      <c r="I191" s="18"/>
      <c r="J191" s="18"/>
      <c r="K191" s="19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2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spans="9:40">
      <c r="I192" s="18"/>
      <c r="J192" s="18"/>
      <c r="K192" s="19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2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spans="9:40">
      <c r="I193" s="18"/>
      <c r="J193" s="18"/>
      <c r="K193" s="19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2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spans="9:40">
      <c r="I194" s="18"/>
      <c r="J194" s="18"/>
      <c r="K194" s="19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2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spans="9:40">
      <c r="I195" s="18"/>
      <c r="J195" s="18"/>
      <c r="K195" s="19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2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spans="9:40">
      <c r="I196" s="18"/>
      <c r="J196" s="18"/>
      <c r="K196" s="19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2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spans="9:40">
      <c r="I197" s="18"/>
      <c r="J197" s="18"/>
      <c r="K197" s="19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2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spans="9:40">
      <c r="I198" s="18"/>
      <c r="J198" s="18"/>
      <c r="K198" s="19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2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spans="9:40">
      <c r="I199" s="18"/>
      <c r="J199" s="18"/>
      <c r="K199" s="19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2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spans="9:40">
      <c r="I200" s="18"/>
      <c r="J200" s="18"/>
      <c r="K200" s="19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2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spans="9:40">
      <c r="I201" s="18"/>
      <c r="J201" s="18"/>
      <c r="K201" s="19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2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spans="9:40">
      <c r="I202" s="18"/>
      <c r="J202" s="18"/>
      <c r="K202" s="19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2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spans="9:40">
      <c r="I203" s="18"/>
      <c r="J203" s="18"/>
      <c r="K203" s="19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2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spans="9:40">
      <c r="I204" s="18"/>
      <c r="J204" s="18"/>
      <c r="K204" s="19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2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spans="9:40">
      <c r="I205" s="18"/>
      <c r="J205" s="18"/>
      <c r="K205" s="19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2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spans="9:40">
      <c r="I206" s="18"/>
      <c r="J206" s="18"/>
      <c r="K206" s="19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2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spans="9:40">
      <c r="I207" s="18"/>
      <c r="J207" s="18"/>
      <c r="K207" s="19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2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spans="9:40">
      <c r="I208" s="18"/>
      <c r="J208" s="18"/>
      <c r="K208" s="19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2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spans="9:40">
      <c r="I209" s="18"/>
      <c r="J209" s="18"/>
      <c r="K209" s="19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2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spans="9:40">
      <c r="I210" s="18"/>
      <c r="J210" s="18"/>
      <c r="K210" s="19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2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spans="9:40">
      <c r="I211" s="18"/>
      <c r="J211" s="18"/>
      <c r="K211" s="19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2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spans="9:40">
      <c r="I212" s="18"/>
      <c r="J212" s="18"/>
      <c r="K212" s="19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2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spans="9:40">
      <c r="I213" s="18"/>
      <c r="J213" s="18"/>
      <c r="K213" s="19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2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spans="9:40">
      <c r="I214" s="18"/>
      <c r="J214" s="18"/>
      <c r="K214" s="19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2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spans="9:40">
      <c r="I215" s="18"/>
      <c r="J215" s="18"/>
      <c r="K215" s="19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2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spans="9:40">
      <c r="I216" s="18"/>
      <c r="J216" s="18"/>
      <c r="K216" s="19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2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spans="9:40">
      <c r="I217" s="18"/>
      <c r="J217" s="18"/>
      <c r="K217" s="19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2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spans="9:40">
      <c r="I218" s="18"/>
      <c r="J218" s="18"/>
      <c r="K218" s="19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2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spans="9:40">
      <c r="I219" s="18"/>
      <c r="J219" s="18"/>
      <c r="K219" s="19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2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spans="9:40">
      <c r="I220" s="18"/>
      <c r="J220" s="18"/>
      <c r="K220" s="19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2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spans="9:40">
      <c r="I221" s="18"/>
      <c r="J221" s="18"/>
      <c r="K221" s="19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2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spans="9:40">
      <c r="I222" s="18"/>
      <c r="J222" s="18"/>
      <c r="K222" s="19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2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spans="9:40">
      <c r="I223" s="18"/>
      <c r="J223" s="18"/>
      <c r="K223" s="19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2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spans="9:40">
      <c r="I224" s="18"/>
      <c r="J224" s="18"/>
      <c r="K224" s="19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2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spans="9:40">
      <c r="I225" s="18"/>
      <c r="J225" s="18"/>
      <c r="K225" s="19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2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spans="9:40">
      <c r="I226" s="18"/>
      <c r="J226" s="18"/>
      <c r="K226" s="19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2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spans="9:40">
      <c r="I227" s="18"/>
      <c r="J227" s="18"/>
      <c r="K227" s="19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2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spans="9:40">
      <c r="I228" s="18"/>
      <c r="J228" s="18"/>
      <c r="K228" s="19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2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spans="9:40">
      <c r="I229" s="18"/>
      <c r="J229" s="18"/>
      <c r="K229" s="19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2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spans="9:40">
      <c r="I230" s="18"/>
      <c r="J230" s="18"/>
      <c r="K230" s="19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2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spans="9:40">
      <c r="I231" s="18"/>
      <c r="J231" s="18"/>
      <c r="K231" s="19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2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spans="9:40">
      <c r="I232" s="18"/>
      <c r="J232" s="18"/>
      <c r="K232" s="19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2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spans="9:40">
      <c r="I233" s="18"/>
      <c r="J233" s="18"/>
      <c r="K233" s="19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2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spans="9:40">
      <c r="I234" s="18"/>
      <c r="J234" s="18"/>
      <c r="K234" s="19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2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spans="9:40">
      <c r="I235" s="18"/>
      <c r="J235" s="18"/>
      <c r="K235" s="19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2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spans="9:40">
      <c r="I236" s="18"/>
      <c r="J236" s="18"/>
      <c r="K236" s="19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2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spans="9:40">
      <c r="I237" s="18"/>
      <c r="J237" s="18"/>
      <c r="K237" s="19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2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spans="9:40">
      <c r="I238" s="18"/>
      <c r="J238" s="18"/>
      <c r="K238" s="19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2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spans="9:40">
      <c r="I239" s="18"/>
      <c r="J239" s="18"/>
      <c r="K239" s="19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2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spans="9:40">
      <c r="I240" s="18"/>
      <c r="J240" s="18"/>
      <c r="K240" s="19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2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spans="9:40">
      <c r="I241" s="18"/>
      <c r="J241" s="18"/>
      <c r="K241" s="19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2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spans="9:40">
      <c r="I242" s="18"/>
      <c r="J242" s="18"/>
      <c r="K242" s="19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2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spans="9:40">
      <c r="I243" s="18"/>
      <c r="J243" s="18"/>
      <c r="K243" s="19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2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spans="9:40">
      <c r="I244" s="18"/>
      <c r="J244" s="18"/>
      <c r="K244" s="19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2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spans="9:40">
      <c r="I245" s="18"/>
      <c r="J245" s="18"/>
      <c r="K245" s="19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2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spans="9:40">
      <c r="I246" s="18"/>
      <c r="J246" s="18"/>
      <c r="K246" s="19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2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spans="9:40">
      <c r="I247" s="18"/>
      <c r="J247" s="18"/>
      <c r="K247" s="19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2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spans="9:40">
      <c r="I248" s="18"/>
      <c r="J248" s="18"/>
      <c r="K248" s="19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2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spans="9:40">
      <c r="I249" s="18"/>
      <c r="J249" s="18"/>
      <c r="K249" s="19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2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spans="9:40">
      <c r="I250" s="18"/>
      <c r="J250" s="18"/>
      <c r="K250" s="19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2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spans="9:40">
      <c r="I251" s="18"/>
      <c r="J251" s="18"/>
      <c r="K251" s="19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2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spans="9:40">
      <c r="I252" s="18"/>
      <c r="J252" s="18"/>
      <c r="K252" s="19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2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spans="9:40">
      <c r="I253" s="18"/>
      <c r="J253" s="18"/>
      <c r="K253" s="19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2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spans="9:40">
      <c r="I254" s="18"/>
      <c r="J254" s="18"/>
      <c r="K254" s="19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2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spans="9:40">
      <c r="I255" s="18"/>
      <c r="J255" s="18"/>
      <c r="K255" s="19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2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spans="9:40">
      <c r="I256" s="18"/>
      <c r="J256" s="18"/>
      <c r="K256" s="19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2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spans="9:40">
      <c r="I257" s="18"/>
      <c r="J257" s="18"/>
      <c r="K257" s="19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2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spans="9:40">
      <c r="I258" s="18"/>
      <c r="J258" s="18"/>
      <c r="K258" s="19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2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spans="9:40">
      <c r="I259" s="18"/>
      <c r="J259" s="18"/>
      <c r="K259" s="19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2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spans="9:40">
      <c r="I260" s="18"/>
      <c r="J260" s="18"/>
      <c r="K260" s="19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2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spans="9:40">
      <c r="I261" s="18"/>
      <c r="J261" s="18"/>
      <c r="K261" s="19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2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spans="9:40">
      <c r="I262" s="18"/>
      <c r="J262" s="18"/>
      <c r="K262" s="19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2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spans="9:40">
      <c r="I263" s="18"/>
      <c r="J263" s="18"/>
      <c r="K263" s="19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2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spans="9:40">
      <c r="I264" s="18"/>
      <c r="J264" s="18"/>
      <c r="K264" s="19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2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spans="9:40">
      <c r="I265" s="18"/>
      <c r="J265" s="18"/>
      <c r="K265" s="19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2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spans="9:40">
      <c r="I266" s="18"/>
      <c r="J266" s="18"/>
      <c r="K266" s="19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2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spans="9:40">
      <c r="I267" s="18"/>
      <c r="J267" s="18"/>
      <c r="K267" s="19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2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spans="9:40">
      <c r="I268" s="18"/>
      <c r="J268" s="18"/>
      <c r="K268" s="19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2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spans="9:40">
      <c r="I269" s="18"/>
      <c r="J269" s="18"/>
      <c r="K269" s="19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2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spans="9:40">
      <c r="I270" s="18"/>
      <c r="J270" s="18"/>
      <c r="K270" s="19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2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spans="9:40">
      <c r="I271" s="18"/>
      <c r="J271" s="18"/>
      <c r="K271" s="19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2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spans="9:40">
      <c r="I272" s="18"/>
      <c r="J272" s="18"/>
      <c r="K272" s="19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2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spans="9:40">
      <c r="I273" s="18"/>
      <c r="J273" s="18"/>
      <c r="K273" s="19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2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spans="9:40">
      <c r="I274" s="18"/>
      <c r="J274" s="18"/>
      <c r="K274" s="19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2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spans="9:40">
      <c r="I275" s="18"/>
      <c r="J275" s="18"/>
      <c r="K275" s="19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2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spans="9:40">
      <c r="I276" s="18"/>
      <c r="J276" s="18"/>
      <c r="K276" s="19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2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spans="9:40">
      <c r="I277" s="18"/>
      <c r="J277" s="18"/>
      <c r="K277" s="19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2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spans="9:40">
      <c r="I278" s="18"/>
      <c r="J278" s="18"/>
      <c r="K278" s="19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2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spans="9:40">
      <c r="I279" s="18"/>
      <c r="J279" s="18"/>
      <c r="K279" s="19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2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spans="9:40">
      <c r="I280" s="18"/>
      <c r="J280" s="18"/>
      <c r="K280" s="19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2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spans="9:40">
      <c r="I281" s="18"/>
      <c r="J281" s="18"/>
      <c r="K281" s="19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2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spans="9:40">
      <c r="I282" s="18"/>
      <c r="J282" s="18"/>
      <c r="K282" s="19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2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spans="9:40">
      <c r="I283" s="18"/>
      <c r="J283" s="18"/>
      <c r="K283" s="19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2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spans="9:40">
      <c r="I284" s="18"/>
      <c r="J284" s="18"/>
      <c r="K284" s="19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2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spans="9:40">
      <c r="I285" s="18"/>
      <c r="J285" s="18"/>
      <c r="K285" s="19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2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spans="9:40">
      <c r="I286" s="18"/>
      <c r="J286" s="18"/>
      <c r="K286" s="19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2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spans="9:40">
      <c r="I287" s="18"/>
      <c r="J287" s="18"/>
      <c r="K287" s="19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2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spans="9:40">
      <c r="I288" s="18"/>
      <c r="J288" s="18"/>
      <c r="K288" s="19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2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spans="9:40">
      <c r="I289" s="18"/>
      <c r="J289" s="18"/>
      <c r="K289" s="19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2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spans="9:40">
      <c r="I290" s="18"/>
      <c r="J290" s="18"/>
      <c r="K290" s="19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2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spans="9:40">
      <c r="I291" s="18"/>
      <c r="J291" s="18"/>
      <c r="K291" s="19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2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spans="9:40">
      <c r="I292" s="18"/>
      <c r="J292" s="18"/>
      <c r="K292" s="19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2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spans="9:40">
      <c r="I293" s="18"/>
      <c r="J293" s="18"/>
      <c r="K293" s="19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2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spans="9:40">
      <c r="I294" s="18"/>
      <c r="J294" s="18"/>
      <c r="K294" s="19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2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spans="9:40">
      <c r="I295" s="18"/>
      <c r="J295" s="18"/>
      <c r="K295" s="19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2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spans="9:40">
      <c r="I296" s="18"/>
      <c r="J296" s="18"/>
      <c r="K296" s="19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2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spans="9:40">
      <c r="I297" s="18"/>
      <c r="J297" s="18"/>
      <c r="K297" s="19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2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spans="9:40">
      <c r="I298" s="18"/>
      <c r="J298" s="18"/>
      <c r="K298" s="19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2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spans="9:40">
      <c r="I299" s="18"/>
      <c r="J299" s="18"/>
      <c r="K299" s="19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2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spans="9:40">
      <c r="I300" s="18"/>
      <c r="J300" s="18"/>
      <c r="K300" s="19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2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spans="9:40">
      <c r="I301" s="18"/>
      <c r="J301" s="18"/>
      <c r="K301" s="19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2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spans="9:40">
      <c r="I302" s="18"/>
      <c r="J302" s="18"/>
      <c r="K302" s="19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2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spans="9:40">
      <c r="I303" s="18"/>
      <c r="J303" s="18"/>
      <c r="K303" s="19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2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spans="9:27">
      <c r="I304" s="18"/>
      <c r="J304" s="18"/>
      <c r="K304" s="19"/>
      <c r="AA304" s="2"/>
    </row>
    <row r="305" spans="9:27">
      <c r="I305" s="18"/>
      <c r="J305" s="18"/>
      <c r="K305" s="19"/>
      <c r="AA305" s="2"/>
    </row>
    <row r="306" spans="9:27">
      <c r="I306" s="18"/>
      <c r="J306" s="18"/>
      <c r="K306" s="19"/>
      <c r="AA306" s="2"/>
    </row>
    <row r="307" spans="9:27">
      <c r="I307" s="18"/>
      <c r="J307" s="18"/>
      <c r="K307" s="19"/>
      <c r="AA307" s="2"/>
    </row>
    <row r="308" spans="9:27">
      <c r="I308" s="18"/>
      <c r="J308" s="18"/>
      <c r="K308" s="19"/>
      <c r="AA308" s="2"/>
    </row>
    <row r="309" spans="9:27">
      <c r="I309" s="18"/>
      <c r="J309" s="18"/>
      <c r="K309" s="19"/>
      <c r="AA309" s="2"/>
    </row>
    <row r="310" spans="9:27">
      <c r="I310" s="18"/>
      <c r="J310" s="18"/>
      <c r="K310" s="19"/>
      <c r="AA310" s="2"/>
    </row>
    <row r="311" spans="9:27">
      <c r="I311" s="18"/>
      <c r="J311" s="18"/>
      <c r="K311" s="19"/>
      <c r="AA311" s="2"/>
    </row>
    <row r="312" spans="9:27">
      <c r="I312" s="18"/>
      <c r="J312" s="18"/>
      <c r="K312" s="19"/>
      <c r="AA312" s="2"/>
    </row>
    <row r="313" spans="9:27">
      <c r="I313" s="18"/>
      <c r="J313" s="18"/>
      <c r="K313" s="19"/>
      <c r="AA313" s="2"/>
    </row>
    <row r="314" spans="9:27">
      <c r="I314" s="18"/>
      <c r="J314" s="18"/>
      <c r="K314" s="19"/>
      <c r="AA314" s="2"/>
    </row>
    <row r="315" spans="9:27">
      <c r="I315" s="18"/>
      <c r="J315" s="18"/>
      <c r="K315" s="19"/>
      <c r="AA315" s="2"/>
    </row>
    <row r="316" spans="9:27">
      <c r="I316" s="18"/>
      <c r="J316" s="18"/>
      <c r="K316" s="19"/>
      <c r="AA316" s="2"/>
    </row>
    <row r="317" spans="9:27">
      <c r="I317" s="18"/>
      <c r="J317" s="18"/>
      <c r="K317" s="19"/>
      <c r="AA317" s="2"/>
    </row>
    <row r="318" spans="9:27">
      <c r="I318" s="18"/>
      <c r="J318" s="18"/>
      <c r="K318" s="19"/>
      <c r="AA318" s="2"/>
    </row>
    <row r="319" spans="9:27">
      <c r="I319" s="18"/>
      <c r="J319" s="18"/>
      <c r="K319" s="19"/>
      <c r="AA319" s="2"/>
    </row>
    <row r="320" spans="9:27">
      <c r="I320" s="18"/>
      <c r="J320" s="18"/>
      <c r="K320" s="19"/>
      <c r="AA320" s="2"/>
    </row>
    <row r="321" spans="9:27">
      <c r="I321" s="18"/>
      <c r="J321" s="18"/>
      <c r="K321" s="19"/>
      <c r="AA321" s="2"/>
    </row>
    <row r="322" spans="9:27">
      <c r="I322" s="18"/>
      <c r="J322" s="18"/>
      <c r="K322" s="19"/>
      <c r="AA322" s="2"/>
    </row>
    <row r="323" spans="9:27">
      <c r="I323" s="18"/>
      <c r="J323" s="18"/>
      <c r="K323" s="19"/>
      <c r="AA323" s="2"/>
    </row>
    <row r="324" spans="9:27">
      <c r="I324" s="18"/>
      <c r="J324" s="18"/>
      <c r="K324" s="19"/>
      <c r="AA324" s="2"/>
    </row>
    <row r="325" spans="9:27">
      <c r="I325" s="18"/>
      <c r="J325" s="18"/>
      <c r="K325" s="19"/>
      <c r="AA325" s="2"/>
    </row>
    <row r="326" spans="9:27">
      <c r="I326" s="18"/>
      <c r="J326" s="18"/>
      <c r="K326" s="19"/>
      <c r="AA326" s="2"/>
    </row>
    <row r="327" spans="9:27">
      <c r="I327" s="18"/>
      <c r="J327" s="18"/>
      <c r="K327" s="19"/>
      <c r="AA327" s="2"/>
    </row>
    <row r="328" spans="9:27">
      <c r="I328" s="18"/>
      <c r="J328" s="18"/>
      <c r="K328" s="19"/>
      <c r="AA328" s="2"/>
    </row>
    <row r="329" spans="9:27">
      <c r="I329" s="18"/>
      <c r="J329" s="18"/>
      <c r="K329" s="19"/>
      <c r="AA329" s="2"/>
    </row>
    <row r="330" spans="9:40">
      <c r="I330" s="18"/>
      <c r="J330" s="18"/>
      <c r="K330" s="19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2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spans="9:40">
      <c r="I331" s="18"/>
      <c r="J331" s="18"/>
      <c r="K331" s="19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2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spans="9:40">
      <c r="I332" s="18"/>
      <c r="J332" s="18"/>
      <c r="K332" s="19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2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spans="9:40">
      <c r="I333" s="18"/>
      <c r="J333" s="18"/>
      <c r="K333" s="19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2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spans="9:40">
      <c r="I334" s="18"/>
      <c r="J334" s="18"/>
      <c r="K334" s="19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2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spans="9:40">
      <c r="I335" s="18"/>
      <c r="J335" s="18"/>
      <c r="K335" s="19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2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spans="9:40">
      <c r="I336" s="18"/>
      <c r="J336" s="18"/>
      <c r="K336" s="19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2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spans="9:40">
      <c r="I337" s="18"/>
      <c r="J337" s="18"/>
      <c r="K337" s="19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2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spans="9:40">
      <c r="I338" s="18"/>
      <c r="J338" s="18"/>
      <c r="K338" s="19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2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spans="9:40">
      <c r="I339" s="18"/>
      <c r="J339" s="18"/>
      <c r="K339" s="19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2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spans="9:40">
      <c r="I340" s="18"/>
      <c r="J340" s="18"/>
      <c r="K340" s="19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2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spans="9:40">
      <c r="I341" s="18"/>
      <c r="J341" s="18"/>
      <c r="K341" s="19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2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spans="9:40">
      <c r="I342" s="18"/>
      <c r="J342" s="18"/>
      <c r="K342" s="19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2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spans="9:40">
      <c r="I343" s="18"/>
      <c r="J343" s="18"/>
      <c r="K343" s="19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2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spans="9:40">
      <c r="I344" s="18"/>
      <c r="J344" s="18"/>
      <c r="K344" s="19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2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spans="9:40">
      <c r="I345" s="18"/>
      <c r="J345" s="18"/>
      <c r="K345" s="19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2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spans="9:40">
      <c r="I346" s="18"/>
      <c r="J346" s="18"/>
      <c r="K346" s="19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2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spans="9:40">
      <c r="I347" s="18"/>
      <c r="J347" s="18"/>
      <c r="K347" s="19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2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spans="9:40">
      <c r="I348" s="18"/>
      <c r="J348" s="18"/>
      <c r="K348" s="19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2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spans="9:40">
      <c r="I349" s="18"/>
      <c r="J349" s="18"/>
      <c r="K349" s="19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2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spans="9:40">
      <c r="I350" s="18"/>
      <c r="J350" s="18"/>
      <c r="K350" s="19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2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spans="9:40">
      <c r="I351" s="18"/>
      <c r="J351" s="18"/>
      <c r="K351" s="19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2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spans="9:40">
      <c r="I352" s="18"/>
      <c r="J352" s="18"/>
      <c r="K352" s="19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2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spans="9:40">
      <c r="I353" s="18"/>
      <c r="J353" s="18"/>
      <c r="K353" s="19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2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spans="9:40">
      <c r="I354" s="18"/>
      <c r="J354" s="18"/>
      <c r="K354" s="19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2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spans="9:40">
      <c r="I355" s="18"/>
      <c r="J355" s="18"/>
      <c r="K355" s="19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2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spans="9:40">
      <c r="I356" s="18"/>
      <c r="J356" s="18"/>
      <c r="K356" s="19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2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spans="9:40">
      <c r="I357" s="18"/>
      <c r="J357" s="18"/>
      <c r="K357" s="19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2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spans="9:40">
      <c r="I358" s="18"/>
      <c r="J358" s="18"/>
      <c r="K358" s="19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2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spans="9:40">
      <c r="I359" s="18"/>
      <c r="J359" s="18"/>
      <c r="K359" s="19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2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spans="9:40">
      <c r="I360" s="18"/>
      <c r="J360" s="18"/>
      <c r="K360" s="19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2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spans="9:40">
      <c r="I361" s="18"/>
      <c r="J361" s="18"/>
      <c r="K361" s="19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2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spans="9:40">
      <c r="I362" s="18"/>
      <c r="J362" s="18"/>
      <c r="K362" s="19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2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spans="9:40">
      <c r="I363" s="18"/>
      <c r="J363" s="18"/>
      <c r="K363" s="19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2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spans="9:40">
      <c r="I364" s="18"/>
      <c r="J364" s="18"/>
      <c r="K364" s="19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2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spans="9:40">
      <c r="I365" s="18"/>
      <c r="J365" s="18"/>
      <c r="K365" s="19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2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spans="9:40">
      <c r="I366" s="18"/>
      <c r="J366" s="18"/>
      <c r="K366" s="19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2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spans="9:40">
      <c r="I367" s="18"/>
      <c r="J367" s="18"/>
      <c r="K367" s="19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2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spans="9:40">
      <c r="I368" s="18"/>
      <c r="J368" s="18"/>
      <c r="K368" s="19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2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spans="9:40">
      <c r="I369" s="18"/>
      <c r="J369" s="18"/>
      <c r="K369" s="19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2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spans="9:40">
      <c r="I370" s="18"/>
      <c r="J370" s="18"/>
      <c r="K370" s="19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2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spans="9:40">
      <c r="I371" s="18"/>
      <c r="J371" s="18"/>
      <c r="K371" s="19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2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spans="9:40">
      <c r="I372" s="18"/>
      <c r="J372" s="18"/>
      <c r="K372" s="19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2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spans="9:40">
      <c r="I373" s="18"/>
      <c r="J373" s="18"/>
      <c r="K373" s="19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2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spans="9:40">
      <c r="I374" s="18"/>
      <c r="J374" s="18"/>
      <c r="K374" s="19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2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spans="9:27">
      <c r="I375" s="18"/>
      <c r="J375" s="18"/>
      <c r="K375" s="19"/>
      <c r="AA375" s="2"/>
    </row>
    <row r="376" spans="9:27">
      <c r="I376" s="18"/>
      <c r="J376" s="18"/>
      <c r="K376" s="19"/>
      <c r="AA376" s="2"/>
    </row>
    <row r="377" spans="9:27">
      <c r="I377" s="18"/>
      <c r="J377" s="18"/>
      <c r="K377" s="19"/>
      <c r="AA377" s="2"/>
    </row>
    <row r="378" spans="9:27">
      <c r="I378" s="18"/>
      <c r="J378" s="18"/>
      <c r="K378" s="19"/>
      <c r="AA378" s="2"/>
    </row>
    <row r="379" spans="9:27">
      <c r="I379" s="18"/>
      <c r="J379" s="18"/>
      <c r="K379" s="19"/>
      <c r="AA379" s="2"/>
    </row>
    <row r="380" spans="3:11">
      <c r="C380" s="13"/>
      <c r="I380" s="18"/>
      <c r="J380" s="18"/>
      <c r="K380" s="19"/>
    </row>
    <row r="381" spans="3:11">
      <c r="C381" s="13"/>
      <c r="I381" s="18"/>
      <c r="J381" s="18"/>
      <c r="K381" s="19"/>
    </row>
    <row r="382" spans="3:11">
      <c r="C382" s="13"/>
      <c r="I382" s="18"/>
      <c r="J382" s="18"/>
      <c r="K382" s="19"/>
    </row>
    <row r="383" spans="3:11">
      <c r="C383" s="13"/>
      <c r="I383" s="18"/>
      <c r="J383" s="18"/>
      <c r="K383" s="19"/>
    </row>
    <row r="384" spans="3:11">
      <c r="C384" s="13"/>
      <c r="I384" s="18"/>
      <c r="J384" s="18"/>
      <c r="K384" s="19"/>
    </row>
    <row r="385" spans="3:11">
      <c r="C385" s="13"/>
      <c r="I385" s="18"/>
      <c r="J385" s="18"/>
      <c r="K385" s="19"/>
    </row>
    <row r="386" spans="3:11">
      <c r="C386" s="13"/>
      <c r="I386" s="18"/>
      <c r="J386" s="18"/>
      <c r="K386" s="19"/>
    </row>
    <row r="387" spans="3:11">
      <c r="C387" s="13"/>
      <c r="I387" s="18"/>
      <c r="J387" s="18"/>
      <c r="K387" s="19"/>
    </row>
    <row r="388" spans="3:11">
      <c r="C388" s="13"/>
      <c r="I388" s="18"/>
      <c r="J388" s="18"/>
      <c r="K388" s="19"/>
    </row>
    <row r="389" spans="3:11">
      <c r="C389" s="13"/>
      <c r="I389" s="18"/>
      <c r="J389" s="18"/>
      <c r="K389" s="19"/>
    </row>
    <row r="390" spans="3:11">
      <c r="C390" s="13"/>
      <c r="I390" s="18"/>
      <c r="J390" s="18"/>
      <c r="K390" s="19"/>
    </row>
    <row r="391" spans="3:11">
      <c r="C391" s="13"/>
      <c r="I391" s="18"/>
      <c r="J391" s="18"/>
      <c r="K391" s="19"/>
    </row>
    <row r="392" spans="3:11">
      <c r="C392" s="13"/>
      <c r="I392" s="18"/>
      <c r="J392" s="18"/>
      <c r="K392" s="19"/>
    </row>
    <row r="393" spans="3:11">
      <c r="C393" s="13"/>
      <c r="I393" s="18"/>
      <c r="J393" s="18"/>
      <c r="K393" s="19"/>
    </row>
    <row r="394" spans="9:11">
      <c r="I394" s="18"/>
      <c r="J394" s="18"/>
      <c r="K394" s="19"/>
    </row>
    <row r="395" spans="9:11">
      <c r="I395" s="18"/>
      <c r="J395" s="18"/>
      <c r="K395" s="19"/>
    </row>
    <row r="396" spans="9:11">
      <c r="I396" s="18"/>
      <c r="J396" s="18"/>
      <c r="K396" s="19"/>
    </row>
    <row r="397" spans="9:11">
      <c r="I397" s="18"/>
      <c r="J397" s="18"/>
      <c r="K397" s="19"/>
    </row>
    <row r="398" spans="9:11">
      <c r="I398" s="18"/>
      <c r="J398" s="18"/>
      <c r="K398" s="19"/>
    </row>
    <row r="399" spans="9:11">
      <c r="I399" s="18"/>
      <c r="J399" s="18"/>
      <c r="K399" s="19"/>
    </row>
    <row r="400" spans="9:11">
      <c r="I400" s="18"/>
      <c r="J400" s="18"/>
      <c r="K400" s="19"/>
    </row>
    <row r="401" spans="9:11">
      <c r="I401" s="18"/>
      <c r="J401" s="18"/>
      <c r="K401" s="19"/>
    </row>
    <row r="402" spans="9:11">
      <c r="I402" s="18"/>
      <c r="J402" s="18"/>
      <c r="K402" s="19"/>
    </row>
    <row r="403" spans="9:11">
      <c r="I403" s="18"/>
      <c r="J403" s="18"/>
      <c r="K403" s="19"/>
    </row>
    <row r="404" spans="9:11">
      <c r="I404" s="18"/>
      <c r="J404" s="18"/>
      <c r="K404" s="19"/>
    </row>
    <row r="405" spans="9:11">
      <c r="I405" s="18"/>
      <c r="J405" s="18"/>
      <c r="K405" s="19"/>
    </row>
    <row r="406" spans="9:11">
      <c r="I406" s="18"/>
      <c r="J406" s="18"/>
      <c r="K406" s="19"/>
    </row>
    <row r="407" spans="9:11">
      <c r="I407" s="18"/>
      <c r="J407" s="18"/>
      <c r="K407" s="19"/>
    </row>
    <row r="408" spans="9:11">
      <c r="I408" s="18"/>
      <c r="J408" s="18"/>
      <c r="K408" s="19"/>
    </row>
    <row r="409" spans="9:11">
      <c r="I409" s="18"/>
      <c r="J409" s="18"/>
      <c r="K409" s="19"/>
    </row>
    <row r="410" spans="9:11">
      <c r="I410" s="18"/>
      <c r="J410" s="18"/>
      <c r="K410" s="19"/>
    </row>
    <row r="411" spans="9:11">
      <c r="I411" s="18"/>
      <c r="J411" s="18"/>
      <c r="K411" s="19"/>
    </row>
    <row r="412" spans="9:11">
      <c r="I412" s="18"/>
      <c r="J412" s="18"/>
      <c r="K412" s="19"/>
    </row>
    <row r="413" spans="9:11">
      <c r="I413" s="18"/>
      <c r="J413" s="18"/>
      <c r="K413" s="19"/>
    </row>
    <row r="414" spans="9:11">
      <c r="I414" s="18"/>
      <c r="J414" s="18"/>
      <c r="K414" s="19"/>
    </row>
    <row r="415" spans="9:11">
      <c r="I415" s="18"/>
      <c r="J415" s="18"/>
      <c r="K415" s="19"/>
    </row>
    <row r="416" spans="9:11">
      <c r="I416" s="18"/>
      <c r="J416" s="18"/>
      <c r="K416" s="19"/>
    </row>
    <row r="417" spans="9:11">
      <c r="I417" s="18"/>
      <c r="J417" s="18"/>
      <c r="K417" s="19"/>
    </row>
    <row r="418" spans="9:11">
      <c r="I418" s="18"/>
      <c r="J418" s="18"/>
      <c r="K418" s="19"/>
    </row>
    <row r="419" spans="9:11">
      <c r="I419" s="18"/>
      <c r="J419" s="18"/>
      <c r="K419" s="19"/>
    </row>
    <row r="420" spans="9:11">
      <c r="I420" s="18"/>
      <c r="J420" s="18"/>
      <c r="K420" s="19"/>
    </row>
    <row r="421" spans="9:11">
      <c r="I421" s="18"/>
      <c r="J421" s="18"/>
      <c r="K421" s="19"/>
    </row>
    <row r="422" spans="9:11">
      <c r="I422" s="18"/>
      <c r="J422" s="18"/>
      <c r="K422" s="19"/>
    </row>
    <row r="423" spans="9:11">
      <c r="I423" s="18"/>
      <c r="J423" s="18"/>
      <c r="K423" s="19"/>
    </row>
    <row r="424" spans="9:11">
      <c r="I424" s="18"/>
      <c r="J424" s="18"/>
      <c r="K424" s="19"/>
    </row>
    <row r="425" spans="9:11">
      <c r="I425" s="18"/>
      <c r="J425" s="18"/>
      <c r="K425" s="19"/>
    </row>
    <row r="426" spans="9:11">
      <c r="I426" s="18"/>
      <c r="J426" s="18"/>
      <c r="K426" s="19"/>
    </row>
    <row r="427" spans="9:11">
      <c r="I427" s="18"/>
      <c r="J427" s="18"/>
      <c r="K427" s="19"/>
    </row>
    <row r="428" spans="9:11">
      <c r="I428" s="18"/>
      <c r="J428" s="18"/>
      <c r="K428" s="19"/>
    </row>
    <row r="429" spans="9:11">
      <c r="I429" s="18"/>
      <c r="J429" s="18"/>
      <c r="K429" s="19"/>
    </row>
    <row r="430" spans="9:11">
      <c r="I430" s="18"/>
      <c r="J430" s="18"/>
      <c r="K430" s="19"/>
    </row>
    <row r="431" spans="9:11">
      <c r="I431" s="18"/>
      <c r="J431" s="18"/>
      <c r="K431" s="19"/>
    </row>
    <row r="432" spans="9:11">
      <c r="I432" s="18"/>
      <c r="J432" s="18"/>
      <c r="K432" s="19"/>
    </row>
    <row r="433" spans="9:11">
      <c r="I433" s="18"/>
      <c r="J433" s="18"/>
      <c r="K433" s="19"/>
    </row>
    <row r="434" spans="9:11">
      <c r="I434" s="18"/>
      <c r="J434" s="18"/>
      <c r="K434" s="19"/>
    </row>
    <row r="435" spans="9:11">
      <c r="I435" s="18"/>
      <c r="J435" s="18"/>
      <c r="K435" s="19"/>
    </row>
    <row r="436" spans="9:11">
      <c r="I436" s="18"/>
      <c r="J436" s="18"/>
      <c r="K436" s="19"/>
    </row>
    <row r="437" spans="9:11">
      <c r="I437" s="18"/>
      <c r="J437" s="18"/>
      <c r="K437" s="19"/>
    </row>
    <row r="438" spans="9:11">
      <c r="I438" s="18"/>
      <c r="J438" s="18"/>
      <c r="K438" s="19"/>
    </row>
    <row r="439" spans="9:11">
      <c r="I439" s="18"/>
      <c r="J439" s="18"/>
      <c r="K439" s="19"/>
    </row>
    <row r="440" spans="9:11">
      <c r="I440" s="18"/>
      <c r="J440" s="18"/>
      <c r="K440" s="19"/>
    </row>
    <row r="441" spans="9:11">
      <c r="I441" s="18"/>
      <c r="J441" s="18"/>
      <c r="K441" s="19"/>
    </row>
    <row r="442" spans="9:11">
      <c r="I442" s="18"/>
      <c r="J442" s="18"/>
      <c r="K442" s="19"/>
    </row>
    <row r="443" spans="9:11">
      <c r="I443" s="18"/>
      <c r="J443" s="18"/>
      <c r="K443" s="19"/>
    </row>
    <row r="444" spans="9:11">
      <c r="I444" s="18"/>
      <c r="J444" s="18"/>
      <c r="K444" s="19"/>
    </row>
    <row r="445" spans="9:11">
      <c r="I445" s="18"/>
      <c r="J445" s="18"/>
      <c r="K445" s="19"/>
    </row>
    <row r="446" spans="9:11">
      <c r="I446" s="18"/>
      <c r="J446" s="18"/>
      <c r="K446" s="19"/>
    </row>
    <row r="447" spans="9:11">
      <c r="I447" s="18"/>
      <c r="J447" s="18"/>
      <c r="K447" s="19"/>
    </row>
    <row r="448" spans="9:11">
      <c r="I448" s="18"/>
      <c r="J448" s="18"/>
      <c r="K448" s="19"/>
    </row>
    <row r="449" spans="9:11">
      <c r="I449" s="18"/>
      <c r="J449" s="18"/>
      <c r="K449" s="19"/>
    </row>
    <row r="450" spans="9:11">
      <c r="I450" s="18"/>
      <c r="J450" s="18"/>
      <c r="K450" s="19"/>
    </row>
    <row r="451" spans="9:11">
      <c r="I451" s="18"/>
      <c r="J451" s="18"/>
      <c r="K451" s="19"/>
    </row>
    <row r="452" spans="9:11">
      <c r="I452" s="18"/>
      <c r="J452" s="18"/>
      <c r="K452" s="19"/>
    </row>
    <row r="453" spans="9:11">
      <c r="I453" s="18"/>
      <c r="J453" s="18"/>
      <c r="K453" s="19"/>
    </row>
    <row r="454" spans="9:11">
      <c r="I454" s="18"/>
      <c r="J454" s="18"/>
      <c r="K454" s="19"/>
    </row>
    <row r="455" spans="9:11">
      <c r="I455" s="18"/>
      <c r="J455" s="18"/>
      <c r="K455" s="19"/>
    </row>
    <row r="456" spans="9:11">
      <c r="I456" s="18"/>
      <c r="J456" s="18"/>
      <c r="K456" s="19"/>
    </row>
    <row r="457" spans="9:11">
      <c r="I457" s="18"/>
      <c r="J457" s="18"/>
      <c r="K457" s="19"/>
    </row>
    <row r="458" spans="9:11">
      <c r="I458" s="18"/>
      <c r="J458" s="18"/>
      <c r="K458" s="19"/>
    </row>
    <row r="459" spans="9:11">
      <c r="I459" s="18"/>
      <c r="J459" s="18"/>
      <c r="K459" s="19"/>
    </row>
    <row r="460" spans="9:11">
      <c r="I460" s="18"/>
      <c r="J460" s="18"/>
      <c r="K460" s="19"/>
    </row>
    <row r="461" spans="9:11">
      <c r="I461" s="18"/>
      <c r="J461" s="18"/>
      <c r="K461" s="19"/>
    </row>
    <row r="462" spans="9:11">
      <c r="I462" s="18"/>
      <c r="J462" s="18"/>
      <c r="K462" s="19"/>
    </row>
    <row r="463" spans="9:11">
      <c r="I463" s="18"/>
      <c r="J463" s="18"/>
      <c r="K463" s="19"/>
    </row>
    <row r="464" spans="9:11">
      <c r="I464" s="18"/>
      <c r="J464" s="18"/>
      <c r="K464" s="19"/>
    </row>
    <row r="465" spans="9:11">
      <c r="I465" s="18"/>
      <c r="J465" s="18"/>
      <c r="K465" s="19"/>
    </row>
    <row r="466" spans="9:11">
      <c r="I466" s="18"/>
      <c r="J466" s="18"/>
      <c r="K466" s="19"/>
    </row>
    <row r="467" spans="9:11">
      <c r="I467" s="18"/>
      <c r="J467" s="18"/>
      <c r="K467" s="19"/>
    </row>
    <row r="468" spans="9:11">
      <c r="I468" s="18"/>
      <c r="J468" s="18"/>
      <c r="K468" s="19"/>
    </row>
    <row r="469" spans="9:11">
      <c r="I469" s="18"/>
      <c r="J469" s="18"/>
      <c r="K469" s="19"/>
    </row>
    <row r="470" spans="9:11">
      <c r="I470" s="18"/>
      <c r="J470" s="18"/>
      <c r="K470" s="19"/>
    </row>
    <row r="471" spans="9:11">
      <c r="I471" s="18"/>
      <c r="J471" s="18"/>
      <c r="K471" s="19"/>
    </row>
    <row r="472" spans="9:11">
      <c r="I472" s="18"/>
      <c r="J472" s="18"/>
      <c r="K472" s="19"/>
    </row>
    <row r="473" spans="9:11">
      <c r="I473" s="18"/>
      <c r="J473" s="18"/>
      <c r="K473" s="19"/>
    </row>
    <row r="474" spans="9:11">
      <c r="I474" s="18"/>
      <c r="J474" s="18"/>
      <c r="K474" s="19"/>
    </row>
    <row r="475" spans="9:11">
      <c r="I475" s="18"/>
      <c r="J475" s="18"/>
      <c r="K475" s="19"/>
    </row>
    <row r="476" spans="9:11">
      <c r="I476" s="18"/>
      <c r="J476" s="18"/>
      <c r="K476" s="19"/>
    </row>
    <row r="477" spans="9:11">
      <c r="I477" s="18"/>
      <c r="J477" s="18"/>
      <c r="K477" s="19"/>
    </row>
    <row r="478" spans="9:11">
      <c r="I478" s="18"/>
      <c r="J478" s="18"/>
      <c r="K478" s="19"/>
    </row>
    <row r="479" spans="9:11">
      <c r="I479" s="18"/>
      <c r="J479" s="18"/>
      <c r="K479" s="19"/>
    </row>
    <row r="480" spans="9:11">
      <c r="I480" s="18"/>
      <c r="J480" s="18"/>
      <c r="K480" s="19"/>
    </row>
    <row r="481" spans="9:11">
      <c r="I481" s="18"/>
      <c r="J481" s="18"/>
      <c r="K481" s="19"/>
    </row>
    <row r="482" spans="9:11">
      <c r="I482" s="18"/>
      <c r="J482" s="18"/>
      <c r="K482" s="19"/>
    </row>
    <row r="483" spans="9:11">
      <c r="I483" s="18"/>
      <c r="J483" s="18"/>
      <c r="K483" s="19"/>
    </row>
    <row r="484" spans="9:11">
      <c r="I484" s="18"/>
      <c r="J484" s="18"/>
      <c r="K484" s="19"/>
    </row>
    <row r="485" spans="9:11">
      <c r="I485" s="18"/>
      <c r="J485" s="18"/>
      <c r="K485" s="19"/>
    </row>
    <row r="486" spans="9:11">
      <c r="I486" s="18"/>
      <c r="J486" s="18"/>
      <c r="K486" s="19"/>
    </row>
    <row r="487" spans="9:11">
      <c r="I487" s="18"/>
      <c r="J487" s="18"/>
      <c r="K487" s="19"/>
    </row>
    <row r="488" spans="9:11">
      <c r="I488" s="18"/>
      <c r="J488" s="18"/>
      <c r="K488" s="19"/>
    </row>
    <row r="489" spans="9:11">
      <c r="I489" s="18"/>
      <c r="J489" s="18"/>
      <c r="K489" s="19"/>
    </row>
    <row r="490" spans="9:11">
      <c r="I490" s="18"/>
      <c r="J490" s="18"/>
      <c r="K490" s="19"/>
    </row>
    <row r="491" spans="9:11">
      <c r="I491" s="18"/>
      <c r="J491" s="18"/>
      <c r="K491" s="19"/>
    </row>
    <row r="492" spans="9:11">
      <c r="I492" s="18"/>
      <c r="J492" s="18"/>
      <c r="K492" s="19"/>
    </row>
    <row r="493" spans="9:11">
      <c r="I493" s="18"/>
      <c r="J493" s="18"/>
      <c r="K493" s="19"/>
    </row>
    <row r="494" spans="9:11">
      <c r="I494" s="18"/>
      <c r="J494" s="18"/>
      <c r="K494" s="19"/>
    </row>
    <row r="495" spans="9:11">
      <c r="I495" s="18"/>
      <c r="J495" s="18"/>
      <c r="K495" s="19"/>
    </row>
    <row r="496" spans="9:11">
      <c r="I496" s="18"/>
      <c r="J496" s="18"/>
      <c r="K496" s="19"/>
    </row>
    <row r="497" spans="9:11">
      <c r="I497" s="18"/>
      <c r="J497" s="18"/>
      <c r="K497" s="19"/>
    </row>
    <row r="498" spans="9:11">
      <c r="I498" s="18"/>
      <c r="J498" s="18"/>
      <c r="K498" s="19"/>
    </row>
    <row r="499" spans="9:11">
      <c r="I499" s="18"/>
      <c r="J499" s="18"/>
      <c r="K499" s="19"/>
    </row>
    <row r="500" spans="9:11">
      <c r="I500" s="18"/>
      <c r="J500" s="18"/>
      <c r="K500" s="19"/>
    </row>
    <row r="501" spans="9:11">
      <c r="I501" s="18"/>
      <c r="J501" s="18"/>
      <c r="K501" s="19"/>
    </row>
    <row r="502" spans="9:11">
      <c r="I502" s="18"/>
      <c r="J502" s="18"/>
      <c r="K502" s="19"/>
    </row>
    <row r="503" spans="9:11">
      <c r="I503" s="18"/>
      <c r="J503" s="18"/>
      <c r="K503" s="19"/>
    </row>
    <row r="504" spans="9:11">
      <c r="I504" s="18"/>
      <c r="J504" s="18"/>
      <c r="K504" s="19"/>
    </row>
    <row r="505" spans="9:11">
      <c r="I505" s="18"/>
      <c r="J505" s="18"/>
      <c r="K505" s="19"/>
    </row>
    <row r="506" spans="9:11">
      <c r="I506" s="18"/>
      <c r="J506" s="18"/>
      <c r="K506" s="19"/>
    </row>
    <row r="507" spans="9:11">
      <c r="I507" s="18"/>
      <c r="J507" s="18"/>
      <c r="K507" s="19"/>
    </row>
    <row r="508" spans="9:11">
      <c r="I508" s="18"/>
      <c r="J508" s="18"/>
      <c r="K508" s="19"/>
    </row>
    <row r="509" spans="9:11">
      <c r="I509" s="18"/>
      <c r="J509" s="18"/>
      <c r="K509" s="19"/>
    </row>
    <row r="510" spans="9:11">
      <c r="I510" s="18"/>
      <c r="J510" s="18"/>
      <c r="K510" s="19"/>
    </row>
    <row r="511" spans="9:11">
      <c r="I511" s="18"/>
      <c r="J511" s="18"/>
      <c r="K511" s="19"/>
    </row>
    <row r="512" spans="9:11">
      <c r="I512" s="18"/>
      <c r="J512" s="18"/>
      <c r="K512" s="19"/>
    </row>
    <row r="513" spans="9:11">
      <c r="I513" s="18"/>
      <c r="J513" s="18"/>
      <c r="K513" s="19"/>
    </row>
    <row r="514" spans="9:11">
      <c r="I514" s="18"/>
      <c r="J514" s="18"/>
      <c r="K514" s="19"/>
    </row>
    <row r="515" spans="9:11">
      <c r="I515" s="18"/>
      <c r="J515" s="18"/>
      <c r="K515" s="19"/>
    </row>
    <row r="516" spans="9:11">
      <c r="I516" s="18"/>
      <c r="J516" s="18"/>
      <c r="K516" s="19"/>
    </row>
    <row r="517" spans="9:11">
      <c r="I517" s="18"/>
      <c r="J517" s="18"/>
      <c r="K517" s="19"/>
    </row>
    <row r="518" spans="9:11">
      <c r="I518" s="18"/>
      <c r="J518" s="18"/>
      <c r="K518" s="19"/>
    </row>
    <row r="519" spans="9:11">
      <c r="I519" s="18"/>
      <c r="J519" s="18"/>
      <c r="K519" s="19"/>
    </row>
    <row r="520" spans="9:11">
      <c r="I520" s="18"/>
      <c r="J520" s="18"/>
      <c r="K520" s="19"/>
    </row>
    <row r="521" spans="9:11">
      <c r="I521" s="18"/>
      <c r="J521" s="18"/>
      <c r="K521" s="19"/>
    </row>
    <row r="522" spans="9:11">
      <c r="I522" s="18"/>
      <c r="J522" s="18"/>
      <c r="K522" s="19"/>
    </row>
    <row r="523" spans="9:11">
      <c r="I523" s="18"/>
      <c r="J523" s="18"/>
      <c r="K523" s="19"/>
    </row>
    <row r="524" spans="9:11">
      <c r="I524" s="18"/>
      <c r="J524" s="18"/>
      <c r="K524" s="19"/>
    </row>
    <row r="525" spans="9:11">
      <c r="I525" s="18"/>
      <c r="J525" s="18"/>
      <c r="K525" s="19"/>
    </row>
    <row r="526" spans="9:11">
      <c r="I526" s="18"/>
      <c r="J526" s="18"/>
      <c r="K526" s="19"/>
    </row>
    <row r="527" spans="9:11">
      <c r="I527" s="18"/>
      <c r="J527" s="18"/>
      <c r="K527" s="19"/>
    </row>
    <row r="528" spans="9:11">
      <c r="I528" s="18"/>
      <c r="J528" s="18"/>
      <c r="K528" s="19"/>
    </row>
    <row r="529" spans="9:11">
      <c r="I529" s="18"/>
      <c r="J529" s="18"/>
      <c r="K529" s="19"/>
    </row>
    <row r="530" spans="9:11">
      <c r="I530" s="18"/>
      <c r="J530" s="18"/>
      <c r="K530" s="19"/>
    </row>
    <row r="531" spans="9:11">
      <c r="I531" s="18"/>
      <c r="J531" s="18"/>
      <c r="K531" s="19"/>
    </row>
    <row r="532" spans="9:11">
      <c r="I532" s="18"/>
      <c r="J532" s="18"/>
      <c r="K532" s="19"/>
    </row>
    <row r="533" spans="9:11">
      <c r="I533" s="18"/>
      <c r="J533" s="18"/>
      <c r="K533" s="19"/>
    </row>
    <row r="534" spans="9:11">
      <c r="I534" s="18"/>
      <c r="J534" s="18"/>
      <c r="K534" s="19"/>
    </row>
    <row r="535" spans="9:11">
      <c r="I535" s="18"/>
      <c r="J535" s="18"/>
      <c r="K535" s="19"/>
    </row>
    <row r="536" spans="9:11">
      <c r="I536" s="18"/>
      <c r="J536" s="18"/>
      <c r="K536" s="19"/>
    </row>
    <row r="537" spans="9:11">
      <c r="I537" s="18"/>
      <c r="J537" s="18"/>
      <c r="K537" s="19"/>
    </row>
    <row r="538" spans="9:11">
      <c r="I538" s="18"/>
      <c r="J538" s="18"/>
      <c r="K538" s="19"/>
    </row>
    <row r="539" spans="9:11">
      <c r="I539" s="18"/>
      <c r="J539" s="18"/>
      <c r="K539" s="19"/>
    </row>
    <row r="540" spans="9:11">
      <c r="I540" s="18"/>
      <c r="J540" s="18"/>
      <c r="K540" s="19"/>
    </row>
    <row r="541" spans="9:11">
      <c r="I541" s="18"/>
      <c r="J541" s="18"/>
      <c r="K541" s="19"/>
    </row>
    <row r="542" spans="9:11">
      <c r="I542" s="18"/>
      <c r="J542" s="18"/>
      <c r="K542" s="19"/>
    </row>
    <row r="543" spans="9:11">
      <c r="I543" s="18"/>
      <c r="J543" s="18"/>
      <c r="K543" s="19"/>
    </row>
    <row r="544" spans="9:11">
      <c r="I544" s="18"/>
      <c r="J544" s="18"/>
      <c r="K544" s="19"/>
    </row>
    <row r="545" spans="9:11">
      <c r="I545" s="18"/>
      <c r="J545" s="18"/>
      <c r="K545" s="19"/>
    </row>
    <row r="546" spans="9:11">
      <c r="I546" s="18"/>
      <c r="J546" s="18"/>
      <c r="K546" s="19"/>
    </row>
    <row r="547" spans="9:11">
      <c r="I547" s="18"/>
      <c r="J547" s="18"/>
      <c r="K547" s="19"/>
    </row>
    <row r="548" spans="9:11">
      <c r="I548" s="18"/>
      <c r="J548" s="18"/>
      <c r="K548" s="19"/>
    </row>
    <row r="549" spans="9:11">
      <c r="I549" s="18"/>
      <c r="J549" s="18"/>
      <c r="K549" s="19"/>
    </row>
    <row r="550" spans="9:11">
      <c r="I550" s="18"/>
      <c r="J550" s="18"/>
      <c r="K550" s="19"/>
    </row>
    <row r="551" spans="9:11">
      <c r="I551" s="18"/>
      <c r="J551" s="18"/>
      <c r="K551" s="19"/>
    </row>
    <row r="552" spans="9:11">
      <c r="I552" s="18"/>
      <c r="J552" s="18"/>
      <c r="K552" s="19"/>
    </row>
    <row r="553" spans="9:11">
      <c r="I553" s="18"/>
      <c r="J553" s="18"/>
      <c r="K553" s="19"/>
    </row>
    <row r="554" spans="9:11">
      <c r="I554" s="18"/>
      <c r="J554" s="18"/>
      <c r="K554" s="19"/>
    </row>
    <row r="555" spans="9:11">
      <c r="I555" s="18"/>
      <c r="J555" s="18"/>
      <c r="K555" s="19"/>
    </row>
    <row r="556" spans="9:11">
      <c r="I556" s="18"/>
      <c r="J556" s="18"/>
      <c r="K556" s="19"/>
    </row>
    <row r="557" spans="9:11">
      <c r="I557" s="18"/>
      <c r="J557" s="18"/>
      <c r="K557" s="19"/>
    </row>
    <row r="558" spans="9:11">
      <c r="I558" s="18"/>
      <c r="J558" s="18"/>
      <c r="K558" s="19"/>
    </row>
    <row r="559" spans="9:11">
      <c r="I559" s="18"/>
      <c r="J559" s="18"/>
      <c r="K559" s="19"/>
    </row>
    <row r="560" spans="9:11">
      <c r="I560" s="18"/>
      <c r="J560" s="18"/>
      <c r="K560" s="19"/>
    </row>
    <row r="561" spans="9:11">
      <c r="I561" s="18"/>
      <c r="J561" s="18"/>
      <c r="K561" s="19"/>
    </row>
    <row r="562" spans="9:11">
      <c r="I562" s="18"/>
      <c r="J562" s="18"/>
      <c r="K562" s="19"/>
    </row>
    <row r="563" spans="9:11">
      <c r="I563" s="18"/>
      <c r="J563" s="18"/>
      <c r="K563" s="19"/>
    </row>
    <row r="564" spans="9:11">
      <c r="I564" s="18"/>
      <c r="J564" s="18"/>
      <c r="K564" s="19"/>
    </row>
    <row r="565" spans="9:11">
      <c r="I565" s="18"/>
      <c r="J565" s="18"/>
      <c r="K565" s="19"/>
    </row>
    <row r="566" spans="9:11">
      <c r="I566" s="18"/>
      <c r="J566" s="18"/>
      <c r="K566" s="19"/>
    </row>
    <row r="567" spans="9:11">
      <c r="I567" s="18"/>
      <c r="J567" s="18"/>
      <c r="K567" s="19"/>
    </row>
    <row r="568" spans="9:11">
      <c r="I568" s="18"/>
      <c r="J568" s="18"/>
      <c r="K568" s="19"/>
    </row>
    <row r="569" spans="9:11">
      <c r="I569" s="18"/>
      <c r="J569" s="18"/>
      <c r="K569" s="19"/>
    </row>
    <row r="570" spans="9:11">
      <c r="I570" s="18"/>
      <c r="J570" s="18"/>
      <c r="K570" s="19"/>
    </row>
    <row r="571" spans="9:11">
      <c r="I571" s="18"/>
      <c r="J571" s="18"/>
      <c r="K571" s="19"/>
    </row>
    <row r="572" spans="9:11">
      <c r="I572" s="18"/>
      <c r="J572" s="18"/>
      <c r="K572" s="19"/>
    </row>
    <row r="573" spans="9:11">
      <c r="I573" s="18"/>
      <c r="J573" s="18"/>
      <c r="K573" s="19"/>
    </row>
    <row r="574" spans="9:11">
      <c r="I574" s="18"/>
      <c r="J574" s="18"/>
      <c r="K574" s="19"/>
    </row>
    <row r="575" spans="9:11">
      <c r="I575" s="18"/>
      <c r="J575" s="18"/>
      <c r="K575" s="19"/>
    </row>
    <row r="576" spans="9:11">
      <c r="I576" s="18"/>
      <c r="J576" s="18"/>
      <c r="K576" s="19"/>
    </row>
    <row r="577" spans="9:11">
      <c r="I577" s="18"/>
      <c r="J577" s="18"/>
      <c r="K577" s="19"/>
    </row>
    <row r="578" spans="9:11">
      <c r="I578" s="18"/>
      <c r="J578" s="18"/>
      <c r="K578" s="19"/>
    </row>
    <row r="579" spans="9:11">
      <c r="I579" s="18"/>
      <c r="J579" s="18"/>
      <c r="K579" s="19"/>
    </row>
    <row r="580" spans="9:11">
      <c r="I580" s="18"/>
      <c r="J580" s="18"/>
      <c r="K580" s="19"/>
    </row>
    <row r="581" spans="9:11">
      <c r="I581" s="18"/>
      <c r="J581" s="18"/>
      <c r="K581" s="19"/>
    </row>
    <row r="582" spans="9:11">
      <c r="I582" s="18"/>
      <c r="J582" s="18"/>
      <c r="K582" s="19"/>
    </row>
    <row r="583" spans="9:11">
      <c r="I583" s="18"/>
      <c r="J583" s="18"/>
      <c r="K583" s="19"/>
    </row>
    <row r="584" spans="9:11">
      <c r="I584" s="18"/>
      <c r="J584" s="18"/>
      <c r="K584" s="19"/>
    </row>
    <row r="585" spans="9:11">
      <c r="I585" s="18"/>
      <c r="J585" s="18"/>
      <c r="K585" s="19"/>
    </row>
    <row r="586" spans="9:11">
      <c r="I586" s="18"/>
      <c r="J586" s="18"/>
      <c r="K586" s="19"/>
    </row>
    <row r="587" spans="9:11">
      <c r="I587" s="18"/>
      <c r="J587" s="18"/>
      <c r="K587" s="19"/>
    </row>
    <row r="588" spans="9:11">
      <c r="I588" s="18"/>
      <c r="J588" s="18"/>
      <c r="K588" s="19"/>
    </row>
    <row r="589" spans="9:11">
      <c r="I589" s="18"/>
      <c r="J589" s="18"/>
      <c r="K589" s="19"/>
    </row>
    <row r="590" spans="9:11">
      <c r="I590" s="18"/>
      <c r="J590" s="18"/>
      <c r="K590" s="19"/>
    </row>
    <row r="591" spans="9:11">
      <c r="I591" s="18"/>
      <c r="J591" s="18"/>
      <c r="K591" s="19"/>
    </row>
    <row r="592" spans="9:11">
      <c r="I592" s="18"/>
      <c r="J592" s="18"/>
      <c r="K592" s="19"/>
    </row>
    <row r="593" spans="9:11">
      <c r="I593" s="18"/>
      <c r="J593" s="18"/>
      <c r="K593" s="19"/>
    </row>
    <row r="594" spans="9:11">
      <c r="I594" s="18"/>
      <c r="J594" s="18"/>
      <c r="K594" s="19"/>
    </row>
    <row r="595" spans="9:11">
      <c r="I595" s="18"/>
      <c r="J595" s="18"/>
      <c r="K595" s="19"/>
    </row>
    <row r="596" spans="9:11">
      <c r="I596" s="18"/>
      <c r="J596" s="18"/>
      <c r="K596" s="19"/>
    </row>
    <row r="597" spans="9:11">
      <c r="I597" s="18"/>
      <c r="J597" s="18"/>
      <c r="K597" s="19"/>
    </row>
    <row r="598" spans="9:11">
      <c r="I598" s="18"/>
      <c r="J598" s="18"/>
      <c r="K598" s="19"/>
    </row>
    <row r="599" spans="9:11">
      <c r="I599" s="18"/>
      <c r="J599" s="18"/>
      <c r="K599" s="19"/>
    </row>
    <row r="600" spans="9:11">
      <c r="I600" s="18"/>
      <c r="J600" s="18"/>
      <c r="K600" s="19"/>
    </row>
    <row r="601" spans="9:11">
      <c r="I601" s="18"/>
      <c r="J601" s="18"/>
      <c r="K601" s="19"/>
    </row>
    <row r="602" spans="9:11">
      <c r="I602" s="18"/>
      <c r="J602" s="18"/>
      <c r="K602" s="19"/>
    </row>
    <row r="603" spans="9:11">
      <c r="I603" s="18"/>
      <c r="J603" s="18"/>
      <c r="K603" s="19"/>
    </row>
    <row r="604" spans="9:11">
      <c r="I604" s="18"/>
      <c r="J604" s="18"/>
      <c r="K604" s="19"/>
    </row>
    <row r="605" spans="9:11">
      <c r="I605" s="18"/>
      <c r="J605" s="18"/>
      <c r="K605" s="19"/>
    </row>
    <row r="606" spans="9:11">
      <c r="I606" s="18"/>
      <c r="J606" s="18"/>
      <c r="K606" s="19"/>
    </row>
    <row r="607" spans="9:11">
      <c r="I607" s="18"/>
      <c r="J607" s="18"/>
      <c r="K607" s="19"/>
    </row>
    <row r="608" spans="9:11">
      <c r="I608" s="18"/>
      <c r="J608" s="18"/>
      <c r="K608" s="19"/>
    </row>
    <row r="609" spans="9:11">
      <c r="I609" s="18"/>
      <c r="J609" s="18"/>
      <c r="K609" s="19"/>
    </row>
    <row r="610" spans="9:11">
      <c r="I610" s="18"/>
      <c r="J610" s="18"/>
      <c r="K610" s="19"/>
    </row>
    <row r="611" spans="9:11">
      <c r="I611" s="18"/>
      <c r="J611" s="18"/>
      <c r="K611" s="19"/>
    </row>
    <row r="612" spans="9:11">
      <c r="I612" s="18"/>
      <c r="J612" s="18"/>
      <c r="K612" s="19"/>
    </row>
    <row r="613" spans="9:11">
      <c r="I613" s="18"/>
      <c r="J613" s="18"/>
      <c r="K613" s="19"/>
    </row>
    <row r="614" spans="9:11">
      <c r="I614" s="18"/>
      <c r="J614" s="18"/>
      <c r="K614" s="19"/>
    </row>
    <row r="615" spans="9:11">
      <c r="I615" s="18"/>
      <c r="J615" s="18"/>
      <c r="K615" s="19"/>
    </row>
    <row r="616" spans="9:11">
      <c r="I616" s="18"/>
      <c r="J616" s="18"/>
      <c r="K616" s="19"/>
    </row>
    <row r="617" spans="9:11">
      <c r="I617" s="18"/>
      <c r="J617" s="18"/>
      <c r="K617" s="19"/>
    </row>
    <row r="618" spans="9:11">
      <c r="I618" s="18"/>
      <c r="J618" s="18"/>
      <c r="K618" s="19"/>
    </row>
    <row r="619" spans="9:11">
      <c r="I619" s="18"/>
      <c r="J619" s="18"/>
      <c r="K619" s="19"/>
    </row>
    <row r="620" spans="9:11">
      <c r="I620" s="18"/>
      <c r="J620" s="18"/>
      <c r="K620" s="19"/>
    </row>
    <row r="621" spans="9:11">
      <c r="I621" s="18"/>
      <c r="J621" s="18"/>
      <c r="K621" s="19"/>
    </row>
    <row r="622" spans="9:11">
      <c r="I622" s="18"/>
      <c r="J622" s="18"/>
      <c r="K622" s="19"/>
    </row>
    <row r="623" spans="9:11">
      <c r="I623" s="18"/>
      <c r="J623" s="18"/>
      <c r="K623" s="19"/>
    </row>
    <row r="624" spans="9:11">
      <c r="I624" s="18"/>
      <c r="J624" s="18"/>
      <c r="K624" s="19"/>
    </row>
    <row r="625" spans="9:11">
      <c r="I625" s="18"/>
      <c r="J625" s="18"/>
      <c r="K625" s="19"/>
    </row>
    <row r="626" spans="9:11">
      <c r="I626" s="18"/>
      <c r="J626" s="18"/>
      <c r="K626" s="19"/>
    </row>
    <row r="627" spans="9:11">
      <c r="I627" s="18"/>
      <c r="J627" s="18"/>
      <c r="K627" s="19"/>
    </row>
    <row r="628" spans="9:11">
      <c r="I628" s="18"/>
      <c r="J628" s="18"/>
      <c r="K628" s="19"/>
    </row>
    <row r="629" spans="9:11">
      <c r="I629" s="18"/>
      <c r="J629" s="18"/>
      <c r="K629" s="19"/>
    </row>
    <row r="630" spans="9:11">
      <c r="I630" s="18"/>
      <c r="J630" s="18"/>
      <c r="K630" s="19"/>
    </row>
    <row r="631" spans="9:11">
      <c r="I631" s="18"/>
      <c r="J631" s="18"/>
      <c r="K631" s="19"/>
    </row>
    <row r="632" spans="9:11">
      <c r="I632" s="18"/>
      <c r="J632" s="18"/>
      <c r="K632" s="19"/>
    </row>
    <row r="633" spans="9:11">
      <c r="I633" s="18"/>
      <c r="J633" s="18"/>
      <c r="K633" s="19"/>
    </row>
    <row r="634" spans="9:11">
      <c r="I634" s="18"/>
      <c r="J634" s="18"/>
      <c r="K634" s="19"/>
    </row>
    <row r="635" spans="9:11">
      <c r="I635" s="18"/>
      <c r="J635" s="18"/>
      <c r="K635" s="19"/>
    </row>
    <row r="636" spans="9:11">
      <c r="I636" s="18"/>
      <c r="J636" s="18"/>
      <c r="K636" s="19"/>
    </row>
    <row r="637" spans="9:11">
      <c r="I637" s="18"/>
      <c r="J637" s="18"/>
      <c r="K637" s="19"/>
    </row>
    <row r="638" spans="9:11">
      <c r="I638" s="18"/>
      <c r="J638" s="18"/>
      <c r="K638" s="19"/>
    </row>
    <row r="639" spans="9:11">
      <c r="I639" s="18"/>
      <c r="J639" s="18"/>
      <c r="K639" s="19"/>
    </row>
    <row r="640" spans="9:11">
      <c r="I640" s="18"/>
      <c r="J640" s="18"/>
      <c r="K640" s="19"/>
    </row>
    <row r="641" spans="9:11">
      <c r="I641" s="18"/>
      <c r="J641" s="18"/>
      <c r="K641" s="19"/>
    </row>
    <row r="642" spans="9:11">
      <c r="I642" s="18"/>
      <c r="J642" s="18"/>
      <c r="K642" s="19"/>
    </row>
    <row r="643" spans="9:11">
      <c r="I643" s="18"/>
      <c r="J643" s="18"/>
      <c r="K643" s="19"/>
    </row>
    <row r="644" spans="9:11">
      <c r="I644" s="18"/>
      <c r="J644" s="18"/>
      <c r="K644" s="19"/>
    </row>
    <row r="645" spans="9:11">
      <c r="I645" s="18"/>
      <c r="J645" s="18"/>
      <c r="K645" s="19"/>
    </row>
    <row r="646" spans="9:11">
      <c r="I646" s="18"/>
      <c r="J646" s="18"/>
      <c r="K646" s="19"/>
    </row>
    <row r="647" spans="9:11">
      <c r="I647" s="18"/>
      <c r="J647" s="18"/>
      <c r="K647" s="19"/>
    </row>
    <row r="648" spans="9:11">
      <c r="I648" s="18"/>
      <c r="J648" s="18"/>
      <c r="K648" s="19"/>
    </row>
    <row r="649" spans="9:11">
      <c r="I649" s="18"/>
      <c r="J649" s="18"/>
      <c r="K649" s="19"/>
    </row>
    <row r="650" spans="9:11">
      <c r="I650" s="18"/>
      <c r="J650" s="18"/>
      <c r="K650" s="19"/>
    </row>
    <row r="651" spans="9:11">
      <c r="I651" s="18"/>
      <c r="J651" s="18"/>
      <c r="K651" s="19"/>
    </row>
    <row r="652" spans="9:11">
      <c r="I652" s="18"/>
      <c r="J652" s="18"/>
      <c r="K652" s="19"/>
    </row>
    <row r="653" spans="9:11">
      <c r="I653" s="18"/>
      <c r="J653" s="18"/>
      <c r="K653" s="19"/>
    </row>
    <row r="654" spans="9:11">
      <c r="I654" s="18"/>
      <c r="J654" s="18"/>
      <c r="K654" s="19"/>
    </row>
    <row r="655" spans="9:11">
      <c r="I655" s="18"/>
      <c r="J655" s="18"/>
      <c r="K655" s="19"/>
    </row>
    <row r="656" spans="9:11">
      <c r="I656" s="18"/>
      <c r="J656" s="18"/>
      <c r="K656" s="19"/>
    </row>
    <row r="657" spans="9:11">
      <c r="I657" s="18"/>
      <c r="J657" s="18"/>
      <c r="K657" s="19"/>
    </row>
    <row r="658" spans="9:11">
      <c r="I658" s="18"/>
      <c r="J658" s="18"/>
      <c r="K658" s="19"/>
    </row>
    <row r="659" spans="9:11">
      <c r="I659" s="18"/>
      <c r="J659" s="18"/>
      <c r="K659" s="19"/>
    </row>
    <row r="660" spans="9:11">
      <c r="I660" s="18"/>
      <c r="J660" s="18"/>
      <c r="K660" s="19"/>
    </row>
    <row r="661" spans="9:11">
      <c r="I661" s="18"/>
      <c r="J661" s="18"/>
      <c r="K661" s="19"/>
    </row>
    <row r="662" spans="9:11">
      <c r="I662" s="18"/>
      <c r="J662" s="18"/>
      <c r="K662" s="19"/>
    </row>
    <row r="663" spans="9:11">
      <c r="I663" s="18"/>
      <c r="J663" s="18"/>
      <c r="K663" s="19"/>
    </row>
    <row r="664" spans="9:11">
      <c r="I664" s="18"/>
      <c r="J664" s="18"/>
      <c r="K664" s="19"/>
    </row>
    <row r="665" spans="9:11">
      <c r="I665" s="18"/>
      <c r="J665" s="18"/>
      <c r="K665" s="19"/>
    </row>
    <row r="666" spans="9:11">
      <c r="I666" s="18"/>
      <c r="J666" s="18"/>
      <c r="K666" s="19"/>
    </row>
    <row r="667" spans="9:11">
      <c r="I667" s="18"/>
      <c r="J667" s="18"/>
      <c r="K667" s="19"/>
    </row>
    <row r="668" spans="9:11">
      <c r="I668" s="18"/>
      <c r="J668" s="18"/>
      <c r="K668" s="19"/>
    </row>
    <row r="669" spans="9:11">
      <c r="I669" s="18"/>
      <c r="J669" s="18"/>
      <c r="K669" s="19"/>
    </row>
    <row r="670" spans="9:11">
      <c r="I670" s="18"/>
      <c r="J670" s="18"/>
      <c r="K670" s="19"/>
    </row>
    <row r="671" spans="9:11">
      <c r="I671" s="18"/>
      <c r="J671" s="18"/>
      <c r="K671" s="19"/>
    </row>
    <row r="672" spans="9:11">
      <c r="I672" s="18"/>
      <c r="J672" s="18"/>
      <c r="K672" s="19"/>
    </row>
    <row r="673" spans="9:11">
      <c r="I673" s="18"/>
      <c r="J673" s="18"/>
      <c r="K673" s="19"/>
    </row>
    <row r="674" spans="9:11">
      <c r="I674" s="18"/>
      <c r="J674" s="18"/>
      <c r="K674" s="19"/>
    </row>
    <row r="675" spans="9:11">
      <c r="I675" s="18"/>
      <c r="J675" s="18"/>
      <c r="K675" s="19"/>
    </row>
    <row r="676" spans="9:11">
      <c r="I676" s="18"/>
      <c r="J676" s="18"/>
      <c r="K676" s="19"/>
    </row>
    <row r="677" spans="9:11">
      <c r="I677" s="18"/>
      <c r="J677" s="18"/>
      <c r="K677" s="19"/>
    </row>
    <row r="678" spans="9:11">
      <c r="I678" s="18"/>
      <c r="J678" s="18"/>
      <c r="K678" s="19"/>
    </row>
    <row r="679" spans="9:11">
      <c r="I679" s="18"/>
      <c r="J679" s="18"/>
      <c r="K679" s="19"/>
    </row>
    <row r="680" spans="9:11">
      <c r="I680" s="18"/>
      <c r="J680" s="18"/>
      <c r="K680" s="19"/>
    </row>
    <row r="681" spans="9:11">
      <c r="I681" s="18"/>
      <c r="J681" s="18"/>
      <c r="K681" s="19"/>
    </row>
    <row r="682" spans="9:11">
      <c r="I682" s="18"/>
      <c r="J682" s="18"/>
      <c r="K682" s="19"/>
    </row>
    <row r="683" spans="9:11">
      <c r="I683" s="18"/>
      <c r="J683" s="18"/>
      <c r="K683" s="19"/>
    </row>
    <row r="684" spans="9:11">
      <c r="I684" s="18"/>
      <c r="J684" s="18"/>
      <c r="K684" s="19"/>
    </row>
    <row r="685" spans="9:11">
      <c r="I685" s="18"/>
      <c r="J685" s="18"/>
      <c r="K685" s="19"/>
    </row>
    <row r="686" spans="9:11">
      <c r="I686" s="18"/>
      <c r="J686" s="18"/>
      <c r="K686" s="19"/>
    </row>
    <row r="687" spans="9:11">
      <c r="I687" s="18"/>
      <c r="J687" s="18"/>
      <c r="K687" s="19"/>
    </row>
    <row r="688" spans="9:11">
      <c r="I688" s="18"/>
      <c r="J688" s="18"/>
      <c r="K688" s="19"/>
    </row>
    <row r="689" spans="9:11">
      <c r="I689" s="18"/>
      <c r="J689" s="18"/>
      <c r="K689" s="19"/>
    </row>
    <row r="690" spans="9:11">
      <c r="I690" s="18"/>
      <c r="J690" s="18"/>
      <c r="K690" s="19"/>
    </row>
    <row r="691" spans="9:11">
      <c r="I691" s="18"/>
      <c r="J691" s="18"/>
      <c r="K691" s="19"/>
    </row>
    <row r="692" spans="9:11">
      <c r="I692" s="18"/>
      <c r="J692" s="18"/>
      <c r="K692" s="19"/>
    </row>
    <row r="693" spans="9:11">
      <c r="I693" s="18"/>
      <c r="J693" s="18"/>
      <c r="K693" s="19"/>
    </row>
    <row r="694" spans="9:11">
      <c r="I694" s="18"/>
      <c r="J694" s="18"/>
      <c r="K694" s="19"/>
    </row>
    <row r="695" spans="9:11">
      <c r="I695" s="18"/>
      <c r="J695" s="18"/>
      <c r="K695" s="19"/>
    </row>
    <row r="696" spans="9:11">
      <c r="I696" s="18"/>
      <c r="J696" s="18"/>
      <c r="K696" s="19"/>
    </row>
    <row r="697" spans="9:11">
      <c r="I697" s="18"/>
      <c r="J697" s="18"/>
      <c r="K697" s="19"/>
    </row>
    <row r="698" spans="9:11">
      <c r="I698" s="18"/>
      <c r="J698" s="18"/>
      <c r="K698" s="19"/>
    </row>
    <row r="699" spans="9:11">
      <c r="I699" s="18"/>
      <c r="J699" s="18"/>
      <c r="K699" s="19"/>
    </row>
    <row r="700" spans="9:11">
      <c r="I700" s="18"/>
      <c r="J700" s="18"/>
      <c r="K700" s="19"/>
    </row>
    <row r="701" spans="9:11">
      <c r="I701" s="18"/>
      <c r="J701" s="18"/>
      <c r="K701" s="19"/>
    </row>
    <row r="702" spans="9:11">
      <c r="I702" s="18"/>
      <c r="J702" s="18"/>
      <c r="K702" s="19"/>
    </row>
    <row r="703" spans="9:11">
      <c r="I703" s="18"/>
      <c r="J703" s="18"/>
      <c r="K703" s="19"/>
    </row>
    <row r="704" spans="9:11">
      <c r="I704" s="18"/>
      <c r="J704" s="18"/>
      <c r="K704" s="19"/>
    </row>
    <row r="705" spans="9:11">
      <c r="I705" s="18"/>
      <c r="J705" s="18"/>
      <c r="K705" s="19"/>
    </row>
    <row r="706" spans="9:11">
      <c r="I706" s="18"/>
      <c r="J706" s="18"/>
      <c r="K706" s="19"/>
    </row>
    <row r="707" spans="9:11">
      <c r="I707" s="18"/>
      <c r="J707" s="18"/>
      <c r="K707" s="19"/>
    </row>
    <row r="708" spans="9:11">
      <c r="I708" s="18"/>
      <c r="J708" s="18"/>
      <c r="K708" s="19"/>
    </row>
    <row r="709" spans="9:11">
      <c r="I709" s="18"/>
      <c r="J709" s="18"/>
      <c r="K709" s="19"/>
    </row>
    <row r="710" spans="9:11">
      <c r="I710" s="18"/>
      <c r="J710" s="18"/>
      <c r="K710" s="19"/>
    </row>
    <row r="711" spans="9:11">
      <c r="I711" s="18"/>
      <c r="J711" s="18"/>
      <c r="K711" s="19"/>
    </row>
    <row r="712" spans="9:11">
      <c r="I712" s="18"/>
      <c r="J712" s="18"/>
      <c r="K712" s="19"/>
    </row>
    <row r="713" spans="9:11">
      <c r="I713" s="18"/>
      <c r="J713" s="18"/>
      <c r="K713" s="19"/>
    </row>
    <row r="714" spans="9:11">
      <c r="I714" s="18"/>
      <c r="J714" s="18"/>
      <c r="K714" s="19"/>
    </row>
    <row r="715" spans="9:11">
      <c r="I715" s="18"/>
      <c r="J715" s="18"/>
      <c r="K715" s="19"/>
    </row>
    <row r="716" spans="9:11">
      <c r="I716" s="18"/>
      <c r="J716" s="18"/>
      <c r="K716" s="19"/>
    </row>
    <row r="717" spans="9:11">
      <c r="I717" s="18"/>
      <c r="J717" s="18"/>
      <c r="K717" s="19"/>
    </row>
    <row r="718" spans="9:11">
      <c r="I718" s="18"/>
      <c r="J718" s="18"/>
      <c r="K718" s="19"/>
    </row>
    <row r="719" spans="9:11">
      <c r="I719" s="18"/>
      <c r="J719" s="18"/>
      <c r="K719" s="19"/>
    </row>
    <row r="720" spans="9:11">
      <c r="I720" s="18"/>
      <c r="J720" s="18"/>
      <c r="K720" s="19"/>
    </row>
    <row r="721" spans="9:11">
      <c r="I721" s="18"/>
      <c r="J721" s="18"/>
      <c r="K721" s="19"/>
    </row>
    <row r="722" spans="9:11">
      <c r="I722" s="18"/>
      <c r="J722" s="18"/>
      <c r="K722" s="19"/>
    </row>
    <row r="723" spans="9:11">
      <c r="I723" s="18"/>
      <c r="J723" s="18"/>
      <c r="K723" s="19"/>
    </row>
    <row r="724" spans="9:11">
      <c r="I724" s="18"/>
      <c r="J724" s="18"/>
      <c r="K724" s="19"/>
    </row>
    <row r="725" spans="9:11">
      <c r="I725" s="18"/>
      <c r="J725" s="18"/>
      <c r="K725" s="19"/>
    </row>
    <row r="726" spans="9:11">
      <c r="I726" s="18"/>
      <c r="J726" s="18"/>
      <c r="K726" s="19"/>
    </row>
    <row r="727" spans="9:11">
      <c r="I727" s="18"/>
      <c r="J727" s="18"/>
      <c r="K727" s="19"/>
    </row>
    <row r="728" spans="9:11">
      <c r="I728" s="18"/>
      <c r="J728" s="18"/>
      <c r="K728" s="19"/>
    </row>
    <row r="729" spans="9:11">
      <c r="I729" s="18"/>
      <c r="J729" s="18"/>
      <c r="K729" s="19"/>
    </row>
    <row r="730" spans="9:11">
      <c r="I730" s="18"/>
      <c r="J730" s="18"/>
      <c r="K730" s="19"/>
    </row>
    <row r="731" spans="9:11">
      <c r="I731" s="18"/>
      <c r="J731" s="18"/>
      <c r="K731" s="19"/>
    </row>
    <row r="732" spans="9:11">
      <c r="I732" s="18"/>
      <c r="J732" s="18"/>
      <c r="K732" s="19"/>
    </row>
    <row r="733" spans="9:11">
      <c r="I733" s="18"/>
      <c r="J733" s="18"/>
      <c r="K733" s="19"/>
    </row>
    <row r="734" spans="9:11">
      <c r="I734" s="18"/>
      <c r="J734" s="18"/>
      <c r="K734" s="19"/>
    </row>
    <row r="735" spans="9:11">
      <c r="I735" s="18"/>
      <c r="J735" s="18"/>
      <c r="K735" s="19"/>
    </row>
    <row r="736" spans="9:11">
      <c r="I736" s="18"/>
      <c r="J736" s="18"/>
      <c r="K736" s="19"/>
    </row>
    <row r="737" spans="9:11">
      <c r="I737" s="18"/>
      <c r="J737" s="18"/>
      <c r="K737" s="19"/>
    </row>
    <row r="738" spans="9:11">
      <c r="I738" s="18"/>
      <c r="J738" s="18"/>
      <c r="K738" s="19"/>
    </row>
    <row r="739" spans="9:11">
      <c r="I739" s="18"/>
      <c r="J739" s="18"/>
      <c r="K739" s="19"/>
    </row>
    <row r="740" spans="9:11">
      <c r="I740" s="18"/>
      <c r="J740" s="18"/>
      <c r="K740" s="19"/>
    </row>
    <row r="741" spans="9:11">
      <c r="I741" s="18"/>
      <c r="J741" s="18"/>
      <c r="K741" s="19"/>
    </row>
    <row r="742" spans="9:11">
      <c r="I742" s="18"/>
      <c r="J742" s="18"/>
      <c r="K742" s="19"/>
    </row>
    <row r="743" spans="9:11">
      <c r="I743" s="18"/>
      <c r="J743" s="18"/>
      <c r="K743" s="19"/>
    </row>
    <row r="744" spans="9:11">
      <c r="I744" s="18"/>
      <c r="J744" s="18"/>
      <c r="K744" s="19"/>
    </row>
    <row r="745" spans="9:11">
      <c r="I745" s="18"/>
      <c r="J745" s="18"/>
      <c r="K745" s="19"/>
    </row>
    <row r="746" spans="9:11">
      <c r="I746" s="18"/>
      <c r="J746" s="18"/>
      <c r="K746" s="19"/>
    </row>
    <row r="747" spans="9:11">
      <c r="I747" s="18"/>
      <c r="J747" s="18"/>
      <c r="K747" s="19"/>
    </row>
    <row r="748" spans="9:11">
      <c r="I748" s="18"/>
      <c r="J748" s="18"/>
      <c r="K748" s="19"/>
    </row>
    <row r="749" spans="9:11">
      <c r="I749" s="18"/>
      <c r="J749" s="18"/>
      <c r="K749" s="19"/>
    </row>
    <row r="750" spans="9:11">
      <c r="I750" s="18"/>
      <c r="J750" s="18"/>
      <c r="K750" s="19"/>
    </row>
    <row r="751" spans="9:11">
      <c r="I751" s="18"/>
      <c r="J751" s="18"/>
      <c r="K751" s="19"/>
    </row>
    <row r="752" spans="9:11">
      <c r="I752" s="18"/>
      <c r="J752" s="18"/>
      <c r="K752" s="19"/>
    </row>
    <row r="753" spans="9:11">
      <c r="I753" s="18"/>
      <c r="J753" s="18"/>
      <c r="K753" s="19"/>
    </row>
    <row r="754" spans="9:11">
      <c r="I754" s="18"/>
      <c r="J754" s="18"/>
      <c r="K754" s="19"/>
    </row>
    <row r="755" spans="9:11">
      <c r="I755" s="18"/>
      <c r="J755" s="18"/>
      <c r="K755" s="19"/>
    </row>
    <row r="756" spans="9:11">
      <c r="I756" s="18"/>
      <c r="J756" s="18"/>
      <c r="K756" s="19"/>
    </row>
    <row r="757" spans="9:11">
      <c r="I757" s="18"/>
      <c r="J757" s="18"/>
      <c r="K757" s="19"/>
    </row>
    <row r="758" spans="9:11">
      <c r="I758" s="18"/>
      <c r="J758" s="18"/>
      <c r="K758" s="19"/>
    </row>
    <row r="759" spans="9:11">
      <c r="I759" s="18"/>
      <c r="J759" s="18"/>
      <c r="K759" s="19"/>
    </row>
    <row r="760" spans="9:11">
      <c r="I760" s="18"/>
      <c r="J760" s="18"/>
      <c r="K760" s="19"/>
    </row>
    <row r="761" spans="9:11">
      <c r="I761" s="18"/>
      <c r="J761" s="18"/>
      <c r="K761" s="19"/>
    </row>
    <row r="762" spans="9:11">
      <c r="I762" s="18"/>
      <c r="J762" s="18"/>
      <c r="K762" s="19"/>
    </row>
    <row r="763" spans="9:11">
      <c r="I763" s="18"/>
      <c r="J763" s="18"/>
      <c r="K763" s="19"/>
    </row>
    <row r="764" spans="9:11">
      <c r="I764" s="18"/>
      <c r="J764" s="18"/>
      <c r="K764" s="19"/>
    </row>
    <row r="765" spans="9:11">
      <c r="I765" s="18"/>
      <c r="J765" s="18"/>
      <c r="K765" s="19"/>
    </row>
    <row r="766" spans="9:11">
      <c r="I766" s="18"/>
      <c r="J766" s="18"/>
      <c r="K766" s="19"/>
    </row>
    <row r="767" spans="9:11">
      <c r="I767" s="18"/>
      <c r="J767" s="18"/>
      <c r="K767" s="19"/>
    </row>
    <row r="768" spans="9:11">
      <c r="I768" s="18"/>
      <c r="J768" s="18"/>
      <c r="K768" s="19"/>
    </row>
    <row r="769" spans="9:11">
      <c r="I769" s="18"/>
      <c r="J769" s="18"/>
      <c r="K769" s="19"/>
    </row>
    <row r="770" spans="9:11">
      <c r="I770" s="18"/>
      <c r="J770" s="18"/>
      <c r="K770" s="19"/>
    </row>
    <row r="771" spans="9:11">
      <c r="I771" s="18"/>
      <c r="J771" s="18"/>
      <c r="K771" s="19"/>
    </row>
    <row r="772" spans="9:11">
      <c r="I772" s="18"/>
      <c r="J772" s="18"/>
      <c r="K772" s="19"/>
    </row>
    <row r="773" spans="9:11">
      <c r="I773" s="18"/>
      <c r="J773" s="18"/>
      <c r="K773" s="19"/>
    </row>
    <row r="774" spans="9:11">
      <c r="I774" s="18"/>
      <c r="J774" s="18"/>
      <c r="K774" s="19"/>
    </row>
    <row r="775" spans="9:11">
      <c r="I775" s="18"/>
      <c r="J775" s="18"/>
      <c r="K775" s="19"/>
    </row>
    <row r="776" spans="9:11">
      <c r="I776" s="18"/>
      <c r="J776" s="18"/>
      <c r="K776" s="19"/>
    </row>
    <row r="777" spans="9:11">
      <c r="I777" s="18"/>
      <c r="J777" s="18"/>
      <c r="K777" s="19"/>
    </row>
    <row r="778" spans="9:11">
      <c r="I778" s="18"/>
      <c r="J778" s="18"/>
      <c r="K778" s="19"/>
    </row>
    <row r="779" spans="9:11">
      <c r="I779" s="18"/>
      <c r="J779" s="18"/>
      <c r="K779" s="19"/>
    </row>
    <row r="780" spans="9:11">
      <c r="I780" s="18"/>
      <c r="J780" s="18"/>
      <c r="K780" s="19"/>
    </row>
    <row r="781" spans="9:11">
      <c r="I781" s="18"/>
      <c r="J781" s="18"/>
      <c r="K781" s="19"/>
    </row>
    <row r="782" spans="9:11">
      <c r="I782" s="18"/>
      <c r="J782" s="18"/>
      <c r="K782" s="19"/>
    </row>
    <row r="783" spans="9:11">
      <c r="I783" s="18"/>
      <c r="J783" s="18"/>
      <c r="K783" s="19"/>
    </row>
    <row r="784" spans="9:11">
      <c r="I784" s="18"/>
      <c r="J784" s="18"/>
      <c r="K784" s="19"/>
    </row>
    <row r="785" spans="9:11">
      <c r="I785" s="18"/>
      <c r="J785" s="18"/>
      <c r="K785" s="19"/>
    </row>
    <row r="786" spans="9:11">
      <c r="I786" s="18"/>
      <c r="J786" s="18"/>
      <c r="K786" s="19"/>
    </row>
    <row r="787" spans="9:11">
      <c r="I787" s="18"/>
      <c r="J787" s="18"/>
      <c r="K787" s="19"/>
    </row>
    <row r="788" spans="9:11">
      <c r="I788" s="18"/>
      <c r="J788" s="18"/>
      <c r="K788" s="19"/>
    </row>
    <row r="789" spans="9:11">
      <c r="I789" s="18"/>
      <c r="J789" s="18"/>
      <c r="K789" s="19"/>
    </row>
    <row r="790" spans="9:11">
      <c r="I790" s="18"/>
      <c r="J790" s="18"/>
      <c r="K790" s="19"/>
    </row>
    <row r="791" spans="9:11">
      <c r="I791" s="18"/>
      <c r="J791" s="18"/>
      <c r="K791" s="19"/>
    </row>
    <row r="792" spans="9:11">
      <c r="I792" s="18"/>
      <c r="J792" s="18"/>
      <c r="K792" s="19"/>
    </row>
    <row r="793" spans="9:11">
      <c r="I793" s="18"/>
      <c r="J793" s="18"/>
      <c r="K793" s="19"/>
    </row>
    <row r="794" spans="9:11">
      <c r="I794" s="18"/>
      <c r="J794" s="18"/>
      <c r="K794" s="19"/>
    </row>
    <row r="795" spans="9:11">
      <c r="I795" s="18"/>
      <c r="J795" s="18"/>
      <c r="K795" s="19"/>
    </row>
    <row r="796" spans="9:11">
      <c r="I796" s="18"/>
      <c r="J796" s="18"/>
      <c r="K796" s="19"/>
    </row>
    <row r="797" spans="9:11">
      <c r="I797" s="18"/>
      <c r="J797" s="18"/>
      <c r="K797" s="19"/>
    </row>
    <row r="798" spans="9:11">
      <c r="I798" s="18"/>
      <c r="J798" s="18"/>
      <c r="K798" s="19"/>
    </row>
    <row r="799" spans="9:11">
      <c r="I799" s="18"/>
      <c r="J799" s="18"/>
      <c r="K799" s="19"/>
    </row>
    <row r="800" spans="9:11">
      <c r="I800" s="18"/>
      <c r="J800" s="18"/>
      <c r="K800" s="19"/>
    </row>
    <row r="801" spans="9:11">
      <c r="I801" s="18"/>
      <c r="J801" s="18"/>
      <c r="K801" s="19"/>
    </row>
    <row r="802" spans="9:11">
      <c r="I802" s="18"/>
      <c r="J802" s="18"/>
      <c r="K802" s="19"/>
    </row>
    <row r="803" spans="9:11">
      <c r="I803" s="18"/>
      <c r="J803" s="18"/>
      <c r="K803" s="19"/>
    </row>
    <row r="804" spans="9:11">
      <c r="I804" s="18"/>
      <c r="J804" s="18"/>
      <c r="K804" s="19"/>
    </row>
    <row r="805" spans="9:11">
      <c r="I805" s="18"/>
      <c r="J805" s="18"/>
      <c r="K805" s="19"/>
    </row>
    <row r="806" spans="9:11">
      <c r="I806" s="18"/>
      <c r="J806" s="18"/>
      <c r="K806" s="19"/>
    </row>
    <row r="807" spans="9:11">
      <c r="I807" s="18"/>
      <c r="J807" s="18"/>
      <c r="K807" s="19"/>
    </row>
    <row r="808" spans="9:11">
      <c r="I808" s="18"/>
      <c r="J808" s="18"/>
      <c r="K808" s="19"/>
    </row>
    <row r="809" spans="9:11">
      <c r="I809" s="18"/>
      <c r="J809" s="18"/>
      <c r="K809" s="19"/>
    </row>
    <row r="810" spans="9:11">
      <c r="I810" s="18"/>
      <c r="J810" s="18"/>
      <c r="K810" s="19"/>
    </row>
    <row r="811" spans="9:11">
      <c r="I811" s="18"/>
      <c r="J811" s="18"/>
      <c r="K811" s="19"/>
    </row>
    <row r="812" spans="9:11">
      <c r="I812" s="18"/>
      <c r="J812" s="18"/>
      <c r="K812" s="19"/>
    </row>
    <row r="813" spans="9:11">
      <c r="I813" s="18"/>
      <c r="J813" s="18"/>
      <c r="K813" s="19"/>
    </row>
    <row r="814" spans="9:11">
      <c r="I814" s="18"/>
      <c r="J814" s="18"/>
      <c r="K814" s="19"/>
    </row>
    <row r="815" spans="9:11">
      <c r="I815" s="18"/>
      <c r="J815" s="18"/>
      <c r="K815" s="19"/>
    </row>
    <row r="816" spans="9:11">
      <c r="I816" s="18"/>
      <c r="J816" s="18"/>
      <c r="K816" s="19"/>
    </row>
    <row r="817" spans="9:11">
      <c r="I817" s="18"/>
      <c r="J817" s="18"/>
      <c r="K817" s="19"/>
    </row>
    <row r="818" spans="9:11">
      <c r="I818" s="18"/>
      <c r="J818" s="18"/>
      <c r="K818" s="19"/>
    </row>
    <row r="819" spans="9:11">
      <c r="I819" s="18"/>
      <c r="J819" s="18"/>
      <c r="K819" s="19"/>
    </row>
    <row r="820" spans="9:11">
      <c r="I820" s="18"/>
      <c r="J820" s="18"/>
      <c r="K820" s="19"/>
    </row>
    <row r="821" spans="9:11">
      <c r="I821" s="18"/>
      <c r="J821" s="18"/>
      <c r="K821" s="19"/>
    </row>
    <row r="822" spans="9:11">
      <c r="I822" s="18"/>
      <c r="J822" s="18"/>
      <c r="K822" s="19"/>
    </row>
    <row r="823" spans="9:11">
      <c r="I823" s="18"/>
      <c r="J823" s="18"/>
      <c r="K823" s="19"/>
    </row>
    <row r="824" spans="9:11">
      <c r="I824" s="18"/>
      <c r="J824" s="18"/>
      <c r="K824" s="19"/>
    </row>
    <row r="825" spans="9:11">
      <c r="I825" s="18"/>
      <c r="J825" s="18"/>
      <c r="K825" s="19"/>
    </row>
    <row r="826" spans="9:11">
      <c r="I826" s="18"/>
      <c r="J826" s="18"/>
      <c r="K826" s="19"/>
    </row>
    <row r="827" spans="9:11">
      <c r="I827" s="18"/>
      <c r="J827" s="18"/>
      <c r="K827" s="19"/>
    </row>
    <row r="828" spans="9:11">
      <c r="I828" s="18"/>
      <c r="J828" s="18"/>
      <c r="K828" s="19"/>
    </row>
    <row r="829" spans="9:11">
      <c r="I829" s="18"/>
      <c r="J829" s="18"/>
      <c r="K829" s="19"/>
    </row>
    <row r="830" spans="9:11">
      <c r="I830" s="18"/>
      <c r="J830" s="18"/>
      <c r="K830" s="19"/>
    </row>
    <row r="831" spans="9:11">
      <c r="I831" s="18"/>
      <c r="J831" s="18"/>
      <c r="K831" s="19"/>
    </row>
    <row r="832" spans="9:11">
      <c r="I832" s="18"/>
      <c r="J832" s="18"/>
      <c r="K832" s="19"/>
    </row>
    <row r="833" spans="9:11">
      <c r="I833" s="18"/>
      <c r="J833" s="18"/>
      <c r="K833" s="19"/>
    </row>
    <row r="834" spans="9:11">
      <c r="I834" s="18"/>
      <c r="J834" s="18"/>
      <c r="K834" s="19"/>
    </row>
    <row r="835" spans="9:11">
      <c r="I835" s="18"/>
      <c r="J835" s="18"/>
      <c r="K835" s="19"/>
    </row>
    <row r="836" spans="9:11">
      <c r="I836" s="18"/>
      <c r="J836" s="18"/>
      <c r="K836" s="19"/>
    </row>
    <row r="837" spans="9:11">
      <c r="I837" s="18"/>
      <c r="J837" s="18"/>
      <c r="K837" s="19"/>
    </row>
    <row r="838" spans="9:11">
      <c r="I838" s="18"/>
      <c r="J838" s="18"/>
      <c r="K838" s="19"/>
    </row>
    <row r="839" spans="9:11">
      <c r="I839" s="18"/>
      <c r="J839" s="18"/>
      <c r="K839" s="19"/>
    </row>
    <row r="840" spans="9:11">
      <c r="I840" s="18"/>
      <c r="J840" s="18"/>
      <c r="K840" s="19"/>
    </row>
    <row r="841" spans="9:11">
      <c r="I841" s="18"/>
      <c r="J841" s="18"/>
      <c r="K841" s="19"/>
    </row>
    <row r="842" spans="9:11">
      <c r="I842" s="18"/>
      <c r="J842" s="18"/>
      <c r="K842" s="19"/>
    </row>
    <row r="843" spans="9:11">
      <c r="I843" s="18"/>
      <c r="J843" s="18"/>
      <c r="K843" s="19"/>
    </row>
    <row r="844" spans="9:11">
      <c r="I844" s="18"/>
      <c r="J844" s="18"/>
      <c r="K844" s="19"/>
    </row>
    <row r="845" spans="9:11">
      <c r="I845" s="18"/>
      <c r="J845" s="18"/>
      <c r="K845" s="19"/>
    </row>
    <row r="846" spans="9:11">
      <c r="I846" s="18"/>
      <c r="J846" s="18"/>
      <c r="K846" s="19"/>
    </row>
    <row r="847" spans="9:11">
      <c r="I847" s="18"/>
      <c r="J847" s="18"/>
      <c r="K847" s="19"/>
    </row>
    <row r="848" spans="9:11">
      <c r="I848" s="18"/>
      <c r="J848" s="18"/>
      <c r="K848" s="19"/>
    </row>
    <row r="849" spans="9:11">
      <c r="I849" s="18"/>
      <c r="J849" s="18"/>
      <c r="K849" s="19"/>
    </row>
    <row r="850" spans="9:11">
      <c r="I850" s="18"/>
      <c r="J850" s="18"/>
      <c r="K850" s="19"/>
    </row>
    <row r="851" spans="9:11">
      <c r="I851" s="18"/>
      <c r="J851" s="18"/>
      <c r="K851" s="19"/>
    </row>
    <row r="852" spans="9:11">
      <c r="I852" s="18"/>
      <c r="J852" s="18"/>
      <c r="K852" s="19"/>
    </row>
    <row r="853" spans="9:11">
      <c r="I853" s="18"/>
      <c r="J853" s="18"/>
      <c r="K853" s="19"/>
    </row>
    <row r="854" spans="9:11">
      <c r="I854" s="18"/>
      <c r="J854" s="18"/>
      <c r="K854" s="19"/>
    </row>
    <row r="855" spans="9:11">
      <c r="I855" s="18"/>
      <c r="J855" s="18"/>
      <c r="K855" s="19"/>
    </row>
    <row r="856" spans="9:11">
      <c r="I856" s="18"/>
      <c r="J856" s="18"/>
      <c r="K856" s="19"/>
    </row>
    <row r="857" spans="9:11">
      <c r="I857" s="18"/>
      <c r="J857" s="18"/>
      <c r="K857" s="19"/>
    </row>
    <row r="858" spans="9:11">
      <c r="I858" s="18"/>
      <c r="J858" s="18"/>
      <c r="K858" s="19"/>
    </row>
    <row r="859" spans="9:11">
      <c r="I859" s="18"/>
      <c r="J859" s="18"/>
      <c r="K859" s="19"/>
    </row>
    <row r="860" spans="9:11">
      <c r="I860" s="18"/>
      <c r="J860" s="18"/>
      <c r="K860" s="19"/>
    </row>
    <row r="861" spans="9:11">
      <c r="I861" s="18"/>
      <c r="J861" s="18"/>
      <c r="K861" s="19"/>
    </row>
    <row r="862" spans="9:11">
      <c r="I862" s="18"/>
      <c r="J862" s="18"/>
      <c r="K862" s="19"/>
    </row>
    <row r="863" spans="9:11">
      <c r="I863" s="18"/>
      <c r="J863" s="18"/>
      <c r="K863" s="19"/>
    </row>
    <row r="864" spans="9:11">
      <c r="I864" s="18"/>
      <c r="J864" s="18"/>
      <c r="K864" s="19"/>
    </row>
    <row r="865" spans="9:11">
      <c r="I865" s="18"/>
      <c r="J865" s="18"/>
      <c r="K865" s="19"/>
    </row>
    <row r="866" spans="9:11">
      <c r="I866" s="18"/>
      <c r="J866" s="18"/>
      <c r="K866" s="19"/>
    </row>
    <row r="867" spans="9:11">
      <c r="I867" s="18"/>
      <c r="J867" s="18"/>
      <c r="K867" s="19"/>
    </row>
    <row r="868" spans="9:11">
      <c r="I868" s="18"/>
      <c r="J868" s="18"/>
      <c r="K868" s="19"/>
    </row>
    <row r="869" spans="9:11">
      <c r="I869" s="18"/>
      <c r="J869" s="18"/>
      <c r="K869" s="19"/>
    </row>
    <row r="870" spans="9:11">
      <c r="I870" s="18"/>
      <c r="J870" s="18"/>
      <c r="K870" s="19"/>
    </row>
    <row r="871" spans="9:11">
      <c r="I871" s="18"/>
      <c r="J871" s="18"/>
      <c r="K871" s="19"/>
    </row>
    <row r="872" spans="9:11">
      <c r="I872" s="18"/>
      <c r="J872" s="18"/>
      <c r="K872" s="19"/>
    </row>
    <row r="873" spans="9:11">
      <c r="I873" s="18"/>
      <c r="J873" s="18"/>
      <c r="K873" s="19"/>
    </row>
    <row r="874" spans="9:11">
      <c r="I874" s="18"/>
      <c r="J874" s="18"/>
      <c r="K874" s="19"/>
    </row>
    <row r="875" spans="9:11">
      <c r="I875" s="18"/>
      <c r="J875" s="18"/>
      <c r="K875" s="19"/>
    </row>
    <row r="876" spans="9:11">
      <c r="I876" s="18"/>
      <c r="J876" s="18"/>
      <c r="K876" s="19"/>
    </row>
    <row r="877" spans="9:11">
      <c r="I877" s="18"/>
      <c r="J877" s="18"/>
      <c r="K877" s="19"/>
    </row>
    <row r="878" spans="9:11">
      <c r="I878" s="18"/>
      <c r="J878" s="18"/>
      <c r="K878" s="19"/>
    </row>
    <row r="879" spans="9:11">
      <c r="I879" s="18"/>
      <c r="J879" s="18"/>
      <c r="K879" s="19"/>
    </row>
    <row r="880" spans="9:11">
      <c r="I880" s="18"/>
      <c r="J880" s="18"/>
      <c r="K880" s="19"/>
    </row>
    <row r="881" spans="9:11">
      <c r="I881" s="18"/>
      <c r="J881" s="18"/>
      <c r="K881" s="19"/>
    </row>
    <row r="882" spans="9:11">
      <c r="I882" s="18"/>
      <c r="J882" s="18"/>
      <c r="K882" s="19"/>
    </row>
    <row r="883" spans="9:11">
      <c r="I883" s="18"/>
      <c r="J883" s="18"/>
      <c r="K883" s="19"/>
    </row>
    <row r="884" spans="9:11">
      <c r="I884" s="18"/>
      <c r="J884" s="18"/>
      <c r="K884" s="19"/>
    </row>
    <row r="885" spans="9:11">
      <c r="I885" s="18"/>
      <c r="J885" s="18"/>
      <c r="K885" s="19"/>
    </row>
    <row r="886" spans="9:11">
      <c r="I886" s="18"/>
      <c r="J886" s="18"/>
      <c r="K886" s="19"/>
    </row>
    <row r="887" spans="9:11">
      <c r="I887" s="18"/>
      <c r="J887" s="18"/>
      <c r="K887" s="19"/>
    </row>
    <row r="888" spans="9:11">
      <c r="I888" s="18"/>
      <c r="J888" s="18"/>
      <c r="K888" s="19"/>
    </row>
    <row r="889" spans="9:11">
      <c r="I889" s="18"/>
      <c r="J889" s="18"/>
      <c r="K889" s="19"/>
    </row>
    <row r="890" spans="9:11">
      <c r="I890" s="18"/>
      <c r="J890" s="18"/>
      <c r="K890" s="19"/>
    </row>
    <row r="891" spans="9:11">
      <c r="I891" s="18"/>
      <c r="J891" s="18"/>
      <c r="K891" s="19"/>
    </row>
    <row r="892" spans="9:11">
      <c r="I892" s="18"/>
      <c r="J892" s="18"/>
      <c r="K892" s="19"/>
    </row>
    <row r="893" spans="9:11">
      <c r="I893" s="18"/>
      <c r="J893" s="18"/>
      <c r="K893" s="19"/>
    </row>
    <row r="894" spans="9:11">
      <c r="I894" s="18"/>
      <c r="J894" s="18"/>
      <c r="K894" s="19"/>
    </row>
    <row r="895" spans="9:11">
      <c r="I895" s="18"/>
      <c r="J895" s="18"/>
      <c r="K895" s="19"/>
    </row>
    <row r="896" spans="9:11">
      <c r="I896" s="18"/>
      <c r="J896" s="18"/>
      <c r="K896" s="19"/>
    </row>
    <row r="897" spans="9:11">
      <c r="I897" s="18"/>
      <c r="J897" s="18"/>
      <c r="K897" s="19"/>
    </row>
    <row r="898" spans="9:11">
      <c r="I898" s="18"/>
      <c r="J898" s="18"/>
      <c r="K898" s="19"/>
    </row>
    <row r="899" spans="9:11">
      <c r="I899" s="18"/>
      <c r="J899" s="18"/>
      <c r="K899" s="19"/>
    </row>
    <row r="900" spans="9:11">
      <c r="I900" s="18"/>
      <c r="J900" s="18"/>
      <c r="K900" s="19"/>
    </row>
    <row r="901" spans="9:11">
      <c r="I901" s="18"/>
      <c r="J901" s="18"/>
      <c r="K901" s="19"/>
    </row>
    <row r="902" spans="9:11">
      <c r="I902" s="18"/>
      <c r="J902" s="18"/>
      <c r="K902" s="19"/>
    </row>
    <row r="903" spans="9:11">
      <c r="I903" s="18"/>
      <c r="J903" s="18"/>
      <c r="K903" s="19"/>
    </row>
    <row r="904" spans="9:11">
      <c r="I904" s="18"/>
      <c r="J904" s="18"/>
      <c r="K904" s="19"/>
    </row>
    <row r="905" spans="9:11">
      <c r="I905" s="18"/>
      <c r="J905" s="18"/>
      <c r="K905" s="19"/>
    </row>
    <row r="906" spans="9:11">
      <c r="I906" s="18"/>
      <c r="J906" s="18"/>
      <c r="K906" s="19"/>
    </row>
    <row r="907" spans="9:11">
      <c r="I907" s="18"/>
      <c r="J907" s="18"/>
      <c r="K907" s="19"/>
    </row>
    <row r="908" spans="9:11">
      <c r="I908" s="18"/>
      <c r="J908" s="18"/>
      <c r="K908" s="19"/>
    </row>
    <row r="909" spans="9:11">
      <c r="I909" s="18"/>
      <c r="J909" s="18"/>
      <c r="K909" s="19"/>
    </row>
    <row r="910" spans="9:11">
      <c r="I910" s="18"/>
      <c r="J910" s="18"/>
      <c r="K910" s="19"/>
    </row>
    <row r="911" spans="9:11">
      <c r="I911" s="18"/>
      <c r="J911" s="18"/>
      <c r="K911" s="19"/>
    </row>
    <row r="912" spans="9:11">
      <c r="I912" s="18"/>
      <c r="J912" s="18"/>
      <c r="K912" s="19"/>
    </row>
    <row r="913" spans="9:11">
      <c r="I913" s="18"/>
      <c r="J913" s="18"/>
      <c r="K913" s="19"/>
    </row>
    <row r="914" spans="9:11">
      <c r="I914" s="18"/>
      <c r="J914" s="18"/>
      <c r="K914" s="19"/>
    </row>
    <row r="915" spans="9:11">
      <c r="I915" s="18"/>
      <c r="J915" s="18"/>
      <c r="K915" s="19"/>
    </row>
    <row r="916" spans="9:11">
      <c r="I916" s="18"/>
      <c r="J916" s="18"/>
      <c r="K916" s="19"/>
    </row>
    <row r="917" spans="9:11">
      <c r="I917" s="18"/>
      <c r="J917" s="18"/>
      <c r="K917" s="19"/>
    </row>
    <row r="918" spans="9:11">
      <c r="I918" s="18"/>
      <c r="J918" s="18"/>
      <c r="K918" s="19"/>
    </row>
    <row r="919" spans="9:11">
      <c r="I919" s="18"/>
      <c r="J919" s="18"/>
      <c r="K919" s="19"/>
    </row>
    <row r="920" spans="9:11">
      <c r="I920" s="18"/>
      <c r="J920" s="18"/>
      <c r="K920" s="19"/>
    </row>
    <row r="921" spans="9:11">
      <c r="I921" s="18"/>
      <c r="J921" s="18"/>
      <c r="K921" s="19"/>
    </row>
    <row r="922" spans="9:11">
      <c r="I922" s="18"/>
      <c r="J922" s="18"/>
      <c r="K922" s="19"/>
    </row>
    <row r="923" spans="9:11">
      <c r="I923" s="18"/>
      <c r="J923" s="18"/>
      <c r="K923" s="19"/>
    </row>
    <row r="924" spans="9:11">
      <c r="I924" s="18"/>
      <c r="J924" s="18"/>
      <c r="K924" s="19"/>
    </row>
    <row r="925" spans="9:11">
      <c r="I925" s="18"/>
      <c r="J925" s="18"/>
      <c r="K925" s="19"/>
    </row>
    <row r="926" spans="9:11">
      <c r="I926" s="18"/>
      <c r="J926" s="18"/>
      <c r="K926" s="19"/>
    </row>
    <row r="927" spans="9:11">
      <c r="I927" s="18"/>
      <c r="J927" s="18"/>
      <c r="K927" s="19"/>
    </row>
    <row r="928" spans="9:11">
      <c r="I928" s="18"/>
      <c r="J928" s="18"/>
      <c r="K928" s="19"/>
    </row>
    <row r="929" spans="9:11">
      <c r="I929" s="18"/>
      <c r="J929" s="18"/>
      <c r="K929" s="19"/>
    </row>
    <row r="930" spans="9:11">
      <c r="I930" s="18"/>
      <c r="J930" s="18"/>
      <c r="K930" s="19"/>
    </row>
    <row r="931" spans="9:11">
      <c r="I931" s="18"/>
      <c r="J931" s="18"/>
      <c r="K931" s="19"/>
    </row>
    <row r="932" spans="9:11">
      <c r="I932" s="18"/>
      <c r="J932" s="18"/>
      <c r="K932" s="19"/>
    </row>
    <row r="933" spans="9:11">
      <c r="I933" s="18"/>
      <c r="J933" s="18"/>
      <c r="K933" s="19"/>
    </row>
    <row r="934" spans="9:11">
      <c r="I934" s="18"/>
      <c r="J934" s="18"/>
      <c r="K934" s="19"/>
    </row>
    <row r="935" spans="9:11">
      <c r="I935" s="18"/>
      <c r="J935" s="18"/>
      <c r="K935" s="19"/>
    </row>
    <row r="936" spans="9:11">
      <c r="I936" s="18"/>
      <c r="J936" s="18"/>
      <c r="K936" s="19"/>
    </row>
    <row r="937" spans="9:11">
      <c r="I937" s="18"/>
      <c r="J937" s="18"/>
      <c r="K937" s="19"/>
    </row>
    <row r="938" spans="9:11">
      <c r="I938" s="18"/>
      <c r="J938" s="18"/>
      <c r="K938" s="19"/>
    </row>
    <row r="939" spans="9:11">
      <c r="I939" s="18"/>
      <c r="J939" s="18"/>
      <c r="K939" s="19"/>
    </row>
    <row r="940" spans="9:11">
      <c r="I940" s="18"/>
      <c r="J940" s="18"/>
      <c r="K940" s="19"/>
    </row>
    <row r="941" spans="9:11">
      <c r="I941" s="18"/>
      <c r="J941" s="18"/>
      <c r="K941" s="19"/>
    </row>
    <row r="942" spans="9:11">
      <c r="I942" s="18"/>
      <c r="J942" s="18"/>
      <c r="K942" s="19"/>
    </row>
    <row r="943" spans="9:11">
      <c r="I943" s="18"/>
      <c r="J943" s="18"/>
      <c r="K943" s="19"/>
    </row>
    <row r="944" spans="9:11">
      <c r="I944" s="18"/>
      <c r="J944" s="18"/>
      <c r="K944" s="19"/>
    </row>
    <row r="945" spans="9:11">
      <c r="I945" s="18"/>
      <c r="J945" s="18"/>
      <c r="K945" s="19"/>
    </row>
    <row r="946" spans="9:11">
      <c r="I946" s="18"/>
      <c r="J946" s="18"/>
      <c r="K946" s="19"/>
    </row>
    <row r="947" spans="9:11">
      <c r="I947" s="18"/>
      <c r="J947" s="18"/>
      <c r="K947" s="19"/>
    </row>
    <row r="948" spans="9:11">
      <c r="I948" s="18"/>
      <c r="J948" s="18"/>
      <c r="K948" s="19"/>
    </row>
    <row r="949" spans="9:11">
      <c r="I949" s="18"/>
      <c r="J949" s="18"/>
      <c r="K949" s="19"/>
    </row>
    <row r="950" spans="9:11">
      <c r="I950" s="18"/>
      <c r="J950" s="18"/>
      <c r="K950" s="19"/>
    </row>
    <row r="951" spans="9:11">
      <c r="I951" s="18"/>
      <c r="J951" s="18"/>
      <c r="K951" s="19"/>
    </row>
    <row r="952" spans="9:11">
      <c r="I952" s="18"/>
      <c r="J952" s="18"/>
      <c r="K952" s="19"/>
    </row>
    <row r="953" spans="9:11">
      <c r="I953" s="18"/>
      <c r="J953" s="18"/>
      <c r="K953" s="19"/>
    </row>
    <row r="954" spans="9:11">
      <c r="I954" s="18"/>
      <c r="J954" s="18"/>
      <c r="K954" s="19"/>
    </row>
    <row r="955" spans="9:11">
      <c r="I955" s="18"/>
      <c r="J955" s="18"/>
      <c r="K955" s="19"/>
    </row>
    <row r="956" spans="9:11">
      <c r="I956" s="18"/>
      <c r="J956" s="18"/>
      <c r="K956" s="19"/>
    </row>
    <row r="957" spans="9:11">
      <c r="I957" s="18"/>
      <c r="J957" s="18"/>
      <c r="K957" s="19"/>
    </row>
    <row r="958" spans="9:11">
      <c r="I958" s="18"/>
      <c r="J958" s="18"/>
      <c r="K958" s="19"/>
    </row>
    <row r="959" spans="9:11">
      <c r="I959" s="18"/>
      <c r="J959" s="18"/>
      <c r="K959" s="19"/>
    </row>
    <row r="960" spans="9:11">
      <c r="I960" s="18"/>
      <c r="J960" s="18"/>
      <c r="K960" s="19"/>
    </row>
    <row r="961" spans="9:11">
      <c r="I961" s="18"/>
      <c r="J961" s="18"/>
      <c r="K961" s="19"/>
    </row>
    <row r="962" spans="9:11">
      <c r="I962" s="18"/>
      <c r="J962" s="18"/>
      <c r="K962" s="19"/>
    </row>
    <row r="963" spans="9:11">
      <c r="I963" s="18"/>
      <c r="J963" s="18"/>
      <c r="K963" s="19"/>
    </row>
    <row r="964" spans="9:11">
      <c r="I964" s="18"/>
      <c r="J964" s="18"/>
      <c r="K964" s="19"/>
    </row>
    <row r="965" spans="9:11">
      <c r="I965" s="18"/>
      <c r="J965" s="18"/>
      <c r="K965" s="19"/>
    </row>
    <row r="966" spans="9:11">
      <c r="I966" s="18"/>
      <c r="J966" s="18"/>
      <c r="K966" s="19"/>
    </row>
    <row r="967" spans="9:11">
      <c r="I967" s="18"/>
      <c r="J967" s="18"/>
      <c r="K967" s="19"/>
    </row>
    <row r="968" spans="9:11">
      <c r="I968" s="18"/>
      <c r="J968" s="18"/>
      <c r="K968" s="19"/>
    </row>
    <row r="969" spans="9:11">
      <c r="I969" s="18"/>
      <c r="J969" s="18"/>
      <c r="K969" s="19"/>
    </row>
    <row r="970" spans="9:11">
      <c r="I970" s="18"/>
      <c r="J970" s="18"/>
      <c r="K970" s="19"/>
    </row>
    <row r="971" spans="9:11">
      <c r="I971" s="18"/>
      <c r="J971" s="18"/>
      <c r="K971" s="19"/>
    </row>
    <row r="972" spans="9:11">
      <c r="I972" s="18"/>
      <c r="J972" s="18"/>
      <c r="K972" s="19"/>
    </row>
    <row r="973" spans="9:11">
      <c r="I973" s="18"/>
      <c r="J973" s="18"/>
      <c r="K973" s="19"/>
    </row>
    <row r="974" spans="9:11">
      <c r="I974" s="18"/>
      <c r="J974" s="18"/>
      <c r="K974" s="19"/>
    </row>
    <row r="975" spans="9:11">
      <c r="I975" s="18"/>
      <c r="J975" s="18"/>
      <c r="K975" s="19"/>
    </row>
    <row r="976" spans="9:11">
      <c r="I976" s="18"/>
      <c r="J976" s="18"/>
      <c r="K976" s="19"/>
    </row>
    <row r="977" spans="9:11">
      <c r="I977" s="18"/>
      <c r="J977" s="18"/>
      <c r="K977" s="19"/>
    </row>
    <row r="978" spans="9:11">
      <c r="I978" s="18"/>
      <c r="J978" s="18"/>
      <c r="K978" s="19"/>
    </row>
    <row r="979" spans="9:11">
      <c r="I979" s="18"/>
      <c r="J979" s="18"/>
      <c r="K979" s="19"/>
    </row>
    <row r="980" spans="9:11">
      <c r="I980" s="18"/>
      <c r="J980" s="18"/>
      <c r="K980" s="19"/>
    </row>
    <row r="981" spans="9:11">
      <c r="I981" s="18"/>
      <c r="J981" s="18"/>
      <c r="K981" s="19"/>
    </row>
    <row r="982" spans="9:11">
      <c r="I982" s="18"/>
      <c r="J982" s="18"/>
      <c r="K982" s="19"/>
    </row>
    <row r="983" spans="9:11">
      <c r="I983" s="18"/>
      <c r="J983" s="18"/>
      <c r="K983" s="19"/>
    </row>
    <row r="984" spans="9:11">
      <c r="I984" s="18"/>
      <c r="J984" s="18"/>
      <c r="K984" s="19"/>
    </row>
    <row r="985" spans="9:11">
      <c r="I985" s="18"/>
      <c r="J985" s="18"/>
      <c r="K985" s="19"/>
    </row>
    <row r="986" spans="9:11">
      <c r="I986" s="18"/>
      <c r="J986" s="18"/>
      <c r="K986" s="19"/>
    </row>
    <row r="987" spans="9:11">
      <c r="I987" s="18"/>
      <c r="J987" s="18"/>
      <c r="K987" s="19"/>
    </row>
    <row r="988" spans="9:11">
      <c r="I988" s="18"/>
      <c r="J988" s="18"/>
      <c r="K988" s="19"/>
    </row>
    <row r="989" spans="9:11">
      <c r="I989" s="18"/>
      <c r="J989" s="18"/>
      <c r="K989" s="19"/>
    </row>
    <row r="990" spans="9:11">
      <c r="I990" s="18"/>
      <c r="J990" s="18"/>
      <c r="K990" s="19"/>
    </row>
    <row r="991" spans="9:11">
      <c r="I991" s="18"/>
      <c r="J991" s="18"/>
      <c r="K991" s="19"/>
    </row>
    <row r="992" spans="9:11">
      <c r="I992" s="18"/>
      <c r="J992" s="18"/>
      <c r="K992" s="19"/>
    </row>
    <row r="993" spans="9:11">
      <c r="I993" s="18"/>
      <c r="J993" s="18"/>
      <c r="K993" s="19"/>
    </row>
    <row r="994" spans="9:11">
      <c r="I994" s="18"/>
      <c r="J994" s="18"/>
      <c r="K994" s="19"/>
    </row>
    <row r="995" spans="9:11">
      <c r="I995" s="18"/>
      <c r="J995" s="18"/>
      <c r="K995" s="19"/>
    </row>
    <row r="996" spans="9:11">
      <c r="I996" s="18"/>
      <c r="J996" s="18"/>
      <c r="K996" s="19"/>
    </row>
    <row r="997" spans="9:11">
      <c r="I997" s="18"/>
      <c r="J997" s="18"/>
      <c r="K997" s="19"/>
    </row>
    <row r="998" spans="9:11">
      <c r="I998" s="18"/>
      <c r="J998" s="18"/>
      <c r="K998" s="19"/>
    </row>
    <row r="999" spans="9:11">
      <c r="I999" s="18"/>
      <c r="J999" s="18"/>
      <c r="K999" s="19"/>
    </row>
    <row r="1000" spans="9:11">
      <c r="I1000" s="18"/>
      <c r="J1000" s="18"/>
      <c r="K1000" s="19"/>
    </row>
    <row r="1001" spans="9:11">
      <c r="I1001" s="18"/>
      <c r="J1001" s="18"/>
      <c r="K1001" s="19"/>
    </row>
    <row r="1002" spans="9:11">
      <c r="I1002" s="18"/>
      <c r="J1002" s="18"/>
      <c r="K1002" s="19"/>
    </row>
    <row r="1003" spans="9:11">
      <c r="I1003" s="18"/>
      <c r="J1003" s="18"/>
      <c r="K1003" s="19"/>
    </row>
    <row r="1004" spans="9:11">
      <c r="I1004" s="18"/>
      <c r="J1004" s="18"/>
      <c r="K1004" s="19"/>
    </row>
    <row r="1005" spans="9:11">
      <c r="I1005" s="18"/>
      <c r="J1005" s="18"/>
      <c r="K1005" s="19"/>
    </row>
    <row r="1006" spans="9:11">
      <c r="I1006" s="18"/>
      <c r="J1006" s="18"/>
      <c r="K1006" s="19"/>
    </row>
    <row r="1007" spans="9:11">
      <c r="I1007" s="18"/>
      <c r="J1007" s="18"/>
      <c r="K1007" s="19"/>
    </row>
    <row r="1008" spans="9:11">
      <c r="I1008" s="18"/>
      <c r="J1008" s="18"/>
      <c r="K1008" s="19"/>
    </row>
    <row r="1009" spans="9:11">
      <c r="I1009" s="18"/>
      <c r="J1009" s="18"/>
      <c r="K1009" s="19"/>
    </row>
    <row r="1010" spans="9:11">
      <c r="I1010" s="18"/>
      <c r="J1010" s="18"/>
      <c r="K1010" s="19"/>
    </row>
    <row r="1011" spans="9:11">
      <c r="I1011" s="18"/>
      <c r="J1011" s="18"/>
      <c r="K1011" s="19"/>
    </row>
    <row r="1012" spans="9:11">
      <c r="I1012" s="18"/>
      <c r="J1012" s="18"/>
      <c r="K1012" s="19"/>
    </row>
    <row r="1013" spans="9:11">
      <c r="I1013" s="18"/>
      <c r="J1013" s="18"/>
      <c r="K1013" s="19"/>
    </row>
    <row r="1014" spans="9:11">
      <c r="I1014" s="18"/>
      <c r="J1014" s="18"/>
      <c r="K1014" s="19"/>
    </row>
    <row r="1015" spans="9:11">
      <c r="I1015" s="18"/>
      <c r="J1015" s="18"/>
      <c r="K1015" s="19"/>
    </row>
    <row r="1016" spans="9:11">
      <c r="I1016" s="18"/>
      <c r="J1016" s="18"/>
      <c r="K1016" s="19"/>
    </row>
    <row r="1017" spans="9:11">
      <c r="I1017" s="18"/>
      <c r="J1017" s="18"/>
      <c r="K1017" s="19"/>
    </row>
    <row r="1018" spans="9:11">
      <c r="I1018" s="18"/>
      <c r="J1018" s="18"/>
      <c r="K1018" s="19"/>
    </row>
    <row r="1019" spans="9:11">
      <c r="I1019" s="18"/>
      <c r="J1019" s="18"/>
      <c r="K1019" s="19"/>
    </row>
    <row r="1020" spans="9:11">
      <c r="I1020" s="18"/>
      <c r="J1020" s="18"/>
      <c r="K1020" s="19"/>
    </row>
    <row r="1021" spans="9:11">
      <c r="I1021" s="18"/>
      <c r="J1021" s="18"/>
      <c r="K1021" s="19"/>
    </row>
    <row r="1022" spans="9:11">
      <c r="I1022" s="18"/>
      <c r="J1022" s="18"/>
      <c r="K1022" s="19"/>
    </row>
    <row r="1023" spans="9:11">
      <c r="I1023" s="18"/>
      <c r="J1023" s="18"/>
      <c r="K1023" s="19"/>
    </row>
    <row r="1024" spans="9:11">
      <c r="I1024" s="18"/>
      <c r="J1024" s="18"/>
      <c r="K1024" s="19"/>
    </row>
    <row r="1025" spans="9:11">
      <c r="I1025" s="18"/>
      <c r="J1025" s="18"/>
      <c r="K1025" s="19"/>
    </row>
    <row r="1026" spans="9:11">
      <c r="I1026" s="18"/>
      <c r="J1026" s="18"/>
      <c r="K1026" s="19"/>
    </row>
    <row r="1027" spans="9:11">
      <c r="I1027" s="18"/>
      <c r="J1027" s="18"/>
      <c r="K1027" s="19"/>
    </row>
    <row r="1028" spans="9:11">
      <c r="I1028" s="18"/>
      <c r="J1028" s="18"/>
      <c r="K1028" s="19"/>
    </row>
    <row r="1029" spans="9:11">
      <c r="I1029" s="18"/>
      <c r="J1029" s="18"/>
      <c r="K1029" s="19"/>
    </row>
    <row r="1030" spans="9:11">
      <c r="I1030" s="18"/>
      <c r="J1030" s="18"/>
      <c r="K1030" s="19"/>
    </row>
    <row r="1031" spans="9:11">
      <c r="I1031" s="18"/>
      <c r="J1031" s="18"/>
      <c r="K1031" s="19"/>
    </row>
    <row r="1032" spans="9:11">
      <c r="I1032" s="18"/>
      <c r="J1032" s="18"/>
      <c r="K1032" s="19"/>
    </row>
    <row r="1033" spans="9:11">
      <c r="I1033" s="18"/>
      <c r="J1033" s="18"/>
      <c r="K1033" s="19"/>
    </row>
    <row r="1034" spans="9:11">
      <c r="I1034" s="18"/>
      <c r="J1034" s="18"/>
      <c r="K1034" s="19"/>
    </row>
    <row r="1035" spans="9:11">
      <c r="I1035" s="18"/>
      <c r="J1035" s="18"/>
      <c r="K1035" s="19"/>
    </row>
    <row r="1036" spans="9:11">
      <c r="I1036" s="18"/>
      <c r="J1036" s="18"/>
      <c r="K1036" s="19"/>
    </row>
    <row r="1037" spans="9:11">
      <c r="I1037" s="18"/>
      <c r="J1037" s="18"/>
      <c r="K1037" s="19"/>
    </row>
    <row r="1038" spans="9:11">
      <c r="I1038" s="18"/>
      <c r="J1038" s="18"/>
      <c r="K1038" s="19"/>
    </row>
    <row r="1039" spans="9:11">
      <c r="I1039" s="18"/>
      <c r="J1039" s="18"/>
      <c r="K1039" s="19"/>
    </row>
    <row r="1040" spans="9:11">
      <c r="I1040" s="18"/>
      <c r="J1040" s="18"/>
      <c r="K1040" s="19"/>
    </row>
    <row r="1041" spans="9:11">
      <c r="I1041" s="18"/>
      <c r="J1041" s="18"/>
      <c r="K1041" s="19"/>
    </row>
    <row r="1042" spans="9:11">
      <c r="I1042" s="18"/>
      <c r="J1042" s="18"/>
      <c r="K1042" s="19"/>
    </row>
    <row r="1043" spans="9:11">
      <c r="I1043" s="18"/>
      <c r="J1043" s="18"/>
      <c r="K1043" s="19"/>
    </row>
    <row r="1044" spans="9:11">
      <c r="I1044" s="18"/>
      <c r="J1044" s="18"/>
      <c r="K1044" s="19"/>
    </row>
    <row r="1045" spans="9:11">
      <c r="I1045" s="18"/>
      <c r="J1045" s="18"/>
      <c r="K1045" s="19"/>
    </row>
    <row r="1046" spans="9:11">
      <c r="I1046" s="18"/>
      <c r="J1046" s="18"/>
      <c r="K1046" s="19"/>
    </row>
    <row r="1047" spans="9:11">
      <c r="I1047" s="18"/>
      <c r="J1047" s="18"/>
      <c r="K1047" s="19"/>
    </row>
    <row r="1048" spans="9:11">
      <c r="I1048" s="18"/>
      <c r="J1048" s="18"/>
      <c r="K1048" s="19"/>
    </row>
    <row r="1049" spans="9:11">
      <c r="I1049" s="18"/>
      <c r="J1049" s="18"/>
      <c r="K1049" s="19"/>
    </row>
    <row r="1050" spans="9:11">
      <c r="I1050" s="18"/>
      <c r="J1050" s="18"/>
      <c r="K1050" s="19"/>
    </row>
    <row r="1051" spans="9:11">
      <c r="I1051" s="18"/>
      <c r="J1051" s="18"/>
      <c r="K1051" s="19"/>
    </row>
    <row r="1052" spans="9:11">
      <c r="I1052" s="18"/>
      <c r="J1052" s="18"/>
      <c r="K1052" s="19"/>
    </row>
    <row r="1053" spans="9:11">
      <c r="I1053" s="18"/>
      <c r="J1053" s="18"/>
      <c r="K1053" s="19"/>
    </row>
    <row r="1054" spans="9:11">
      <c r="I1054" s="18"/>
      <c r="J1054" s="18"/>
      <c r="K1054" s="19"/>
    </row>
    <row r="1055" spans="9:11">
      <c r="I1055" s="18"/>
      <c r="J1055" s="18"/>
      <c r="K1055" s="19"/>
    </row>
    <row r="1056" spans="9:11">
      <c r="I1056" s="18"/>
      <c r="J1056" s="18"/>
      <c r="K1056" s="19"/>
    </row>
    <row r="1057" spans="9:11">
      <c r="I1057" s="18"/>
      <c r="J1057" s="18"/>
      <c r="K1057" s="19"/>
    </row>
    <row r="1058" spans="9:11">
      <c r="I1058" s="18"/>
      <c r="J1058" s="18"/>
      <c r="K1058" s="19"/>
    </row>
    <row r="1059" spans="9:11">
      <c r="I1059" s="18"/>
      <c r="J1059" s="18"/>
      <c r="K1059" s="19"/>
    </row>
    <row r="1060" spans="9:11">
      <c r="I1060" s="18"/>
      <c r="J1060" s="18"/>
      <c r="K1060" s="19"/>
    </row>
    <row r="1061" spans="9:11">
      <c r="I1061" s="18"/>
      <c r="J1061" s="18"/>
      <c r="K1061" s="19"/>
    </row>
    <row r="1062" spans="9:11">
      <c r="I1062" s="18"/>
      <c r="J1062" s="18"/>
      <c r="K1062" s="19"/>
    </row>
    <row r="1063" spans="9:11">
      <c r="I1063" s="18"/>
      <c r="J1063" s="18"/>
      <c r="K1063" s="19"/>
    </row>
    <row r="1064" spans="9:11">
      <c r="I1064" s="18"/>
      <c r="J1064" s="18"/>
      <c r="K1064" s="19"/>
    </row>
    <row r="1065" spans="9:11">
      <c r="I1065" s="18"/>
      <c r="J1065" s="18"/>
      <c r="K1065" s="19"/>
    </row>
    <row r="1066" spans="9:11">
      <c r="I1066" s="18"/>
      <c r="J1066" s="18"/>
      <c r="K1066" s="19"/>
    </row>
    <row r="1067" spans="9:11">
      <c r="I1067" s="18"/>
      <c r="J1067" s="18"/>
      <c r="K1067" s="19"/>
    </row>
    <row r="1068" spans="9:11">
      <c r="I1068" s="18"/>
      <c r="J1068" s="18"/>
      <c r="K1068" s="19"/>
    </row>
    <row r="1069" spans="9:11">
      <c r="I1069" s="18"/>
      <c r="J1069" s="18"/>
      <c r="K1069" s="19"/>
    </row>
    <row r="1070" spans="9:11">
      <c r="I1070" s="18"/>
      <c r="J1070" s="18"/>
      <c r="K1070" s="19"/>
    </row>
    <row r="1071" spans="9:11">
      <c r="I1071" s="18"/>
      <c r="J1071" s="18"/>
      <c r="K1071" s="19"/>
    </row>
    <row r="1072" spans="9:11">
      <c r="I1072" s="18"/>
      <c r="J1072" s="18"/>
      <c r="K1072" s="19"/>
    </row>
    <row r="1073" spans="9:11">
      <c r="I1073" s="18"/>
      <c r="J1073" s="18"/>
      <c r="K1073" s="19"/>
    </row>
    <row r="1074" spans="9:11">
      <c r="I1074" s="18"/>
      <c r="J1074" s="18"/>
      <c r="K1074" s="19"/>
    </row>
    <row r="1075" spans="9:11">
      <c r="I1075" s="18"/>
      <c r="J1075" s="18"/>
      <c r="K1075" s="19"/>
    </row>
    <row r="1076" spans="9:11">
      <c r="I1076" s="18"/>
      <c r="J1076" s="18"/>
      <c r="K1076" s="19"/>
    </row>
    <row r="1077" spans="9:11">
      <c r="I1077" s="18"/>
      <c r="J1077" s="18"/>
      <c r="K1077" s="19"/>
    </row>
    <row r="1078" spans="9:11">
      <c r="I1078" s="18"/>
      <c r="J1078" s="18"/>
      <c r="K1078" s="19"/>
    </row>
    <row r="1079" spans="9:11">
      <c r="I1079" s="18"/>
      <c r="J1079" s="18"/>
      <c r="K1079" s="19"/>
    </row>
    <row r="1080" spans="9:11">
      <c r="I1080" s="18"/>
      <c r="J1080" s="18"/>
      <c r="K1080" s="19"/>
    </row>
    <row r="1081" spans="9:11">
      <c r="I1081" s="18"/>
      <c r="J1081" s="18"/>
      <c r="K1081" s="19"/>
    </row>
    <row r="1082" spans="9:11">
      <c r="I1082" s="18"/>
      <c r="J1082" s="18"/>
      <c r="K1082" s="19"/>
    </row>
    <row r="1083" spans="9:11">
      <c r="I1083" s="18"/>
      <c r="J1083" s="18"/>
      <c r="K1083" s="19"/>
    </row>
    <row r="1084" spans="9:11">
      <c r="I1084" s="18"/>
      <c r="J1084" s="18"/>
      <c r="K1084" s="19"/>
    </row>
    <row r="1085" spans="9:11">
      <c r="I1085" s="18"/>
      <c r="J1085" s="18"/>
      <c r="K1085" s="19"/>
    </row>
    <row r="1086" spans="9:11">
      <c r="I1086" s="18"/>
      <c r="J1086" s="18"/>
      <c r="K1086" s="19"/>
    </row>
    <row r="1087" spans="9:11">
      <c r="I1087" s="18"/>
      <c r="J1087" s="18"/>
      <c r="K1087" s="19"/>
    </row>
    <row r="1088" spans="9:11">
      <c r="I1088" s="18"/>
      <c r="J1088" s="18"/>
      <c r="K1088" s="19"/>
    </row>
    <row r="1089" spans="9:11">
      <c r="I1089" s="18"/>
      <c r="J1089" s="18"/>
      <c r="K1089" s="19"/>
    </row>
    <row r="1090" spans="9:11">
      <c r="I1090" s="18"/>
      <c r="J1090" s="18"/>
      <c r="K1090" s="19"/>
    </row>
    <row r="1091" spans="9:11">
      <c r="I1091" s="18"/>
      <c r="J1091" s="18"/>
      <c r="K1091" s="19"/>
    </row>
    <row r="1092" spans="9:11">
      <c r="I1092" s="18"/>
      <c r="J1092" s="18"/>
      <c r="K1092" s="19"/>
    </row>
    <row r="1093" spans="9:11">
      <c r="I1093" s="18"/>
      <c r="J1093" s="18"/>
      <c r="K1093" s="19"/>
    </row>
    <row r="1094" spans="9:11">
      <c r="I1094" s="18"/>
      <c r="J1094" s="18"/>
      <c r="K1094" s="19"/>
    </row>
    <row r="1095" spans="9:11">
      <c r="I1095" s="18"/>
      <c r="J1095" s="18"/>
      <c r="K1095" s="19"/>
    </row>
    <row r="1096" spans="9:11">
      <c r="I1096" s="18"/>
      <c r="J1096" s="18"/>
      <c r="K1096" s="19"/>
    </row>
    <row r="1097" spans="9:11">
      <c r="I1097" s="18"/>
      <c r="J1097" s="18"/>
      <c r="K1097" s="19"/>
    </row>
    <row r="1098" spans="9:11">
      <c r="I1098" s="18"/>
      <c r="J1098" s="18"/>
      <c r="K1098" s="19"/>
    </row>
    <row r="1099" spans="9:11">
      <c r="I1099" s="18"/>
      <c r="J1099" s="18"/>
      <c r="K1099" s="19"/>
    </row>
    <row r="1100" spans="9:11">
      <c r="I1100" s="18"/>
      <c r="J1100" s="18"/>
      <c r="K1100" s="19"/>
    </row>
    <row r="1101" spans="9:11">
      <c r="I1101" s="18"/>
      <c r="J1101" s="18"/>
      <c r="K1101" s="19"/>
    </row>
    <row r="1102" spans="9:11">
      <c r="I1102" s="18"/>
      <c r="J1102" s="18"/>
      <c r="K1102" s="19"/>
    </row>
    <row r="1103" spans="9:11">
      <c r="I1103" s="18"/>
      <c r="J1103" s="18"/>
      <c r="K1103" s="19"/>
    </row>
    <row r="1104" spans="9:11">
      <c r="I1104" s="18"/>
      <c r="J1104" s="18"/>
      <c r="K1104" s="19"/>
    </row>
    <row r="1105" spans="9:11">
      <c r="I1105" s="18"/>
      <c r="J1105" s="18"/>
      <c r="K1105" s="19"/>
    </row>
    <row r="1106" spans="9:11">
      <c r="I1106" s="18"/>
      <c r="J1106" s="18"/>
      <c r="K1106" s="19"/>
    </row>
    <row r="1107" spans="9:11">
      <c r="I1107" s="18"/>
      <c r="J1107" s="18"/>
      <c r="K1107" s="19"/>
    </row>
    <row r="1108" spans="9:11">
      <c r="I1108" s="18"/>
      <c r="J1108" s="18"/>
      <c r="K1108" s="19"/>
    </row>
    <row r="1109" spans="9:11">
      <c r="I1109" s="18"/>
      <c r="J1109" s="18"/>
      <c r="K1109" s="19"/>
    </row>
    <row r="1110" spans="9:11">
      <c r="I1110" s="18"/>
      <c r="J1110" s="18"/>
      <c r="K1110" s="19"/>
    </row>
    <row r="1111" spans="9:11">
      <c r="I1111" s="18"/>
      <c r="J1111" s="18"/>
      <c r="K1111" s="19"/>
    </row>
    <row r="1112" spans="9:11">
      <c r="I1112" s="18"/>
      <c r="J1112" s="18"/>
      <c r="K1112" s="19"/>
    </row>
    <row r="1113" spans="9:11">
      <c r="I1113" s="18"/>
      <c r="J1113" s="18"/>
      <c r="K1113" s="19"/>
    </row>
    <row r="1114" spans="9:11">
      <c r="I1114" s="18"/>
      <c r="J1114" s="18"/>
      <c r="K1114" s="19"/>
    </row>
    <row r="1115" spans="9:11">
      <c r="I1115" s="18"/>
      <c r="J1115" s="18"/>
      <c r="K1115" s="19"/>
    </row>
    <row r="1116" spans="9:11">
      <c r="I1116" s="18"/>
      <c r="J1116" s="18"/>
      <c r="K1116" s="19"/>
    </row>
    <row r="1117" spans="9:11">
      <c r="I1117" s="18"/>
      <c r="J1117" s="18"/>
      <c r="K1117" s="19"/>
    </row>
    <row r="1118" spans="9:11">
      <c r="I1118" s="18"/>
      <c r="J1118" s="18"/>
      <c r="K1118" s="19"/>
    </row>
    <row r="1119" spans="9:11">
      <c r="I1119" s="18"/>
      <c r="J1119" s="18"/>
      <c r="K1119" s="19"/>
    </row>
    <row r="1120" spans="9:11">
      <c r="I1120" s="18"/>
      <c r="J1120" s="18"/>
      <c r="K1120" s="19"/>
    </row>
    <row r="1121" spans="9:11">
      <c r="I1121" s="18"/>
      <c r="J1121" s="18"/>
      <c r="K1121" s="19"/>
    </row>
    <row r="1122" spans="9:11">
      <c r="I1122" s="18"/>
      <c r="J1122" s="18"/>
      <c r="K1122" s="19"/>
    </row>
    <row r="1123" spans="9:11">
      <c r="I1123" s="18"/>
      <c r="J1123" s="18"/>
      <c r="K1123" s="19"/>
    </row>
    <row r="1124" spans="9:11">
      <c r="I1124" s="18"/>
      <c r="J1124" s="18"/>
      <c r="K1124" s="19"/>
    </row>
    <row r="1125" spans="9:11">
      <c r="I1125" s="18"/>
      <c r="J1125" s="18"/>
      <c r="K1125" s="19"/>
    </row>
    <row r="1126" spans="9:11">
      <c r="I1126" s="18"/>
      <c r="J1126" s="18"/>
      <c r="K1126" s="19"/>
    </row>
    <row r="1127" spans="9:11">
      <c r="I1127" s="18"/>
      <c r="J1127" s="18"/>
      <c r="K1127" s="19"/>
    </row>
    <row r="1128" spans="9:11">
      <c r="I1128" s="18"/>
      <c r="J1128" s="18"/>
      <c r="K1128" s="19"/>
    </row>
    <row r="1129" spans="9:11">
      <c r="I1129" s="18"/>
      <c r="J1129" s="18"/>
      <c r="K1129" s="19"/>
    </row>
    <row r="1130" spans="9:11">
      <c r="I1130" s="18"/>
      <c r="J1130" s="18"/>
      <c r="K1130" s="19"/>
    </row>
    <row r="1131" spans="9:11">
      <c r="I1131" s="18"/>
      <c r="J1131" s="18"/>
      <c r="K1131" s="19"/>
    </row>
    <row r="1132" spans="9:11">
      <c r="I1132" s="18"/>
      <c r="J1132" s="18"/>
      <c r="K1132" s="19"/>
    </row>
    <row r="1133" spans="9:11">
      <c r="I1133" s="18"/>
      <c r="J1133" s="18"/>
      <c r="K1133" s="19"/>
    </row>
    <row r="1134" spans="9:11">
      <c r="I1134" s="18"/>
      <c r="J1134" s="18"/>
      <c r="K1134" s="19"/>
    </row>
    <row r="1135" spans="9:11">
      <c r="I1135" s="18"/>
      <c r="J1135" s="18"/>
      <c r="K1135" s="19"/>
    </row>
    <row r="1136" spans="9:11">
      <c r="I1136" s="18"/>
      <c r="J1136" s="18"/>
      <c r="K1136" s="19"/>
    </row>
    <row r="1137" spans="9:11">
      <c r="I1137" s="18"/>
      <c r="J1137" s="18"/>
      <c r="K1137" s="19"/>
    </row>
    <row r="1138" spans="9:11">
      <c r="I1138" s="18"/>
      <c r="J1138" s="18"/>
      <c r="K1138" s="19"/>
    </row>
    <row r="1139" spans="9:11">
      <c r="I1139" s="18"/>
      <c r="J1139" s="18"/>
      <c r="K1139" s="19"/>
    </row>
    <row r="1140" spans="9:11">
      <c r="I1140" s="18"/>
      <c r="J1140" s="18"/>
      <c r="K1140" s="19"/>
    </row>
    <row r="1141" spans="9:11">
      <c r="I1141" s="18"/>
      <c r="J1141" s="18"/>
      <c r="K1141" s="19"/>
    </row>
    <row r="1142" spans="9:11">
      <c r="I1142" s="18"/>
      <c r="J1142" s="18"/>
      <c r="K1142" s="19"/>
    </row>
    <row r="1143" spans="9:11">
      <c r="I1143" s="18"/>
      <c r="J1143" s="18"/>
      <c r="K1143" s="19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topLeftCell="A7" workbookViewId="0">
      <selection activeCell="E18" sqref="E18"/>
    </sheetView>
  </sheetViews>
  <sheetFormatPr defaultColWidth="9" defaultRowHeight="16.5"/>
  <cols>
    <col min="1" max="1" width="12.625" style="2" customWidth="1"/>
    <col min="2" max="3" width="9" style="2"/>
    <col min="4" max="4" width="11.125" style="2" customWidth="1"/>
    <col min="5" max="5" width="14.625" style="2" customWidth="1"/>
    <col min="6" max="6" width="10" style="2" customWidth="1"/>
    <col min="7" max="7" width="9" style="2"/>
    <col min="8" max="8" width="7.25" style="2" customWidth="1"/>
    <col min="9" max="9" width="11.125" style="2" customWidth="1"/>
    <col min="10" max="10" width="9" style="2"/>
    <col min="11" max="12" width="13" style="2" customWidth="1"/>
    <col min="13" max="13" width="15.875" style="2" customWidth="1"/>
    <col min="14" max="16384" width="9" style="2"/>
  </cols>
  <sheetData>
    <row r="1" s="1" customFormat="1" spans="1:13">
      <c r="A1" s="3" t="s">
        <v>43</v>
      </c>
      <c r="B1" s="3" t="s">
        <v>44</v>
      </c>
      <c r="C1" s="3" t="s">
        <v>2</v>
      </c>
      <c r="D1" s="3" t="s">
        <v>45</v>
      </c>
      <c r="E1" s="3" t="s">
        <v>46</v>
      </c>
      <c r="F1" s="3" t="s">
        <v>47</v>
      </c>
      <c r="I1" s="3" t="s">
        <v>0</v>
      </c>
      <c r="J1" s="3" t="s">
        <v>44</v>
      </c>
      <c r="K1" s="3" t="s">
        <v>48</v>
      </c>
      <c r="L1" s="3" t="s">
        <v>46</v>
      </c>
      <c r="M1" s="3" t="s">
        <v>49</v>
      </c>
    </row>
    <row r="2" customHeight="1" spans="1:13">
      <c r="A2" s="4" t="s">
        <v>50</v>
      </c>
      <c r="B2" s="5" t="s">
        <v>51</v>
      </c>
      <c r="C2" s="5" t="s">
        <v>52</v>
      </c>
      <c r="D2" s="5">
        <f>COUNTIFS(明细!$C:$C,各部门完成情况!C2,明细!$I:$I,"&gt;0")</f>
        <v>0</v>
      </c>
      <c r="E2" s="5">
        <f>COUNTIFS(明细!$C:$C,各部门完成情况!C2,明细!$K:$K,"&gt;=70")</f>
        <v>0</v>
      </c>
      <c r="F2" s="6" t="str">
        <f>IF(D2=0,"0.00%",E2/D2)</f>
        <v>0.00%</v>
      </c>
      <c r="I2" s="5" t="s">
        <v>53</v>
      </c>
      <c r="J2" s="5" t="s">
        <v>54</v>
      </c>
      <c r="K2" s="5">
        <f>COUNTIFS(明细!$B:$B,各部门完成情况!J2,明细!$J:$J,"&gt;0")</f>
        <v>0</v>
      </c>
      <c r="L2" s="5">
        <f>COUNTIFS(明细!$B:$B,各部门完成情况!J2,明细!$K:$K,"&gt;70")</f>
        <v>0</v>
      </c>
      <c r="M2" s="6" t="e">
        <f>L2/K2</f>
        <v>#DIV/0!</v>
      </c>
    </row>
    <row r="3" spans="1:13">
      <c r="A3" s="4"/>
      <c r="B3" s="5" t="s">
        <v>51</v>
      </c>
      <c r="C3" s="5" t="s">
        <v>55</v>
      </c>
      <c r="D3" s="5">
        <f>COUNTIFS(明细!$C:$C,各部门完成情况!C3,明细!$I:$I,"&gt;0")</f>
        <v>0</v>
      </c>
      <c r="E3" s="5">
        <f>COUNTIFS(明细!$C:$C,各部门完成情况!C3,明细!$K:$K,"&gt;=70")</f>
        <v>0</v>
      </c>
      <c r="F3" s="6" t="str">
        <f t="shared" ref="F3" si="0">IF(D3=0,"0.00%",E3/D3)</f>
        <v>0.00%</v>
      </c>
      <c r="I3" s="5" t="s">
        <v>53</v>
      </c>
      <c r="J3" s="5" t="s">
        <v>56</v>
      </c>
      <c r="K3" s="5">
        <f>COUNTIFS(明细!$B:$B,各部门完成情况!J3,明细!$J:$J,"&gt;0")</f>
        <v>0</v>
      </c>
      <c r="L3" s="5">
        <f>COUNTIFS(明细!$B:$B,各部门完成情况!J3,明细!$K:$K,"&gt;70")</f>
        <v>0</v>
      </c>
      <c r="M3" s="6" t="e">
        <f t="shared" ref="M3:M5" si="1">L3/K3</f>
        <v>#DIV/0!</v>
      </c>
    </row>
    <row r="4" spans="1:13">
      <c r="A4" s="4"/>
      <c r="B4" s="5" t="s">
        <v>54</v>
      </c>
      <c r="C4" s="5" t="s">
        <v>57</v>
      </c>
      <c r="D4" s="5">
        <f>COUNTIFS(明细!$C:$C,各部门完成情况!C4,明细!$I:$I,"&gt;0")</f>
        <v>0</v>
      </c>
      <c r="E4" s="5">
        <f>COUNTIFS(明细!$C:$C,各部门完成情况!C4,明细!$K:$K,"&gt;=70")</f>
        <v>0</v>
      </c>
      <c r="F4" s="6" t="str">
        <f t="shared" ref="F4:F5" si="2">IF(D4=0,"0.00%",E4/D4)</f>
        <v>0.00%</v>
      </c>
      <c r="I4" s="5" t="s">
        <v>58</v>
      </c>
      <c r="J4" s="5" t="s">
        <v>59</v>
      </c>
      <c r="K4" s="5">
        <f>COUNTIFS(明细!$B:$B,各部门完成情况!J4,明细!$J:$J,"&gt;0")</f>
        <v>0</v>
      </c>
      <c r="L4" s="5">
        <f>COUNTIFS(明细!$B:$B,各部门完成情况!J4,明细!$K:$K,"&gt;50")</f>
        <v>0</v>
      </c>
      <c r="M4" s="6" t="e">
        <f t="shared" si="1"/>
        <v>#DIV/0!</v>
      </c>
    </row>
    <row r="5" spans="1:13">
      <c r="A5" s="4"/>
      <c r="B5" s="5" t="s">
        <v>54</v>
      </c>
      <c r="C5" s="5" t="s">
        <v>60</v>
      </c>
      <c r="D5" s="5">
        <f>COUNTIFS(明细!$C:$C,各部门完成情况!C5,明细!$I:$I,"&gt;0")</f>
        <v>0</v>
      </c>
      <c r="E5" s="5">
        <f>COUNTIFS(明细!$C:$C,各部门完成情况!C5,明细!$K:$K,"&gt;=70")</f>
        <v>0</v>
      </c>
      <c r="F5" s="6" t="str">
        <f t="shared" si="2"/>
        <v>0.00%</v>
      </c>
      <c r="I5" s="5" t="s">
        <v>61</v>
      </c>
      <c r="J5" s="5" t="s">
        <v>62</v>
      </c>
      <c r="K5" s="5">
        <f>COUNTIFS(明细!$B:$B,各部门完成情况!J5,明细!$J:$J,"&gt;0")</f>
        <v>0</v>
      </c>
      <c r="L5" s="5">
        <f>COUNTIFS(明细!$B:$B,各部门完成情况!J5,明细!$K:$K,"&gt;50")</f>
        <v>0</v>
      </c>
      <c r="M5" s="6" t="e">
        <f t="shared" si="1"/>
        <v>#DIV/0!</v>
      </c>
    </row>
    <row r="6" spans="1:13">
      <c r="A6" s="4"/>
      <c r="B6" s="5" t="s">
        <v>54</v>
      </c>
      <c r="C6" s="5" t="s">
        <v>63</v>
      </c>
      <c r="D6" s="5">
        <f>COUNTIFS(明细!$C:$C,各部门完成情况!C6,明细!$I:$I,"&gt;0")</f>
        <v>0</v>
      </c>
      <c r="E6" s="5">
        <f>COUNTIFS(明细!$C:$C,各部门完成情况!C6,明细!$K:$K,"&gt;=70")</f>
        <v>0</v>
      </c>
      <c r="F6" s="6" t="str">
        <f t="shared" ref="F6:F8" si="3">IF(D6=0,"0.00%",E6/D6)</f>
        <v>0.00%</v>
      </c>
      <c r="I6" s="11"/>
      <c r="J6" s="11"/>
      <c r="K6" s="11"/>
      <c r="L6" s="11"/>
      <c r="M6" s="12"/>
    </row>
    <row r="7" spans="1:6">
      <c r="A7" s="4"/>
      <c r="B7" s="5" t="s">
        <v>54</v>
      </c>
      <c r="C7" s="5" t="s">
        <v>64</v>
      </c>
      <c r="D7" s="5">
        <f>COUNTIFS(明细!$C:$C,各部门完成情况!C7,明细!$I:$I,"&gt;0")</f>
        <v>0</v>
      </c>
      <c r="E7" s="5">
        <f>COUNTIFS(明细!$C:$C,各部门完成情况!C7,明细!$K:$K,"&gt;=70")</f>
        <v>0</v>
      </c>
      <c r="F7" s="6" t="str">
        <f t="shared" si="3"/>
        <v>0.00%</v>
      </c>
    </row>
    <row r="8" spans="1:6">
      <c r="A8" s="4"/>
      <c r="B8" s="5" t="s">
        <v>54</v>
      </c>
      <c r="C8" s="5" t="s">
        <v>65</v>
      </c>
      <c r="D8" s="5">
        <f>COUNTIFS(明细!$C:$C,各部门完成情况!C8,明细!$I:$I,"&gt;0")</f>
        <v>0</v>
      </c>
      <c r="E8" s="5">
        <f>COUNTIFS(明细!$C:$C,各部门完成情况!C8,明细!$K:$K,"&gt;=70")</f>
        <v>0</v>
      </c>
      <c r="F8" s="6" t="str">
        <f t="shared" si="3"/>
        <v>0.00%</v>
      </c>
    </row>
    <row r="9" spans="1:6">
      <c r="A9" s="4"/>
      <c r="B9" s="5" t="s">
        <v>56</v>
      </c>
      <c r="C9" s="7" t="s">
        <v>66</v>
      </c>
      <c r="D9" s="5">
        <f>COUNTIFS(明细!$C:$C,各部门完成情况!C9,明细!$I:$I,"&gt;0")</f>
        <v>0</v>
      </c>
      <c r="E9" s="5">
        <f>COUNTIFS(明细!$C:$C,各部门完成情况!C9,明细!$K:$K,"&gt;=70")</f>
        <v>0</v>
      </c>
      <c r="F9" s="6" t="str">
        <f t="shared" ref="F9:F11" si="4">IF(D9=0,"0.00%",E9/D9)</f>
        <v>0.00%</v>
      </c>
    </row>
    <row r="10" spans="1:6">
      <c r="A10" s="4"/>
      <c r="B10" s="5" t="s">
        <v>56</v>
      </c>
      <c r="C10" s="5" t="s">
        <v>67</v>
      </c>
      <c r="D10" s="5">
        <f>COUNTIFS(明细!$C:$C,各部门完成情况!C10,明细!$I:$I,"&gt;0")</f>
        <v>0</v>
      </c>
      <c r="E10" s="5">
        <f>COUNTIFS(明细!$C:$C,各部门完成情况!C10,明细!$K:$K,"&gt;=70")</f>
        <v>0</v>
      </c>
      <c r="F10" s="6" t="str">
        <f t="shared" ref="F10" si="5">IF(D10=0,"0.00%",E10/D10)</f>
        <v>0.00%</v>
      </c>
    </row>
    <row r="11" spans="1:6">
      <c r="A11" s="4"/>
      <c r="B11" s="5" t="s">
        <v>56</v>
      </c>
      <c r="C11" s="5" t="s">
        <v>68</v>
      </c>
      <c r="D11" s="5">
        <f>COUNTIFS(明细!$C:$C,各部门完成情况!C11,明细!$I:$I,"&gt;0")</f>
        <v>0</v>
      </c>
      <c r="E11" s="5">
        <f>COUNTIFS(明细!$C:$C,各部门完成情况!C11,明细!$K:$K,"&gt;=70")</f>
        <v>0</v>
      </c>
      <c r="F11" s="6" t="str">
        <f t="shared" si="4"/>
        <v>0.00%</v>
      </c>
    </row>
    <row r="12" spans="1:6">
      <c r="A12" s="4"/>
      <c r="B12" s="5" t="s">
        <v>56</v>
      </c>
      <c r="C12" s="5" t="s">
        <v>69</v>
      </c>
      <c r="D12" s="5">
        <f>COUNTIFS(明细!$C:$C,各部门完成情况!C12,明细!$I:$I,"&gt;0")</f>
        <v>0</v>
      </c>
      <c r="E12" s="5">
        <f>COUNTIFS(明细!$C:$C,各部门完成情况!C12,明细!$K:$K,"&gt;=70")</f>
        <v>0</v>
      </c>
      <c r="F12" s="6" t="str">
        <f t="shared" ref="F12:F13" si="6">IF(D12=0,"0.00%",E12/D12)</f>
        <v>0.00%</v>
      </c>
    </row>
    <row r="13" spans="1:6">
      <c r="A13" s="4"/>
      <c r="B13" s="5" t="s">
        <v>56</v>
      </c>
      <c r="C13" s="5" t="s">
        <v>70</v>
      </c>
      <c r="D13" s="5">
        <f>COUNTIFS(明细!$C:$C,各部门完成情况!C13,明细!$I:$I,"&gt;0")</f>
        <v>0</v>
      </c>
      <c r="E13" s="5">
        <f>COUNTIFS(明细!$C:$C,各部门完成情况!C13,明细!$K:$K,"&gt;=70")</f>
        <v>0</v>
      </c>
      <c r="F13" s="6" t="str">
        <f t="shared" si="6"/>
        <v>0.00%</v>
      </c>
    </row>
    <row r="14" spans="1:6">
      <c r="A14" s="4"/>
      <c r="B14" s="5" t="s">
        <v>56</v>
      </c>
      <c r="C14" s="5" t="s">
        <v>71</v>
      </c>
      <c r="D14" s="5">
        <f>COUNTIFS(明细!$C:$C,各部门完成情况!C14,明细!$I:$I,"&gt;0")</f>
        <v>0</v>
      </c>
      <c r="E14" s="5">
        <f>COUNTIFS(明细!$C:$C,各部门完成情况!C14,明细!$K:$K,"&gt;=70")</f>
        <v>0</v>
      </c>
      <c r="F14" s="6" t="str">
        <f t="shared" ref="F14:F21" si="7">IF(D14=0,"0.00%",E14/D14)</f>
        <v>0.00%</v>
      </c>
    </row>
    <row r="15" customHeight="1" spans="1:6">
      <c r="A15" s="4" t="s">
        <v>72</v>
      </c>
      <c r="B15" s="5" t="s">
        <v>59</v>
      </c>
      <c r="C15" s="5" t="s">
        <v>73</v>
      </c>
      <c r="D15" s="5">
        <f>COUNTIFS(明细!$C:$C,各部门完成情况!C15,明细!$I:$I,"&gt;0")</f>
        <v>0</v>
      </c>
      <c r="E15" s="5">
        <f>COUNTIFS(明细!$C:$C,各部门完成情况!C15,明细!$K:$K,"&gt;=70")</f>
        <v>0</v>
      </c>
      <c r="F15" s="6" t="str">
        <f t="shared" si="7"/>
        <v>0.00%</v>
      </c>
    </row>
    <row r="16" customHeight="1" spans="1:6">
      <c r="A16" s="4"/>
      <c r="B16" s="5" t="s">
        <v>59</v>
      </c>
      <c r="C16" s="5" t="s">
        <v>74</v>
      </c>
      <c r="D16" s="5">
        <f>COUNTIFS(明细!$C:$C,各部门完成情况!C16,明细!$I:$I,"&gt;0")</f>
        <v>0</v>
      </c>
      <c r="E16" s="5">
        <f>COUNTIFS(明细!$C:$C,各部门完成情况!C16,明细!$K:$K,"&gt;=70")</f>
        <v>0</v>
      </c>
      <c r="F16" s="6" t="str">
        <f t="shared" si="7"/>
        <v>0.00%</v>
      </c>
    </row>
    <row r="17" customHeight="1" spans="1:6">
      <c r="A17" s="4"/>
      <c r="B17" s="5" t="s">
        <v>59</v>
      </c>
      <c r="C17" s="5" t="s">
        <v>75</v>
      </c>
      <c r="D17" s="5">
        <f>COUNTIFS(明细!$C:$C,各部门完成情况!C17,明细!$I:$I,"&gt;0")</f>
        <v>0</v>
      </c>
      <c r="E17" s="5">
        <f>COUNTIFS(明细!$C:$C,各部门完成情况!C17,明细!$K:$K,"&gt;=70")</f>
        <v>0</v>
      </c>
      <c r="F17" s="6" t="str">
        <f t="shared" si="7"/>
        <v>0.00%</v>
      </c>
    </row>
    <row r="18" spans="1:6">
      <c r="A18" s="4"/>
      <c r="B18" s="5" t="s">
        <v>59</v>
      </c>
      <c r="C18" s="5" t="s">
        <v>76</v>
      </c>
      <c r="D18" s="5">
        <f>COUNTIFS(明细!$C:$C,各部门完成情况!C18,明细!$I:$I,"&gt;0")</f>
        <v>0</v>
      </c>
      <c r="E18" s="5">
        <f>COUNTIFS(明细!$C:$C,各部门完成情况!C18,明细!$K:$K,"&gt;=70")</f>
        <v>0</v>
      </c>
      <c r="F18" s="6" t="str">
        <f t="shared" si="7"/>
        <v>0.00%</v>
      </c>
    </row>
    <row r="19" spans="1:6">
      <c r="A19" s="4"/>
      <c r="B19" s="8" t="s">
        <v>59</v>
      </c>
      <c r="C19" s="5" t="s">
        <v>77</v>
      </c>
      <c r="D19" s="5">
        <f>COUNTIFS(明细!$C:$C,各部门完成情况!C19,明细!$I:$I,"&gt;0")</f>
        <v>0</v>
      </c>
      <c r="E19" s="5">
        <f>COUNTIFS(明细!$C:$C,各部门完成情况!C19,明细!$K:$K,"&gt;=70")</f>
        <v>0</v>
      </c>
      <c r="F19" s="6" t="str">
        <f t="shared" si="7"/>
        <v>0.00%</v>
      </c>
    </row>
    <row r="20" spans="1:6">
      <c r="A20" s="9" t="s">
        <v>78</v>
      </c>
      <c r="B20" s="5" t="s">
        <v>62</v>
      </c>
      <c r="C20" s="5" t="s">
        <v>79</v>
      </c>
      <c r="D20" s="5">
        <f>COUNTIFS(明细!$C:$C,各部门完成情况!C20,明细!$I:$I,"&gt;0")</f>
        <v>0</v>
      </c>
      <c r="E20" s="5">
        <f>COUNTIFS(明细!$C:$C,各部门完成情况!C20,明细!$K:$K,"&gt;=70")</f>
        <v>0</v>
      </c>
      <c r="F20" s="6" t="str">
        <f t="shared" si="7"/>
        <v>0.00%</v>
      </c>
    </row>
    <row r="21" customHeight="1" spans="1:6">
      <c r="A21" s="10"/>
      <c r="B21" s="5" t="s">
        <v>62</v>
      </c>
      <c r="C21" s="5" t="s">
        <v>80</v>
      </c>
      <c r="D21" s="5">
        <f>COUNTIFS(明细!$C:$C,各部门完成情况!C21,明细!$I:$I,"&gt;0")</f>
        <v>0</v>
      </c>
      <c r="E21" s="5">
        <f>COUNTIFS(明细!$C:$C,各部门完成情况!C21,明细!$K:$K,"&gt;=70")</f>
        <v>0</v>
      </c>
      <c r="F21" s="6" t="str">
        <f t="shared" si="7"/>
        <v>0.00%</v>
      </c>
    </row>
    <row r="22" customHeight="1"/>
    <row r="23" customHeight="1"/>
  </sheetData>
  <mergeCells count="3">
    <mergeCell ref="A2:A14"/>
    <mergeCell ref="A15:A19"/>
    <mergeCell ref="A20:A21"/>
  </mergeCells>
  <conditionalFormatting sqref="C2:C11">
    <cfRule type="duplicateValues" dxfId="0" priority="44"/>
  </conditionalFormatting>
  <conditionalFormatting sqref="C12:C14">
    <cfRule type="duplicateValues" dxfId="0" priority="46"/>
  </conditionalFormatting>
  <conditionalFormatting sqref="C15:C21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各部门完成情况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2018-11-09T03:03:00Z</dcterms:created>
  <dcterms:modified xsi:type="dcterms:W3CDTF">2023-08-09T05:51:41Z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1C75B2DC4B944E259651191B432EA3AF</vt:lpwstr>
  </property>
</Properties>
</file>