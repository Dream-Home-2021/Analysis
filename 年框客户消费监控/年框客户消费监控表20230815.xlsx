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761" visibility="visible" windowHeight="8010" windowWidth="20490"/>
  </bookViews>
  <sheets>
    <sheet name="汇总表" sheetId="1" state="visible" r:id="rId1"/>
    <sheet name="大搜年框客户消费监控" sheetId="2" state="visible" r:id="rId2"/>
    <sheet name="信息流年框客户消费监控" sheetId="3" state="visible" r:id="rId3"/>
    <sheet name="大搜+信息流年框客户消费监控" sheetId="4" state="visible" r:id="rId4"/>
    <sheet name="大搜年框客户消费明细" sheetId="5" state="hidden" r:id="rId5"/>
    <sheet name="信息流年框客户消费明细" sheetId="6" state="hidden" r:id="rId6"/>
    <sheet name="大搜+信息流年框客户消费明细" sheetId="7" state="hidden" r:id="rId7"/>
  </sheets>
  <definedNames/>
  <calcPr calcId="144525" fullCalcOnLoad="1"/>
</workbook>
</file>

<file path=xl/styles.xml><?xml version="1.0" encoding="utf-8"?>
<styleSheet xmlns="http://schemas.openxmlformats.org/spreadsheetml/2006/main">
  <numFmts count="8">
    <numFmt formatCode="#,##0_);[Red]\(#,##0\)" numFmtId="164"/>
    <numFmt formatCode="#,##0.00_);[Red]\(#,##0.00\)" numFmtId="165"/>
    <numFmt formatCode="#,##0_ ;[Red]\-#,##0\ " numFmtId="166"/>
    <numFmt formatCode="#,##0_ " numFmtId="167"/>
    <numFmt formatCode="0_);[Red]\(0\)" numFmtId="168"/>
    <numFmt formatCode="yyyy&quot;年&quot;m&quot;月&quot;;@" numFmtId="169"/>
    <numFmt formatCode="0_ ;[Red]\-0\ " numFmtId="170"/>
    <numFmt formatCode="0.00_);[Red]\(0.00\)" numFmtId="171"/>
  </numFmts>
  <fonts count="27">
    <font>
      <name val="等线"/>
      <charset val="134"/>
      <color theme="1"/>
      <sz val="11"/>
      <scheme val="minor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微软雅黑"/>
      <charset val="134"/>
      <sz val="10"/>
    </font>
    <font>
      <name val="微软雅黑"/>
      <charset val="134"/>
      <b val="1"/>
      <sz val="10"/>
    </font>
    <font>
      <name val="微软雅黑"/>
      <charset val="134"/>
      <color rgb="FF000000"/>
      <sz val="10"/>
    </font>
    <font>
      <name val="微软雅黑"/>
      <charset val="134"/>
      <color rgb="FFFF00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9C6500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宋体"/>
      <charset val="134"/>
      <sz val="12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0">
    <xf borderId="0" fillId="0" fontId="0" numFmtId="0"/>
    <xf applyAlignment="1" borderId="0" fillId="0" fontId="0" numFmtId="0">
      <alignment vertical="center"/>
    </xf>
    <xf applyAlignment="1" borderId="0" fillId="0" fontId="0" numFmtId="42">
      <alignment vertical="center"/>
    </xf>
    <xf applyAlignment="1" borderId="0" fillId="12" fontId="8" numFmtId="0">
      <alignment vertical="center"/>
    </xf>
    <xf applyAlignment="1" borderId="11" fillId="17" fontId="11" numFmtId="0">
      <alignment vertical="center"/>
    </xf>
    <xf applyAlignment="1" borderId="0" fillId="0" fontId="0" numFmtId="44">
      <alignment vertical="center"/>
    </xf>
    <xf applyAlignment="1" borderId="0" fillId="0" fontId="0" numFmtId="0">
      <alignment vertical="center"/>
    </xf>
    <xf applyAlignment="1" borderId="0" fillId="0" fontId="0" numFmtId="41">
      <alignment vertical="center"/>
    </xf>
    <xf applyAlignment="1" borderId="0" fillId="10" fontId="8" numFmtId="0">
      <alignment vertical="center"/>
    </xf>
    <xf applyAlignment="1" borderId="0" fillId="18" fontId="13" numFmtId="0">
      <alignment vertical="center"/>
    </xf>
    <xf applyAlignment="1" borderId="0" fillId="0" fontId="0" numFmtId="43">
      <alignment vertical="center"/>
    </xf>
    <xf applyAlignment="1" borderId="0" fillId="21" fontId="7" numFmtId="0">
      <alignment vertical="center"/>
    </xf>
    <xf applyAlignment="1" borderId="0" fillId="0" fontId="15" numFmtId="0">
      <alignment vertical="center"/>
    </xf>
    <xf applyAlignment="1" borderId="0" fillId="0" fontId="0" numFmtId="9">
      <alignment vertical="center"/>
    </xf>
    <xf applyAlignment="1" borderId="0" fillId="0" fontId="0" numFmtId="0">
      <alignment vertical="center"/>
    </xf>
    <xf applyAlignment="1" borderId="0" fillId="0" fontId="17" numFmtId="0">
      <alignment vertical="center"/>
    </xf>
    <xf applyAlignment="1" borderId="0" fillId="0" fontId="0" numFmtId="9">
      <alignment vertical="center"/>
    </xf>
    <xf applyAlignment="1" borderId="9" fillId="16" fontId="0" numFmtId="0">
      <alignment vertical="center"/>
    </xf>
    <xf applyAlignment="1" borderId="0" fillId="24" fontId="7" numFmtId="0">
      <alignment vertical="center"/>
    </xf>
    <xf applyAlignment="1" borderId="0" fillId="0" fontId="18" numFmtId="0">
      <alignment vertical="center"/>
    </xf>
    <xf applyAlignment="1" borderId="0" fillId="0" fontId="19" numFmtId="0">
      <alignment vertical="center"/>
    </xf>
    <xf applyAlignment="1" borderId="0" fillId="0" fontId="9" numFmtId="0">
      <alignment vertical="center"/>
    </xf>
    <xf applyAlignment="1" borderId="0" fillId="0" fontId="14" numFmtId="0">
      <alignment vertical="center"/>
    </xf>
    <xf applyAlignment="1" borderId="13" fillId="0" fontId="16" numFmtId="0">
      <alignment vertical="center"/>
    </xf>
    <xf applyAlignment="1" borderId="13" fillId="0" fontId="21" numFmtId="0">
      <alignment vertical="center"/>
    </xf>
    <xf applyAlignment="1" borderId="0" fillId="5" fontId="7" numFmtId="0">
      <alignment vertical="center"/>
    </xf>
    <xf applyAlignment="1" borderId="14" fillId="0" fontId="18" numFmtId="0">
      <alignment vertical="center"/>
    </xf>
    <xf applyAlignment="1" borderId="0" fillId="15" fontId="7" numFmtId="0">
      <alignment vertical="center"/>
    </xf>
    <xf applyAlignment="1" borderId="15" fillId="27" fontId="23" numFmtId="0">
      <alignment vertical="center"/>
    </xf>
    <xf applyAlignment="1" borderId="11" fillId="27" fontId="24" numFmtId="0">
      <alignment vertical="center"/>
    </xf>
    <xf applyAlignment="1" borderId="16" fillId="28" fontId="25" numFmtId="0">
      <alignment vertical="center"/>
    </xf>
    <xf applyAlignment="1" borderId="0" fillId="11" fontId="8" numFmtId="0">
      <alignment vertical="center"/>
    </xf>
    <xf applyAlignment="1" borderId="0" fillId="31" fontId="7" numFmtId="0">
      <alignment vertical="center"/>
    </xf>
    <xf applyAlignment="1" borderId="12" fillId="0" fontId="12" numFmtId="0">
      <alignment vertical="center"/>
    </xf>
    <xf applyAlignment="1" borderId="10" fillId="0" fontId="10" numFmtId="0">
      <alignment vertical="center"/>
    </xf>
    <xf applyAlignment="1" borderId="0" fillId="26" fontId="22" numFmtId="0">
      <alignment vertical="center"/>
    </xf>
    <xf applyAlignment="1" borderId="0" fillId="25" fontId="20" numFmtId="0">
      <alignment vertical="center"/>
    </xf>
    <xf applyAlignment="1" borderId="0" fillId="34" fontId="8" numFmtId="0">
      <alignment vertical="center"/>
    </xf>
    <xf applyAlignment="1" borderId="0" fillId="33" fontId="7" numFmtId="0">
      <alignment vertical="center"/>
    </xf>
    <xf applyAlignment="1" borderId="0" fillId="9" fontId="8" numFmtId="0">
      <alignment vertical="center"/>
    </xf>
    <xf applyAlignment="1" borderId="0" fillId="14" fontId="8" numFmtId="0">
      <alignment vertical="center"/>
    </xf>
    <xf applyAlignment="1" borderId="0" fillId="37" fontId="8" numFmtId="0">
      <alignment vertical="center"/>
    </xf>
    <xf applyAlignment="1" borderId="0" fillId="36" fontId="8" numFmtId="0">
      <alignment vertical="center"/>
    </xf>
    <xf applyAlignment="1" borderId="0" fillId="30" fontId="7" numFmtId="0">
      <alignment vertical="center"/>
    </xf>
    <xf applyAlignment="1" borderId="0" fillId="23" fontId="7" numFmtId="0">
      <alignment vertical="center"/>
    </xf>
    <xf applyAlignment="1" borderId="0" fillId="29" fontId="8" numFmtId="0">
      <alignment vertical="center"/>
    </xf>
    <xf applyAlignment="1" borderId="0" fillId="32" fontId="8" numFmtId="0">
      <alignment vertical="center"/>
    </xf>
    <xf applyAlignment="1" borderId="0" fillId="8" fontId="7" numFmtId="0">
      <alignment vertical="center"/>
    </xf>
    <xf applyAlignment="1" borderId="0" fillId="20" fontId="8" numFmtId="0">
      <alignment vertical="center"/>
    </xf>
    <xf applyAlignment="1" borderId="0" fillId="13" fontId="7" numFmtId="0">
      <alignment vertical="center"/>
    </xf>
    <xf applyAlignment="1" borderId="0" fillId="35" fontId="7" numFmtId="0">
      <alignment vertical="center"/>
    </xf>
    <xf applyAlignment="1" borderId="0" fillId="19" fontId="8" numFmtId="0">
      <alignment vertical="center"/>
    </xf>
    <xf applyAlignment="1" borderId="0" fillId="22" fontId="7" numFmtId="0">
      <alignment vertical="center"/>
    </xf>
    <xf applyAlignment="1" borderId="0" fillId="0" fontId="26" numFmtId="0">
      <alignment vertical="center"/>
    </xf>
    <xf applyAlignment="1" borderId="0" fillId="0" fontId="0" numFmtId="0">
      <alignment vertical="center"/>
    </xf>
    <xf borderId="0" fillId="0" fontId="0" numFmtId="0"/>
    <xf borderId="0" fillId="0" fontId="0" numFmtId="0"/>
    <xf applyAlignment="1" borderId="0" fillId="0" fontId="0" numFmtId="0">
      <alignment vertical="center"/>
    </xf>
    <xf applyAlignment="1" borderId="0" fillId="0" fontId="0" numFmtId="0">
      <alignment vertical="center"/>
    </xf>
    <xf applyAlignment="1" borderId="0" fillId="0" fontId="0" numFmtId="0">
      <alignment vertical="center"/>
    </xf>
  </cellStyleXfs>
  <cellXfs count="155">
    <xf borderId="0" fillId="0" fontId="0" numFmtId="0" pivotButton="0" quotePrefix="0" xfId="0"/>
    <xf applyAlignment="1" borderId="0" fillId="0" fontId="1" numFmtId="0" pivotButton="0" quotePrefix="0" xfId="0">
      <alignment horizontal="left"/>
    </xf>
    <xf applyAlignment="1" borderId="0" fillId="0" fontId="1" numFmtId="0" pivotButton="0" quotePrefix="0" xfId="0">
      <alignment horizontal="center"/>
    </xf>
    <xf applyAlignment="1" borderId="1" fillId="2" fontId="2" numFmtId="0" pivotButton="0" quotePrefix="0" xfId="55">
      <alignment horizontal="center" vertical="center" wrapText="1"/>
    </xf>
    <xf applyAlignment="1" borderId="1" fillId="2" fontId="2" numFmtId="0" pivotButton="0" quotePrefix="0" xfId="0">
      <alignment horizontal="center" vertical="center"/>
    </xf>
    <xf borderId="2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  <xf applyAlignment="1" borderId="1" fillId="2" fontId="2" numFmtId="0" pivotButton="0" quotePrefix="0" xfId="55">
      <alignment horizontal="center" vertical="center"/>
    </xf>
    <xf borderId="5" fillId="0" fontId="0" numFmtId="0" pivotButton="0" quotePrefix="0" xfId="0"/>
    <xf applyAlignment="1" borderId="1" fillId="0" fontId="1" numFmtId="0" pivotButton="0" quotePrefix="0" xfId="0">
      <alignment horizontal="left"/>
    </xf>
    <xf applyAlignment="1" borderId="1" fillId="0" fontId="1" numFmtId="164" pivotButton="0" quotePrefix="0" xfId="0">
      <alignment horizontal="center" vertical="center"/>
    </xf>
    <xf applyAlignment="1" borderId="1" fillId="0" fontId="3" numFmtId="164" pivotButton="0" quotePrefix="0" xfId="0">
      <alignment horizontal="center" vertical="center"/>
    </xf>
    <xf applyAlignment="1" borderId="1" fillId="0" fontId="3" numFmtId="164" pivotButton="0" quotePrefix="0" xfId="0">
      <alignment horizontal="center"/>
    </xf>
    <xf applyAlignment="1" borderId="0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left" vertical="center"/>
    </xf>
    <xf applyAlignment="1" borderId="1" fillId="0" fontId="1" numFmtId="164" pivotButton="0" quotePrefix="0" xfId="0">
      <alignment horizontal="center"/>
    </xf>
    <xf applyAlignment="1" borderId="6" fillId="0" fontId="1" numFmtId="0" pivotButton="0" quotePrefix="0" xfId="0">
      <alignment horizontal="center" vertical="center"/>
    </xf>
    <xf borderId="6" fillId="0" fontId="0" numFmtId="0" pivotButton="0" quotePrefix="0" xfId="0"/>
    <xf applyAlignment="1" borderId="0" fillId="0" fontId="0" numFmtId="0" pivotButton="0" quotePrefix="0" xfId="0">
      <alignment horizontal="left"/>
    </xf>
    <xf applyAlignment="1" borderId="0" fillId="0" fontId="0" numFmtId="0" pivotButton="0" quotePrefix="0" xfId="0">
      <alignment horizontal="center"/>
    </xf>
    <xf applyAlignment="1" borderId="1" fillId="2" fontId="2" numFmtId="0" pivotButton="0" quotePrefix="0" xfId="0">
      <alignment horizontal="center"/>
    </xf>
    <xf applyAlignment="1" borderId="7" fillId="2" fontId="2" numFmtId="0" pivotButton="0" quotePrefix="0" xfId="55">
      <alignment horizontal="center" vertical="center" wrapText="1"/>
    </xf>
    <xf applyAlignment="1" borderId="6" fillId="0" fontId="1" numFmtId="0" pivotButton="0" quotePrefix="0" xfId="0">
      <alignment horizontal="left"/>
    </xf>
    <xf applyAlignment="1" borderId="0" fillId="0" fontId="0" numFmtId="165" pivotButton="0" quotePrefix="0" xfId="0">
      <alignment horizontal="center"/>
    </xf>
    <xf applyAlignment="1" borderId="0" fillId="0" fontId="1" numFmtId="2" pivotButton="0" quotePrefix="0" xfId="0">
      <alignment horizontal="left"/>
    </xf>
    <xf applyAlignment="1" borderId="1" fillId="2" fontId="2" numFmtId="0" pivotButton="0" quotePrefix="0" xfId="55">
      <alignment horizontal="left" vertical="center" wrapText="1"/>
    </xf>
    <xf applyAlignment="1" borderId="0" fillId="2" fontId="2" numFmtId="0" pivotButton="0" quotePrefix="0" xfId="0">
      <alignment horizontal="center"/>
    </xf>
    <xf applyAlignment="1" borderId="0" fillId="2" fontId="2" numFmtId="0" pivotButton="0" quotePrefix="0" xfId="55">
      <alignment horizontal="left" vertical="center" wrapText="1"/>
    </xf>
    <xf applyAlignment="1" borderId="1" fillId="0" fontId="1" numFmtId="0" pivotButton="0" quotePrefix="0" xfId="0">
      <alignment horizontal="left" vertical="center"/>
    </xf>
    <xf applyAlignment="1" borderId="0" fillId="0" fontId="1" numFmtId="164" pivotButton="0" quotePrefix="0" xfId="0">
      <alignment horizontal="center" vertical="center"/>
    </xf>
    <xf applyAlignment="1" borderId="0" fillId="0" fontId="1" numFmtId="164" pivotButton="0" quotePrefix="0" xfId="0">
      <alignment horizontal="left"/>
    </xf>
    <xf applyAlignment="1" borderId="6" fillId="0" fontId="1" numFmtId="164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borderId="4" fillId="0" fontId="1" numFmtId="0" pivotButton="0" quotePrefix="0" xfId="0"/>
    <xf applyAlignment="1" borderId="0" fillId="0" fontId="1" numFmtId="2" pivotButton="0" quotePrefix="0" xfId="0">
      <alignment horizontal="center" vertical="center"/>
    </xf>
    <xf applyAlignment="1" borderId="0" fillId="0" fontId="1" numFmtId="9" pivotButton="0" quotePrefix="0" xfId="0">
      <alignment horizontal="left" vertical="center"/>
    </xf>
    <xf applyAlignment="1" borderId="0" fillId="0" fontId="1" numFmtId="166" pivotButton="0" quotePrefix="0" xfId="0">
      <alignment horizontal="center" vertical="center"/>
    </xf>
    <xf applyAlignment="1" borderId="0" fillId="0" fontId="1" numFmtId="10" pivotButton="0" quotePrefix="0" xfId="0">
      <alignment horizontal="left" vertical="center"/>
    </xf>
    <xf applyAlignment="1" borderId="0" fillId="0" fontId="1" numFmtId="166" pivotButton="0" quotePrefix="0" xfId="0">
      <alignment horizontal="left" vertical="center"/>
    </xf>
    <xf applyAlignment="1" borderId="0" fillId="0" fontId="1" numFmtId="14" pivotButton="0" quotePrefix="0" xfId="0">
      <alignment horizontal="left" vertical="center"/>
    </xf>
    <xf applyAlignment="1" borderId="1" fillId="3" fontId="2" numFmtId="0" pivotButton="0" quotePrefix="0" xfId="0">
      <alignment horizontal="center" vertical="center"/>
    </xf>
    <xf applyAlignment="1" borderId="1" fillId="4" fontId="4" numFmtId="0" pivotButton="0" quotePrefix="0" xfId="0">
      <alignment horizontal="center" vertical="center" wrapText="1"/>
    </xf>
    <xf applyAlignment="1" borderId="1" fillId="5" fontId="4" numFmtId="0" pivotButton="0" quotePrefix="0" xfId="0">
      <alignment horizontal="center" vertical="center"/>
    </xf>
    <xf applyAlignment="1" borderId="8" fillId="3" fontId="2" numFmtId="0" pivotButton="0" quotePrefix="0" xfId="0">
      <alignment horizontal="center" vertical="center"/>
    </xf>
    <xf applyAlignment="1" borderId="1" fillId="3" fontId="2" numFmtId="9" pivotButton="0" quotePrefix="0" xfId="0">
      <alignment horizontal="center" vertical="center" wrapText="1"/>
    </xf>
    <xf applyAlignment="1" borderId="1" fillId="4" fontId="4" numFmtId="166" pivotButton="0" quotePrefix="0" xfId="0">
      <alignment horizontal="center" vertical="center" wrapText="1"/>
    </xf>
    <xf applyAlignment="1" borderId="1" fillId="4" fontId="4" numFmtId="10" pivotButton="0" quotePrefix="0" xfId="0">
      <alignment horizontal="center" vertical="center" wrapText="1"/>
    </xf>
    <xf applyAlignment="1" borderId="1" fillId="5" fontId="4" numFmtId="166" pivotButton="0" quotePrefix="0" xfId="0">
      <alignment horizontal="center" vertical="center" wrapText="1"/>
    </xf>
    <xf applyAlignment="1" borderId="1" fillId="0" fontId="1" numFmtId="0" pivotButton="0" quotePrefix="0" xfId="0">
      <alignment horizontal="center" vertical="center"/>
    </xf>
    <xf applyAlignment="1" borderId="1" fillId="0" fontId="1" numFmtId="0" pivotButton="0" quotePrefix="0" xfId="0">
      <alignment horizontal="center" vertical="center" wrapText="1"/>
    </xf>
    <xf applyAlignment="1" borderId="1" fillId="0" fontId="1" numFmtId="167" pivotButton="0" quotePrefix="0" xfId="0">
      <alignment horizontal="center" vertical="center"/>
    </xf>
    <xf applyAlignment="1" borderId="1" fillId="0" fontId="1" numFmtId="9" pivotButton="0" quotePrefix="0" xfId="0">
      <alignment horizontal="center" vertical="center"/>
    </xf>
    <xf applyAlignment="1" borderId="1" fillId="0" fontId="1" numFmtId="166" pivotButton="0" quotePrefix="0" xfId="10">
      <alignment horizontal="center" vertical="center"/>
    </xf>
    <xf applyAlignment="1" borderId="1" fillId="0" fontId="1" numFmtId="10" pivotButton="0" quotePrefix="0" xfId="13">
      <alignment horizontal="center" vertical="center"/>
    </xf>
    <xf applyAlignment="1" borderId="1" fillId="0" fontId="1" numFmtId="9" pivotButton="0" quotePrefix="0" xfId="13">
      <alignment horizontal="center" vertical="center"/>
    </xf>
    <xf applyAlignment="1" borderId="1" fillId="0" fontId="1" numFmtId="166" pivotButton="0" quotePrefix="0" xfId="0">
      <alignment horizontal="center" vertical="center"/>
    </xf>
    <xf applyAlignment="1" borderId="5" fillId="0" fontId="1" numFmtId="0" pivotButton="0" quotePrefix="0" xfId="0">
      <alignment horizontal="center" vertical="center"/>
    </xf>
    <xf applyAlignment="1" borderId="5" fillId="0" fontId="1" numFmtId="164" pivotButton="0" quotePrefix="0" xfId="0">
      <alignment horizontal="center" vertical="center"/>
    </xf>
    <xf applyAlignment="1" borderId="5" fillId="0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/>
    </xf>
    <xf applyAlignment="1" borderId="1" fillId="0" fontId="1" numFmtId="3" pivotButton="0" quotePrefix="0" xfId="0">
      <alignment horizontal="center" vertical="center"/>
    </xf>
    <xf applyAlignment="1" borderId="1" fillId="5" fontId="4" numFmtId="0" pivotButton="0" quotePrefix="0" xfId="0">
      <alignment horizontal="center" vertical="center" wrapText="1"/>
    </xf>
    <xf applyAlignment="1" borderId="1" fillId="5" fontId="4" numFmtId="10" pivotButton="0" quotePrefix="0" xfId="0">
      <alignment horizontal="center" vertical="center" wrapText="1"/>
    </xf>
    <xf applyAlignment="1" borderId="1" fillId="5" fontId="4" numFmtId="14" pivotButton="0" quotePrefix="0" xfId="0">
      <alignment horizontal="center" vertical="center" wrapText="1"/>
    </xf>
    <xf applyAlignment="1" borderId="1" fillId="3" fontId="4" numFmtId="0" pivotButton="0" quotePrefix="0" xfId="0">
      <alignment horizontal="center" vertical="center" wrapText="1"/>
    </xf>
    <xf applyAlignment="1" borderId="1" fillId="3" fontId="4" numFmtId="14" pivotButton="0" quotePrefix="0" xfId="0">
      <alignment horizontal="center" vertical="center" wrapText="1"/>
    </xf>
    <xf applyAlignment="1" borderId="1" fillId="3" fontId="2" numFmtId="0" pivotButton="0" quotePrefix="0" xfId="0">
      <alignment horizontal="center" vertical="center" wrapText="1"/>
    </xf>
    <xf applyAlignment="1" borderId="1" fillId="0" fontId="1" numFmtId="10" pivotButton="0" quotePrefix="0" xfId="0">
      <alignment horizontal="center" vertical="center"/>
    </xf>
    <xf applyAlignment="1" borderId="1" fillId="0" fontId="1" numFmtId="1" pivotButton="0" quotePrefix="0" xfId="0">
      <alignment horizontal="center" vertical="center"/>
    </xf>
    <xf applyAlignment="1" borderId="1" fillId="0" fontId="1" numFmtId="14" pivotButton="0" quotePrefix="0" xfId="0">
      <alignment horizontal="center" vertical="center"/>
    </xf>
    <xf applyAlignment="1" borderId="1" fillId="0" fontId="1" numFmtId="168" pivotButton="0" quotePrefix="0" xfId="0">
      <alignment horizontal="center" vertical="center"/>
    </xf>
    <xf applyAlignment="1" borderId="1" fillId="6" fontId="1" numFmtId="0" pivotButton="0" quotePrefix="0" xfId="0">
      <alignment horizontal="center" vertical="center"/>
    </xf>
    <xf applyAlignment="1" borderId="5" fillId="0" fontId="1" numFmtId="14" pivotButton="0" quotePrefix="0" xfId="0">
      <alignment horizontal="center" vertical="center"/>
    </xf>
    <xf applyAlignment="1" borderId="1" fillId="7" fontId="1" numFmtId="14" pivotButton="0" quotePrefix="0" xfId="16">
      <alignment horizontal="center" vertical="center" wrapText="1"/>
    </xf>
    <xf applyAlignment="1" borderId="1" fillId="0" fontId="5" numFmtId="0" pivotButton="0" quotePrefix="0" xfId="0">
      <alignment horizontal="center" vertical="center"/>
    </xf>
    <xf borderId="5" fillId="0" fontId="1" numFmtId="0" pivotButton="0" quotePrefix="0" xfId="0"/>
    <xf applyAlignment="1" borderId="1" fillId="7" fontId="3" numFmtId="0" pivotButton="0" quotePrefix="0" xfId="53">
      <alignment horizontal="center" vertical="center" wrapText="1"/>
    </xf>
    <xf applyAlignment="1" borderId="1" fillId="7" fontId="1" numFmtId="0" pivotButton="0" quotePrefix="0" xfId="0">
      <alignment horizontal="center" vertical="center" wrapText="1"/>
    </xf>
    <xf applyAlignment="1" borderId="1" fillId="7" fontId="1" numFmtId="169" pivotButton="0" quotePrefix="0" xfId="0">
      <alignment horizontal="center" vertical="center" wrapText="1"/>
    </xf>
    <xf applyAlignment="1" borderId="0" fillId="0" fontId="1" numFmtId="0" pivotButton="0" quotePrefix="0" xfId="0">
      <alignment horizontal="center" vertical="center" wrapText="1"/>
    </xf>
    <xf applyAlignment="1" borderId="0" fillId="0" fontId="1" numFmtId="9" pivotButton="0" quotePrefix="0" xfId="0">
      <alignment horizontal="center" vertical="center"/>
    </xf>
    <xf applyAlignment="1" borderId="0" fillId="0" fontId="1" numFmtId="166" pivotButton="0" quotePrefix="0" xfId="0">
      <alignment vertical="center"/>
    </xf>
    <xf applyAlignment="1" borderId="0" fillId="0" fontId="1" numFmtId="164" pivotButton="0" quotePrefix="0" xfId="0">
      <alignment horizontal="left" vertical="center"/>
    </xf>
    <xf applyAlignment="1" borderId="0" fillId="0" fontId="1" numFmtId="168" pivotButton="0" quotePrefix="0" xfId="0">
      <alignment horizontal="left" vertical="center"/>
    </xf>
    <xf applyAlignment="1" borderId="0" fillId="0" fontId="1" numFmtId="0" pivotButton="0" quotePrefix="0" xfId="0">
      <alignment horizontal="left" vertical="center" wrapText="1"/>
    </xf>
    <xf applyAlignment="1" borderId="1" fillId="3" fontId="2" numFmtId="166" pivotButton="0" quotePrefix="0" xfId="0">
      <alignment horizontal="center" vertical="center" wrapText="1"/>
    </xf>
    <xf applyAlignment="1" borderId="1" fillId="0" fontId="0" numFmtId="167" pivotButton="0" quotePrefix="0" xfId="0">
      <alignment horizontal="center" vertical="center"/>
    </xf>
    <xf applyAlignment="1" borderId="1" fillId="5" fontId="4" numFmtId="164" pivotButton="0" quotePrefix="0" xfId="0">
      <alignment horizontal="center" vertical="center" wrapText="1"/>
    </xf>
    <xf applyAlignment="1" borderId="1" fillId="0" fontId="4" numFmtId="10" pivotButton="0" quotePrefix="0" xfId="0">
      <alignment horizontal="center" vertical="center" wrapText="1"/>
    </xf>
    <xf applyAlignment="1" borderId="1" fillId="0" fontId="4" numFmtId="168" pivotButton="0" quotePrefix="0" xfId="0">
      <alignment horizontal="center" vertical="center" wrapText="1"/>
    </xf>
    <xf applyAlignment="1" borderId="1" fillId="0" fontId="4" numFmtId="0" pivotButton="0" quotePrefix="0" xfId="0">
      <alignment horizontal="center" vertical="center" wrapText="1"/>
    </xf>
    <xf applyAlignment="1" borderId="1" fillId="7" fontId="1" numFmtId="164" pivotButton="0" quotePrefix="0" xfId="0">
      <alignment horizontal="center" vertical="center"/>
    </xf>
    <xf applyAlignment="1" borderId="1" fillId="7" fontId="1" numFmtId="166" pivotButton="0" quotePrefix="0" xfId="0">
      <alignment horizontal="center" vertical="center"/>
    </xf>
    <xf applyAlignment="1" borderId="1" fillId="0" fontId="1" numFmtId="170" pivotButton="0" quotePrefix="0" xfId="0">
      <alignment horizontal="center" vertical="center"/>
    </xf>
    <xf applyAlignment="1" borderId="1" fillId="7" fontId="1" numFmtId="14" pivotButton="0" quotePrefix="0" xfId="0">
      <alignment horizontal="center" vertical="center"/>
    </xf>
    <xf applyAlignment="1" borderId="1" fillId="0" fontId="0" numFmtId="14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0" fillId="0" fontId="1" numFmtId="166" pivotButton="0" quotePrefix="0" xfId="0">
      <alignment horizontal="right" vertical="center"/>
    </xf>
    <xf applyAlignment="1" borderId="0" fillId="0" fontId="1" numFmtId="9" pivotButton="0" quotePrefix="0" xfId="13">
      <alignment horizontal="center" vertical="center"/>
    </xf>
    <xf applyAlignment="1" borderId="0" fillId="0" fontId="1" numFmtId="10" pivotButton="0" quotePrefix="0" xfId="13">
      <alignment horizontal="left" vertical="center"/>
    </xf>
    <xf applyAlignment="1" borderId="0" fillId="0" fontId="1" numFmtId="170" pivotButton="0" quotePrefix="0" xfId="0">
      <alignment horizontal="left" vertical="center"/>
    </xf>
    <xf applyAlignment="1" borderId="1" fillId="4" fontId="4" numFmtId="164" pivotButton="0" quotePrefix="0" xfId="0">
      <alignment horizontal="center" vertical="center" wrapText="1"/>
    </xf>
    <xf applyAlignment="1" borderId="1" fillId="3" fontId="2" numFmtId="164" pivotButton="0" quotePrefix="0" xfId="0">
      <alignment horizontal="center" vertical="center"/>
    </xf>
    <xf applyAlignment="1" borderId="1" fillId="3" fontId="2" numFmtId="9" pivotButton="0" quotePrefix="0" xfId="0">
      <alignment horizontal="center" vertical="center"/>
    </xf>
    <xf applyAlignment="1" borderId="1" fillId="4" fontId="4" numFmtId="9" pivotButton="0" quotePrefix="0" xfId="13">
      <alignment horizontal="center" vertical="center" wrapText="1"/>
    </xf>
    <xf applyAlignment="1" borderId="1" fillId="0" fontId="1" numFmtId="171" pivotButton="0" quotePrefix="0" xfId="0">
      <alignment horizontal="center" vertical="center"/>
    </xf>
    <xf applyAlignment="1" borderId="1" fillId="0" fontId="1" numFmtId="171" pivotButton="0" quotePrefix="0" xfId="0">
      <alignment horizontal="center" vertical="center" wrapText="1"/>
    </xf>
    <xf applyAlignment="1" borderId="1" fillId="0" fontId="1" numFmtId="9" pivotButton="0" quotePrefix="0" xfId="0">
      <alignment horizontal="center" vertical="center" wrapText="1"/>
    </xf>
    <xf applyAlignment="1" borderId="1" fillId="5" fontId="4" numFmtId="10" pivotButton="0" quotePrefix="0" xfId="13">
      <alignment horizontal="center" vertical="center" wrapText="1"/>
    </xf>
    <xf applyAlignment="1" borderId="1" fillId="5" fontId="4" numFmtId="170" pivotButton="0" quotePrefix="0" xfId="0">
      <alignment horizontal="center" vertical="center" wrapText="1"/>
    </xf>
    <xf applyAlignment="1" borderId="1" fillId="3" fontId="4" numFmtId="170" pivotButton="0" quotePrefix="0" xfId="0">
      <alignment horizontal="center" vertical="center" wrapText="1"/>
    </xf>
    <xf applyAlignment="1" borderId="1" fillId="7" fontId="3" numFmtId="171" pivotButton="0" quotePrefix="0" xfId="53">
      <alignment horizontal="center" vertical="center" wrapText="1"/>
    </xf>
    <xf applyAlignment="1" borderId="1" fillId="7" fontId="1" numFmtId="171" pivotButton="0" quotePrefix="0" xfId="0">
      <alignment horizontal="center" vertical="center" wrapText="1"/>
    </xf>
    <xf applyAlignment="1" borderId="1" fillId="0" fontId="3" numFmtId="0" pivotButton="0" quotePrefix="0" xfId="0">
      <alignment horizontal="center" vertical="center"/>
    </xf>
    <xf applyAlignment="1" borderId="1" fillId="0" fontId="6" numFmtId="0" pivotButton="0" quotePrefix="0" xfId="0">
      <alignment horizontal="center" vertical="center"/>
    </xf>
    <xf applyAlignment="1" borderId="1" fillId="0" fontId="3" numFmtId="0" pivotButton="0" quotePrefix="0" xfId="13">
      <alignment horizontal="center" vertical="center"/>
    </xf>
    <xf applyAlignment="1" borderId="0" fillId="0" fontId="1" numFmtId="164" pivotButton="0" quotePrefix="0" xfId="0">
      <alignment horizontal="left" vertical="center"/>
    </xf>
    <xf applyAlignment="1" borderId="0" fillId="0" fontId="1" numFmtId="166" pivotButton="0" quotePrefix="0" xfId="0">
      <alignment horizontal="right" vertical="center"/>
    </xf>
    <xf applyAlignment="1" borderId="0" fillId="0" fontId="1" numFmtId="166" pivotButton="0" quotePrefix="0" xfId="0">
      <alignment horizontal="left" vertical="center"/>
    </xf>
    <xf applyAlignment="1" borderId="0" fillId="0" fontId="1" numFmtId="166" pivotButton="0" quotePrefix="0" xfId="0">
      <alignment horizontal="center" vertical="center"/>
    </xf>
    <xf applyAlignment="1" borderId="0" fillId="0" fontId="1" numFmtId="170" pivotButton="0" quotePrefix="0" xfId="0">
      <alignment horizontal="left" vertical="center"/>
    </xf>
    <xf applyAlignment="1" borderId="1" fillId="4" fontId="4" numFmtId="164" pivotButton="0" quotePrefix="0" xfId="0">
      <alignment horizontal="center" vertical="center" wrapText="1"/>
    </xf>
    <xf applyAlignment="1" borderId="1" fillId="3" fontId="2" numFmtId="164" pivotButton="0" quotePrefix="0" xfId="0">
      <alignment horizontal="center" vertical="center"/>
    </xf>
    <xf applyAlignment="1" borderId="1" fillId="4" fontId="4" numFmtId="166" pivotButton="0" quotePrefix="0" xfId="0">
      <alignment horizontal="center" vertical="center" wrapText="1"/>
    </xf>
    <xf applyAlignment="1" borderId="1" fillId="5" fontId="4" numFmtId="166" pivotButton="0" quotePrefix="0" xfId="0">
      <alignment horizontal="center" vertical="center" wrapText="1"/>
    </xf>
    <xf applyAlignment="1" borderId="1" fillId="5" fontId="4" numFmtId="170" pivotButton="0" quotePrefix="0" xfId="0">
      <alignment horizontal="center" vertical="center" wrapText="1"/>
    </xf>
    <xf applyAlignment="1" borderId="1" fillId="3" fontId="4" numFmtId="170" pivotButton="0" quotePrefix="0" xfId="0">
      <alignment horizontal="center" vertical="center" wrapText="1"/>
    </xf>
    <xf applyAlignment="1" borderId="1" fillId="0" fontId="1" numFmtId="171" pivotButton="0" quotePrefix="0" xfId="0">
      <alignment horizontal="center" vertical="center"/>
    </xf>
    <xf applyAlignment="1" borderId="1" fillId="0" fontId="1" numFmtId="164" pivotButton="0" quotePrefix="0" xfId="0">
      <alignment horizontal="center" vertical="center"/>
    </xf>
    <xf applyAlignment="1" borderId="1" fillId="0" fontId="1" numFmtId="166" pivotButton="0" quotePrefix="0" xfId="0">
      <alignment horizontal="center" vertical="center"/>
    </xf>
    <xf applyAlignment="1" borderId="1" fillId="0" fontId="1" numFmtId="170" pivotButton="0" quotePrefix="0" xfId="0">
      <alignment horizontal="center" vertical="center"/>
    </xf>
    <xf applyAlignment="1" borderId="1" fillId="0" fontId="1" numFmtId="171" pivotButton="0" quotePrefix="0" xfId="0">
      <alignment horizontal="center" vertical="center" wrapText="1"/>
    </xf>
    <xf applyAlignment="1" borderId="1" fillId="7" fontId="3" numFmtId="171" pivotButton="0" quotePrefix="0" xfId="53">
      <alignment horizontal="center" vertical="center" wrapText="1"/>
    </xf>
    <xf applyAlignment="1" borderId="1" fillId="7" fontId="1" numFmtId="171" pivotButton="0" quotePrefix="0" xfId="0">
      <alignment horizontal="center" vertical="center" wrapText="1"/>
    </xf>
    <xf applyAlignment="1" borderId="1" fillId="0" fontId="1" numFmtId="167" pivotButton="0" quotePrefix="0" xfId="0">
      <alignment horizontal="center" vertical="center"/>
    </xf>
    <xf applyAlignment="1" borderId="1" fillId="7" fontId="1" numFmtId="169" pivotButton="0" quotePrefix="0" xfId="0">
      <alignment horizontal="center" vertical="center" wrapText="1"/>
    </xf>
    <xf applyAlignment="1" borderId="1" fillId="0" fontId="1" numFmtId="166" pivotButton="0" quotePrefix="0" xfId="10">
      <alignment horizontal="center" vertical="center"/>
    </xf>
    <xf applyAlignment="1" borderId="0" fillId="0" fontId="1" numFmtId="166" pivotButton="0" quotePrefix="0" xfId="0">
      <alignment vertical="center"/>
    </xf>
    <xf applyAlignment="1" borderId="0" fillId="0" fontId="1" numFmtId="168" pivotButton="0" quotePrefix="0" xfId="0">
      <alignment horizontal="left" vertical="center"/>
    </xf>
    <xf applyAlignment="1" borderId="1" fillId="3" fontId="2" numFmtId="166" pivotButton="0" quotePrefix="0" xfId="0">
      <alignment horizontal="center" vertical="center" wrapText="1"/>
    </xf>
    <xf applyAlignment="1" borderId="1" fillId="5" fontId="4" numFmtId="164" pivotButton="0" quotePrefix="0" xfId="0">
      <alignment horizontal="center" vertical="center" wrapText="1"/>
    </xf>
    <xf applyAlignment="1" borderId="1" fillId="0" fontId="4" numFmtId="168" pivotButton="0" quotePrefix="0" xfId="0">
      <alignment horizontal="center" vertical="center" wrapText="1"/>
    </xf>
    <xf applyAlignment="1" borderId="1" fillId="7" fontId="1" numFmtId="164" pivotButton="0" quotePrefix="0" xfId="0">
      <alignment horizontal="center" vertical="center"/>
    </xf>
    <xf applyAlignment="1" borderId="1" fillId="7" fontId="1" numFmtId="166" pivotButton="0" quotePrefix="0" xfId="0">
      <alignment horizontal="center" vertical="center"/>
    </xf>
    <xf applyAlignment="1" borderId="1" fillId="0" fontId="0" numFmtId="167" pivotButton="0" quotePrefix="0" xfId="0">
      <alignment horizontal="center" vertical="center"/>
    </xf>
    <xf applyAlignment="1" borderId="1" fillId="0" fontId="1" numFmtId="168" pivotButton="0" quotePrefix="0" xfId="0">
      <alignment horizontal="center" vertical="center"/>
    </xf>
    <xf applyAlignment="1" borderId="5" fillId="0" fontId="1" numFmtId="164" pivotButton="0" quotePrefix="0" xfId="0">
      <alignment horizontal="center" vertical="center"/>
    </xf>
    <xf applyAlignment="1" borderId="1" fillId="0" fontId="3" numFmtId="164" pivotButton="0" quotePrefix="0" xfId="0">
      <alignment horizontal="center" vertical="center"/>
    </xf>
    <xf applyAlignment="1" borderId="0" fillId="0" fontId="1" numFmtId="164" pivotButton="0" quotePrefix="0" xfId="0">
      <alignment horizontal="center" vertical="center"/>
    </xf>
    <xf applyAlignment="1" borderId="0" fillId="0" fontId="1" numFmtId="164" pivotButton="0" quotePrefix="0" xfId="0">
      <alignment horizontal="left"/>
    </xf>
    <xf applyAlignment="1" borderId="6" fillId="0" fontId="1" numFmtId="164" pivotButton="0" quotePrefix="0" xfId="0">
      <alignment horizontal="center" vertical="center"/>
    </xf>
    <xf applyAlignment="1" borderId="0" fillId="0" fontId="0" numFmtId="165" pivotButton="0" quotePrefix="0" xfId="0">
      <alignment horizontal="center"/>
    </xf>
    <xf applyAlignment="1" borderId="1" fillId="0" fontId="3" numFmtId="164" pivotButton="0" quotePrefix="0" xfId="0">
      <alignment horizontal="center"/>
    </xf>
    <xf applyAlignment="1" borderId="1" fillId="0" fontId="1" numFmtId="164" pivotButton="0" quotePrefix="0" xfId="0">
      <alignment horizontal="center"/>
    </xf>
  </cellXfs>
  <cellStyles count="60">
    <cellStyle builtinId="0" name="常规" xfId="0"/>
    <cellStyle name="常规 4 4" xfId="1"/>
    <cellStyle builtinId="7" name="货币[0]" xfId="2"/>
    <cellStyle builtinId="38" name="20% - 强调文字颜色 3" xfId="3"/>
    <cellStyle builtinId="20" name="输入" xfId="4"/>
    <cellStyle builtinId="4" name="货币" xfId="5"/>
    <cellStyle name="常规 4 6" xfId="6"/>
    <cellStyle builtinId="6" name="千位分隔[0]" xfId="7"/>
    <cellStyle builtinId="39" name="40% - 强调文字颜色 3" xfId="8"/>
    <cellStyle builtinId="27" name="差" xfId="9"/>
    <cellStyle builtinId="3" name="千位分隔" xfId="10"/>
    <cellStyle builtinId="40" name="60% - 强调文字颜色 3" xfId="11"/>
    <cellStyle builtinId="8" name="超链接" xfId="12"/>
    <cellStyle builtinId="5" name="百分比" xfId="13"/>
    <cellStyle name="常规 4 7" xfId="14"/>
    <cellStyle builtinId="9" name="已访问的超链接" xfId="15"/>
    <cellStyle name="百分比 2" xfId="16"/>
    <cellStyle builtinId="10" name="注释" xfId="17"/>
    <cellStyle builtinId="36" name="60% - 强调文字颜色 2" xfId="18"/>
    <cellStyle builtinId="19" name="标题 4" xfId="19"/>
    <cellStyle builtinId="11" name="警告文本" xfId="20"/>
    <cellStyle builtinId="15" name="标题" xfId="21"/>
    <cellStyle builtinId="53" name="解释性文本" xfId="22"/>
    <cellStyle builtinId="16" name="标题 1" xfId="23"/>
    <cellStyle builtinId="17" name="标题 2" xfId="24"/>
    <cellStyle builtinId="32" name="60% - 强调文字颜色 1" xfId="25"/>
    <cellStyle builtinId="18" name="标题 3" xfId="26"/>
    <cellStyle builtinId="44" name="60% - 强调文字颜色 4" xfId="27"/>
    <cellStyle builtinId="21" name="输出" xfId="28"/>
    <cellStyle builtinId="22" name="计算" xfId="29"/>
    <cellStyle builtinId="23" name="检查单元格" xfId="30"/>
    <cellStyle builtinId="50" name="20% - 强调文字颜色 6" xfId="31"/>
    <cellStyle builtinId="33" name="强调文字颜色 2" xfId="32"/>
    <cellStyle builtinId="24" name="链接单元格" xfId="33"/>
    <cellStyle builtinId="25" name="汇总" xfId="34"/>
    <cellStyle builtinId="26" name="好" xfId="35"/>
    <cellStyle builtinId="28" name="适中" xfId="36"/>
    <cellStyle builtinId="46" name="20% - 强调文字颜色 5" xfId="37"/>
    <cellStyle builtinId="29" name="强调文字颜色 1" xfId="38"/>
    <cellStyle builtinId="30" name="20% - 强调文字颜色 1" xfId="39"/>
    <cellStyle builtinId="31" name="40% - 强调文字颜色 1" xfId="40"/>
    <cellStyle builtinId="34" name="20% - 强调文字颜色 2" xfId="41"/>
    <cellStyle builtinId="35" name="40% - 强调文字颜色 2" xfId="42"/>
    <cellStyle builtinId="37" name="强调文字颜色 3" xfId="43"/>
    <cellStyle builtinId="41" name="强调文字颜色 4" xfId="44"/>
    <cellStyle builtinId="42" name="20% - 强调文字颜色 4" xfId="45"/>
    <cellStyle builtinId="43" name="40% - 强调文字颜色 4" xfId="46"/>
    <cellStyle builtinId="45" name="强调文字颜色 5" xfId="47"/>
    <cellStyle builtinId="47" name="40% - 强调文字颜色 5" xfId="48"/>
    <cellStyle builtinId="48" name="60% - 强调文字颜色 5" xfId="49"/>
    <cellStyle builtinId="49" name="强调文字颜色 6" xfId="50"/>
    <cellStyle builtinId="51" name="40% - 强调文字颜色 6" xfId="51"/>
    <cellStyle builtinId="52" name="60% - 强调文字颜色 6" xfId="52"/>
    <cellStyle name="常规 3" xfId="53"/>
    <cellStyle name="常规 4" xfId="54"/>
    <cellStyle name="常规 2" xfId="55"/>
    <cellStyle name="常规 5" xfId="56"/>
    <cellStyle name="常规 4 2" xfId="57"/>
    <cellStyle name="常规 4 3" xfId="58"/>
    <cellStyle name="常规 4 5" xfId="59"/>
  </cellStyles>
  <dxfs count="7">
    <dxf>
      <fill>
        <patternFill patternType="solid">
          <bgColor theme="0"/>
        </patternFill>
      </fill>
    </dxf>
    <dxf>
      <fill>
        <patternFill patternType="solid">
          <bgColor theme="9" tint="0.399945066682943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theme="4" tint="0.399945066682943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4" tint="0.599963377788629"/>
        </patternFill>
      </fill>
    </dxf>
    <dxf>
      <fill>
        <patternFill patternType="solid">
          <bgColor theme="4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theme="1" tint="0.249977111117893"/>
    <outlinePr summaryBelow="1" summaryRight="1"/>
    <pageSetUpPr/>
  </sheetPr>
  <dimension ref="A1:G7"/>
  <sheetViews>
    <sheetView tabSelected="1" workbookViewId="0" zoomScale="96" zoomScaleNormal="96">
      <selection activeCell="A1" sqref="A1"/>
    </sheetView>
  </sheetViews>
  <sheetFormatPr baseColWidth="8" defaultColWidth="9" defaultRowHeight="16.5" outlineLevelRow="6"/>
  <cols>
    <col customWidth="1" max="1" min="1" style="14" width="13.625"/>
    <col customWidth="1" max="4" min="2" style="14" width="19.875"/>
    <col customWidth="1" max="16384" min="5" style="14" width="9"/>
  </cols>
  <sheetData>
    <row customHeight="1" ht="35.25" r="1">
      <c r="A1" s="41" t="inlineStr">
        <is>
          <t>签框产品</t>
        </is>
      </c>
      <c r="B1" s="41" t="inlineStr">
        <is>
          <t>返款形式</t>
        </is>
      </c>
      <c r="C1" s="41" t="inlineStr">
        <is>
          <t>签框客户数</t>
        </is>
      </c>
      <c r="D1" s="67" t="inlineStr">
        <is>
          <t>截止2023年08月15日消费达标返款客户</t>
        </is>
      </c>
    </row>
    <row customHeight="1" ht="27.75" r="2">
      <c r="A2" s="49" t="inlineStr">
        <is>
          <t>大搜</t>
        </is>
      </c>
      <c r="B2" s="49" t="inlineStr">
        <is>
          <t>年结</t>
        </is>
      </c>
      <c r="C2" s="49">
        <f>COUNTA(大搜年框客户消费监控!B3:B19)</f>
        <v/>
      </c>
      <c r="D2" s="114">
        <f>COUNTIF(大搜年框客户消费监控!G3:G19,"&gt;"&amp;0)</f>
        <v/>
      </c>
    </row>
    <row customHeight="1" ht="27.75" r="3">
      <c r="A3" s="9" t="n"/>
      <c r="B3" s="49" t="inlineStr">
        <is>
          <t>即充即返</t>
        </is>
      </c>
      <c r="C3" s="49">
        <f>COUNTA(大搜年框客户消费监控!B20:B32)</f>
        <v/>
      </c>
      <c r="D3" s="115">
        <f>COUNTIF(大搜年框客户消费监控!G20:G32,"&gt;"&amp;0)</f>
        <v/>
      </c>
    </row>
    <row customHeight="1" ht="27.75" r="4">
      <c r="A4" s="49" t="inlineStr">
        <is>
          <t>信息流</t>
        </is>
      </c>
      <c r="B4" s="49" t="inlineStr">
        <is>
          <t>年结</t>
        </is>
      </c>
      <c r="C4" s="49">
        <f>COUNTA(信息流年框客户消费监控!B3:B8)</f>
        <v/>
      </c>
      <c r="D4" s="114">
        <f>COUNTIF(信息流年框客户消费监控!G3:G8,"&gt;"&amp;0)</f>
        <v/>
      </c>
      <c r="E4" s="14" t="inlineStr"/>
    </row>
    <row customHeight="1" ht="24" r="5">
      <c r="A5" s="9" t="n"/>
      <c r="B5" s="49" t="inlineStr">
        <is>
          <t>月结</t>
        </is>
      </c>
      <c r="C5" s="49">
        <f>COUNTA(信息流年框客户消费监控!B9)</f>
        <v/>
      </c>
      <c r="D5" s="114">
        <f>COUNTIF(信息流年框客户消费监控!G9,"&gt;"&amp;0)</f>
        <v/>
      </c>
      <c r="G5" s="99" t="n"/>
    </row>
    <row customHeight="1" ht="24" r="6">
      <c r="A6" s="49" t="inlineStr">
        <is>
          <t>大搜+信息流</t>
        </is>
      </c>
      <c r="B6" s="49" t="inlineStr">
        <is>
          <t>月结</t>
        </is>
      </c>
      <c r="C6" s="49">
        <f>COUNTA('大搜+信息流年框客户消费监控'!B30:B32)</f>
        <v/>
      </c>
      <c r="D6" s="114">
        <f>COUNTIF('大搜+信息流年框客户消费监控'!G30:G32,"&gt;"&amp;0)</f>
        <v/>
      </c>
    </row>
    <row customHeight="1" ht="26.25" r="7">
      <c r="A7" s="9" t="n"/>
      <c r="B7" s="49" t="inlineStr">
        <is>
          <t>年结</t>
        </is>
      </c>
      <c r="C7" s="49">
        <f>COUNTA('大搜+信息流年框客户消费监控'!B3:B29)</f>
        <v/>
      </c>
      <c r="D7" s="116">
        <f>COUNTIF('大搜+信息流年框客户消费监控'!G3:G29,"&gt;"&amp;0)</f>
        <v/>
      </c>
    </row>
  </sheetData>
  <mergeCells count="3">
    <mergeCell ref="A4:A5"/>
    <mergeCell ref="A2:A3"/>
    <mergeCell ref="A6:A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X32"/>
  <sheetViews>
    <sheetView workbookViewId="0">
      <pane activePane="bottomLeft" state="frozen" topLeftCell="A3" ySplit="2"/>
      <selection activeCell="A1" sqref="A1"/>
      <selection activeCell="E2" pane="bottomLeft" sqref="E2"/>
    </sheetView>
  </sheetViews>
  <sheetFormatPr baseColWidth="8" defaultColWidth="8.875" defaultRowHeight="16.5"/>
  <cols>
    <col customWidth="1" max="1" min="1" style="15" width="11.5"/>
    <col customWidth="1" max="2" min="2" style="15" width="32.25"/>
    <col customWidth="1" max="3" min="3" style="117" width="11"/>
    <col customWidth="1" max="4" min="4" style="36" width="8"/>
    <col customWidth="1" max="5" min="5" style="118" width="12.75"/>
    <col customWidth="1" max="6" min="6" style="38" width="15.75"/>
    <col customWidth="1" max="7" min="7" style="99" width="12.875"/>
    <col customWidth="1" max="8" min="8" style="119" width="11.375"/>
    <col customWidth="1" max="9" min="9" style="120" width="12.625"/>
    <col customWidth="1" max="10" min="10" style="119" width="12"/>
    <col customWidth="1" max="11" min="11" style="100" width="16.125"/>
    <col customWidth="1" max="12" min="12" style="121" width="12"/>
    <col customWidth="1" max="13" min="13" style="40" width="15.25"/>
    <col customWidth="1" max="14" min="14" style="121" width="11.5"/>
    <col customWidth="1" max="15" min="15" style="40" width="13.125"/>
    <col customWidth="1" max="16" min="16" style="15" width="9.625"/>
    <col customWidth="1" max="17" min="17" style="15" width="8"/>
    <col customWidth="1" max="18" min="18" style="15" width="8.5"/>
    <col customWidth="1" max="19" min="19" style="15" width="9.875"/>
    <col customWidth="1" max="20" min="20" style="15" width="28"/>
    <col customWidth="1" max="21" min="21" style="15" width="15.25"/>
    <col customWidth="1" max="24" min="22" style="15" width="8"/>
    <col customWidth="1" max="16384" min="25" style="15" width="8.875"/>
  </cols>
  <sheetData>
    <row customFormat="1" r="1" s="14">
      <c r="A1" s="67" t="inlineStr">
        <is>
          <t>签约客户</t>
        </is>
      </c>
      <c r="B1" s="5" t="n"/>
      <c r="C1" s="5" t="n"/>
      <c r="D1" s="6" t="n"/>
      <c r="E1" s="122" t="inlineStr">
        <is>
          <t>总消费完成进展</t>
        </is>
      </c>
      <c r="F1" s="5" t="n"/>
      <c r="G1" s="6" t="n"/>
      <c r="H1" s="43" t="inlineStr">
        <is>
          <t>日均消费进展</t>
        </is>
      </c>
      <c r="I1" s="5" t="n"/>
      <c r="J1" s="5" t="n"/>
      <c r="K1" s="5" t="n"/>
      <c r="L1" s="5" t="n"/>
      <c r="M1" s="6" t="n"/>
      <c r="N1" s="41" t="inlineStr">
        <is>
          <t>合同到期剩余天数</t>
        </is>
      </c>
      <c r="O1" s="6" t="n"/>
      <c r="P1" s="41" t="inlineStr">
        <is>
          <t>签约信息</t>
        </is>
      </c>
      <c r="Q1" s="5" t="n"/>
      <c r="R1" s="5" t="n"/>
      <c r="S1" s="5" t="n"/>
      <c r="T1" s="5" t="n"/>
      <c r="U1" s="5" t="n"/>
      <c r="V1" s="5" t="n"/>
      <c r="W1" s="5" t="n"/>
      <c r="X1" s="6" t="n"/>
    </row>
    <row customFormat="1" customHeight="1" ht="33" r="2" s="80">
      <c r="A2" s="67" t="inlineStr">
        <is>
          <t>返款形式</t>
        </is>
      </c>
      <c r="B2" s="67" t="inlineStr">
        <is>
          <t>客户公司名称</t>
        </is>
      </c>
      <c r="C2" s="123" t="inlineStr">
        <is>
          <t>框架金额</t>
        </is>
      </c>
      <c r="D2" s="104" t="inlineStr">
        <is>
          <t>返款点数</t>
        </is>
      </c>
      <c r="E2" s="124" t="inlineStr">
        <is>
          <t>截止08月15日已完成消费</t>
        </is>
      </c>
      <c r="F2" s="47" t="inlineStr">
        <is>
          <t>完成进度</t>
        </is>
      </c>
      <c r="G2" s="105" t="inlineStr">
        <is>
          <t>目前达标返款点数</t>
        </is>
      </c>
      <c r="H2" s="125" t="inlineStr">
        <is>
          <t>当前日均消费</t>
        </is>
      </c>
      <c r="I2" s="125" t="inlineStr">
        <is>
          <t>预计达标所需日均消费</t>
        </is>
      </c>
      <c r="J2" s="125" t="inlineStr">
        <is>
          <t>日均进度差值</t>
        </is>
      </c>
      <c r="K2" s="109" t="inlineStr">
        <is>
          <t>预计达标日均所需提升占比</t>
        </is>
      </c>
      <c r="L2" s="126" t="inlineStr">
        <is>
          <t>当前日均消费预计需完成天数</t>
        </is>
      </c>
      <c r="M2" s="64" t="inlineStr">
        <is>
          <t>当前日均消费预计完成时间</t>
        </is>
      </c>
      <c r="N2" s="127" t="inlineStr">
        <is>
          <t>距合同到期剩余天数</t>
        </is>
      </c>
      <c r="O2" s="66" t="inlineStr">
        <is>
          <t>合同到期日期</t>
        </is>
      </c>
      <c r="P2" s="67" t="inlineStr">
        <is>
          <t>签框产品线</t>
        </is>
      </c>
      <c r="Q2" s="67" t="inlineStr">
        <is>
          <t>返款对像</t>
        </is>
      </c>
      <c r="R2" s="67" t="inlineStr">
        <is>
          <t xml:space="preserve">结算方式 </t>
        </is>
      </c>
      <c r="S2" s="67" t="inlineStr">
        <is>
          <t>是否已经签订合同</t>
        </is>
      </c>
      <c r="T2" s="67" t="inlineStr">
        <is>
          <t>合同时间</t>
        </is>
      </c>
      <c r="U2" s="67" t="inlineStr">
        <is>
          <t>备注</t>
        </is>
      </c>
      <c r="V2" s="67" t="inlineStr">
        <is>
          <t>部门</t>
        </is>
      </c>
      <c r="W2" s="67" t="inlineStr">
        <is>
          <t>维护客服</t>
        </is>
      </c>
      <c r="X2" s="67" t="inlineStr">
        <is>
          <t>签约客服</t>
        </is>
      </c>
    </row>
    <row r="3">
      <c r="A3" s="128" t="inlineStr">
        <is>
          <t>年结</t>
        </is>
      </c>
      <c r="B3" s="128" t="inlineStr">
        <is>
          <t>厦门快乐番薯股份有限公司</t>
        </is>
      </c>
      <c r="C3" s="129" t="n">
        <v>1000000</v>
      </c>
      <c r="D3" s="52" t="n">
        <v>0.17</v>
      </c>
      <c r="E3" s="130">
        <f>大搜年框客户消费明细!$C$3</f>
        <v/>
      </c>
      <c r="F3" s="68">
        <f>$E$3/C3</f>
        <v/>
      </c>
      <c r="G3" s="128">
        <f>IF($E$3&gt;=C4,D4,IF($E$3&gt;=C3,D3,"未达标"))</f>
        <v/>
      </c>
      <c r="H3" s="130">
        <f>大搜年框客户消费明细!B3</f>
        <v/>
      </c>
      <c r="I3" s="130">
        <f>IF($E$3&gt;=C3,"已达标",(C3-$E$3)/$N$3)</f>
        <v/>
      </c>
      <c r="J3" s="130">
        <f>IF($E$3&gt;=C3,"已达标",$H$3-I3)</f>
        <v/>
      </c>
      <c r="K3" s="68">
        <f>IF($E$3&gt;=C3,"已达标",IF(J3&lt;0,I3/$H$3-1,"当前日均已达标"))</f>
        <v/>
      </c>
      <c r="L3" s="131">
        <f>(C3-$E$3)/$H$3</f>
        <v/>
      </c>
      <c r="M3" s="70">
        <f>TODAY()+L3</f>
        <v/>
      </c>
      <c r="N3" s="131">
        <f>IF(TODAY()&gt;O3,"合同已到期",_xlfn.DAYS(O3+1,TODAY()))</f>
        <v/>
      </c>
      <c r="O3" s="70" t="n">
        <v>45291</v>
      </c>
      <c r="P3" s="128" t="inlineStr">
        <is>
          <t>大搜</t>
        </is>
      </c>
      <c r="Q3" s="128" t="inlineStr">
        <is>
          <t>客户</t>
        </is>
      </c>
      <c r="R3" s="128" t="inlineStr">
        <is>
          <t>年返</t>
        </is>
      </c>
      <c r="S3" s="128" t="inlineStr">
        <is>
          <t>是</t>
        </is>
      </c>
      <c r="T3" s="132" t="inlineStr">
        <is>
          <t>2023年1月1日~2023年12月31日</t>
        </is>
      </c>
      <c r="U3" s="128" t="inlineStr">
        <is>
          <t>仅大搜消费</t>
        </is>
      </c>
      <c r="V3" s="128" t="inlineStr">
        <is>
          <t>KOL</t>
        </is>
      </c>
      <c r="W3" s="128" t="inlineStr">
        <is>
          <t>邓玲玲</t>
        </is>
      </c>
      <c r="X3" s="128" t="inlineStr">
        <is>
          <t>蒋铃溪</t>
        </is>
      </c>
    </row>
    <row r="4">
      <c r="A4" s="7" t="n"/>
      <c r="B4" s="9" t="n"/>
      <c r="C4" s="129" t="n">
        <v>1500000</v>
      </c>
      <c r="D4" s="52" t="n">
        <v>0.19</v>
      </c>
      <c r="E4" s="9" t="n"/>
      <c r="F4" s="68">
        <f>$E$3/C4</f>
        <v/>
      </c>
      <c r="G4" s="9" t="n"/>
      <c r="H4" s="9" t="n"/>
      <c r="I4" s="130">
        <f>IF($E$3&gt;=C4,"已达标",(C4-$E$3)/$N$3)</f>
        <v/>
      </c>
      <c r="J4" s="130">
        <f>IF($E$3&gt;=C4,"已达标",$H$3-I4)</f>
        <v/>
      </c>
      <c r="K4" s="68">
        <f>IF($E$3&gt;=C4,"已达标",IF(J4&lt;0,I4/$H$3-1,"当前日均已达标"))</f>
        <v/>
      </c>
      <c r="L4" s="131">
        <f>(C4-$E$3)/$H$3</f>
        <v/>
      </c>
      <c r="M4" s="70">
        <f>TODAY()+L4</f>
        <v/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customHeight="1" ht="41.25" r="5">
      <c r="A5" s="7" t="n"/>
      <c r="B5" s="132" t="inlineStr">
        <is>
          <t xml:space="preserve">厦门运友供应链管理有限公司  
厦门迪超物流有限公司  
厦门货运力科技有限公司  
厦门货小运科技有限公司  
厦门市湖里区万线帮货运代理服务部  </t>
        </is>
      </c>
      <c r="C5" s="129" t="n">
        <v>1000000</v>
      </c>
      <c r="D5" s="52" t="n">
        <v>0.18</v>
      </c>
      <c r="E5" s="130">
        <f>SUM(大搜年框客户消费明细!$C$4:$C$8)</f>
        <v/>
      </c>
      <c r="F5" s="68">
        <f>$E$5/C5</f>
        <v/>
      </c>
      <c r="G5" s="128">
        <f>IF($E$5&gt;=C6,D6,IF($E$5&gt;=C5,D5,"未达标"))</f>
        <v/>
      </c>
      <c r="H5" s="130">
        <f>SUM(大搜年框客户消费明细!B4:$B$8)</f>
        <v/>
      </c>
      <c r="I5" s="130">
        <f>IF($E$5&gt;=C5,"已达标",(C5-$E$5)/$N$5)</f>
        <v/>
      </c>
      <c r="J5" s="130">
        <f>IF($E$5&gt;=C5,"已达标",$H$5-I5)</f>
        <v/>
      </c>
      <c r="K5" s="68">
        <f>IF($E$5&gt;=C5,"已达标",IF(J5&lt;0,I5/$H$5-1,"当前日均已达标"))</f>
        <v/>
      </c>
      <c r="L5" s="131">
        <f>(C5-$E$5)/$H$5</f>
        <v/>
      </c>
      <c r="M5" s="70">
        <f>TODAY()+L5</f>
        <v/>
      </c>
      <c r="N5" s="131">
        <f>IF(TODAY()&gt;O5,"合同已到期",_xlfn.DAYS(O5+1,TODAY()))</f>
        <v/>
      </c>
      <c r="O5" s="74" t="n">
        <v>45260</v>
      </c>
      <c r="P5" s="128" t="inlineStr">
        <is>
          <t>大搜</t>
        </is>
      </c>
      <c r="Q5" s="133" t="inlineStr">
        <is>
          <t>客户</t>
        </is>
      </c>
      <c r="R5" s="132" t="inlineStr">
        <is>
          <t xml:space="preserve">即充即返
</t>
        </is>
      </c>
      <c r="S5" s="134" t="inlineStr">
        <is>
          <t>是</t>
        </is>
      </c>
      <c r="T5" s="134" t="inlineStr">
        <is>
          <t>2022年12月1日~2023年11月30日</t>
        </is>
      </c>
      <c r="U5" s="134" t="inlineStr">
        <is>
          <t>仅大搜消费</t>
        </is>
      </c>
      <c r="V5" s="128" t="inlineStr">
        <is>
          <t>KOL</t>
        </is>
      </c>
      <c r="W5" s="128" t="inlineStr">
        <is>
          <t>郑燕森</t>
        </is>
      </c>
      <c r="X5" s="128" t="inlineStr">
        <is>
          <t>蒋铃溪</t>
        </is>
      </c>
    </row>
    <row customHeight="1" ht="41.25" r="6">
      <c r="A6" s="7" t="n"/>
      <c r="B6" s="9" t="n"/>
      <c r="C6" s="129" t="n">
        <v>2000000</v>
      </c>
      <c r="D6" s="52" t="n">
        <v>0.2</v>
      </c>
      <c r="E6" s="9" t="n"/>
      <c r="F6" s="68">
        <f>$E$5/C6</f>
        <v/>
      </c>
      <c r="G6" s="9" t="n"/>
      <c r="H6" s="9" t="n"/>
      <c r="I6" s="130">
        <f>IF($E$5&gt;=C6,"已达标",(C6-$E$5)/$N$5)</f>
        <v/>
      </c>
      <c r="J6" s="130">
        <f>IF($E$5&gt;=C6,"已达标",$H$5-I6)</f>
        <v/>
      </c>
      <c r="K6" s="68">
        <f>IF($E$5&gt;=C6,"已达标",IF(J6&lt;0,I6/$H$5-1,"当前日均已达标"))</f>
        <v/>
      </c>
      <c r="L6" s="131">
        <f>(C6-$E$5)/$H$5</f>
        <v/>
      </c>
      <c r="M6" s="70">
        <f>TODAY()+L6</f>
        <v/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customHeight="1" ht="21" r="7">
      <c r="A7" s="7" t="n"/>
      <c r="B7" s="50" t="inlineStr">
        <is>
          <t>厦门立马耀网络科技有限公司（含旗下所有子公司）
厦门蝉羽网络科技有限公司
 厦门蝉客网络科技有限公司</t>
        </is>
      </c>
      <c r="C7" s="129" t="n">
        <v>1500000</v>
      </c>
      <c r="D7" s="52" t="n">
        <v>0.11</v>
      </c>
      <c r="E7" s="135">
        <f>SUM(大搜年框客户消费明细!$C$16:$C$18)</f>
        <v/>
      </c>
      <c r="F7" s="68">
        <f>$E$7/C7</f>
        <v/>
      </c>
      <c r="G7" s="128">
        <f>IF($E$7&gt;=C9,D9,IF($E$7&gt;=C8,D8,IF($E$7&gt;=C7,D7,"未达标")))</f>
        <v/>
      </c>
      <c r="H7" s="135">
        <f>SUM(大搜年框客户消费明细!$B$16:$B$18)</f>
        <v/>
      </c>
      <c r="I7" s="130">
        <f>IF($E$7&gt;=C7,"已达标",(C7-$E$7)/$N$7)</f>
        <v/>
      </c>
      <c r="J7" s="130">
        <f>IF($E$7&gt;=C7,"已达标",$H$7-I7)</f>
        <v/>
      </c>
      <c r="K7" s="68">
        <f>IF($E$7&gt;=C7,"已达标",IF(J7&lt;0,I7/$H$7-1,"当前日均已达标"))</f>
        <v/>
      </c>
      <c r="L7" s="131">
        <f>(C7-$E$7)/$H$7</f>
        <v/>
      </c>
      <c r="M7" s="70">
        <f>TODAY()+L7</f>
        <v/>
      </c>
      <c r="N7" s="131">
        <f>IF(TODAY()&gt;O7,"合同已到期",_xlfn.DAYS(O7+1,TODAY()))</f>
        <v/>
      </c>
      <c r="O7" s="70" t="n">
        <v>45350</v>
      </c>
      <c r="P7" s="49" t="inlineStr">
        <is>
          <t>大搜</t>
        </is>
      </c>
      <c r="Q7" s="49" t="inlineStr">
        <is>
          <t>客户</t>
        </is>
      </c>
      <c r="R7" s="49" t="inlineStr">
        <is>
          <t>年返</t>
        </is>
      </c>
      <c r="S7" s="49" t="inlineStr">
        <is>
          <t>是</t>
        </is>
      </c>
      <c r="T7" s="128" t="inlineStr">
        <is>
          <t>2023年3月1日~2024年2月28日</t>
        </is>
      </c>
      <c r="U7" s="128" t="inlineStr">
        <is>
          <t>仅大搜消费</t>
        </is>
      </c>
      <c r="V7" s="49" t="inlineStr">
        <is>
          <t>行业二部</t>
        </is>
      </c>
      <c r="W7" s="49" t="inlineStr">
        <is>
          <t>陈金锐</t>
        </is>
      </c>
      <c r="X7" s="49" t="inlineStr">
        <is>
          <t>陈巧云</t>
        </is>
      </c>
    </row>
    <row customHeight="1" ht="21" r="8">
      <c r="A8" s="7" t="n"/>
      <c r="B8" s="7" t="n"/>
      <c r="C8" s="129" t="n">
        <v>1800000</v>
      </c>
      <c r="D8" s="52" t="n">
        <v>0.12</v>
      </c>
      <c r="E8" s="7" t="n"/>
      <c r="F8" s="68">
        <f>$E$7/C8</f>
        <v/>
      </c>
      <c r="G8" s="7" t="n"/>
      <c r="H8" s="7" t="n"/>
      <c r="I8" s="130">
        <f>IF($E$7&gt;=C8,"已达标",(C8-$E$7)/$N$7)</f>
        <v/>
      </c>
      <c r="J8" s="130">
        <f>IF($E$7&gt;=C8,"已达标",$H$7-I8)</f>
        <v/>
      </c>
      <c r="K8" s="68">
        <f>IF($E$7&gt;=C8,"已达标",IF(J8&lt;0,I8/$H$7-1,"当前日均已达标"))</f>
        <v/>
      </c>
      <c r="L8" s="131">
        <f>(C8-$E$7)/$H$7</f>
        <v/>
      </c>
      <c r="M8" s="70">
        <f>TODAY()+L8</f>
        <v/>
      </c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customHeight="1" ht="21" r="9">
      <c r="A9" s="7" t="n"/>
      <c r="B9" s="9" t="n"/>
      <c r="C9" s="129" t="n">
        <v>2000000</v>
      </c>
      <c r="D9" s="52" t="n">
        <v>0.13</v>
      </c>
      <c r="E9" s="9" t="n"/>
      <c r="F9" s="68">
        <f>$E$7/C9</f>
        <v/>
      </c>
      <c r="G9" s="9" t="n"/>
      <c r="H9" s="9" t="n"/>
      <c r="I9" s="130">
        <f>IF($E$7&gt;=C9,"已达标",(C9-$E$7)/$N$7)</f>
        <v/>
      </c>
      <c r="J9" s="130">
        <f>IF($E$7&gt;=C9,"已达标",$H$7-I9)</f>
        <v/>
      </c>
      <c r="K9" s="68">
        <f>IF($E$7&gt;=C9,"已达标",IF(J9&lt;0,I9/$H$7-1,"当前日均已达标"))</f>
        <v/>
      </c>
      <c r="L9" s="131">
        <f>(C9-$E$7)/$H$7</f>
        <v/>
      </c>
      <c r="M9" s="70">
        <f>TODAY()+L9</f>
        <v/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>
      <c r="A10" s="7" t="n"/>
      <c r="B10" s="132" t="inlineStr">
        <is>
          <t>厦门高定供应链管理有限公司
厦门创艺社科技有限公司
厦门创艺社管理咨询合伙企业（有限合伙）</t>
        </is>
      </c>
      <c r="C10" s="129" t="n">
        <v>1000000</v>
      </c>
      <c r="D10" s="52" t="n">
        <v>0.03</v>
      </c>
      <c r="E10" s="130">
        <f>SUM(大搜年框客户消费明细!$C$13:$C$15)</f>
        <v/>
      </c>
      <c r="F10" s="68">
        <f>$E$10/C10</f>
        <v/>
      </c>
      <c r="G10" s="128">
        <f>IF($E$10&gt;=C12,D12,IF($E$10&gt;=C11,D11,IF($E$10&gt;=C10,D10,"未达标")))</f>
        <v/>
      </c>
      <c r="H10" s="130">
        <f>SUM(大搜年框客户消费明细!$B$13:$B$15)</f>
        <v/>
      </c>
      <c r="I10" s="130">
        <f>IF($E$10&gt;=C10,"已达标",(C10-$E$10)/$N$10)</f>
        <v/>
      </c>
      <c r="J10" s="130">
        <f>IF($E$10&gt;=C10,"已达标",$H$10-I10)</f>
        <v/>
      </c>
      <c r="K10" s="68">
        <f>IF($E$10&gt;=C10,"已达标",IF(J10&lt;0,I10/$H$10-1,"当前日均已达标"))</f>
        <v/>
      </c>
      <c r="L10" s="131">
        <f>(C10-$E$10)/$H$10</f>
        <v/>
      </c>
      <c r="M10" s="70">
        <f>TODAY()+L10</f>
        <v/>
      </c>
      <c r="N10" s="131">
        <f>IF(TODAY()&gt;O10,"合同已到期",_xlfn.DAYS(O10+1,TODAY()))</f>
        <v/>
      </c>
      <c r="O10" s="70" t="n">
        <v>45291</v>
      </c>
      <c r="P10" s="128" t="inlineStr">
        <is>
          <t>大搜</t>
        </is>
      </c>
      <c r="Q10" s="128" t="inlineStr">
        <is>
          <t>客户</t>
        </is>
      </c>
      <c r="R10" s="128" t="inlineStr">
        <is>
          <t>年返</t>
        </is>
      </c>
      <c r="S10" s="128" t="inlineStr">
        <is>
          <t>是</t>
        </is>
      </c>
      <c r="T10" s="128" t="inlineStr">
        <is>
          <t>2023年1月1日~2023年12月31日</t>
        </is>
      </c>
      <c r="U10" s="128" t="inlineStr">
        <is>
          <t>大搜PC</t>
        </is>
      </c>
      <c r="V10" s="128" t="inlineStr">
        <is>
          <t>KOL</t>
        </is>
      </c>
      <c r="W10" s="128" t="inlineStr">
        <is>
          <t>郑燕森</t>
        </is>
      </c>
      <c r="X10" s="128" t="inlineStr">
        <is>
          <t>蒋铃溪</t>
        </is>
      </c>
    </row>
    <row r="11">
      <c r="A11" s="7" t="n"/>
      <c r="B11" s="7" t="n"/>
      <c r="C11" s="129" t="n">
        <v>1200000</v>
      </c>
      <c r="D11" s="52" t="n">
        <v>0.05</v>
      </c>
      <c r="E11" s="7" t="n"/>
      <c r="F11" s="68">
        <f>$E$10/C11</f>
        <v/>
      </c>
      <c r="G11" s="7" t="n"/>
      <c r="H11" s="7" t="n"/>
      <c r="I11" s="130">
        <f>IF($E$10&gt;=C11,"已达标",(C11-$E$10)/$N$10)</f>
        <v/>
      </c>
      <c r="J11" s="130">
        <f>IF($E$10&gt;=C11,"已达标",$H$10-I11)</f>
        <v/>
      </c>
      <c r="K11" s="68">
        <f>IF($E$10&gt;=C11,"已达标",IF(J11&lt;0,I11/$H$10-1,"当前日均已达标"))</f>
        <v/>
      </c>
      <c r="L11" s="131">
        <f>(C11-$E$10)/$H$10</f>
        <v/>
      </c>
      <c r="M11" s="70">
        <f>TODAY()+L11</f>
        <v/>
      </c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>
      <c r="A12" s="7" t="n"/>
      <c r="B12" s="9" t="n"/>
      <c r="C12" s="129" t="n">
        <v>1400000</v>
      </c>
      <c r="D12" s="52" t="n">
        <v>0.08</v>
      </c>
      <c r="E12" s="9" t="n"/>
      <c r="F12" s="68">
        <f>$E$10/C12</f>
        <v/>
      </c>
      <c r="G12" s="9" t="n"/>
      <c r="H12" s="9" t="n"/>
      <c r="I12" s="130">
        <f>IF($E$10&gt;=C12,"已达标",(C12-$E$10)/$N$10)</f>
        <v/>
      </c>
      <c r="J12" s="130">
        <f>IF($E$10&gt;=C12,"已达标",$H$10-I12)</f>
        <v/>
      </c>
      <c r="K12" s="68">
        <f>IF($E$10&gt;=C12,"已达标",IF(J12&lt;0,I12/$H$10-1,"当前日均已达标"))</f>
        <v/>
      </c>
      <c r="L12" s="131">
        <f>(C12-$E$10)/$H$10</f>
        <v/>
      </c>
      <c r="M12" s="70">
        <f>TODAY()+L12</f>
        <v/>
      </c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>
      <c r="A13" s="7" t="n"/>
      <c r="B13" s="49" t="inlineStr">
        <is>
          <t>厦门零一世界科技有限公司</t>
        </is>
      </c>
      <c r="C13" s="129" t="n">
        <v>1000000</v>
      </c>
      <c r="D13" s="52" t="n">
        <v>0.03</v>
      </c>
      <c r="E13" s="130">
        <f>大搜年框客户消费明细!$C$12</f>
        <v/>
      </c>
      <c r="F13" s="68">
        <f>$E$13/C13</f>
        <v/>
      </c>
      <c r="G13" s="128">
        <f>IF($E$13&gt;=C14,D14,IF($E$13&gt;=C13,D13,"未达标"))</f>
        <v/>
      </c>
      <c r="H13" s="130">
        <f>大搜年框客户消费明细!$B$12</f>
        <v/>
      </c>
      <c r="I13" s="130">
        <f>IF($E$13&gt;=C13,"已达标",(C13-$E$13)/$N$13)</f>
        <v/>
      </c>
      <c r="J13" s="130">
        <f>IF($E$13&gt;=C13,"已达标",$H$13-I13)</f>
        <v/>
      </c>
      <c r="K13" s="68">
        <f>IF($E$13&gt;=C13,"已达标",IF(J13&lt;0,I13/$H$13-1,"当前日均已达标"))</f>
        <v/>
      </c>
      <c r="L13" s="131">
        <f>(C13-$E$13)/$H$13</f>
        <v/>
      </c>
      <c r="M13" s="70">
        <f>TODAY()+L13</f>
        <v/>
      </c>
      <c r="N13" s="131">
        <f>IF(TODAY()&gt;O13,"合同已到期",_xlfn.DAYS(O13+1,TODAY()))</f>
        <v/>
      </c>
      <c r="O13" s="70" t="n">
        <v>45291</v>
      </c>
      <c r="P13" s="128" t="inlineStr">
        <is>
          <t>大搜</t>
        </is>
      </c>
      <c r="Q13" s="128" t="inlineStr">
        <is>
          <t>客户</t>
        </is>
      </c>
      <c r="R13" s="128" t="inlineStr">
        <is>
          <t>年返</t>
        </is>
      </c>
      <c r="S13" s="128" t="inlineStr">
        <is>
          <t>是</t>
        </is>
      </c>
      <c r="T13" s="128" t="inlineStr">
        <is>
          <t>2023年1月1日~2023年12月31日</t>
        </is>
      </c>
      <c r="U13" s="128" t="inlineStr">
        <is>
          <t>框架金额2个档</t>
        </is>
      </c>
      <c r="V13" s="128" t="inlineStr">
        <is>
          <t>新开一部</t>
        </is>
      </c>
      <c r="W13" s="128" t="inlineStr">
        <is>
          <t>张唯唯</t>
        </is>
      </c>
      <c r="X13" s="128" t="inlineStr">
        <is>
          <t>张唯唯</t>
        </is>
      </c>
    </row>
    <row r="14">
      <c r="A14" s="7" t="n"/>
      <c r="B14" s="9" t="n"/>
      <c r="C14" s="129" t="n">
        <v>1200000</v>
      </c>
      <c r="D14" s="52" t="n">
        <v>0.05</v>
      </c>
      <c r="E14" s="9" t="n"/>
      <c r="F14" s="68">
        <f>$E$13/C14</f>
        <v/>
      </c>
      <c r="G14" s="9" t="n"/>
      <c r="H14" s="9" t="n"/>
      <c r="I14" s="130">
        <f>IF($E$13&gt;=C14,"已达标",(C14-$E$13)/$N$13)</f>
        <v/>
      </c>
      <c r="J14" s="130">
        <f>IF($E$13&gt;=C14,"已达标",$H$13-I14)</f>
        <v/>
      </c>
      <c r="K14" s="68">
        <f>IF($E$13&gt;=C14,"已达标",IF(J14&lt;0,I14/$H$13-1,"当前日均已达标"))</f>
        <v/>
      </c>
      <c r="L14" s="131">
        <f>(C14-$E$13)/$H$13</f>
        <v/>
      </c>
      <c r="M14" s="70">
        <f>TODAY()+L14</f>
        <v/>
      </c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>
      <c r="A15" s="7" t="n"/>
      <c r="B15" s="49" t="inlineStr">
        <is>
          <t xml:space="preserve"> 
厦门康强人才服务有限公司</t>
        </is>
      </c>
      <c r="C15" s="129" t="n">
        <v>1200000</v>
      </c>
      <c r="D15" s="52" t="n">
        <v>0.05</v>
      </c>
      <c r="E15" s="135">
        <f>大搜年框客户消费明细!$C$19</f>
        <v/>
      </c>
      <c r="F15" s="68">
        <f>$E$15/C15</f>
        <v/>
      </c>
      <c r="G15" s="55">
        <f>IF($E$15&gt;=C19,D19,IF($E$15&gt;=C18,D18,IF($E$15&gt;=C17,D17,IF($E$15&gt;=C16,D16,IF($E$15&gt;=C15,D15,"未达标")))))</f>
        <v/>
      </c>
      <c r="H15" s="135">
        <f>大搜年框客户消费明细!$B$19</f>
        <v/>
      </c>
      <c r="I15" s="130">
        <f>IF($E$15&gt;=C15,"已达标",(C15-$E$15)/$N$15)</f>
        <v/>
      </c>
      <c r="J15" s="130">
        <f>IF($E$15&gt;=C15,"已达标",$H$15-I15)</f>
        <v/>
      </c>
      <c r="K15" s="68">
        <f>IF($E$15&gt;=C15,"已达标",IF(J15&lt;0,I15/$H$15-1,"当前日均已达标"))</f>
        <v/>
      </c>
      <c r="L15" s="131">
        <f>(C15-$E$15)/$H$15</f>
        <v/>
      </c>
      <c r="M15" s="70">
        <f>TODAY()+L15</f>
        <v/>
      </c>
      <c r="N15" s="131">
        <f>IF(TODAY()&gt;O15,"合同已到期",_xlfn.DAYS(O15+1,TODAY()))</f>
        <v/>
      </c>
      <c r="O15" s="74" t="n">
        <v>45291</v>
      </c>
      <c r="P15" s="49" t="inlineStr">
        <is>
          <t>大搜</t>
        </is>
      </c>
      <c r="Q15" s="77" t="inlineStr">
        <is>
          <t>客户</t>
        </is>
      </c>
      <c r="R15" s="50" t="inlineStr">
        <is>
          <t>年返</t>
        </is>
      </c>
      <c r="S15" s="78" t="inlineStr">
        <is>
          <t>是</t>
        </is>
      </c>
      <c r="T15" s="136" t="inlineStr">
        <is>
          <t>2023年1月1日~2023年12月31日</t>
        </is>
      </c>
      <c r="U15" s="78" t="inlineStr">
        <is>
          <t>仅大搜消费</t>
        </is>
      </c>
      <c r="V15" s="49" t="inlineStr">
        <is>
          <t>行业二部</t>
        </is>
      </c>
      <c r="W15" s="49" t="inlineStr">
        <is>
          <t>张慧敏</t>
        </is>
      </c>
      <c r="X15" s="49" t="inlineStr">
        <is>
          <t>陈巧云</t>
        </is>
      </c>
    </row>
    <row r="16">
      <c r="A16" s="7" t="n"/>
      <c r="B16" s="7" t="n"/>
      <c r="C16" s="129" t="n">
        <v>1500000</v>
      </c>
      <c r="D16" s="52" t="n">
        <v>0.07000000000000001</v>
      </c>
      <c r="E16" s="7" t="n"/>
      <c r="F16" s="68">
        <f>$E$15/C16</f>
        <v/>
      </c>
      <c r="G16" s="7" t="n"/>
      <c r="H16" s="7" t="n"/>
      <c r="I16" s="130">
        <f>IF($E$15&gt;=C16,"已达标",(C16-$E$15)/$N$15)</f>
        <v/>
      </c>
      <c r="J16" s="130">
        <f>IF($E$15&gt;=C16,"已达标",$H$15-I16)</f>
        <v/>
      </c>
      <c r="K16" s="68">
        <f>IF($E$15&gt;=C16,"已达标",IF(J16&lt;0,I16/$H$15-1,"当前日均已达标"))</f>
        <v/>
      </c>
      <c r="L16" s="131">
        <f>(C16-$E$15)/$H$15</f>
        <v/>
      </c>
      <c r="M16" s="70">
        <f>TODAY()+L16</f>
        <v/>
      </c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7" t="n"/>
      <c r="B17" s="7" t="n"/>
      <c r="C17" s="129" t="n">
        <v>1800000</v>
      </c>
      <c r="D17" s="52" t="n">
        <v>0.08</v>
      </c>
      <c r="E17" s="7" t="n"/>
      <c r="F17" s="68">
        <f>$E$15/C17</f>
        <v/>
      </c>
      <c r="G17" s="7" t="n"/>
      <c r="H17" s="7" t="n"/>
      <c r="I17" s="130">
        <f>IF($E$15&gt;=C17,"已达标",(C17-$E$15)/$N$15)</f>
        <v/>
      </c>
      <c r="J17" s="130">
        <f>IF($E$15&gt;=C17,"已达标",$H$15-I17)</f>
        <v/>
      </c>
      <c r="K17" s="68">
        <f>IF($E$15&gt;=C17,"已达标",IF(J17&lt;0,I17/$H$15-1,"当前日均已达标"))</f>
        <v/>
      </c>
      <c r="L17" s="131">
        <f>(C17-$E$15)/$H$15</f>
        <v/>
      </c>
      <c r="M17" s="70">
        <f>TODAY()+L17</f>
        <v/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>
      <c r="A18" s="7" t="n"/>
      <c r="B18" s="7" t="n"/>
      <c r="C18" s="129" t="n">
        <v>2000000</v>
      </c>
      <c r="D18" s="52" t="n">
        <v>0.09</v>
      </c>
      <c r="E18" s="7" t="n"/>
      <c r="F18" s="68">
        <f>$E$15/C18</f>
        <v/>
      </c>
      <c r="G18" s="7" t="n"/>
      <c r="H18" s="7" t="n"/>
      <c r="I18" s="130">
        <f>IF($E$15&gt;=C18,"已达标",(C18-$E$15)/$N$15)</f>
        <v/>
      </c>
      <c r="J18" s="130">
        <f>IF($E$15&gt;=C18,"已达标",$H$15-I18)</f>
        <v/>
      </c>
      <c r="K18" s="68">
        <f>IF($E$15&gt;=C18,"已达标",IF(J18&lt;0,I18/$H$15-1,"当前日均已达标"))</f>
        <v/>
      </c>
      <c r="L18" s="131">
        <f>(C18-$E$15)/$H$15</f>
        <v/>
      </c>
      <c r="M18" s="70">
        <f>TODAY()+L18</f>
        <v/>
      </c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>
      <c r="A19" s="9" t="n"/>
      <c r="B19" s="9" t="n"/>
      <c r="C19" s="129" t="n">
        <v>2500000</v>
      </c>
      <c r="D19" s="52" t="n">
        <v>0.11</v>
      </c>
      <c r="E19" s="9" t="n"/>
      <c r="F19" s="68">
        <f>$E$15/C19</f>
        <v/>
      </c>
      <c r="G19" s="9" t="n"/>
      <c r="H19" s="9" t="n"/>
      <c r="I19" s="130">
        <f>IF($E$15&gt;=C19,"已达标",(C19-$E$15)/$N$15)</f>
        <v/>
      </c>
      <c r="J19" s="130">
        <f>IF($E$15&gt;=C19,"已达标",$H$15-I19)</f>
        <v/>
      </c>
      <c r="K19" s="68">
        <f>IF($E$15&gt;=C19,"已达标",IF(J19&lt;0,I19/$H$15-1,"当前日均已达标"))</f>
        <v/>
      </c>
      <c r="L19" s="131">
        <f>(C19-$E$15)/$H$15</f>
        <v/>
      </c>
      <c r="M19" s="70">
        <f>TODAY()+L19</f>
        <v/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>
      <c r="A20" s="49" t="inlineStr">
        <is>
          <t xml:space="preserve">即充即返 </t>
        </is>
      </c>
      <c r="B20" s="50" t="inlineStr">
        <is>
          <t>厦门雷霆网络科技股份有限公司
厦门雷霆互动网络有限公司</t>
        </is>
      </c>
      <c r="C20" s="129" t="n">
        <v>1000000</v>
      </c>
      <c r="D20" s="55" t="n">
        <v>0.08</v>
      </c>
      <c r="E20" s="137">
        <f>SUM(大搜年框客户消费明细!$C$9:$C$10)</f>
        <v/>
      </c>
      <c r="F20" s="68">
        <f>$E$20/C20</f>
        <v/>
      </c>
      <c r="G20" s="55">
        <f>IF($E$20&gt;=C24,D24,IF($E$20&gt;=C23,D23,IF($E$20&gt;=C22,D22,IF($E$20&gt;=C21,D21,IF($E$20&gt;=C20,D20,"未达标")))))</f>
        <v/>
      </c>
      <c r="H20" s="130">
        <f>SUM(大搜年框客户消费明细!$B$9:$B$10)</f>
        <v/>
      </c>
      <c r="I20" s="130">
        <f>IF($E$20&gt;=C20,"已达标",(C20-$E$20)/$N$20)</f>
        <v/>
      </c>
      <c r="J20" s="130">
        <f>IF($E$20&gt;=C20,"已达标",$H$20-I20)</f>
        <v/>
      </c>
      <c r="K20" s="68">
        <f>IF($E$20&gt;=C20,"已达标",IF(J20&lt;0,I20/$H$20-1,"当前日均已达标"))</f>
        <v/>
      </c>
      <c r="L20" s="131">
        <f>(C20-$E$20)/$H$20</f>
        <v/>
      </c>
      <c r="M20" s="70">
        <f>TODAY()+L20</f>
        <v/>
      </c>
      <c r="N20" s="131">
        <f>IF(TODAY()&gt;O20,"合同已到期",_xlfn.DAYS(O20+1,TODAY()))</f>
        <v/>
      </c>
      <c r="O20" s="74" t="n">
        <v>45291</v>
      </c>
      <c r="P20" s="49" t="inlineStr">
        <is>
          <t>大搜</t>
        </is>
      </c>
      <c r="Q20" s="77" t="inlineStr">
        <is>
          <t>客户</t>
        </is>
      </c>
      <c r="R20" s="50" t="inlineStr">
        <is>
          <t xml:space="preserve">即充即返
</t>
        </is>
      </c>
      <c r="S20" s="78" t="inlineStr">
        <is>
          <t>是</t>
        </is>
      </c>
      <c r="T20" s="136" t="inlineStr">
        <is>
          <t>2023年1月1日~2023年12月31日</t>
        </is>
      </c>
      <c r="U20" s="78" t="inlineStr">
        <is>
          <t>仅大搜消费</t>
        </is>
      </c>
      <c r="V20" s="78" t="inlineStr">
        <is>
          <t>KOL</t>
        </is>
      </c>
      <c r="W20" s="78" t="inlineStr">
        <is>
          <t>尹林平</t>
        </is>
      </c>
      <c r="X20" s="78" t="inlineStr">
        <is>
          <t>蒋铃溪</t>
        </is>
      </c>
    </row>
    <row r="21">
      <c r="A21" s="7" t="n"/>
      <c r="B21" s="7" t="n"/>
      <c r="C21" s="129" t="n">
        <v>2000000</v>
      </c>
      <c r="D21" s="55" t="n">
        <v>0.09</v>
      </c>
      <c r="E21" s="7" t="n"/>
      <c r="F21" s="68">
        <f>$E$20/C21</f>
        <v/>
      </c>
      <c r="G21" s="7" t="n"/>
      <c r="H21" s="7" t="n"/>
      <c r="I21" s="130">
        <f>IF($E$20&gt;=C21,"已达标",(C21-$E$20)/$N$20)</f>
        <v/>
      </c>
      <c r="J21" s="130">
        <f>IF($E$20&gt;=C21,"已达标",$H$20-I21)</f>
        <v/>
      </c>
      <c r="K21" s="68">
        <f>IF($E$20&gt;=C21,"已达标",IF(J21&lt;0,I21/$H$20-1,"当前日均已达标"))</f>
        <v/>
      </c>
      <c r="L21" s="131">
        <f>(C21-$E$20)/$H$20</f>
        <v/>
      </c>
      <c r="M21" s="70">
        <f>TODAY()+L21</f>
        <v/>
      </c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>
      <c r="A22" s="7" t="n"/>
      <c r="B22" s="7" t="n"/>
      <c r="C22" s="129" t="n">
        <v>3000000</v>
      </c>
      <c r="D22" s="55" t="n">
        <v>0.11</v>
      </c>
      <c r="E22" s="7" t="n"/>
      <c r="F22" s="68">
        <f>$E$20/C22</f>
        <v/>
      </c>
      <c r="G22" s="7" t="n"/>
      <c r="H22" s="7" t="n"/>
      <c r="I22" s="130">
        <f>IF($E$20&gt;=C22,"已达标",(C22-$E$20)/$N$20)</f>
        <v/>
      </c>
      <c r="J22" s="130">
        <f>IF($E$20&gt;=C22,"已达标",$H$20-I22)</f>
        <v/>
      </c>
      <c r="K22" s="68">
        <f>IF($E$20&gt;=C22,"已达标",IF(J22&lt;0,I22/$H$20-1,"当前日均已达标"))</f>
        <v/>
      </c>
      <c r="L22" s="131">
        <f>(C22-$E$20)/$H$20</f>
        <v/>
      </c>
      <c r="M22" s="70">
        <f>TODAY()+L22</f>
        <v/>
      </c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7" t="n"/>
      <c r="B23" s="7" t="n"/>
      <c r="C23" s="129" t="n">
        <v>4000000</v>
      </c>
      <c r="D23" s="55" t="n">
        <v>0.12</v>
      </c>
      <c r="E23" s="7" t="n"/>
      <c r="F23" s="68">
        <f>$E$20/C23</f>
        <v/>
      </c>
      <c r="G23" s="7" t="n"/>
      <c r="H23" s="7" t="n"/>
      <c r="I23" s="130">
        <f>IF($E$20&gt;=C23,"已达标",(C23-$E$20)/$N$20)</f>
        <v/>
      </c>
      <c r="J23" s="130">
        <f>IF($E$20&gt;=C23,"已达标",$H$20-I23)</f>
        <v/>
      </c>
      <c r="K23" s="68">
        <f>IF($E$20&gt;=C23,"已达标",IF(J23&lt;0,I23/$H$20-1,"当前日均已达标"))</f>
        <v/>
      </c>
      <c r="L23" s="131">
        <f>(C23-$E$20)/$H$20</f>
        <v/>
      </c>
      <c r="M23" s="70">
        <f>TODAY()+L23</f>
        <v/>
      </c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7" t="n"/>
      <c r="B24" s="9" t="n"/>
      <c r="C24" s="129" t="n">
        <v>5000000</v>
      </c>
      <c r="D24" s="55" t="n">
        <v>0.13</v>
      </c>
      <c r="E24" s="9" t="n"/>
      <c r="F24" s="68">
        <f>$E$20/C24</f>
        <v/>
      </c>
      <c r="G24" s="9" t="n"/>
      <c r="H24" s="9" t="n"/>
      <c r="I24" s="130">
        <f>IF($E$20&gt;=C24,"已达标",(C24-$E$20)/$N$20)</f>
        <v/>
      </c>
      <c r="J24" s="130">
        <f>IF($E$20&gt;=C24,"已达标",$H$20-I24)</f>
        <v/>
      </c>
      <c r="K24" s="68">
        <f>IF($E$20&gt;=C24,"已达标",IF(J24&lt;0,I24/$H$20-1,"当前日均已达标"))</f>
        <v/>
      </c>
      <c r="L24" s="131">
        <f>(C24-$E$20)/$H$20</f>
        <v/>
      </c>
      <c r="M24" s="70">
        <f>TODAY()+L24</f>
        <v/>
      </c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>
      <c r="A25" s="7" t="n"/>
      <c r="B25" s="49" t="inlineStr">
        <is>
          <t>稿定（厦门）科技有限公司</t>
        </is>
      </c>
      <c r="C25" s="129" t="n">
        <v>3000000</v>
      </c>
      <c r="D25" s="108" t="n">
        <v>0.14</v>
      </c>
      <c r="E25" s="137">
        <f>大搜年框客户消费明细!$C$11</f>
        <v/>
      </c>
      <c r="F25" s="68">
        <f>$E$25/C25</f>
        <v/>
      </c>
      <c r="G25" s="108">
        <f>IF($E$25&gt;=C32,D32,IF($E$25&gt;=C31,D31,IF($E$25&gt;=C30,D30,IF($E$25&gt;=C29,D29,IF($E$25&gt;=C28,D28,IF($E$25&gt;=C27,D27,IF($E$25&gt;=C26,D26,IF($E$25&gt;=C25,D25,"未达标"))))))))</f>
        <v/>
      </c>
      <c r="H25" s="130">
        <f>大搜年框客户消费明细!$B$11</f>
        <v/>
      </c>
      <c r="I25" s="130">
        <f>IF($E$25&gt;=C25,"已达标",(C25-$E$25)/$N$25)</f>
        <v/>
      </c>
      <c r="J25" s="130">
        <f>IF($E$25&gt;=C25,"已达标",$H$25-I25)</f>
        <v/>
      </c>
      <c r="K25" s="68">
        <f>IF($E$25&gt;=C25,"已达标",IF(J25&lt;0,I25/$H$25-1,"当前日均已达标"))</f>
        <v/>
      </c>
      <c r="L25" s="131">
        <f>(C25-$E$25)/$H$25</f>
        <v/>
      </c>
      <c r="M25" s="70">
        <f>TODAY()+L25</f>
        <v/>
      </c>
      <c r="N25" s="131">
        <f>IF(TODAY()&gt;O25,"合同已到期",_xlfn.DAYS(O25+1,TODAY()))</f>
        <v/>
      </c>
      <c r="O25" s="70" t="n">
        <v>45138</v>
      </c>
      <c r="P25" s="49" t="inlineStr">
        <is>
          <t>大搜</t>
        </is>
      </c>
      <c r="Q25" s="49" t="inlineStr">
        <is>
          <t>客户</t>
        </is>
      </c>
      <c r="R25" s="49" t="inlineStr">
        <is>
          <t>即冲击返</t>
        </is>
      </c>
      <c r="S25" s="49" t="inlineStr">
        <is>
          <t>是</t>
        </is>
      </c>
      <c r="T25" s="49" t="inlineStr">
        <is>
          <t>2022年8月1日~2023年7月31日</t>
        </is>
      </c>
      <c r="U25" s="49" t="inlineStr">
        <is>
          <t>仅大搜消费</t>
        </is>
      </c>
      <c r="V25" s="49" t="inlineStr">
        <is>
          <t>KOL</t>
        </is>
      </c>
      <c r="W25" s="49" t="inlineStr">
        <is>
          <t>郑燕森</t>
        </is>
      </c>
      <c r="X25" s="49" t="inlineStr">
        <is>
          <t>蒋铃溪</t>
        </is>
      </c>
    </row>
    <row r="26">
      <c r="A26" s="7" t="n"/>
      <c r="B26" s="7" t="n"/>
      <c r="C26" s="129" t="n">
        <v>5000000</v>
      </c>
      <c r="D26" s="108" t="n">
        <v>0.16</v>
      </c>
      <c r="E26" s="7" t="n"/>
      <c r="F26" s="68">
        <f>$E$25/C26</f>
        <v/>
      </c>
      <c r="G26" s="7" t="n"/>
      <c r="H26" s="7" t="n"/>
      <c r="I26" s="130">
        <f>IF($E$25&gt;=C26,"已达标",(C26-$E$25)/$N$25)</f>
        <v/>
      </c>
      <c r="J26" s="130">
        <f>IF($E$25&gt;=C26,"已达标",$H$25-I26)</f>
        <v/>
      </c>
      <c r="K26" s="68">
        <f>IF($E$25&gt;=C26,"已达标",IF(J26&lt;0,I26/$H$25-1,"当前日均已达标"))</f>
        <v/>
      </c>
      <c r="L26" s="131">
        <f>(C26-$E$25)/$H$25</f>
        <v/>
      </c>
      <c r="M26" s="70">
        <f>TODAY()+L26</f>
        <v/>
      </c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7" t="n"/>
      <c r="B27" s="7" t="n"/>
      <c r="C27" s="129" t="n">
        <v>7000000</v>
      </c>
      <c r="D27" s="108" t="n">
        <v>0.18</v>
      </c>
      <c r="E27" s="7" t="n"/>
      <c r="F27" s="68">
        <f>$E$25/C27</f>
        <v/>
      </c>
      <c r="G27" s="7" t="n"/>
      <c r="H27" s="7" t="n"/>
      <c r="I27" s="130">
        <f>IF($E$25&gt;=C27,"已达标",(C27-$E$25)/$N$25)</f>
        <v/>
      </c>
      <c r="J27" s="130">
        <f>IF($E$25&gt;=C27,"已达标",$H$25-I27)</f>
        <v/>
      </c>
      <c r="K27" s="68">
        <f>IF($E$25&gt;=C27,"已达标",IF(J27&lt;0,I27/$H$25-1,"当前日均已达标"))</f>
        <v/>
      </c>
      <c r="L27" s="131">
        <f>(C27-$E$25)/$H$25</f>
        <v/>
      </c>
      <c r="M27" s="70">
        <f>TODAY()+L27</f>
        <v/>
      </c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7" t="n"/>
      <c r="B28" s="7" t="n"/>
      <c r="C28" s="129" t="n">
        <v>10000000</v>
      </c>
      <c r="D28" s="108" t="n">
        <v>0.21</v>
      </c>
      <c r="E28" s="7" t="n"/>
      <c r="F28" s="68">
        <f>$E$25/C28</f>
        <v/>
      </c>
      <c r="G28" s="7" t="n"/>
      <c r="H28" s="7" t="n"/>
      <c r="I28" s="130">
        <f>IF($E$25&gt;=C28,"已达标",(C28-$E$25)/$N$25)</f>
        <v/>
      </c>
      <c r="J28" s="130">
        <f>IF($E$25&gt;=C28,"已达标",$H$25-I28)</f>
        <v/>
      </c>
      <c r="K28" s="68">
        <f>IF($E$25&gt;=C28,"已达标",IF(J28&lt;0,I28/$H$25-1,"当前日均已达标"))</f>
        <v/>
      </c>
      <c r="L28" s="131">
        <f>(C28-$E$25)/$H$25</f>
        <v/>
      </c>
      <c r="M28" s="70">
        <f>TODAY()+L28</f>
        <v/>
      </c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7" t="n"/>
      <c r="B29" s="7" t="n"/>
      <c r="C29" s="129" t="n">
        <v>13000000</v>
      </c>
      <c r="D29" s="108" t="n">
        <v>0.22</v>
      </c>
      <c r="E29" s="7" t="n"/>
      <c r="F29" s="68">
        <f>$E$25/C29</f>
        <v/>
      </c>
      <c r="G29" s="7" t="n"/>
      <c r="H29" s="7" t="n"/>
      <c r="I29" s="130">
        <f>IF($E$25&gt;=C29,"已达标",(C29-$E$25)/$N$25)</f>
        <v/>
      </c>
      <c r="J29" s="130">
        <f>IF($E$25&gt;=C29,"已达标",$H$25-I29)</f>
        <v/>
      </c>
      <c r="K29" s="68">
        <f>IF($E$25&gt;=C29,"已达标",IF(J29&lt;0,I29/$H$25-1,"当前日均已达标"))</f>
        <v/>
      </c>
      <c r="L29" s="131">
        <f>(C29-$E$25)/$H$25</f>
        <v/>
      </c>
      <c r="M29" s="70">
        <f>TODAY()+L29</f>
        <v/>
      </c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7" t="n"/>
      <c r="B30" s="7" t="n"/>
      <c r="C30" s="129" t="n">
        <v>15000000</v>
      </c>
      <c r="D30" s="108" t="n">
        <v>0.24</v>
      </c>
      <c r="E30" s="7" t="n"/>
      <c r="F30" s="68">
        <f>$E$25/C30</f>
        <v/>
      </c>
      <c r="G30" s="7" t="n"/>
      <c r="H30" s="7" t="n"/>
      <c r="I30" s="130">
        <f>IF($E$25&gt;=C30,"已达标",(C30-$E$25)/$N$25)</f>
        <v/>
      </c>
      <c r="J30" s="130">
        <f>IF($E$25&gt;=C30,"已达标",$H$25-I30)</f>
        <v/>
      </c>
      <c r="K30" s="68">
        <f>IF($E$25&gt;=C30,"已达标",IF(J30&lt;0,I30/$H$25-1,"当前日均已达标"))</f>
        <v/>
      </c>
      <c r="L30" s="131">
        <f>(C30-$E$25)/$H$25</f>
        <v/>
      </c>
      <c r="M30" s="70">
        <f>TODAY()+L30</f>
        <v/>
      </c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7" t="n"/>
      <c r="B31" s="7" t="n"/>
      <c r="C31" s="129" t="n">
        <v>18000000</v>
      </c>
      <c r="D31" s="108" t="n">
        <v>0.25</v>
      </c>
      <c r="E31" s="7" t="n"/>
      <c r="F31" s="68">
        <f>$E$25/C31</f>
        <v/>
      </c>
      <c r="G31" s="7" t="n"/>
      <c r="H31" s="7" t="n"/>
      <c r="I31" s="130">
        <f>IF($E$25&gt;=C31,"已达标",(C31-$E$25)/$N$25)</f>
        <v/>
      </c>
      <c r="J31" s="130">
        <f>IF($E$25&gt;=C31,"已达标",$H$25-I31)</f>
        <v/>
      </c>
      <c r="K31" s="68">
        <f>IF($E$25&gt;=C31,"已达标",IF(J31&lt;0,I31/$H$25-1,"当前日均已达标"))</f>
        <v/>
      </c>
      <c r="L31" s="131">
        <f>(C31-$E$25)/$H$25</f>
        <v/>
      </c>
      <c r="M31" s="70">
        <f>TODAY()+L31</f>
        <v/>
      </c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9" t="n"/>
      <c r="B32" s="9" t="n"/>
      <c r="C32" s="129" t="n">
        <v>20000000</v>
      </c>
      <c r="D32" s="108" t="n">
        <v>0.26</v>
      </c>
      <c r="E32" s="9" t="n"/>
      <c r="F32" s="68">
        <f>$E$25/C32</f>
        <v/>
      </c>
      <c r="G32" s="9" t="n"/>
      <c r="H32" s="9" t="n"/>
      <c r="I32" s="130">
        <f>IF($E$25&gt;=C32,"已达标",(C32-$E$25)/$N$25)</f>
        <v/>
      </c>
      <c r="J32" s="130">
        <f>IF($E$25&gt;=C32,"已达标",$H$25-I32)</f>
        <v/>
      </c>
      <c r="K32" s="68">
        <f>IF($E$25&gt;=C32,"已达标",IF(J32&lt;0,I32/$H$25-1,"当前日均已达标"))</f>
        <v/>
      </c>
      <c r="L32" s="131">
        <f>(C32-$E$25)/$H$25</f>
        <v/>
      </c>
      <c r="M32" s="70">
        <f>TODAY()+L32</f>
        <v/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  <row customHeight="1" ht="82.5" r="34"/>
  </sheetData>
  <mergeCells count="127">
    <mergeCell ref="B25:B32"/>
    <mergeCell ref="T7:T9"/>
    <mergeCell ref="U5:U6"/>
    <mergeCell ref="Q20:Q24"/>
    <mergeCell ref="T25:T32"/>
    <mergeCell ref="S3:S4"/>
    <mergeCell ref="N20:N24"/>
    <mergeCell ref="U25:U32"/>
    <mergeCell ref="W13:W14"/>
    <mergeCell ref="T15:T19"/>
    <mergeCell ref="O10:O12"/>
    <mergeCell ref="U10:U12"/>
    <mergeCell ref="W3:W4"/>
    <mergeCell ref="U15:U19"/>
    <mergeCell ref="S13:S14"/>
    <mergeCell ref="U20:U24"/>
    <mergeCell ref="P25:P32"/>
    <mergeCell ref="B5:B6"/>
    <mergeCell ref="Q3:Q4"/>
    <mergeCell ref="V7:V9"/>
    <mergeCell ref="S10:S12"/>
    <mergeCell ref="H5:H6"/>
    <mergeCell ref="W7:W9"/>
    <mergeCell ref="G10:G12"/>
    <mergeCell ref="E3:E4"/>
    <mergeCell ref="X10:X12"/>
    <mergeCell ref="O5:O6"/>
    <mergeCell ref="A20:A32"/>
    <mergeCell ref="X25:X32"/>
    <mergeCell ref="E7:E9"/>
    <mergeCell ref="W20:W24"/>
    <mergeCell ref="G13:G14"/>
    <mergeCell ref="Q10:Q12"/>
    <mergeCell ref="T20:T24"/>
    <mergeCell ref="E20:E24"/>
    <mergeCell ref="H7:H9"/>
    <mergeCell ref="W5:W6"/>
    <mergeCell ref="N1:O1"/>
    <mergeCell ref="S5:S6"/>
    <mergeCell ref="H20:H24"/>
    <mergeCell ref="R20:R24"/>
    <mergeCell ref="R3:R4"/>
    <mergeCell ref="W15:W19"/>
    <mergeCell ref="R15:R19"/>
    <mergeCell ref="R13:R14"/>
    <mergeCell ref="P3:P4"/>
    <mergeCell ref="P10:P12"/>
    <mergeCell ref="G5:G6"/>
    <mergeCell ref="G25:G32"/>
    <mergeCell ref="E13:E14"/>
    <mergeCell ref="X3:X4"/>
    <mergeCell ref="O3:O4"/>
    <mergeCell ref="B3:B4"/>
    <mergeCell ref="H15:H19"/>
    <mergeCell ref="N7:N9"/>
    <mergeCell ref="N10:N12"/>
    <mergeCell ref="Q25:Q32"/>
    <mergeCell ref="T10:T12"/>
    <mergeCell ref="T3:T4"/>
    <mergeCell ref="N25:N32"/>
    <mergeCell ref="T13:T14"/>
    <mergeCell ref="O25:O32"/>
    <mergeCell ref="S25:S32"/>
    <mergeCell ref="A1:D1"/>
    <mergeCell ref="P15:P19"/>
    <mergeCell ref="R5:R6"/>
    <mergeCell ref="S20:S24"/>
    <mergeCell ref="W10:W12"/>
    <mergeCell ref="R7:R9"/>
    <mergeCell ref="R25:R32"/>
    <mergeCell ref="N13:N14"/>
    <mergeCell ref="E1:G1"/>
    <mergeCell ref="P13:P14"/>
    <mergeCell ref="H25:H32"/>
    <mergeCell ref="E5:E6"/>
    <mergeCell ref="N3:N4"/>
    <mergeCell ref="U7:U9"/>
    <mergeCell ref="P7:P9"/>
    <mergeCell ref="P1:X1"/>
    <mergeCell ref="E10:E12"/>
    <mergeCell ref="G3:G4"/>
    <mergeCell ref="E15:E19"/>
    <mergeCell ref="T5:T6"/>
    <mergeCell ref="O15:O19"/>
    <mergeCell ref="O20:O24"/>
    <mergeCell ref="V13:V14"/>
    <mergeCell ref="X7:X9"/>
    <mergeCell ref="G7:G9"/>
    <mergeCell ref="B7:B9"/>
    <mergeCell ref="V20:V24"/>
    <mergeCell ref="H10:H12"/>
    <mergeCell ref="S15:S19"/>
    <mergeCell ref="H1:M1"/>
    <mergeCell ref="X20:X24"/>
    <mergeCell ref="G20:G24"/>
    <mergeCell ref="V15:V19"/>
    <mergeCell ref="O7:O9"/>
    <mergeCell ref="Q13:Q14"/>
    <mergeCell ref="N5:N6"/>
    <mergeCell ref="P5:P6"/>
    <mergeCell ref="P20:P24"/>
    <mergeCell ref="X13:X14"/>
    <mergeCell ref="R10:R12"/>
    <mergeCell ref="U13:U14"/>
    <mergeCell ref="V5:V6"/>
    <mergeCell ref="B20:B24"/>
    <mergeCell ref="X15:X19"/>
    <mergeCell ref="G15:G19"/>
    <mergeCell ref="B15:B19"/>
    <mergeCell ref="B13:B14"/>
    <mergeCell ref="Q15:Q19"/>
    <mergeCell ref="N15:N19"/>
    <mergeCell ref="H13:H14"/>
    <mergeCell ref="E25:E32"/>
    <mergeCell ref="V10:V12"/>
    <mergeCell ref="Q5:Q6"/>
    <mergeCell ref="S7:S9"/>
    <mergeCell ref="O13:O14"/>
    <mergeCell ref="V25:V32"/>
    <mergeCell ref="W25:W32"/>
    <mergeCell ref="B10:B12"/>
    <mergeCell ref="H3:H4"/>
    <mergeCell ref="V3:V4"/>
    <mergeCell ref="A3:A19"/>
    <mergeCell ref="X5:X6"/>
    <mergeCell ref="Q7:Q9"/>
    <mergeCell ref="U3:U4"/>
  </mergeCells>
  <conditionalFormatting sqref="F3:F4">
    <cfRule priority="16" type="dataBar">
      <dataBar>
        <cfvo type="min"/>
        <cfvo type="max"/>
        <color rgb="FFFF555A"/>
      </dataBar>
    </cfRule>
  </conditionalFormatting>
  <conditionalFormatting sqref="F5:F6">
    <cfRule priority="15" type="dataBar">
      <dataBar>
        <cfvo type="min"/>
        <cfvo type="max"/>
        <color rgb="FFFF555A"/>
      </dataBar>
    </cfRule>
  </conditionalFormatting>
  <conditionalFormatting sqref="F7:F9">
    <cfRule priority="4" type="dataBar">
      <dataBar>
        <cfvo type="min"/>
        <cfvo type="max"/>
        <color rgb="FFFF555A"/>
      </dataBar>
    </cfRule>
  </conditionalFormatting>
  <conditionalFormatting sqref="F10:F12">
    <cfRule priority="14" type="dataBar">
      <dataBar>
        <cfvo type="min"/>
        <cfvo type="max"/>
        <color rgb="FFFF555A"/>
      </dataBar>
    </cfRule>
  </conditionalFormatting>
  <conditionalFormatting sqref="F13:F14">
    <cfRule priority="13" type="dataBar">
      <dataBar>
        <cfvo type="min"/>
        <cfvo type="max"/>
        <color rgb="FFFF555A"/>
      </dataBar>
    </cfRule>
  </conditionalFormatting>
  <conditionalFormatting sqref="F15:F19">
    <cfRule priority="2" type="dataBar">
      <dataBar>
        <cfvo type="min"/>
        <cfvo type="max"/>
        <color rgb="FFFF555A"/>
      </dataBar>
    </cfRule>
  </conditionalFormatting>
  <conditionalFormatting sqref="F20:F24">
    <cfRule priority="12" type="dataBar">
      <dataBar>
        <cfvo type="min"/>
        <cfvo type="max"/>
        <color rgb="FFFF555A"/>
      </dataBar>
    </cfRule>
  </conditionalFormatting>
  <conditionalFormatting sqref="F25:F32">
    <cfRule priority="11" type="dataBar">
      <dataBar>
        <cfvo type="min"/>
        <cfvo type="max"/>
        <color rgb="FFFF555A"/>
      </dataBar>
    </cfRule>
  </conditionalFormatting>
  <conditionalFormatting sqref="K3:K4">
    <cfRule priority="10" type="dataBar">
      <dataBar>
        <cfvo type="min"/>
        <cfvo type="max"/>
        <color rgb="FF638EC6"/>
      </dataBar>
    </cfRule>
  </conditionalFormatting>
  <conditionalFormatting sqref="K5:K6">
    <cfRule priority="9" type="dataBar">
      <dataBar>
        <cfvo type="min"/>
        <cfvo type="max"/>
        <color rgb="FF638EC6"/>
      </dataBar>
    </cfRule>
  </conditionalFormatting>
  <conditionalFormatting sqref="K7:K9">
    <cfRule priority="3" type="dataBar">
      <dataBar>
        <cfvo type="min"/>
        <cfvo type="max"/>
        <color rgb="FF638EC6"/>
      </dataBar>
    </cfRule>
  </conditionalFormatting>
  <conditionalFormatting sqref="K10:K12">
    <cfRule priority="8" type="dataBar">
      <dataBar>
        <cfvo type="min"/>
        <cfvo type="max"/>
        <color rgb="FF638EC6"/>
      </dataBar>
    </cfRule>
  </conditionalFormatting>
  <conditionalFormatting sqref="K13:K14">
    <cfRule priority="7" type="dataBar">
      <dataBar>
        <cfvo type="min"/>
        <cfvo type="max"/>
        <color rgb="FF638EC6"/>
      </dataBar>
    </cfRule>
  </conditionalFormatting>
  <conditionalFormatting sqref="K15:K19">
    <cfRule priority="1" type="dataBar">
      <dataBar>
        <cfvo type="min"/>
        <cfvo type="max"/>
        <color rgb="FF638EC6"/>
      </dataBar>
    </cfRule>
  </conditionalFormatting>
  <conditionalFormatting sqref="K20:K24">
    <cfRule priority="6" type="dataBar">
      <dataBar>
        <cfvo type="min"/>
        <cfvo type="max"/>
        <color rgb="FF638EC6"/>
      </dataBar>
    </cfRule>
  </conditionalFormatting>
  <conditionalFormatting sqref="K25:K32">
    <cfRule priority="5" type="dataBar">
      <dataBar>
        <cfvo type="min"/>
        <cfvo type="max"/>
        <color rgb="FF638EC6"/>
      </dataBar>
    </cfRule>
  </conditionalFormatting>
  <conditionalFormatting sqref="K33:K1048576">
    <cfRule priority="354" type="dataBar">
      <dataBar>
        <cfvo type="min"/>
        <cfvo type="max"/>
        <color rgb="FF638EC6"/>
      </dataBar>
    </cfRule>
  </conditionalFormatting>
  <conditionalFormatting sqref="L3:L32">
    <cfRule dxfId="0" operator="greaterThanOrEqual" priority="49" type="cellIs">
      <formula>0</formula>
    </cfRule>
    <cfRule dxfId="1" operator="greaterThanOrEqual" priority="50" type="cellIs">
      <formula>0</formula>
    </cfRule>
    <cfRule dxfId="2" operator="lessThan" priority="51" type="cellIs">
      <formula>0</formula>
    </cfRule>
    <cfRule dxfId="3" operator="greaterThanOrEqual" priority="52" type="cellIs">
      <formula>0</formula>
    </cfRule>
  </conditionalFormatting>
  <conditionalFormatting sqref="F1:F2 F33:F1048576">
    <cfRule priority="90" type="dataBar">
      <dataBar>
        <cfvo type="min"/>
        <cfvo type="max"/>
        <color rgb="FFFF555A"/>
      </dataBar>
    </cfRule>
    <cfRule priority="360" type="dataBar">
      <dataBar>
        <cfvo type="min"/>
        <cfvo type="max"/>
        <color rgb="FFFF555A"/>
      </dataBar>
    </cfRule>
  </conditionalFormatting>
  <conditionalFormatting sqref="K1:K2 K33:K1048576">
    <cfRule priority="89" type="dataBar">
      <dataBar>
        <cfvo type="min"/>
        <cfvo type="max"/>
        <color rgb="FF638EC6"/>
      </dataBar>
    </cfRule>
    <cfRule priority="348" type="dataBar">
      <dataBar>
        <cfvo type="min"/>
        <cfvo type="max"/>
        <color rgb="FFFF555A"/>
      </dataBar>
    </cfRule>
    <cfRule priority="351" type="dataBar">
      <dataBar>
        <cfvo type="min"/>
        <cfvo type="max"/>
        <color rgb="FF638EC6"/>
      </dataBar>
    </cfRule>
    <cfRule priority="356" type="dataBar">
      <dataBar>
        <cfvo type="min"/>
        <cfvo type="max"/>
        <color rgb="FF638EC6"/>
      </dataBar>
    </cfRule>
  </conditionalFormatting>
  <conditionalFormatting sqref="K33:M1048576 L3:L32">
    <cfRule dxfId="0" operator="greaterThanOrEqual" priority="262" type="cellIs">
      <formula>0</formula>
    </cfRule>
    <cfRule dxfId="1" operator="greaterThanOrEqual" priority="263" type="cellIs">
      <formula>0</formula>
    </cfRule>
    <cfRule dxfId="2" operator="lessThan" priority="264" type="cellIs">
      <formula>0</formula>
    </cfRule>
    <cfRule dxfId="4" operator="lessThan" priority="265" type="cellIs">
      <formula>0</formula>
    </cfRule>
    <cfRule dxfId="5" operator="greaterThanOrEqual" priority="266" type="cellIs">
      <formula>0</formula>
    </cfRule>
    <cfRule dxfId="6" operator="greaterThanOrEqual" priority="267" type="cellIs">
      <formula>0</formula>
    </cfRule>
  </conditionalFormatting>
  <pageMargins bottom="0.75" footer="0.3" header="0.3" left="0.7" right="0.7" top="0.75"/>
  <pageSetup horizontalDpi="300" orientation="portrait" paperSize="9" verticalDpi="300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X11"/>
  <sheetViews>
    <sheetView workbookViewId="0">
      <selection activeCell="E2" sqref="E2"/>
    </sheetView>
  </sheetViews>
  <sheetFormatPr baseColWidth="8" defaultColWidth="9" defaultRowHeight="16.5"/>
  <cols>
    <col customWidth="1" max="1" min="1" style="15" width="9"/>
    <col customWidth="1" max="2" min="2" style="15" width="27.25"/>
    <col customWidth="1" max="3" min="3" style="120" width="14"/>
    <col customWidth="1" max="4" min="4" style="81" width="11.125"/>
    <col customWidth="1" max="5" min="5" style="138" width="12.75"/>
    <col customWidth="1" max="6" min="6" style="38" width="11.5"/>
    <col customWidth="1" max="7" min="7" style="15" width="11.5"/>
    <col customWidth="1" max="8" min="8" style="119" width="11.375"/>
    <col customWidth="1" max="9" min="9" style="117" width="13.125"/>
    <col customWidth="1" max="10" min="10" style="120" width="13.5"/>
    <col customWidth="1" max="11" min="11" style="38" width="15.75"/>
    <col customWidth="1" max="12" min="12" style="139" width="12.375"/>
    <col customWidth="1" max="13" min="13" style="15" width="11.625"/>
    <col customWidth="1" max="15" min="14" style="15" width="11.375"/>
    <col customWidth="1" max="16" min="16" style="15" width="9.25"/>
    <col customWidth="1" max="17" min="17" style="15" width="8"/>
    <col customWidth="1" max="18" min="18" style="15" width="8.5"/>
    <col customWidth="1" max="19" min="19" style="85" width="7.25"/>
    <col customWidth="1" max="20" min="20" style="15" width="27.25"/>
    <col customWidth="1" max="21" min="21" style="15" width="9.625"/>
    <col customWidth="1" max="22" min="22" style="15" width="9"/>
    <col customWidth="1" max="23" min="23" style="15" width="8"/>
    <col customWidth="1" max="24" min="24" style="15" width="12.25"/>
    <col customWidth="1" max="16384" min="25" style="15" width="9"/>
  </cols>
  <sheetData>
    <row customFormat="1" r="1" s="14">
      <c r="A1" s="41" t="inlineStr">
        <is>
          <t>签约客户信息</t>
        </is>
      </c>
      <c r="B1" s="5" t="n"/>
      <c r="C1" s="5" t="n"/>
      <c r="D1" s="6" t="n"/>
      <c r="E1" s="42" t="inlineStr">
        <is>
          <t>总消费完成进展</t>
        </is>
      </c>
      <c r="F1" s="5" t="n"/>
      <c r="G1" s="6" t="n"/>
      <c r="H1" s="43" t="inlineStr">
        <is>
          <t>日均消费进展</t>
        </is>
      </c>
      <c r="I1" s="5" t="n"/>
      <c r="J1" s="5" t="n"/>
      <c r="K1" s="5" t="n"/>
      <c r="L1" s="5" t="n"/>
      <c r="M1" s="6" t="n"/>
      <c r="N1" s="41" t="inlineStr">
        <is>
          <t>合同到期剩余天数</t>
        </is>
      </c>
      <c r="O1" s="6" t="n"/>
      <c r="P1" s="41" t="inlineStr">
        <is>
          <t>签约信息</t>
        </is>
      </c>
      <c r="Q1" s="5" t="n"/>
      <c r="R1" s="5" t="n"/>
      <c r="S1" s="5" t="n"/>
      <c r="T1" s="5" t="n"/>
      <c r="U1" s="5" t="n"/>
      <c r="V1" s="5" t="n"/>
      <c r="W1" s="5" t="n"/>
      <c r="X1" s="6" t="n"/>
    </row>
    <row customFormat="1" customHeight="1" ht="33" r="2" s="80">
      <c r="A2" s="67" t="inlineStr">
        <is>
          <t>返款形式</t>
        </is>
      </c>
      <c r="B2" s="67" t="inlineStr">
        <is>
          <t>客户公司名称</t>
        </is>
      </c>
      <c r="C2" s="140" t="inlineStr">
        <is>
          <t>框架金额</t>
        </is>
      </c>
      <c r="D2" s="45" t="inlineStr">
        <is>
          <t>返款点数</t>
        </is>
      </c>
      <c r="E2" s="124" t="inlineStr">
        <is>
          <t>截止08月15日已完成消费</t>
        </is>
      </c>
      <c r="F2" s="47" t="inlineStr">
        <is>
          <t>完成进度</t>
        </is>
      </c>
      <c r="G2" s="42" t="inlineStr">
        <is>
          <t>目前完成达标返款点数</t>
        </is>
      </c>
      <c r="H2" s="125" t="inlineStr">
        <is>
          <t>当前日均消费</t>
        </is>
      </c>
      <c r="I2" s="141" t="inlineStr">
        <is>
          <t>预计达标所需日均消费</t>
        </is>
      </c>
      <c r="J2" s="125" t="inlineStr">
        <is>
          <t>日均进度差值</t>
        </is>
      </c>
      <c r="K2" s="89" t="inlineStr">
        <is>
          <t>预计达标日均所需提升占比</t>
        </is>
      </c>
      <c r="L2" s="142" t="inlineStr">
        <is>
          <t>当前日均消费预计需完成天数</t>
        </is>
      </c>
      <c r="M2" s="91" t="inlineStr">
        <is>
          <t>当前日均消费预计完成时间</t>
        </is>
      </c>
      <c r="N2" s="65" t="inlineStr">
        <is>
          <t>距合同到期剩余天数</t>
        </is>
      </c>
      <c r="O2" s="66" t="inlineStr">
        <is>
          <t>合同到期日期</t>
        </is>
      </c>
      <c r="P2" s="67" t="inlineStr">
        <is>
          <t>签框产品线</t>
        </is>
      </c>
      <c r="Q2" s="67" t="inlineStr">
        <is>
          <t>返款对像</t>
        </is>
      </c>
      <c r="R2" s="67" t="inlineStr">
        <is>
          <t xml:space="preserve">结算方式 </t>
        </is>
      </c>
      <c r="S2" s="67" t="inlineStr">
        <is>
          <t>是否已经签订合同</t>
        </is>
      </c>
      <c r="T2" s="67" t="inlineStr">
        <is>
          <t>合同时间</t>
        </is>
      </c>
      <c r="U2" s="67" t="inlineStr">
        <is>
          <t>备注</t>
        </is>
      </c>
      <c r="V2" s="67" t="inlineStr">
        <is>
          <t>部门</t>
        </is>
      </c>
      <c r="W2" s="67" t="inlineStr">
        <is>
          <t>签约客服</t>
        </is>
      </c>
      <c r="X2" s="67" t="inlineStr">
        <is>
          <t>维护客服</t>
        </is>
      </c>
    </row>
    <row customFormat="1" r="3" s="14">
      <c r="A3" s="60" t="inlineStr">
        <is>
          <t>年结</t>
        </is>
      </c>
      <c r="B3" s="49" t="inlineStr">
        <is>
          <t>厦门快乐番薯股份有限公司</t>
        </is>
      </c>
      <c r="C3" s="130" t="n">
        <v>500000</v>
      </c>
      <c r="D3" s="52" t="n">
        <v>0.3</v>
      </c>
      <c r="E3" s="130">
        <f>信息流年框客户消费明细!$C$3</f>
        <v/>
      </c>
      <c r="F3" s="54">
        <f>$E$3/C3</f>
        <v/>
      </c>
      <c r="G3" s="52">
        <f>IF($E$3&gt;=C4,D4,IF($E$3&gt;=C3,D3,"未达标"))</f>
        <v/>
      </c>
      <c r="H3" s="130">
        <f>信息流年框客户消费明细!$B$3</f>
        <v/>
      </c>
      <c r="I3" s="143">
        <f>IF($E$3&gt;=C3,"已达标",(C3-$E$3)/$N$3)</f>
        <v/>
      </c>
      <c r="J3" s="144">
        <f>IF($E$3&gt;=C3,"已达标",$H$3-I3)</f>
        <v/>
      </c>
      <c r="K3" s="68">
        <f>IF($E$3&gt;=C3,"已达标",IF(J3&lt;0,I3/$H$3-1,"当前日均已达标"))</f>
        <v/>
      </c>
      <c r="L3" s="131">
        <f>(C3-$E$3)/$H$3</f>
        <v/>
      </c>
      <c r="M3" s="70">
        <f>L3+TODAY()</f>
        <v/>
      </c>
      <c r="N3" s="49">
        <f>IF(TODAY()&gt;O3,"合同已到期",_xlfn.DAYS(O3+1,TODAY()))</f>
        <v/>
      </c>
      <c r="O3" s="95" t="n">
        <v>45291</v>
      </c>
      <c r="P3" s="50" t="inlineStr">
        <is>
          <t>信息流</t>
        </is>
      </c>
      <c r="Q3" s="50" t="inlineStr">
        <is>
          <t>客户</t>
        </is>
      </c>
      <c r="R3" s="50" t="inlineStr">
        <is>
          <t>年返</t>
        </is>
      </c>
      <c r="S3" s="50" t="inlineStr">
        <is>
          <t>是</t>
        </is>
      </c>
      <c r="T3" s="50" t="inlineStr">
        <is>
          <t>2023年1月1日~2023年12月31日</t>
        </is>
      </c>
      <c r="U3" s="50" t="inlineStr">
        <is>
          <t>仅信息流消费</t>
        </is>
      </c>
      <c r="V3" s="50" t="inlineStr">
        <is>
          <t>KOL</t>
        </is>
      </c>
      <c r="W3" s="50" t="inlineStr">
        <is>
          <t>邓玲玲</t>
        </is>
      </c>
      <c r="X3" s="50" t="inlineStr">
        <is>
          <t>蒋铃溪</t>
        </is>
      </c>
    </row>
    <row customFormat="1" r="4" s="14">
      <c r="A4" s="7" t="n"/>
      <c r="B4" s="9" t="n"/>
      <c r="C4" s="130" t="n">
        <v>1000000</v>
      </c>
      <c r="D4" s="52" t="n">
        <v>0.36</v>
      </c>
      <c r="E4" s="9" t="n"/>
      <c r="F4" s="54">
        <f>$E$3/C4</f>
        <v/>
      </c>
      <c r="G4" s="9" t="n"/>
      <c r="H4" s="9" t="n"/>
      <c r="I4" s="143">
        <f>IF($E$3&gt;=C4,"已达标",(C4-$E$3)/$N$3)</f>
        <v/>
      </c>
      <c r="J4" s="144">
        <f>IF($E$3&gt;=C4,"已达标",$H$3-I4)</f>
        <v/>
      </c>
      <c r="K4" s="68">
        <f>IF($E$3&gt;=C4,"已达标",IF(J4&lt;0,I4/$H$3-1,"当前日均已达标"))</f>
        <v/>
      </c>
      <c r="L4" s="131">
        <f>(C4-$E$3)/$H$3</f>
        <v/>
      </c>
      <c r="M4" s="70">
        <f>L4+TODAY()</f>
        <v/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customFormat="1" r="5" s="14">
      <c r="A5" s="7" t="n"/>
      <c r="B5" s="60" t="inlineStr">
        <is>
          <t>厦门康强人才服务有限公司</t>
        </is>
      </c>
      <c r="C5" s="130" t="n">
        <v>1000000</v>
      </c>
      <c r="D5" s="52" t="n">
        <v>0.1</v>
      </c>
      <c r="E5" s="145">
        <f>信息流年框客户消费明细!$C$5</f>
        <v/>
      </c>
      <c r="F5" s="54">
        <f>$E$5/C5</f>
        <v/>
      </c>
      <c r="G5" s="60">
        <f>IF($E$5&gt;=C8,D8,IF($E$5&gt;=C7,D7,IF($E$5&gt;=C6,D6,IF($E$5&gt;=C5,D5,"未达标"))))</f>
        <v/>
      </c>
      <c r="H5" s="145">
        <f>信息流年框客户消费明细!$B$5</f>
        <v/>
      </c>
      <c r="I5" s="143">
        <f>IF($E$5&gt;=C5,"已达标",(C5-$E$5)/$N$5)</f>
        <v/>
      </c>
      <c r="J5" s="144">
        <f>IF($E$5&gt;=C5,"已达标",$H$5-I5)</f>
        <v/>
      </c>
      <c r="K5" s="68">
        <f>IF($E$5&gt;=C5,"已达标",IF(J5&lt;0,I5/$H$5-1,"当前日均已达标"))</f>
        <v/>
      </c>
      <c r="L5" s="131">
        <f>(C5-$E$5)/$H$5</f>
        <v/>
      </c>
      <c r="M5" s="70">
        <f>L5+TODAY()</f>
        <v/>
      </c>
      <c r="N5" s="60">
        <f>IF(TODAY()&gt;O5,"合同已到期",_xlfn.DAYS(O5+1,TODAY()))</f>
        <v/>
      </c>
      <c r="O5" s="96" t="n">
        <v>45291</v>
      </c>
      <c r="P5" s="60" t="inlineStr">
        <is>
          <t>信息流</t>
        </is>
      </c>
      <c r="Q5" s="60" t="inlineStr">
        <is>
          <t>客户</t>
        </is>
      </c>
      <c r="R5" s="60" t="inlineStr">
        <is>
          <t>年返</t>
        </is>
      </c>
      <c r="S5" s="60" t="inlineStr">
        <is>
          <t>是</t>
        </is>
      </c>
      <c r="T5" s="60" t="inlineStr">
        <is>
          <t>2023年1月1日~2023年12月31日</t>
        </is>
      </c>
      <c r="U5" s="97" t="inlineStr">
        <is>
          <t>仅信息流消费</t>
        </is>
      </c>
      <c r="V5" s="60" t="inlineStr">
        <is>
          <t>信息流vip</t>
        </is>
      </c>
      <c r="W5" s="60" t="inlineStr">
        <is>
          <t>萧月梅</t>
        </is>
      </c>
      <c r="X5" s="60" t="inlineStr">
        <is>
          <t>王小丽</t>
        </is>
      </c>
    </row>
    <row customFormat="1" r="6" s="14">
      <c r="A6" s="7" t="n"/>
      <c r="B6" s="7" t="n"/>
      <c r="C6" s="130" t="n">
        <v>1200000</v>
      </c>
      <c r="D6" s="52" t="n">
        <v>0.12</v>
      </c>
      <c r="E6" s="7" t="n"/>
      <c r="F6" s="54">
        <f>$E$5/C6</f>
        <v/>
      </c>
      <c r="G6" s="7" t="n"/>
      <c r="H6" s="7" t="n"/>
      <c r="I6" s="143">
        <f>IF($E$5&gt;=C6,"已达标",(C6-$E$5)/$N$5)</f>
        <v/>
      </c>
      <c r="J6" s="144">
        <f>IF($E$5&gt;=C6,"已达标",$H$5-I6)</f>
        <v/>
      </c>
      <c r="K6" s="68">
        <f>IF($E$5&gt;=C6,"已达标",IF(J6&lt;0,I6/$H$5-1,"当前日均已达标"))</f>
        <v/>
      </c>
      <c r="L6" s="131">
        <f>(C6-$E$5)/$H$5</f>
        <v/>
      </c>
      <c r="M6" s="70">
        <f>L6+TODAY()</f>
        <v/>
      </c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customFormat="1" r="7" s="14">
      <c r="A7" s="7" t="n"/>
      <c r="B7" s="7" t="n"/>
      <c r="C7" s="130" t="n">
        <v>1500000</v>
      </c>
      <c r="D7" s="52" t="n">
        <v>0.15</v>
      </c>
      <c r="E7" s="7" t="n"/>
      <c r="F7" s="54">
        <f>$E$5/C7</f>
        <v/>
      </c>
      <c r="G7" s="7" t="n"/>
      <c r="H7" s="7" t="n"/>
      <c r="I7" s="143">
        <f>IF($E$5&gt;=C7,"已达标",(C7-$E$5)/$N$5)</f>
        <v/>
      </c>
      <c r="J7" s="144">
        <f>IF($E$5&gt;=C7,"已达标",$H$5-I7)</f>
        <v/>
      </c>
      <c r="K7" s="68">
        <f>IF($E$5&gt;=C7,"已达标",IF(J7&lt;0,I7/$H$5-1,"当前日均已达标"))</f>
        <v/>
      </c>
      <c r="L7" s="131">
        <f>(C7-$E$5)/$H$5</f>
        <v/>
      </c>
      <c r="M7" s="70">
        <f>L7+TODAY()</f>
        <v/>
      </c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customFormat="1" r="8" s="14">
      <c r="A8" s="9" t="n"/>
      <c r="B8" s="9" t="n"/>
      <c r="C8" s="130" t="n">
        <v>2000000</v>
      </c>
      <c r="D8" s="52" t="n">
        <v>0.17</v>
      </c>
      <c r="E8" s="9" t="n"/>
      <c r="F8" s="54">
        <f>$E$5/C8</f>
        <v/>
      </c>
      <c r="G8" s="9" t="n"/>
      <c r="H8" s="9" t="n"/>
      <c r="I8" s="143">
        <f>IF($E$5&gt;=C8,"已达标",(C8-$E$5)/$N$5)</f>
        <v/>
      </c>
      <c r="J8" s="144">
        <f>IF($E$5&gt;=C8,"已达标",$H$5-I8)</f>
        <v/>
      </c>
      <c r="K8" s="68">
        <f>IF($E$5&gt;=C8,"已达标",IF(J8&lt;0,I8/$H$5-1,"当前日均已达标"))</f>
        <v/>
      </c>
      <c r="L8" s="131">
        <f>(C8-$E$5)/$H$5</f>
        <v/>
      </c>
      <c r="M8" s="70">
        <f>L8+TODAY()</f>
        <v/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>
      <c r="A9" s="49" t="inlineStr">
        <is>
          <t>月返</t>
        </is>
      </c>
      <c r="B9" s="49" t="inlineStr">
        <is>
          <t>厦门无忧无虑网络科技有限公司</t>
        </is>
      </c>
      <c r="C9" s="130" t="n">
        <v>1000000</v>
      </c>
      <c r="D9" s="52" t="n">
        <v>0.29</v>
      </c>
      <c r="E9" s="130">
        <f>信息流年框客户消费明细!$C$4</f>
        <v/>
      </c>
      <c r="F9" s="54">
        <f>$E$9/C9</f>
        <v/>
      </c>
      <c r="G9" s="49">
        <f>IF($E$9&gt;C11,D11,IF($E$9&gt;=C10,D10,IF($E$9&gt;=C9,D9,"未达标")))</f>
        <v/>
      </c>
      <c r="H9" s="130">
        <f>信息流年框客户消费明细!$B$4</f>
        <v/>
      </c>
      <c r="I9" s="129">
        <f>IF($E$9&gt;=C9,"已达标",(C9-$E$9)/$N$9)</f>
        <v/>
      </c>
      <c r="J9" s="130">
        <f>IF($H$9&gt;=C9,"已达标",$H$9-I9)</f>
        <v/>
      </c>
      <c r="K9" s="68">
        <f>IF($E$9&gt;=C9,"已达标",IF(J9&lt;0,I9/$H$9-1,"当前日均已达标"))</f>
        <v/>
      </c>
      <c r="L9" s="131">
        <f>(C9-$E$9)/$H$9</f>
        <v/>
      </c>
      <c r="M9" s="70">
        <f>L9+TODAY()</f>
        <v/>
      </c>
      <c r="N9" s="49">
        <f>IF(TODAY()&gt;O9,"合同已到期",_xlfn.DAYS(O9+1,TODAY()))</f>
        <v/>
      </c>
      <c r="O9" s="70" t="n">
        <v>45291</v>
      </c>
      <c r="P9" s="49" t="inlineStr">
        <is>
          <t>信息流</t>
        </is>
      </c>
      <c r="Q9" s="49" t="inlineStr">
        <is>
          <t>客户</t>
        </is>
      </c>
      <c r="R9" s="49" t="inlineStr">
        <is>
          <t>月返</t>
        </is>
      </c>
      <c r="S9" s="50" t="inlineStr">
        <is>
          <t>是</t>
        </is>
      </c>
      <c r="T9" s="49" t="inlineStr">
        <is>
          <t>2023年1月1日~2023年12月31日</t>
        </is>
      </c>
      <c r="U9" s="50" t="inlineStr">
        <is>
          <t>仅信息流消费</t>
        </is>
      </c>
      <c r="V9" s="50" t="inlineStr">
        <is>
          <t>房产旅游维护部</t>
        </is>
      </c>
      <c r="W9" s="49" t="inlineStr">
        <is>
          <t>许国忠</t>
        </is>
      </c>
      <c r="X9" s="49" t="inlineStr">
        <is>
          <t>郑色艳</t>
        </is>
      </c>
    </row>
    <row r="10">
      <c r="A10" s="7" t="n"/>
      <c r="B10" s="7" t="n"/>
      <c r="C10" s="130" t="n">
        <v>1500000</v>
      </c>
      <c r="D10" s="52" t="n">
        <v>0.31</v>
      </c>
      <c r="E10" s="7" t="n"/>
      <c r="F10" s="54">
        <f>$E$9/C10</f>
        <v/>
      </c>
      <c r="G10" s="7" t="n"/>
      <c r="H10" s="7" t="n"/>
      <c r="I10" s="129">
        <f>IF($E$9&gt;=C10,"已达标",(C10-$E$9)/$N$9)</f>
        <v/>
      </c>
      <c r="J10" s="130">
        <f>IF($H$9&gt;=C10,"已达标",$H$9-I10)</f>
        <v/>
      </c>
      <c r="K10" s="68">
        <f>IF($E$9&gt;=C10,"已达标",IF(J10&lt;0,I10/$H$9-1,"当前日均已达标"))</f>
        <v/>
      </c>
      <c r="L10" s="131">
        <f>(C10-$E$9)/$H$9</f>
        <v/>
      </c>
      <c r="M10" s="70">
        <f>L10+TODAY()</f>
        <v/>
      </c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>
      <c r="A11" s="9" t="n"/>
      <c r="B11" s="9" t="n"/>
      <c r="C11" s="130" t="n">
        <v>2000000</v>
      </c>
      <c r="D11" s="52" t="n">
        <v>0.33</v>
      </c>
      <c r="E11" s="9" t="n"/>
      <c r="F11" s="54">
        <f>$E$9/C11</f>
        <v/>
      </c>
      <c r="G11" s="9" t="n"/>
      <c r="H11" s="9" t="n"/>
      <c r="I11" s="129">
        <f>IF($E$9&gt;=C11,"已达标",(C11-$E$9)/$N$9)</f>
        <v/>
      </c>
      <c r="J11" s="130">
        <f>IF($H$9&gt;=C11,"已达标",$H$9-I11)</f>
        <v/>
      </c>
      <c r="K11" s="68">
        <f>IF($E$9&gt;=C11,"已达标",IF(J11&lt;0,I11/$H$9-1,"当前日均已达标"))</f>
        <v/>
      </c>
      <c r="L11" s="131">
        <f>(C11-$E$9)/$H$9</f>
        <v/>
      </c>
      <c r="M11" s="70">
        <f>L11+TODAY()</f>
        <v/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</sheetData>
  <mergeCells count="52">
    <mergeCell ref="N5:N8"/>
    <mergeCell ref="H9:H11"/>
    <mergeCell ref="W5:W8"/>
    <mergeCell ref="A1:D1"/>
    <mergeCell ref="N1:O1"/>
    <mergeCell ref="U5:U8"/>
    <mergeCell ref="U9:U11"/>
    <mergeCell ref="X5:X8"/>
    <mergeCell ref="T9:T11"/>
    <mergeCell ref="S3:S4"/>
    <mergeCell ref="W9:W11"/>
    <mergeCell ref="R3:R4"/>
    <mergeCell ref="V9:V11"/>
    <mergeCell ref="O5:O8"/>
    <mergeCell ref="W3:W4"/>
    <mergeCell ref="E1:G1"/>
    <mergeCell ref="O9:O11"/>
    <mergeCell ref="Q9:Q11"/>
    <mergeCell ref="B9:B11"/>
    <mergeCell ref="N9:N11"/>
    <mergeCell ref="Q3:Q4"/>
    <mergeCell ref="E9:E11"/>
    <mergeCell ref="N3:N4"/>
    <mergeCell ref="P3:P4"/>
    <mergeCell ref="S5:S8"/>
    <mergeCell ref="G9:G11"/>
    <mergeCell ref="R5:R8"/>
    <mergeCell ref="A3:A8"/>
    <mergeCell ref="Q5:Q8"/>
    <mergeCell ref="E3:E4"/>
    <mergeCell ref="P5:P8"/>
    <mergeCell ref="P1:X1"/>
    <mergeCell ref="X9:X11"/>
    <mergeCell ref="G5:G8"/>
    <mergeCell ref="G3:G4"/>
    <mergeCell ref="E5:E8"/>
    <mergeCell ref="S9:S11"/>
    <mergeCell ref="H5:H8"/>
    <mergeCell ref="V5:V8"/>
    <mergeCell ref="X3:X4"/>
    <mergeCell ref="O3:O4"/>
    <mergeCell ref="B5:B8"/>
    <mergeCell ref="B3:B4"/>
    <mergeCell ref="P9:P11"/>
    <mergeCell ref="A9:A11"/>
    <mergeCell ref="T3:T4"/>
    <mergeCell ref="R9:R11"/>
    <mergeCell ref="H1:M1"/>
    <mergeCell ref="H3:H4"/>
    <mergeCell ref="V3:V4"/>
    <mergeCell ref="T5:T8"/>
    <mergeCell ref="U3:U4"/>
  </mergeCells>
  <conditionalFormatting sqref="F3:F4">
    <cfRule priority="6" type="dataBar">
      <dataBar>
        <cfvo type="min"/>
        <cfvo type="max"/>
        <color rgb="FFFF555A"/>
      </dataBar>
    </cfRule>
  </conditionalFormatting>
  <conditionalFormatting sqref="F5:F8">
    <cfRule priority="5" type="dataBar">
      <dataBar>
        <cfvo type="min"/>
        <cfvo type="max"/>
        <color rgb="FFFF555A"/>
      </dataBar>
    </cfRule>
  </conditionalFormatting>
  <conditionalFormatting sqref="F9:F11">
    <cfRule priority="4" type="dataBar">
      <dataBar>
        <cfvo type="min"/>
        <cfvo type="max"/>
        <color rgb="FFFF555A"/>
      </dataBar>
    </cfRule>
  </conditionalFormatting>
  <conditionalFormatting sqref="K3:K4">
    <cfRule priority="3" type="dataBar">
      <dataBar>
        <cfvo type="min"/>
        <cfvo type="max"/>
        <color rgb="FFFF555A"/>
      </dataBar>
    </cfRule>
  </conditionalFormatting>
  <conditionalFormatting sqref="K5:K8">
    <cfRule priority="2" type="dataBar">
      <dataBar>
        <cfvo type="min"/>
        <cfvo type="max"/>
        <color rgb="FFFF555A"/>
      </dataBar>
    </cfRule>
  </conditionalFormatting>
  <conditionalFormatting sqref="K9:K11">
    <cfRule priority="1" type="dataBar">
      <dataBar>
        <cfvo type="min"/>
        <cfvo type="max"/>
        <color rgb="FFFF555A"/>
      </dataBar>
    </cfRule>
  </conditionalFormatting>
  <conditionalFormatting sqref="L3:L8">
    <cfRule dxfId="0" operator="greaterThanOrEqual" priority="26" type="cellIs">
      <formula>0</formula>
    </cfRule>
    <cfRule dxfId="1" operator="greaterThanOrEqual" priority="27" type="cellIs">
      <formula>0</formula>
    </cfRule>
    <cfRule dxfId="2" operator="lessThan" priority="28" type="cellIs">
      <formula>0</formula>
    </cfRule>
    <cfRule dxfId="3" operator="greaterThanOrEqual" priority="29" type="cellIs">
      <formula>0</formula>
    </cfRule>
  </conditionalFormatting>
  <conditionalFormatting sqref="M3:M8">
    <cfRule dxfId="0" operator="greaterThanOrEqual" priority="8" type="cellIs">
      <formula>0</formula>
    </cfRule>
    <cfRule dxfId="1" operator="greaterThanOrEqual" priority="9" type="cellIs">
      <formula>0</formula>
    </cfRule>
    <cfRule dxfId="2" operator="lessThan" priority="10" type="cellIs">
      <formula>0</formula>
    </cfRule>
    <cfRule dxfId="4" operator="lessThan" priority="11" type="cellIs">
      <formula>0</formula>
    </cfRule>
    <cfRule dxfId="5" operator="greaterThanOrEqual" priority="12" type="cellIs">
      <formula>0</formula>
    </cfRule>
    <cfRule dxfId="6" operator="greaterThanOrEqual" priority="13" type="cellIs">
      <formula>0</formula>
    </cfRule>
  </conditionalFormatting>
  <conditionalFormatting sqref="E1 E2:G2">
    <cfRule priority="239" type="dataBar">
      <dataBar>
        <cfvo type="min"/>
        <cfvo type="max"/>
        <color rgb="FFFF555A"/>
      </dataBar>
    </cfRule>
  </conditionalFormatting>
  <conditionalFormatting sqref="F1:F2 F12:F1048576">
    <cfRule priority="79" type="dataBar">
      <dataBar>
        <cfvo type="min"/>
        <cfvo type="max"/>
        <color rgb="FFFF555A"/>
      </dataBar>
    </cfRule>
    <cfRule priority="324" type="dataBar">
      <dataBar>
        <cfvo type="min"/>
        <cfvo type="max"/>
        <color rgb="FFFF555A"/>
      </dataBar>
    </cfRule>
  </conditionalFormatting>
  <conditionalFormatting sqref="K1:K2 K12:K1048576">
    <cfRule priority="321" type="dataBar">
      <dataBar>
        <cfvo type="min"/>
        <cfvo type="max"/>
        <color rgb="FF638EC6"/>
      </dataBar>
    </cfRule>
  </conditionalFormatting>
  <conditionalFormatting sqref="L3:M8">
    <cfRule dxfId="0" operator="greaterThanOrEqual" priority="30" type="cellIs">
      <formula>0</formula>
    </cfRule>
    <cfRule dxfId="1" operator="greaterThanOrEqual" priority="31" type="cellIs">
      <formula>0</formula>
    </cfRule>
    <cfRule dxfId="2" operator="lessThan" priority="32" type="cellIs">
      <formula>0</formula>
    </cfRule>
    <cfRule dxfId="3" operator="greaterThanOrEqual" priority="33" type="cellIs">
      <formula>0</formula>
    </cfRule>
  </conditionalFormatting>
  <conditionalFormatting sqref="K12:M1048576 L9:M11">
    <cfRule dxfId="0" operator="greaterThanOrEqual" priority="212" type="cellIs">
      <formula>0</formula>
    </cfRule>
    <cfRule dxfId="1" operator="greaterThanOrEqual" priority="213" type="cellIs">
      <formula>0</formula>
    </cfRule>
    <cfRule dxfId="2" operator="lessThan" priority="214" type="cellIs">
      <formula>0</formula>
    </cfRule>
    <cfRule dxfId="3" operator="greaterThanOrEqual" priority="215" type="cellIs">
      <formula>0</formula>
    </cfRule>
  </conditionalFormatting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/>
  </sheetPr>
  <dimension ref="A1:X32"/>
  <sheetViews>
    <sheetView workbookViewId="0">
      <pane activePane="bottomLeft" state="frozen" topLeftCell="A3" ySplit="2"/>
      <selection activeCell="A1" sqref="A1"/>
      <selection activeCell="E2" pane="bottomLeft" sqref="E2"/>
    </sheetView>
  </sheetViews>
  <sheetFormatPr baseColWidth="8" defaultColWidth="9" defaultRowHeight="16.5"/>
  <cols>
    <col customWidth="1" max="1" min="1" style="14" width="9"/>
    <col customWidth="1" max="2" min="2" style="15" width="28.25"/>
    <col customWidth="1" max="3" min="3" style="15" width="13.25"/>
    <col customWidth="1" max="4" min="4" style="36" width="10"/>
    <col customWidth="1" max="5" min="5" style="120" width="13.625"/>
    <col customWidth="1" max="6" min="6" style="38" width="13.625"/>
    <col customWidth="1" max="7" min="7" style="15" width="10.875"/>
    <col customWidth="1" max="8" min="8" style="119" width="11.25"/>
    <col customWidth="1" max="9" min="9" style="15" width="10.875"/>
    <col customWidth="1" max="10" min="10" style="15" width="11.25"/>
    <col customWidth="1" max="11" min="11" style="38" width="17.25"/>
    <col customWidth="1" max="12" min="12" style="15" width="12.125"/>
    <col customWidth="1" max="13" min="13" style="40" width="11"/>
    <col customWidth="1" max="14" min="14" style="15" width="10.375"/>
    <col customWidth="1" max="15" min="15" style="40" width="13.875"/>
    <col customWidth="1" max="16" min="16" style="15" width="13.75"/>
    <col customWidth="1" max="17" min="17" style="15" width="12"/>
    <col customWidth="1" max="18" min="18" style="15" width="8.5"/>
    <col customWidth="1" max="19" min="19" style="15" width="7.5"/>
    <col customWidth="1" max="20" min="20" style="15" width="27.75"/>
    <col customWidth="1" max="21" min="21" style="15" width="11.25"/>
    <col customWidth="1" max="23" min="22" style="15" width="9"/>
    <col customWidth="1" max="24" min="24" style="15" width="8"/>
    <col customWidth="1" max="16384" min="25" style="15" width="9"/>
  </cols>
  <sheetData>
    <row customFormat="1" r="1" s="14">
      <c r="A1" s="41" t="inlineStr">
        <is>
          <t>签约客户</t>
        </is>
      </c>
      <c r="B1" s="5" t="n"/>
      <c r="C1" s="5" t="n"/>
      <c r="D1" s="6" t="n"/>
      <c r="E1" s="42" t="inlineStr">
        <is>
          <t>总消费完成进展</t>
        </is>
      </c>
      <c r="F1" s="5" t="n"/>
      <c r="G1" s="6" t="n"/>
      <c r="H1" s="43" t="inlineStr">
        <is>
          <t>日均消费进展</t>
        </is>
      </c>
      <c r="I1" s="5" t="n"/>
      <c r="J1" s="5" t="n"/>
      <c r="K1" s="5" t="n"/>
      <c r="L1" s="5" t="n"/>
      <c r="M1" s="6" t="n"/>
      <c r="N1" s="41" t="inlineStr">
        <is>
          <t>合同到期剩余天数</t>
        </is>
      </c>
      <c r="O1" s="6" t="n"/>
      <c r="P1" s="41" t="inlineStr">
        <is>
          <t>签约信息</t>
        </is>
      </c>
      <c r="Q1" s="5" t="n"/>
      <c r="R1" s="5" t="n"/>
      <c r="S1" s="5" t="n"/>
      <c r="T1" s="5" t="n"/>
      <c r="U1" s="5" t="n"/>
      <c r="V1" s="5" t="n"/>
      <c r="W1" s="5" t="n"/>
      <c r="X1" s="6" t="n"/>
    </row>
    <row customFormat="1" customHeight="1" ht="49.5" r="2" s="14">
      <c r="A2" s="44" t="inlineStr">
        <is>
          <t>返款形式</t>
        </is>
      </c>
      <c r="B2" s="41" t="inlineStr">
        <is>
          <t>客户公司名称</t>
        </is>
      </c>
      <c r="C2" s="41" t="inlineStr">
        <is>
          <t>框架金额</t>
        </is>
      </c>
      <c r="D2" s="45" t="inlineStr">
        <is>
          <t>返款点数</t>
        </is>
      </c>
      <c r="E2" s="124" t="inlineStr">
        <is>
          <t>截止08月15日已完成消费(大搜+信息流)</t>
        </is>
      </c>
      <c r="F2" s="47" t="inlineStr">
        <is>
          <t>完成进度</t>
        </is>
      </c>
      <c r="G2" s="42" t="inlineStr">
        <is>
          <t>目前完成达标返款点数</t>
        </is>
      </c>
      <c r="H2" s="125" t="inlineStr">
        <is>
          <t>当前日均消费
(大搜+信息流)</t>
        </is>
      </c>
      <c r="I2" s="62" t="inlineStr">
        <is>
          <t>预计达标所需日均消费</t>
        </is>
      </c>
      <c r="J2" s="62" t="inlineStr">
        <is>
          <t>日均进度差值</t>
        </is>
      </c>
      <c r="K2" s="63" t="inlineStr">
        <is>
          <t>预计达标日均所需提升占比</t>
        </is>
      </c>
      <c r="L2" s="62" t="inlineStr">
        <is>
          <t>当前日均消费预计需完成天数</t>
        </is>
      </c>
      <c r="M2" s="64" t="inlineStr">
        <is>
          <t>当前日均消费预计完成时间</t>
        </is>
      </c>
      <c r="N2" s="65" t="inlineStr">
        <is>
          <t>距合同到期剩余天数</t>
        </is>
      </c>
      <c r="O2" s="66" t="inlineStr">
        <is>
          <t>合同到期日期</t>
        </is>
      </c>
      <c r="P2" s="67" t="inlineStr">
        <is>
          <t>签框产品线</t>
        </is>
      </c>
      <c r="Q2" s="41" t="inlineStr">
        <is>
          <t>返款对像</t>
        </is>
      </c>
      <c r="R2" s="41" t="inlineStr">
        <is>
          <t xml:space="preserve">结算方式 </t>
        </is>
      </c>
      <c r="S2" s="67" t="inlineStr">
        <is>
          <t>是否已经签订合同</t>
        </is>
      </c>
      <c r="T2" s="41" t="inlineStr">
        <is>
          <t>合同时间</t>
        </is>
      </c>
      <c r="U2" s="67" t="inlineStr">
        <is>
          <t>备注</t>
        </is>
      </c>
      <c r="V2" s="41" t="inlineStr">
        <is>
          <t>部门</t>
        </is>
      </c>
      <c r="W2" s="41" t="inlineStr">
        <is>
          <t>维护客服</t>
        </is>
      </c>
      <c r="X2" s="41" t="inlineStr">
        <is>
          <t>签约客服</t>
        </is>
      </c>
    </row>
    <row customFormat="1" r="3" s="14">
      <c r="A3" s="49" t="inlineStr">
        <is>
          <t>年结</t>
        </is>
      </c>
      <c r="B3" s="50" t="inlineStr">
        <is>
          <t>福建朗盛管业科技有限公司
福建闽杰管业科技股份有限公司</t>
        </is>
      </c>
      <c r="C3" s="135" t="n">
        <v>1500000</v>
      </c>
      <c r="D3" s="52" t="n">
        <v>0.16</v>
      </c>
      <c r="E3" s="137">
        <f>SUM('大搜+信息流年框客户消费明细'!$F$4:$F$5)</f>
        <v/>
      </c>
      <c r="F3" s="54">
        <f>E3/C3</f>
        <v/>
      </c>
      <c r="G3" s="55">
        <f>IF(E3&gt;=C4,D4,IF(E3&gt;=C3,D3,"未达标"))</f>
        <v/>
      </c>
      <c r="H3" s="130">
        <f>'大搜+信息流年框客户消费明细'!B4+'大搜+信息流年框客户消费明细'!B5+'大搜+信息流年框客户消费明细'!C4+'大搜+信息流年框客户消费明细'!C5</f>
        <v/>
      </c>
      <c r="I3" s="130">
        <f>(C3-E3)/N3</f>
        <v/>
      </c>
      <c r="J3" s="130">
        <f>H3-I3</f>
        <v/>
      </c>
      <c r="K3" s="68">
        <f>IF(J3&lt;0,I3/H3-1,"当前日均可达标")</f>
        <v/>
      </c>
      <c r="L3" s="69">
        <f>(C3-E3)/H3</f>
        <v/>
      </c>
      <c r="M3" s="70">
        <f>TODAY()+L3</f>
        <v/>
      </c>
      <c r="N3" s="49">
        <f>IF(TODAY()&gt;O3,"合同已到期",DATE(2023,6,16)-TODAY()+1)</f>
        <v/>
      </c>
      <c r="O3" s="70" t="n">
        <v>45093</v>
      </c>
      <c r="P3" s="70" t="inlineStr">
        <is>
          <t>大搜+信息流合签</t>
        </is>
      </c>
      <c r="Q3" s="70" t="inlineStr">
        <is>
          <t>账户</t>
        </is>
      </c>
      <c r="R3" s="70" t="inlineStr">
        <is>
          <t>年结</t>
        </is>
      </c>
      <c r="S3" s="70" t="inlineStr">
        <is>
          <t>是</t>
        </is>
      </c>
      <c r="T3" s="70" t="inlineStr">
        <is>
          <t>2022年6月17日~2023年6月16日</t>
        </is>
      </c>
      <c r="U3" s="70" t="inlineStr">
        <is>
          <t>大搜+信息流</t>
        </is>
      </c>
      <c r="V3" s="70" t="inlineStr">
        <is>
          <t>漳州部门</t>
        </is>
      </c>
      <c r="W3" s="70" t="inlineStr">
        <is>
          <t>翁泉龙</t>
        </is>
      </c>
      <c r="X3" s="70" t="inlineStr">
        <is>
          <t>陈燕秀</t>
        </is>
      </c>
    </row>
    <row customFormat="1" r="4" s="14">
      <c r="A4" s="7" t="n"/>
      <c r="B4" s="9" t="n"/>
      <c r="C4" s="135" t="n">
        <v>3500000</v>
      </c>
      <c r="D4" s="52" t="n">
        <v>0.17</v>
      </c>
      <c r="E4" s="9" t="n"/>
      <c r="F4" s="54">
        <f>E3/C4</f>
        <v/>
      </c>
      <c r="G4" s="9" t="n"/>
      <c r="H4" s="9" t="n"/>
      <c r="I4" s="130">
        <f>(C4-E3)/N3</f>
        <v/>
      </c>
      <c r="J4" s="130">
        <f>H3-I4</f>
        <v/>
      </c>
      <c r="K4" s="68">
        <f>IF(J4&lt;0,I4/H3-1,"当前日均可达标")</f>
        <v/>
      </c>
      <c r="L4" s="69">
        <f>(C4-E3)/H3</f>
        <v/>
      </c>
      <c r="M4" s="70">
        <f>TODAY()+L4</f>
        <v/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customFormat="1" customHeight="1" ht="15.75" r="5" s="14">
      <c r="A5" s="7" t="n"/>
      <c r="B5" s="49" t="inlineStr">
        <is>
          <t>泉州市青果网络科技有限公司</t>
        </is>
      </c>
      <c r="C5" s="135" t="n">
        <v>800000</v>
      </c>
      <c r="D5" s="52" t="n">
        <v>0.04</v>
      </c>
      <c r="E5" s="130">
        <f>'大搜+信息流年框客户消费明细'!$F$6</f>
        <v/>
      </c>
      <c r="F5" s="54">
        <f>$E$5/C5</f>
        <v/>
      </c>
      <c r="G5" s="49">
        <f>IF(E5&gt;=C7,D7,IF(E5&gt;=C6,D6,IF(E5&gt;=C5,D5,"未达标")))</f>
        <v/>
      </c>
      <c r="H5" s="130">
        <f>'大搜+信息流年框客户消费明细'!B6+'大搜+信息流年框客户消费明细'!C6</f>
        <v/>
      </c>
      <c r="I5" s="130">
        <f>(C5-$E$5)/$N$5</f>
        <v/>
      </c>
      <c r="J5" s="130">
        <f>$H$5-I5</f>
        <v/>
      </c>
      <c r="K5" s="68">
        <f>IF(J5&lt;0,I5/$H$5-1,"当前日均可达标")</f>
        <v/>
      </c>
      <c r="L5" s="69">
        <f>(C5-$E$5)/$H$5</f>
        <v/>
      </c>
      <c r="M5" s="70">
        <f>TODAY()+L5</f>
        <v/>
      </c>
      <c r="N5" s="146">
        <f>IF(TODAY()&gt;O5,"合同已到期",DATE(2023,10,31)-TODAY()+1)</f>
        <v/>
      </c>
      <c r="O5" s="70" t="n">
        <v>45230</v>
      </c>
      <c r="P5" s="72" t="inlineStr">
        <is>
          <t>大搜+信息流合签</t>
        </is>
      </c>
      <c r="Q5" s="49" t="inlineStr">
        <is>
          <t>账户</t>
        </is>
      </c>
      <c r="R5" s="49" t="inlineStr">
        <is>
          <t>年结</t>
        </is>
      </c>
      <c r="S5" s="49" t="inlineStr">
        <is>
          <t>是</t>
        </is>
      </c>
      <c r="T5" s="75" t="inlineStr">
        <is>
          <t>2022年11月1日~2023年10月31日</t>
        </is>
      </c>
      <c r="U5" s="49" t="inlineStr">
        <is>
          <t>大搜+信息流</t>
        </is>
      </c>
      <c r="V5" s="50" t="inlineStr">
        <is>
          <t>泉州增值团队</t>
        </is>
      </c>
      <c r="W5" s="49" t="inlineStr">
        <is>
          <t xml:space="preserve">谢龙辉 </t>
        </is>
      </c>
      <c r="X5" s="49" t="inlineStr">
        <is>
          <t xml:space="preserve">谢龙辉 </t>
        </is>
      </c>
    </row>
    <row customFormat="1" customHeight="1" ht="15.75" r="6" s="14">
      <c r="A6" s="7" t="n"/>
      <c r="B6" s="7" t="n"/>
      <c r="C6" s="135" t="n">
        <v>1100000</v>
      </c>
      <c r="D6" s="52" t="n">
        <v>0.05</v>
      </c>
      <c r="E6" s="7" t="n"/>
      <c r="F6" s="54">
        <f>$E$5/C6</f>
        <v/>
      </c>
      <c r="G6" s="7" t="n"/>
      <c r="H6" s="7" t="n"/>
      <c r="I6" s="130">
        <f>(C6-$E$5)/$N$5</f>
        <v/>
      </c>
      <c r="J6" s="130">
        <f>$H$5-I6</f>
        <v/>
      </c>
      <c r="K6" s="68">
        <f>IF(J6&lt;0,I6/$H$5-1,"当前日均可达标")</f>
        <v/>
      </c>
      <c r="L6" s="69">
        <f>(C6-$E$5)/$H$5</f>
        <v/>
      </c>
      <c r="M6" s="70">
        <f>TODAY()+L6</f>
        <v/>
      </c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customFormat="1" customHeight="1" ht="15.75" r="7" s="14">
      <c r="A7" s="7" t="n"/>
      <c r="B7" s="9" t="n"/>
      <c r="C7" s="135" t="n">
        <v>1500000</v>
      </c>
      <c r="D7" s="52" t="n">
        <v>0.07000000000000001</v>
      </c>
      <c r="E7" s="9" t="n"/>
      <c r="F7" s="54">
        <f>$E$5/C7</f>
        <v/>
      </c>
      <c r="G7" s="9" t="n"/>
      <c r="H7" s="9" t="n"/>
      <c r="I7" s="130">
        <f>(C7-$E$5)/$N$5</f>
        <v/>
      </c>
      <c r="J7" s="130">
        <f>$H$5-I7</f>
        <v/>
      </c>
      <c r="K7" s="68">
        <f>IF(J7&lt;0,I7/$H$5-1,"当前日均可达标")</f>
        <v/>
      </c>
      <c r="L7" s="69">
        <f>(C7-$E$5)/$H$5</f>
        <v/>
      </c>
      <c r="M7" s="70">
        <f>TODAY()+L7</f>
        <v/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</row>
    <row customFormat="1" r="8" s="14">
      <c r="A8" s="7" t="n"/>
      <c r="B8" s="49" t="inlineStr">
        <is>
          <t>厦门快快网络科技有限公司</t>
        </is>
      </c>
      <c r="C8" s="135" t="n">
        <v>1400000</v>
      </c>
      <c r="D8" s="52" t="n">
        <v>0.04</v>
      </c>
      <c r="E8" s="130">
        <f>'大搜+信息流年框客户消费明细'!$F$8</f>
        <v/>
      </c>
      <c r="F8" s="54">
        <f>$E$8/C8</f>
        <v/>
      </c>
      <c r="G8" s="49">
        <f>IF($E$8&gt;=C11,D11,IF($E$8&gt;=C10,D10,IF($E$8&gt;=C9,D9,IF($E$8&gt;=C8,D8,"未达标"))))</f>
        <v/>
      </c>
      <c r="H8" s="130">
        <f>'大搜+信息流年框客户消费明细'!$B$8+'大搜+信息流年框客户消费明细'!$C$8</f>
        <v/>
      </c>
      <c r="I8" s="130">
        <f>IF($E$8&gt;=C8,"已达标",(C8-$E$8)/$N$8)</f>
        <v/>
      </c>
      <c r="J8" s="130">
        <f>IF($E$8&gt;=C8,"已达标",$H$8-I8)</f>
        <v/>
      </c>
      <c r="K8" s="68">
        <f>IF($E$8&gt;=C8,"已达标",IF(J8&lt;0,I8/$H$8-1,"当前日均可达标"))</f>
        <v/>
      </c>
      <c r="L8" s="69">
        <f>(C8-$E$8)/$H$8</f>
        <v/>
      </c>
      <c r="M8" s="70">
        <f>TODAY()+L8</f>
        <v/>
      </c>
      <c r="N8" s="49">
        <f>IF(TODAY()&gt;O8,"合同已到期",_xlfn.DAYS(O8+1,TODAY()))</f>
        <v/>
      </c>
      <c r="O8" s="70" t="n">
        <v>45291</v>
      </c>
      <c r="P8" s="49" t="inlineStr">
        <is>
          <t>大搜</t>
        </is>
      </c>
      <c r="Q8" s="49" t="inlineStr">
        <is>
          <t>客户</t>
        </is>
      </c>
      <c r="R8" s="49" t="inlineStr">
        <is>
          <t>年返</t>
        </is>
      </c>
      <c r="S8" s="49" t="inlineStr">
        <is>
          <t>是</t>
        </is>
      </c>
      <c r="T8" s="49" t="inlineStr">
        <is>
          <t>2023年1月1日~2023年12月31日</t>
        </is>
      </c>
      <c r="U8" s="49" t="inlineStr">
        <is>
          <t>大搜+信息流</t>
        </is>
      </c>
      <c r="V8" s="49" t="inlineStr">
        <is>
          <t>KOL</t>
        </is>
      </c>
      <c r="W8" s="49" t="inlineStr">
        <is>
          <t>尹林平</t>
        </is>
      </c>
      <c r="X8" s="49" t="inlineStr">
        <is>
          <t>蒋铃溪</t>
        </is>
      </c>
    </row>
    <row customFormat="1" r="9" s="14">
      <c r="A9" s="7" t="n"/>
      <c r="B9" s="7" t="n"/>
      <c r="C9" s="135" t="n">
        <v>1700000</v>
      </c>
      <c r="D9" s="52" t="n">
        <v>0.05</v>
      </c>
      <c r="E9" s="7" t="n"/>
      <c r="F9" s="54">
        <f>$E$8/C9</f>
        <v/>
      </c>
      <c r="G9" s="7" t="n"/>
      <c r="H9" s="7" t="n"/>
      <c r="I9" s="130">
        <f>IF($E$8&gt;=C9,"已达标",(C9-$E$8)/$N$8)</f>
        <v/>
      </c>
      <c r="J9" s="130">
        <f>IF($E$8&gt;=C9,"已达标",$H$8-I9)</f>
        <v/>
      </c>
      <c r="K9" s="68">
        <f>IF($E$8&gt;=C9,"已达标",IF(J9&lt;0,I9/$H$8-1,"当前日均可达标"))</f>
        <v/>
      </c>
      <c r="L9" s="69">
        <f>(C9-$E$8)/$H$8</f>
        <v/>
      </c>
      <c r="M9" s="70">
        <f>TODAY()+L9</f>
        <v/>
      </c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customFormat="1" r="10" s="14">
      <c r="A10" s="7" t="n"/>
      <c r="B10" s="7" t="n"/>
      <c r="C10" s="135" t="n">
        <v>2000000</v>
      </c>
      <c r="D10" s="52" t="n">
        <v>0.06</v>
      </c>
      <c r="E10" s="7" t="n"/>
      <c r="F10" s="54">
        <f>$E$8/C10</f>
        <v/>
      </c>
      <c r="G10" s="7" t="n"/>
      <c r="H10" s="7" t="n"/>
      <c r="I10" s="130">
        <f>IF($E$8&gt;=C10,"已达标",(C10-$E$8)/$N$8)</f>
        <v/>
      </c>
      <c r="J10" s="130">
        <f>IF($E$8&gt;=C10,"已达标",$H$8-I10)</f>
        <v/>
      </c>
      <c r="K10" s="68">
        <f>IF($E$8&gt;=C10,"已达标",IF(J10&lt;0,I10/$H$8-1,"当前日均可达标"))</f>
        <v/>
      </c>
      <c r="L10" s="69">
        <f>(C10-$E$8)/$H$8</f>
        <v/>
      </c>
      <c r="M10" s="70">
        <f>TODAY()+L10</f>
        <v/>
      </c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customFormat="1" r="11" s="14">
      <c r="A11" s="7" t="n"/>
      <c r="B11" s="9" t="n"/>
      <c r="C11" s="135" t="n">
        <v>2500000</v>
      </c>
      <c r="D11" s="52" t="n">
        <v>0.07000000000000001</v>
      </c>
      <c r="E11" s="9" t="n"/>
      <c r="F11" s="54">
        <f>$E$8/C11</f>
        <v/>
      </c>
      <c r="G11" s="9" t="n"/>
      <c r="H11" s="9" t="n"/>
      <c r="I11" s="130">
        <f>IF($E$8&gt;=C11,"已达标",(C11-$E$8)/$N$8)</f>
        <v/>
      </c>
      <c r="J11" s="130">
        <f>IF($E$8&gt;=C11,"已达标",$H$8-I11)</f>
        <v/>
      </c>
      <c r="K11" s="68">
        <f>IF($E$8&gt;=C11,"已达标",IF(J11&lt;0,I11/$H$8-1,"当前日均可达标"))</f>
        <v/>
      </c>
      <c r="L11" s="69">
        <f>(C11-$E$8)/$H$8</f>
        <v/>
      </c>
      <c r="M11" s="70">
        <f>TODAY()+L11</f>
        <v/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customFormat="1" r="12" s="14">
      <c r="A12" s="7" t="n"/>
      <c r="B12" s="49" t="inlineStr">
        <is>
          <t>厦门天锐科技股份有限公司</t>
        </is>
      </c>
      <c r="C12" s="135" t="n">
        <v>1800000</v>
      </c>
      <c r="D12" s="52" t="n">
        <v>0.04</v>
      </c>
      <c r="E12" s="130">
        <f>'大搜+信息流年框客户消费明细'!$F$9</f>
        <v/>
      </c>
      <c r="F12" s="54">
        <f>$E$12/C12</f>
        <v/>
      </c>
      <c r="G12" s="49">
        <f>IF($E$12&gt;=C15,D15,IF($E$8&gt;=C14,D14,IF($E$8&gt;=C13,D13,IF($E$8&gt;=C12,D12,"未达标"))))</f>
        <v/>
      </c>
      <c r="H12" s="130">
        <f>'大搜+信息流年框客户消费明细'!$B$9+'大搜+信息流年框客户消费明细'!$C$9</f>
        <v/>
      </c>
      <c r="I12" s="130">
        <f>IF($E$12&gt;=C12,"已达标",(C12-$E$12)/$N$12)</f>
        <v/>
      </c>
      <c r="J12" s="130">
        <f>IF($E$12&gt;=C12,"已达标",$H$12-I12)</f>
        <v/>
      </c>
      <c r="K12" s="68">
        <f>IF($E$12&gt;=C12,"已达标",IF(J12&lt;0,I12/$H$12-1,"当前日均可达标"))</f>
        <v/>
      </c>
      <c r="L12" s="69">
        <f>(C12-$E$12)/$H$12</f>
        <v/>
      </c>
      <c r="M12" s="70">
        <f>TODAY()+L12</f>
        <v/>
      </c>
      <c r="N12" s="49">
        <f>IF(TODAY()&gt;O12,"合同已到期",_xlfn.DAYS(O12+1,TODAY()))</f>
        <v/>
      </c>
      <c r="O12" s="70" t="n">
        <v>45291</v>
      </c>
      <c r="P12" s="49" t="inlineStr">
        <is>
          <t>大搜</t>
        </is>
      </c>
      <c r="Q12" s="49" t="inlineStr">
        <is>
          <t>客户</t>
        </is>
      </c>
      <c r="R12" s="49" t="inlineStr">
        <is>
          <t>年返</t>
        </is>
      </c>
      <c r="S12" s="49" t="inlineStr">
        <is>
          <t>是</t>
        </is>
      </c>
      <c r="T12" s="49" t="inlineStr">
        <is>
          <t>2023年1月1日~2023年12月31日</t>
        </is>
      </c>
      <c r="U12" s="49" t="inlineStr">
        <is>
          <t>大搜+信息流</t>
        </is>
      </c>
      <c r="V12" s="49" t="inlineStr">
        <is>
          <t>KOL</t>
        </is>
      </c>
      <c r="W12" s="49" t="inlineStr">
        <is>
          <t>尹林平</t>
        </is>
      </c>
      <c r="X12" s="49" t="inlineStr">
        <is>
          <t>蒋铃溪</t>
        </is>
      </c>
    </row>
    <row customFormat="1" r="13" s="14">
      <c r="A13" s="7" t="n"/>
      <c r="B13" s="7" t="n"/>
      <c r="C13" s="135" t="n">
        <v>2000000</v>
      </c>
      <c r="D13" s="52" t="n">
        <v>0.05</v>
      </c>
      <c r="E13" s="7" t="n"/>
      <c r="F13" s="54">
        <f>$E$12/C13</f>
        <v/>
      </c>
      <c r="G13" s="7" t="n"/>
      <c r="H13" s="7" t="n"/>
      <c r="I13" s="130">
        <f>IF($E$12&gt;=C13,"已达标",(C13-$E$12)/$N$12)</f>
        <v/>
      </c>
      <c r="J13" s="130">
        <f>IF($E$12&gt;=C13,"已达标",$H$12-I13)</f>
        <v/>
      </c>
      <c r="K13" s="68">
        <f>IF($E$12&gt;=C13,"已达标",IF(J13&lt;0,I13/$H$12-1,"当前日均可达标"))</f>
        <v/>
      </c>
      <c r="L13" s="69">
        <f>(C13-$E$12)/$H$12</f>
        <v/>
      </c>
      <c r="M13" s="70">
        <f>TODAY()+L13</f>
        <v/>
      </c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customFormat="1" r="14" s="14">
      <c r="A14" s="7" t="n"/>
      <c r="B14" s="7" t="n"/>
      <c r="C14" s="135" t="n">
        <v>2300000</v>
      </c>
      <c r="D14" s="52" t="n">
        <v>0.06</v>
      </c>
      <c r="E14" s="7" t="n"/>
      <c r="F14" s="54">
        <f>$E$12/C14</f>
        <v/>
      </c>
      <c r="G14" s="7" t="n"/>
      <c r="H14" s="7" t="n"/>
      <c r="I14" s="130">
        <f>IF($E$12&gt;=C14,"已达标",(C14-$E$12)/$N$12)</f>
        <v/>
      </c>
      <c r="J14" s="130">
        <f>IF($E$12&gt;=C14,"已达标",$H$12-I14)</f>
        <v/>
      </c>
      <c r="K14" s="68">
        <f>IF($E$12&gt;=C14,"已达标",IF(J14&lt;0,I14/$H$12-1,"当前日均可达标"))</f>
        <v/>
      </c>
      <c r="L14" s="69">
        <f>(C14-$E$12)/$H$12</f>
        <v/>
      </c>
      <c r="M14" s="70">
        <f>TODAY()+L14</f>
        <v/>
      </c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customFormat="1" r="15" s="14">
      <c r="A15" s="7" t="n"/>
      <c r="B15" s="9" t="n"/>
      <c r="C15" s="135" t="n">
        <v>2600000</v>
      </c>
      <c r="D15" s="52" t="n">
        <v>0.07000000000000001</v>
      </c>
      <c r="E15" s="9" t="n"/>
      <c r="F15" s="54">
        <f>$E$12/C15</f>
        <v/>
      </c>
      <c r="G15" s="9" t="n"/>
      <c r="H15" s="9" t="n"/>
      <c r="I15" s="130">
        <f>IF($E$12&gt;=C15,"已达标",(C15-$E$12)/$N$12)</f>
        <v/>
      </c>
      <c r="J15" s="130">
        <f>IF($E$12&gt;=C15,"已达标",$H$12-I15)</f>
        <v/>
      </c>
      <c r="K15" s="68">
        <f>IF($E$12&gt;=C15,"已达标",IF(J15&lt;0,I15/$H$12-1,"当前日均可达标"))</f>
        <v/>
      </c>
      <c r="L15" s="69">
        <f>(C15-$E$12)/$H$12</f>
        <v/>
      </c>
      <c r="M15" s="70">
        <f>TODAY()+L15</f>
        <v/>
      </c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customFormat="1" r="16" s="14">
      <c r="A16" s="7" t="n"/>
      <c r="B16" s="49" t="inlineStr">
        <is>
          <t>厦门市盈拓商务有限公司</t>
        </is>
      </c>
      <c r="C16" s="135" t="n">
        <v>1400000</v>
      </c>
      <c r="D16" s="52" t="n">
        <v>0.05</v>
      </c>
      <c r="E16" s="130">
        <f>'大搜+信息流年框客户消费明细'!$F$10</f>
        <v/>
      </c>
      <c r="F16" s="54">
        <f>$E$16/C16</f>
        <v/>
      </c>
      <c r="G16" s="49">
        <f>IF($E$16&gt;=C17,D17,IF($E$16&gt;=C16,D16,"未达标"))</f>
        <v/>
      </c>
      <c r="H16" s="130">
        <f>'大搜+信息流年框客户消费明细'!$B$10+'大搜+信息流年框客户消费明细'!C10</f>
        <v/>
      </c>
      <c r="I16" s="130">
        <f>IF($E$16&gt;=C16,"已达标",(C16-$E$16)/$N$16)</f>
        <v/>
      </c>
      <c r="J16" s="130">
        <f>IF($E$16&gt;=C16,"已达标",$H$16-I16)</f>
        <v/>
      </c>
      <c r="K16" s="68">
        <f>IF($E$16&gt;=C16,"已达标",IF(J16&lt;0,I16/$H$16-1,"当前日均可达标"))</f>
        <v/>
      </c>
      <c r="L16" s="69">
        <f>(C16-$E$16)/$H$16</f>
        <v/>
      </c>
      <c r="M16" s="70">
        <f>TODAY()+L16</f>
        <v/>
      </c>
      <c r="N16" s="49">
        <f>IF(TODAY()&gt;O16,"合同已到期",_xlfn.DAYS(O16+1,TODAY()))</f>
        <v/>
      </c>
      <c r="O16" s="70" t="n">
        <v>45291</v>
      </c>
      <c r="P16" s="49" t="inlineStr">
        <is>
          <t>大搜</t>
        </is>
      </c>
      <c r="Q16" s="49" t="inlineStr">
        <is>
          <t>客户</t>
        </is>
      </c>
      <c r="R16" s="49" t="inlineStr">
        <is>
          <t>年返</t>
        </is>
      </c>
      <c r="S16" s="49" t="inlineStr">
        <is>
          <t>是</t>
        </is>
      </c>
      <c r="T16" s="49" t="inlineStr">
        <is>
          <t>2023年1月1日~2023年12月31日</t>
        </is>
      </c>
      <c r="U16" s="49" t="inlineStr">
        <is>
          <t>大搜+信息流</t>
        </is>
      </c>
      <c r="V16" s="49" t="inlineStr">
        <is>
          <t>KOL</t>
        </is>
      </c>
      <c r="W16" s="49" t="inlineStr">
        <is>
          <t>陈沅</t>
        </is>
      </c>
      <c r="X16" s="49" t="inlineStr">
        <is>
          <t>蒋铃溪</t>
        </is>
      </c>
    </row>
    <row customFormat="1" r="17" s="14">
      <c r="A17" s="7" t="n"/>
      <c r="B17" s="9" t="n"/>
      <c r="C17" s="135" t="n">
        <v>2000000</v>
      </c>
      <c r="D17" s="52" t="n">
        <v>0.06</v>
      </c>
      <c r="E17" s="9" t="n"/>
      <c r="F17" s="54">
        <f>$E$16/C17</f>
        <v/>
      </c>
      <c r="G17" s="9" t="n"/>
      <c r="H17" s="9" t="n"/>
      <c r="I17" s="130">
        <f>IF($E$16&gt;=C17,"已达标",(C17-$E$16)/$N$16)</f>
        <v/>
      </c>
      <c r="J17" s="130">
        <f>IF($E$16&gt;=C17,"已达标",$H$16-I17)</f>
        <v/>
      </c>
      <c r="K17" s="68">
        <f>IF($E$16&gt;=C17,"已达标",IF(J17&lt;0,I17/$H$16-1,"当前日均可达标"))</f>
        <v/>
      </c>
      <c r="L17" s="69">
        <f>(C17-$E$16)/$H$16</f>
        <v/>
      </c>
      <c r="M17" s="70">
        <f>TODAY()+L17</f>
        <v/>
      </c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customFormat="1" customHeight="1" ht="29.25" r="18" s="14">
      <c r="A18" s="7" t="n"/>
      <c r="B18" s="57" t="inlineStr">
        <is>
          <t>舒华体育股份有限公司</t>
        </is>
      </c>
      <c r="C18" s="135" t="n">
        <v>1050000</v>
      </c>
      <c r="D18" s="52" t="n">
        <v>0.04</v>
      </c>
      <c r="E18" s="147">
        <f>'大搜+信息流年框客户消费明细'!$F$11</f>
        <v/>
      </c>
      <c r="F18" s="54">
        <f>$E$18/C18</f>
        <v/>
      </c>
      <c r="G18" s="57">
        <f>IF($E$18&gt;=C18,D18,"未达标")</f>
        <v/>
      </c>
      <c r="H18" s="147">
        <f>SUM('大搜+信息流年框客户消费明细'!B11:C11)</f>
        <v/>
      </c>
      <c r="I18" s="130">
        <f>IF($E$18&gt;=C18,"已达标",(C18-$E$18)/$N$18)</f>
        <v/>
      </c>
      <c r="J18" s="130">
        <f>IF($E$18&gt;=C18,"已达标",$H$18-I18)</f>
        <v/>
      </c>
      <c r="K18" s="68">
        <f>IF($E$18&gt;=C18,"已达标",IF(J18&lt;0,I18/$H$18-1,"当前日均可达标"))</f>
        <v/>
      </c>
      <c r="L18" s="69">
        <f>(C18-$E$18)/$H$18</f>
        <v/>
      </c>
      <c r="M18" s="70">
        <f>TODAY()+L18</f>
        <v/>
      </c>
      <c r="N18" s="57">
        <f>IF(TODAY()&gt;O18,"合同已到期",_xlfn.DAYS(O18+1,TODAY()))</f>
        <v/>
      </c>
      <c r="O18" s="73" t="n">
        <v>45291</v>
      </c>
      <c r="P18" s="57" t="inlineStr">
        <is>
          <t>大搜+信息流</t>
        </is>
      </c>
      <c r="Q18" s="57" t="inlineStr">
        <is>
          <t>现金</t>
        </is>
      </c>
      <c r="R18" s="57" t="inlineStr">
        <is>
          <t>年结</t>
        </is>
      </c>
      <c r="S18" s="57" t="inlineStr">
        <is>
          <t>否</t>
        </is>
      </c>
      <c r="T18" s="57" t="inlineStr">
        <is>
          <t>2023年1月1日~2023年12月31日</t>
        </is>
      </c>
      <c r="U18" s="76" t="n"/>
      <c r="V18" s="59" t="inlineStr">
        <is>
          <t>泉州增值团队</t>
        </is>
      </c>
      <c r="W18" s="57" t="inlineStr">
        <is>
          <t>谢龙辉</t>
        </is>
      </c>
      <c r="X18" s="57" t="inlineStr">
        <is>
          <t>谢龙辉</t>
        </is>
      </c>
    </row>
    <row customFormat="1" r="19" s="14">
      <c r="A19" s="7" t="n"/>
      <c r="B19" s="50" t="inlineStr">
        <is>
          <t>泉州市康掌柜网络科技有限公司
福建迈格林医疗科技有限公司</t>
        </is>
      </c>
      <c r="C19" s="135" t="n">
        <v>1600000</v>
      </c>
      <c r="D19" s="52" t="n">
        <v>0.05</v>
      </c>
      <c r="E19" s="129">
        <f>'大搜+信息流年框客户消费明细'!F12+'大搜+信息流年框客户消费明细'!F13</f>
        <v/>
      </c>
      <c r="F19" s="54">
        <f>$E$19/C19</f>
        <v/>
      </c>
      <c r="G19" s="49">
        <f>IF(E19&gt;=C21,D21,IF(E19&gt;=C20,D20,IF(E19&gt;=C19,D19,"未达标")))</f>
        <v/>
      </c>
      <c r="H19" s="129">
        <f>SUM('大搜+信息流年框客户消费明细'!B12:C13)</f>
        <v/>
      </c>
      <c r="I19" s="130">
        <f>IF($E$19&gt;=C19,"已达标",(C19-$E$19)/$N$19)</f>
        <v/>
      </c>
      <c r="J19" s="130">
        <f>IF($E$19&gt;=C19,"已达标",$H$19-I19)</f>
        <v/>
      </c>
      <c r="K19" s="68">
        <f>IF($E$19&gt;=C19,"已达标",IF(J19&lt;0,I19/$H$19-1,"当前日均可达标"))</f>
        <v/>
      </c>
      <c r="L19" s="69">
        <f>(C19-$E$19)/$H$19</f>
        <v/>
      </c>
      <c r="M19" s="70">
        <f>TODAY()+L19</f>
        <v/>
      </c>
      <c r="N19" s="146">
        <f>IF(TODAY()&gt;O19,"合同已到期",_xlfn.DAYS(O19+1,TODAY()))</f>
        <v/>
      </c>
      <c r="O19" s="70" t="n">
        <v>45291</v>
      </c>
      <c r="P19" s="72" t="inlineStr">
        <is>
          <t>大搜+信息流</t>
        </is>
      </c>
      <c r="Q19" s="49" t="inlineStr">
        <is>
          <t>账户</t>
        </is>
      </c>
      <c r="R19" s="49" t="inlineStr">
        <is>
          <t>年结</t>
        </is>
      </c>
      <c r="S19" s="49" t="inlineStr">
        <is>
          <t>是</t>
        </is>
      </c>
      <c r="T19" s="75" t="inlineStr">
        <is>
          <t>2023年1月1日~2023年12月31日</t>
        </is>
      </c>
      <c r="U19" s="49" t="n"/>
      <c r="V19" s="50" t="inlineStr">
        <is>
          <t>泉州增值团队</t>
        </is>
      </c>
      <c r="W19" s="49" t="inlineStr">
        <is>
          <t>许珊珊</t>
        </is>
      </c>
      <c r="X19" s="49" t="inlineStr">
        <is>
          <t xml:space="preserve">许珊珊 </t>
        </is>
      </c>
    </row>
    <row customFormat="1" r="20" s="14">
      <c r="A20" s="7" t="n"/>
      <c r="B20" s="7" t="n"/>
      <c r="C20" s="135" t="n">
        <v>1750000</v>
      </c>
      <c r="D20" s="52" t="n">
        <v>0.06</v>
      </c>
      <c r="E20" s="7" t="n"/>
      <c r="F20" s="54">
        <f>$E$19/C20</f>
        <v/>
      </c>
      <c r="G20" s="7" t="n"/>
      <c r="H20" s="7" t="n"/>
      <c r="I20" s="130">
        <f>IF($E$19&gt;=C20,"已达标",(C20-$E$19)/$N$19)</f>
        <v/>
      </c>
      <c r="J20" s="130">
        <f>IF($E$19&gt;=C20,"已达标",$H$19-I20)</f>
        <v/>
      </c>
      <c r="K20" s="68">
        <f>IF($E$19&gt;=C20,"已达标",IF(J20&lt;0,I20/$H$19-1,"当前日均可达标"))</f>
        <v/>
      </c>
      <c r="L20" s="69">
        <f>(C20-$E$19)/$H$19</f>
        <v/>
      </c>
      <c r="M20" s="70">
        <f>TODAY()+L20</f>
        <v/>
      </c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customFormat="1" r="21" s="14">
      <c r="A21" s="7" t="n"/>
      <c r="B21" s="9" t="n"/>
      <c r="C21" s="135" t="n">
        <v>1900000</v>
      </c>
      <c r="D21" s="52" t="n">
        <v>0.07000000000000001</v>
      </c>
      <c r="E21" s="9" t="n"/>
      <c r="F21" s="54">
        <f>$E$19/C21</f>
        <v/>
      </c>
      <c r="G21" s="9" t="n"/>
      <c r="H21" s="9" t="n"/>
      <c r="I21" s="130">
        <f>IF($E$19&gt;=C21,"已达标",(C21-$E$19)/$N$19)</f>
        <v/>
      </c>
      <c r="J21" s="130">
        <f>IF($E$19&gt;=C21,"已达标",$H$19-I21)</f>
        <v/>
      </c>
      <c r="K21" s="68">
        <f>IF($E$19&gt;=C21,"已达标",IF(J21&lt;0,I21/$H$19-1,"当前日均可达标"))</f>
        <v/>
      </c>
      <c r="L21" s="69">
        <f>(C21-$E$19)/$H$19</f>
        <v/>
      </c>
      <c r="M21" s="70">
        <f>TODAY()+L21</f>
        <v/>
      </c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</row>
    <row customFormat="1" r="22" s="14">
      <c r="A22" s="7" t="n"/>
      <c r="B22" s="50" t="inlineStr">
        <is>
          <t>福建华雄投资有限公司
泉州市丰泽区维美美容美发职业培训学校</t>
        </is>
      </c>
      <c r="C22" s="135" t="n">
        <v>1000000</v>
      </c>
      <c r="D22" s="52" t="n">
        <v>0.05</v>
      </c>
      <c r="E22" s="129">
        <f>'大搜+信息流年框客户消费明细'!F14+'大搜+信息流年框客户消费明细'!F15</f>
        <v/>
      </c>
      <c r="F22" s="54">
        <f>$E$22/C22</f>
        <v/>
      </c>
      <c r="G22" s="49">
        <f>IF(E22&gt;=C24,D24,IF(E22&gt;=C23,D23,IF(E22&gt;=C22,D22,"未达标")))</f>
        <v/>
      </c>
      <c r="H22" s="129">
        <f>SUM('大搜+信息流年框客户消费明细'!B14:C15)</f>
        <v/>
      </c>
      <c r="I22" s="130">
        <f>IF($E$22&gt;=C22,"已达标",(C22-$E$22)/$N$22)</f>
        <v/>
      </c>
      <c r="J22" s="130">
        <f>IF($E$22&gt;=C22,"已达标",$H$22-I22)</f>
        <v/>
      </c>
      <c r="K22" s="68">
        <f>IF($E$22&gt;=C22,"已达标",IF(J22&lt;0,I22/$H$22-1,"当前日均可达标"))</f>
        <v/>
      </c>
      <c r="L22" s="69">
        <f>(C22-$E$22)/$H$22</f>
        <v/>
      </c>
      <c r="M22" s="70">
        <f>TODAY()+L22</f>
        <v/>
      </c>
      <c r="N22" s="146">
        <f>IF(TODAY()&gt;O22,"合同已到期",_xlfn.DAYS(O22+1,TODAY()))</f>
        <v/>
      </c>
      <c r="O22" s="70" t="n">
        <v>45291</v>
      </c>
      <c r="P22" s="72" t="inlineStr">
        <is>
          <t>大搜+信息流</t>
        </is>
      </c>
      <c r="Q22" s="49" t="inlineStr">
        <is>
          <t>账户</t>
        </is>
      </c>
      <c r="R22" s="49" t="inlineStr">
        <is>
          <t>年结</t>
        </is>
      </c>
      <c r="S22" s="49" t="inlineStr">
        <is>
          <t>是</t>
        </is>
      </c>
      <c r="T22" s="75" t="inlineStr">
        <is>
          <t>2022年1月1日~2023年12月31日</t>
        </is>
      </c>
      <c r="U22" s="49" t="n"/>
      <c r="V22" s="50" t="inlineStr">
        <is>
          <t>泉州增值团队</t>
        </is>
      </c>
      <c r="W22" s="49" t="inlineStr">
        <is>
          <t>许珊珊</t>
        </is>
      </c>
      <c r="X22" s="49" t="inlineStr">
        <is>
          <t xml:space="preserve">许珊珊 </t>
        </is>
      </c>
    </row>
    <row customFormat="1" r="23" s="14">
      <c r="A23" s="7" t="n"/>
      <c r="B23" s="7" t="n"/>
      <c r="C23" s="135" t="n">
        <v>1500000</v>
      </c>
      <c r="D23" s="52" t="n">
        <v>0.06</v>
      </c>
      <c r="E23" s="7" t="n"/>
      <c r="F23" s="54">
        <f>$E$22/C23</f>
        <v/>
      </c>
      <c r="G23" s="7" t="n"/>
      <c r="H23" s="7" t="n"/>
      <c r="I23" s="130">
        <f>IF($E$22&gt;=C23,"已达标",(C23-$E$22)/$N$22)</f>
        <v/>
      </c>
      <c r="J23" s="130">
        <f>IF($E$22&gt;=C23,"已达标",$H$22-I23)</f>
        <v/>
      </c>
      <c r="K23" s="68">
        <f>IF($E$22&gt;=C23,"已达标",IF(J23&lt;0,I23/$H$22-1,"当前日均可达标"))</f>
        <v/>
      </c>
      <c r="L23" s="69">
        <f>(C23-$E$22)/$H$22</f>
        <v/>
      </c>
      <c r="M23" s="70">
        <f>TODAY()+L23</f>
        <v/>
      </c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customFormat="1" r="24" s="14">
      <c r="A24" s="7" t="n"/>
      <c r="B24" s="9" t="n"/>
      <c r="C24" s="135" t="n">
        <v>2000000</v>
      </c>
      <c r="D24" s="52" t="n">
        <v>0.07000000000000001</v>
      </c>
      <c r="E24" s="9" t="n"/>
      <c r="F24" s="54">
        <f>$E$22/C24</f>
        <v/>
      </c>
      <c r="G24" s="9" t="n"/>
      <c r="H24" s="9" t="n"/>
      <c r="I24" s="130">
        <f>IF($E$22&gt;=C24,"已达标",(C24-$E$22)/$N$22)</f>
        <v/>
      </c>
      <c r="J24" s="130">
        <f>IF($E$22&gt;=C24,"已达标",$H$22-I24)</f>
        <v/>
      </c>
      <c r="K24" s="68">
        <f>IF($E$22&gt;=C24,"已达标",IF(J24&lt;0,I24/$H$22-1,"当前日均可达标"))</f>
        <v/>
      </c>
      <c r="L24" s="69">
        <f>(C24-$E$22)/$H$22</f>
        <v/>
      </c>
      <c r="M24" s="70">
        <f>TODAY()+L24</f>
        <v/>
      </c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customFormat="1" customHeight="1" ht="33" r="25" s="14">
      <c r="A25" s="7" t="n"/>
      <c r="B25" s="59" t="inlineStr">
        <is>
          <t>福建惠兴涂料科技发展有限公司
福建惠安县惠兴工贸有限公司</t>
        </is>
      </c>
      <c r="C25" s="135" t="n">
        <v>1000000</v>
      </c>
      <c r="D25" s="52" t="n">
        <v>0.05</v>
      </c>
      <c r="E25" s="147">
        <f>'大搜+信息流年框客户消费明细'!F16+'大搜+信息流年框客户消费明细'!F17</f>
        <v/>
      </c>
      <c r="F25" s="54">
        <f>$E$25/C25</f>
        <v/>
      </c>
      <c r="G25" s="57">
        <f>IF($E$25&gt;=C25,D25,"未达标")</f>
        <v/>
      </c>
      <c r="H25" s="147">
        <f>SUM('大搜+信息流年框客户消费明细'!B16:C17)</f>
        <v/>
      </c>
      <c r="I25" s="130">
        <f>IF($E$25&gt;=C25,"已达标",(C25-$E$25)/$N$25)</f>
        <v/>
      </c>
      <c r="J25" s="130">
        <f>IF($E$25&gt;=C25,"已达标",$H$25-I25)</f>
        <v/>
      </c>
      <c r="K25" s="68">
        <f>IF($E$25&gt;=C25,"已达标",IF(J25&lt;0,I25/$H$25-1,"当前日均可达标"))</f>
        <v/>
      </c>
      <c r="L25" s="69">
        <f>(C25-$E$25)/$H$25</f>
        <v/>
      </c>
      <c r="M25" s="70">
        <f>TODAY()+L25</f>
        <v/>
      </c>
      <c r="N25" s="57">
        <f>IF(TODAY()&gt;O25,"合同已到期",_xlfn.DAYS(O25+1,TODAY()))</f>
        <v/>
      </c>
      <c r="O25" s="73" t="n">
        <v>45351</v>
      </c>
      <c r="P25" s="57" t="inlineStr">
        <is>
          <t>大搜+信息流</t>
        </is>
      </c>
      <c r="Q25" s="57" t="inlineStr">
        <is>
          <t>账户</t>
        </is>
      </c>
      <c r="R25" s="57" t="inlineStr">
        <is>
          <t>年结</t>
        </is>
      </c>
      <c r="S25" s="57" t="inlineStr">
        <is>
          <t>是</t>
        </is>
      </c>
      <c r="T25" s="57" t="inlineStr">
        <is>
          <t>2023年3月1日~2024年2月29日</t>
        </is>
      </c>
      <c r="U25" s="76" t="n"/>
      <c r="V25" s="59" t="inlineStr">
        <is>
          <t>泉州增值团队</t>
        </is>
      </c>
      <c r="W25" s="57" t="inlineStr">
        <is>
          <t>许珊珊</t>
        </is>
      </c>
      <c r="X25" s="57" t="inlineStr">
        <is>
          <t>许珊珊</t>
        </is>
      </c>
    </row>
    <row customFormat="1" r="26" s="14">
      <c r="A26" s="7" t="n"/>
      <c r="B26" s="49" t="inlineStr">
        <is>
          <t>福建南方路面机械股份有限公司</t>
        </is>
      </c>
      <c r="C26" s="135" t="n">
        <v>2500000</v>
      </c>
      <c r="D26" s="52" t="n">
        <v>0.03</v>
      </c>
      <c r="E26" s="129">
        <f>'大搜+信息流年框客户消费明细'!F18</f>
        <v/>
      </c>
      <c r="F26" s="54">
        <f>$E$26/C26</f>
        <v/>
      </c>
      <c r="G26" s="49">
        <f>IF($E$26&gt;=C29,D29,IF($E$26&gt;=C28,D28,IF($E$26&gt;=C27,D27,IF($E$26&gt;=C26,D26,"未达标"))))</f>
        <v/>
      </c>
      <c r="H26" s="129">
        <f>SUM('大搜+信息流年框客户消费明细'!B18:C18)</f>
        <v/>
      </c>
      <c r="I26" s="130">
        <f>IF($E$26&gt;=C26,"已达标",(C26-$E$26)/$N$26)</f>
        <v/>
      </c>
      <c r="J26" s="130">
        <f>IF($E$26&gt;=C26,"已达标",$H$26-I26)</f>
        <v/>
      </c>
      <c r="K26" s="68">
        <f>IF($E$26&gt;=C26,"已达标",IF(J26&lt;0,I26/$H$26-1,"当前日均可达标"))</f>
        <v/>
      </c>
      <c r="L26" s="69">
        <f>(C26-$E$26)/$H$26</f>
        <v/>
      </c>
      <c r="M26" s="70">
        <f>TODAY()+L26</f>
        <v/>
      </c>
      <c r="N26" s="49">
        <f>IF(TODAY()&gt;O26,"合同已到期",_xlfn.DAYS(O26+1,TODAY()))</f>
        <v/>
      </c>
      <c r="O26" s="70" t="n">
        <v>45291</v>
      </c>
      <c r="P26" s="49" t="inlineStr">
        <is>
          <t>大搜+信息流</t>
        </is>
      </c>
      <c r="Q26" s="49" t="inlineStr">
        <is>
          <t>账户</t>
        </is>
      </c>
      <c r="R26" s="49" t="inlineStr">
        <is>
          <t>年结</t>
        </is>
      </c>
      <c r="S26" s="49" t="inlineStr">
        <is>
          <t>是</t>
        </is>
      </c>
      <c r="T26" s="49" t="inlineStr">
        <is>
          <t>2023年1月1日~2023年12月31日</t>
        </is>
      </c>
      <c r="U26" s="49" t="n"/>
      <c r="V26" s="50" t="inlineStr">
        <is>
          <t>泉州增值团队</t>
        </is>
      </c>
      <c r="W26" s="49" t="inlineStr">
        <is>
          <t>许珊珊</t>
        </is>
      </c>
      <c r="X26" s="49" t="inlineStr">
        <is>
          <t>许珊珊</t>
        </is>
      </c>
    </row>
    <row customFormat="1" r="27" s="14">
      <c r="A27" s="7" t="n"/>
      <c r="B27" s="7" t="n"/>
      <c r="C27" s="135" t="n">
        <v>2910000</v>
      </c>
      <c r="D27" s="52" t="n">
        <v>0.04</v>
      </c>
      <c r="E27" s="7" t="n"/>
      <c r="F27" s="54">
        <f>$E$26/C27</f>
        <v/>
      </c>
      <c r="G27" s="7" t="n"/>
      <c r="H27" s="7" t="n"/>
      <c r="I27" s="130">
        <f>IF($E$26&gt;=C27,"已达标",(C27-$E$26)/$N$26)</f>
        <v/>
      </c>
      <c r="J27" s="130">
        <f>IF($E$26&gt;=C27,"已达标",$H$26-I27)</f>
        <v/>
      </c>
      <c r="K27" s="68">
        <f>IF($E$26&gt;=C27,"已达标",IF(J27&lt;0,I27/$H$26-1,"当前日均可达标"))</f>
        <v/>
      </c>
      <c r="L27" s="69">
        <f>(C27-$E$26)/$H$26</f>
        <v/>
      </c>
      <c r="M27" s="70">
        <f>TODAY()+L27</f>
        <v/>
      </c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customFormat="1" r="28" s="14">
      <c r="A28" s="7" t="n"/>
      <c r="B28" s="7" t="n"/>
      <c r="C28" s="135" t="n">
        <v>3310000</v>
      </c>
      <c r="D28" s="52" t="n">
        <v>0.05</v>
      </c>
      <c r="E28" s="7" t="n"/>
      <c r="F28" s="54">
        <f>$E$26/C28</f>
        <v/>
      </c>
      <c r="G28" s="7" t="n"/>
      <c r="H28" s="7" t="n"/>
      <c r="I28" s="130">
        <f>IF($E$26&gt;=C28,"已达标",(C28-$E$26)/$N$26)</f>
        <v/>
      </c>
      <c r="J28" s="130">
        <f>IF($E$26&gt;=C28,"已达标",$H$26-I28)</f>
        <v/>
      </c>
      <c r="K28" s="68">
        <f>IF($E$26&gt;=C28,"已达标",IF(J28&lt;0,I28/$H$26-1,"当前日均可达标"))</f>
        <v/>
      </c>
      <c r="L28" s="69">
        <f>(C28-$E$26)/$H$26</f>
        <v/>
      </c>
      <c r="M28" s="70">
        <f>TODAY()+L28</f>
        <v/>
      </c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customFormat="1" r="29" s="14">
      <c r="A29" s="9" t="n"/>
      <c r="B29" s="9" t="n"/>
      <c r="C29" s="135" t="n">
        <v>4010000</v>
      </c>
      <c r="D29" s="52" t="n">
        <v>0.06</v>
      </c>
      <c r="E29" s="9" t="n"/>
      <c r="F29" s="54">
        <f>$E$26/C29</f>
        <v/>
      </c>
      <c r="G29" s="9" t="n"/>
      <c r="H29" s="9" t="n"/>
      <c r="I29" s="130">
        <f>IF($E$26&gt;=C29,"已达标",(C29-$E$26)/$N$26)</f>
        <v/>
      </c>
      <c r="J29" s="130">
        <f>IF($E$26&gt;=C29,"已达标",$H$26-I29)</f>
        <v/>
      </c>
      <c r="K29" s="68">
        <f>IF($E$26&gt;=C29,"已达标",IF(J29&lt;0,I29/$H$26-1,"当前日均可达标"))</f>
        <v/>
      </c>
      <c r="L29" s="69">
        <f>(C29-$E$26)/$H$26</f>
        <v/>
      </c>
      <c r="M29" s="70">
        <f>TODAY()+L29</f>
        <v/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</row>
    <row customFormat="1" r="30" s="14">
      <c r="A30" s="60" t="inlineStr">
        <is>
          <t>月结</t>
        </is>
      </c>
      <c r="B30" s="49" t="inlineStr">
        <is>
          <t>厦门房在线科技有限公司</t>
        </is>
      </c>
      <c r="C30" s="61" t="n">
        <v>700000</v>
      </c>
      <c r="D30" s="52" t="n">
        <v>0.17</v>
      </c>
      <c r="E30" s="130">
        <f>'大搜+信息流年框客户消费明细'!$F$7</f>
        <v/>
      </c>
      <c r="F30" s="54">
        <f>$E$30/C30</f>
        <v/>
      </c>
      <c r="G30" s="52">
        <f>IF($E$30&gt;=C32,D32,IF($E$30&gt;=C31,D31,IF($E$30&gt;=C30,D30,"未达标")))</f>
        <v/>
      </c>
      <c r="H30" s="130">
        <f>'大搜+信息流年框客户消费明细'!$B$7+'大搜+信息流年框客户消费明细'!$C$7</f>
        <v/>
      </c>
      <c r="I30" s="130">
        <f>IF(E30&gt;=C30,"已达标",(C30-$E$30)/$N$5)</f>
        <v/>
      </c>
      <c r="J30" s="130">
        <f>IF(E30&gt;=C30,"已达标",$H$30-I30)</f>
        <v/>
      </c>
      <c r="K30" s="68">
        <f>IF(E30&gt;=C30,"已达标",IF(J30&lt;0,I30/$H$30-1,"当前日均可达标"))</f>
        <v/>
      </c>
      <c r="L30" s="69">
        <f>(C30-$E$30)/$H$30</f>
        <v/>
      </c>
      <c r="M30" s="70">
        <f>TODAY()+L30</f>
        <v/>
      </c>
      <c r="N30" s="146">
        <f>IF(TODAY()&gt;O30,"合同已到期",DATE(2023,10,9)-TODAY()+1)</f>
        <v/>
      </c>
      <c r="O30" s="74" t="n">
        <v>45208</v>
      </c>
      <c r="P30" s="49" t="inlineStr">
        <is>
          <t>大搜+信息流合签</t>
        </is>
      </c>
      <c r="Q30" s="77" t="inlineStr">
        <is>
          <t>客户</t>
        </is>
      </c>
      <c r="R30" s="50" t="inlineStr">
        <is>
          <t>月返</t>
        </is>
      </c>
      <c r="S30" s="78" t="inlineStr">
        <is>
          <t>是</t>
        </is>
      </c>
      <c r="T30" s="136" t="inlineStr">
        <is>
          <t>2022年10月10日~2023年10月9日</t>
        </is>
      </c>
      <c r="U30" s="78" t="inlineStr">
        <is>
          <t>大搜+信息流</t>
        </is>
      </c>
      <c r="V30" s="78" t="inlineStr">
        <is>
          <t>KOL</t>
        </is>
      </c>
      <c r="W30" s="78" t="inlineStr">
        <is>
          <t>陈沅</t>
        </is>
      </c>
      <c r="X30" s="78" t="inlineStr">
        <is>
          <t>蒋铃溪</t>
        </is>
      </c>
    </row>
    <row customFormat="1" r="31" s="14">
      <c r="A31" s="7" t="n"/>
      <c r="B31" s="7" t="n"/>
      <c r="C31" s="61" t="n">
        <v>800000</v>
      </c>
      <c r="D31" s="52" t="n">
        <v>0.18</v>
      </c>
      <c r="E31" s="7" t="n"/>
      <c r="F31" s="54">
        <f>$E$30/C31</f>
        <v/>
      </c>
      <c r="G31" s="7" t="n"/>
      <c r="H31" s="7" t="n"/>
      <c r="I31" s="130">
        <f>IF(E31&gt;=C31,"已达标",(C31-$E$30)/$N$5)</f>
        <v/>
      </c>
      <c r="J31" s="130">
        <f>IF(E31&gt;=C31,"已达标",$H$30-I31)</f>
        <v/>
      </c>
      <c r="K31" s="68">
        <f>IF(E31&gt;=C31,"已达标",IF(J31&lt;0,I31/$H$30-1,"当前日均可达标"))</f>
        <v/>
      </c>
      <c r="L31" s="69">
        <f>(C31-$E$30)/$H$30</f>
        <v/>
      </c>
      <c r="M31" s="70">
        <f>TODAY()+L31</f>
        <v/>
      </c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customFormat="1" r="32" s="14">
      <c r="A32" s="9" t="n"/>
      <c r="B32" s="9" t="n"/>
      <c r="C32" s="135" t="n">
        <v>1000000</v>
      </c>
      <c r="D32" s="55" t="n">
        <v>0.2</v>
      </c>
      <c r="E32" s="9" t="n"/>
      <c r="F32" s="54">
        <f>$E$30/C32</f>
        <v/>
      </c>
      <c r="G32" s="9" t="n"/>
      <c r="H32" s="9" t="n"/>
      <c r="I32" s="130">
        <f>IF(E32&gt;=C32,"已达标",(C32-$E$30)/$N$5)</f>
        <v/>
      </c>
      <c r="J32" s="130">
        <f>IF(E32&gt;=C32,"已达标",$H$30-I32)</f>
        <v/>
      </c>
      <c r="K32" s="68">
        <f>IF(E32&gt;=C32,"已达标",IF(J32&lt;0,I32/$H$30-1,"当前日均可达标"))</f>
        <v/>
      </c>
      <c r="L32" s="69">
        <f>(C32-$E$30)/$H$30</f>
        <v/>
      </c>
      <c r="M32" s="70">
        <f>TODAY()+L32</f>
        <v/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</row>
  </sheetData>
  <mergeCells count="142">
    <mergeCell ref="V5:V7"/>
    <mergeCell ref="Q30:Q32"/>
    <mergeCell ref="O22:O24"/>
    <mergeCell ref="R5:R7"/>
    <mergeCell ref="P8:P11"/>
    <mergeCell ref="S3:S4"/>
    <mergeCell ref="V16:V17"/>
    <mergeCell ref="W3:W4"/>
    <mergeCell ref="T19:T21"/>
    <mergeCell ref="Q3:Q4"/>
    <mergeCell ref="Q8:Q11"/>
    <mergeCell ref="R12:R15"/>
    <mergeCell ref="V26:V29"/>
    <mergeCell ref="B16:B17"/>
    <mergeCell ref="E5:E7"/>
    <mergeCell ref="E3:E4"/>
    <mergeCell ref="R19:R21"/>
    <mergeCell ref="V19:V21"/>
    <mergeCell ref="S12:S15"/>
    <mergeCell ref="N8:N11"/>
    <mergeCell ref="P19:P21"/>
    <mergeCell ref="R22:R24"/>
    <mergeCell ref="W19:W21"/>
    <mergeCell ref="T12:T15"/>
    <mergeCell ref="E19:E21"/>
    <mergeCell ref="H26:H29"/>
    <mergeCell ref="X19:X21"/>
    <mergeCell ref="E16:E17"/>
    <mergeCell ref="B19:B21"/>
    <mergeCell ref="E8:E11"/>
    <mergeCell ref="P22:P24"/>
    <mergeCell ref="W12:W15"/>
    <mergeCell ref="N1:O1"/>
    <mergeCell ref="S26:S29"/>
    <mergeCell ref="B22:B24"/>
    <mergeCell ref="R3:R4"/>
    <mergeCell ref="R30:R32"/>
    <mergeCell ref="W16:W17"/>
    <mergeCell ref="S8:S11"/>
    <mergeCell ref="Q16:Q17"/>
    <mergeCell ref="U22:U24"/>
    <mergeCell ref="P3:P4"/>
    <mergeCell ref="W26:W29"/>
    <mergeCell ref="X16:X17"/>
    <mergeCell ref="P30:P32"/>
    <mergeCell ref="W22:W24"/>
    <mergeCell ref="N22:N24"/>
    <mergeCell ref="X3:X4"/>
    <mergeCell ref="O3:O4"/>
    <mergeCell ref="S5:S7"/>
    <mergeCell ref="O8:O11"/>
    <mergeCell ref="B30:B32"/>
    <mergeCell ref="B3:B4"/>
    <mergeCell ref="T8:T11"/>
    <mergeCell ref="E26:E29"/>
    <mergeCell ref="G30:G32"/>
    <mergeCell ref="U12:U15"/>
    <mergeCell ref="T3:T4"/>
    <mergeCell ref="E22:E24"/>
    <mergeCell ref="X22:X24"/>
    <mergeCell ref="G8:G11"/>
    <mergeCell ref="Q12:Q15"/>
    <mergeCell ref="H12:H15"/>
    <mergeCell ref="S30:S32"/>
    <mergeCell ref="N19:N21"/>
    <mergeCell ref="S19:S21"/>
    <mergeCell ref="O30:O32"/>
    <mergeCell ref="Q22:Q24"/>
    <mergeCell ref="A1:D1"/>
    <mergeCell ref="N30:N32"/>
    <mergeCell ref="H8:H11"/>
    <mergeCell ref="T16:T17"/>
    <mergeCell ref="U5:U7"/>
    <mergeCell ref="Q19:Q21"/>
    <mergeCell ref="A30:A32"/>
    <mergeCell ref="E1:G1"/>
    <mergeCell ref="E12:E15"/>
    <mergeCell ref="H22:H24"/>
    <mergeCell ref="N3:N4"/>
    <mergeCell ref="B5:B7"/>
    <mergeCell ref="N26:N29"/>
    <mergeCell ref="X30:X32"/>
    <mergeCell ref="N12:N15"/>
    <mergeCell ref="T26:T29"/>
    <mergeCell ref="P1:X1"/>
    <mergeCell ref="G3:G4"/>
    <mergeCell ref="R26:R29"/>
    <mergeCell ref="O5:O7"/>
    <mergeCell ref="Q5:Q7"/>
    <mergeCell ref="U19:U21"/>
    <mergeCell ref="B12:B15"/>
    <mergeCell ref="V8:V11"/>
    <mergeCell ref="R16:R17"/>
    <mergeCell ref="X26:X29"/>
    <mergeCell ref="U8:U11"/>
    <mergeCell ref="P5:P7"/>
    <mergeCell ref="H1:M1"/>
    <mergeCell ref="R8:R11"/>
    <mergeCell ref="N16:N17"/>
    <mergeCell ref="P16:P17"/>
    <mergeCell ref="H30:H32"/>
    <mergeCell ref="T22:T24"/>
    <mergeCell ref="P26:P29"/>
    <mergeCell ref="G19:G21"/>
    <mergeCell ref="W5:W7"/>
    <mergeCell ref="G16:G17"/>
    <mergeCell ref="V22:V24"/>
    <mergeCell ref="X5:X7"/>
    <mergeCell ref="B26:B29"/>
    <mergeCell ref="Q26:Q29"/>
    <mergeCell ref="H19:H21"/>
    <mergeCell ref="U16:U17"/>
    <mergeCell ref="O19:O21"/>
    <mergeCell ref="T5:T7"/>
    <mergeCell ref="H16:H17"/>
    <mergeCell ref="G12:G15"/>
    <mergeCell ref="B8:B11"/>
    <mergeCell ref="U30:U32"/>
    <mergeCell ref="T30:T32"/>
    <mergeCell ref="S16:S17"/>
    <mergeCell ref="O26:O29"/>
    <mergeCell ref="P12:P15"/>
    <mergeCell ref="G5:G7"/>
    <mergeCell ref="O12:O15"/>
    <mergeCell ref="U26:U29"/>
    <mergeCell ref="A3:A29"/>
    <mergeCell ref="W30:W32"/>
    <mergeCell ref="V30:V32"/>
    <mergeCell ref="H5:H7"/>
    <mergeCell ref="N5:N7"/>
    <mergeCell ref="G26:G29"/>
    <mergeCell ref="W8:W11"/>
    <mergeCell ref="X12:X15"/>
    <mergeCell ref="G22:G24"/>
    <mergeCell ref="E30:E32"/>
    <mergeCell ref="H3:H4"/>
    <mergeCell ref="O16:O17"/>
    <mergeCell ref="V3:V4"/>
    <mergeCell ref="X8:X11"/>
    <mergeCell ref="V12:V15"/>
    <mergeCell ref="S22:S24"/>
    <mergeCell ref="U3:U4"/>
  </mergeCells>
  <conditionalFormatting sqref="E1">
    <cfRule priority="209" type="dataBar">
      <dataBar>
        <cfvo type="min"/>
        <cfvo type="max"/>
        <color rgb="FFFF555A"/>
      </dataBar>
    </cfRule>
  </conditionalFormatting>
  <conditionalFormatting sqref="E2:G2">
    <cfRule priority="210" type="dataBar">
      <dataBar>
        <cfvo type="min"/>
        <cfvo type="max"/>
        <color rgb="FFFF555A"/>
      </dataBar>
    </cfRule>
  </conditionalFormatting>
  <conditionalFormatting sqref="F18">
    <cfRule priority="30" type="dataBar">
      <dataBar>
        <cfvo type="min"/>
        <cfvo type="max"/>
        <color rgb="FFFF555A"/>
      </dataBar>
    </cfRule>
  </conditionalFormatting>
  <conditionalFormatting sqref="K18">
    <cfRule priority="14" type="dataBar">
      <dataBar>
        <cfvo type="min"/>
        <cfvo type="max"/>
        <color rgb="FF638EC6"/>
      </dataBar>
    </cfRule>
  </conditionalFormatting>
  <conditionalFormatting sqref="F25">
    <cfRule priority="27" type="dataBar">
      <dataBar>
        <cfvo type="min"/>
        <cfvo type="max"/>
        <color rgb="FFFF555A"/>
      </dataBar>
    </cfRule>
  </conditionalFormatting>
  <conditionalFormatting sqref="K25">
    <cfRule priority="11" type="dataBar">
      <dataBar>
        <cfvo type="min"/>
        <cfvo type="max"/>
        <color rgb="FF638EC6"/>
      </dataBar>
    </cfRule>
  </conditionalFormatting>
  <conditionalFormatting sqref="M25">
    <cfRule dxfId="0" operator="greaterThanOrEqual" priority="44" type="cellIs">
      <formula>0</formula>
    </cfRule>
    <cfRule dxfId="1" operator="greaterThanOrEqual" priority="45" type="cellIs">
      <formula>0</formula>
    </cfRule>
    <cfRule dxfId="2" operator="lessThan" priority="46" type="cellIs">
      <formula>0</formula>
    </cfRule>
    <cfRule dxfId="4" operator="lessThan" priority="47" type="cellIs">
      <formula>0</formula>
    </cfRule>
    <cfRule dxfId="5" operator="greaterThanOrEqual" priority="48" type="cellIs">
      <formula>0</formula>
    </cfRule>
    <cfRule dxfId="6" operator="greaterThanOrEqual" priority="49" type="cellIs">
      <formula>0</formula>
    </cfRule>
  </conditionalFormatting>
  <conditionalFormatting sqref="F3:F4">
    <cfRule priority="35" type="dataBar">
      <dataBar>
        <cfvo type="min"/>
        <cfvo type="max"/>
        <color rgb="FFFF555A"/>
      </dataBar>
    </cfRule>
  </conditionalFormatting>
  <conditionalFormatting sqref="F5:F7">
    <cfRule priority="34" type="dataBar">
      <dataBar>
        <cfvo type="min"/>
        <cfvo type="max"/>
        <color rgb="FFFF555A"/>
      </dataBar>
    </cfRule>
  </conditionalFormatting>
  <conditionalFormatting sqref="F8:F11">
    <cfRule priority="33" type="dataBar">
      <dataBar>
        <cfvo type="min"/>
        <cfvo type="max"/>
        <color rgb="FFFF555A"/>
      </dataBar>
    </cfRule>
  </conditionalFormatting>
  <conditionalFormatting sqref="F12:F15">
    <cfRule priority="32" type="dataBar">
      <dataBar>
        <cfvo type="min"/>
        <cfvo type="max"/>
        <color rgb="FFFF555A"/>
      </dataBar>
    </cfRule>
  </conditionalFormatting>
  <conditionalFormatting sqref="F16:F17">
    <cfRule priority="31" type="dataBar">
      <dataBar>
        <cfvo type="min"/>
        <cfvo type="max"/>
        <color rgb="FFFF555A"/>
      </dataBar>
    </cfRule>
  </conditionalFormatting>
  <conditionalFormatting sqref="F19:F21">
    <cfRule priority="29" type="dataBar">
      <dataBar>
        <cfvo type="min"/>
        <cfvo type="max"/>
        <color rgb="FFFF555A"/>
      </dataBar>
    </cfRule>
  </conditionalFormatting>
  <conditionalFormatting sqref="F22:F24">
    <cfRule priority="28" type="dataBar">
      <dataBar>
        <cfvo type="min"/>
        <cfvo type="max"/>
        <color rgb="FFFF555A"/>
      </dataBar>
    </cfRule>
  </conditionalFormatting>
  <conditionalFormatting sqref="F26:F29">
    <cfRule priority="26" type="dataBar">
      <dataBar>
        <cfvo type="min"/>
        <cfvo type="max"/>
        <color rgb="FFFF555A"/>
      </dataBar>
    </cfRule>
  </conditionalFormatting>
  <conditionalFormatting sqref="F30:F32">
    <cfRule priority="25" type="dataBar">
      <dataBar>
        <cfvo type="min"/>
        <cfvo type="max"/>
        <color rgb="FFFF555A"/>
      </dataBar>
    </cfRule>
  </conditionalFormatting>
  <conditionalFormatting sqref="K3:K4">
    <cfRule priority="19" type="dataBar">
      <dataBar>
        <cfvo type="min"/>
        <cfvo type="max"/>
        <color rgb="FF638EC6"/>
      </dataBar>
    </cfRule>
  </conditionalFormatting>
  <conditionalFormatting sqref="K5:K7">
    <cfRule priority="18" type="dataBar">
      <dataBar>
        <cfvo type="min"/>
        <cfvo type="max"/>
        <color rgb="FF638EC6"/>
      </dataBar>
    </cfRule>
  </conditionalFormatting>
  <conditionalFormatting sqref="K8:K11">
    <cfRule priority="17" type="dataBar">
      <dataBar>
        <cfvo type="min"/>
        <cfvo type="max"/>
        <color rgb="FF638EC6"/>
      </dataBar>
    </cfRule>
  </conditionalFormatting>
  <conditionalFormatting sqref="K12:K15">
    <cfRule priority="16" type="dataBar">
      <dataBar>
        <cfvo type="min"/>
        <cfvo type="max"/>
        <color rgb="FF638EC6"/>
      </dataBar>
    </cfRule>
  </conditionalFormatting>
  <conditionalFormatting sqref="K16:K17">
    <cfRule priority="15" type="dataBar">
      <dataBar>
        <cfvo type="min"/>
        <cfvo type="max"/>
        <color rgb="FF638EC6"/>
      </dataBar>
    </cfRule>
  </conditionalFormatting>
  <conditionalFormatting sqref="K19:K21">
    <cfRule priority="13" type="dataBar">
      <dataBar>
        <cfvo type="min"/>
        <cfvo type="max"/>
        <color rgb="FF638EC6"/>
      </dataBar>
    </cfRule>
  </conditionalFormatting>
  <conditionalFormatting sqref="K22:K24">
    <cfRule priority="12" type="dataBar">
      <dataBar>
        <cfvo type="min"/>
        <cfvo type="max"/>
        <color rgb="FF638EC6"/>
      </dataBar>
    </cfRule>
  </conditionalFormatting>
  <conditionalFormatting sqref="K26:K29">
    <cfRule priority="10" type="dataBar">
      <dataBar>
        <cfvo type="min"/>
        <cfvo type="max"/>
        <color rgb="FF638EC6"/>
      </dataBar>
    </cfRule>
  </conditionalFormatting>
  <conditionalFormatting sqref="K30:K32">
    <cfRule priority="9" type="dataBar">
      <dataBar>
        <cfvo type="min"/>
        <cfvo type="max"/>
        <color rgb="FF638EC6"/>
      </dataBar>
    </cfRule>
  </conditionalFormatting>
  <conditionalFormatting sqref="M19:M21">
    <cfRule dxfId="0" operator="greaterThanOrEqual" priority="60" type="cellIs">
      <formula>0</formula>
    </cfRule>
    <cfRule dxfId="1" operator="greaterThanOrEqual" priority="61" type="cellIs">
      <formula>0</formula>
    </cfRule>
    <cfRule dxfId="2" operator="lessThan" priority="62" type="cellIs">
      <formula>0</formula>
    </cfRule>
    <cfRule dxfId="4" operator="lessThan" priority="63" type="cellIs">
      <formula>0</formula>
    </cfRule>
    <cfRule dxfId="5" operator="greaterThanOrEqual" priority="64" type="cellIs">
      <formula>0</formula>
    </cfRule>
    <cfRule dxfId="6" operator="greaterThanOrEqual" priority="65" type="cellIs">
      <formula>0</formula>
    </cfRule>
  </conditionalFormatting>
  <conditionalFormatting sqref="M22:M24">
    <cfRule dxfId="0" operator="greaterThanOrEqual" priority="52" type="cellIs">
      <formula>0</formula>
    </cfRule>
    <cfRule dxfId="1" operator="greaterThanOrEqual" priority="53" type="cellIs">
      <formula>0</formula>
    </cfRule>
    <cfRule dxfId="2" operator="lessThan" priority="54" type="cellIs">
      <formula>0</formula>
    </cfRule>
    <cfRule dxfId="4" operator="lessThan" priority="55" type="cellIs">
      <formula>0</formula>
    </cfRule>
    <cfRule dxfId="5" operator="greaterThanOrEqual" priority="56" type="cellIs">
      <formula>0</formula>
    </cfRule>
    <cfRule dxfId="6" operator="greaterThanOrEqual" priority="57" type="cellIs">
      <formula>0</formula>
    </cfRule>
  </conditionalFormatting>
  <conditionalFormatting sqref="M26:M29">
    <cfRule dxfId="0" operator="greaterThanOrEqual" priority="36" type="cellIs">
      <formula>0</formula>
    </cfRule>
    <cfRule dxfId="1" operator="greaterThanOrEqual" priority="37" type="cellIs">
      <formula>0</formula>
    </cfRule>
    <cfRule dxfId="2" operator="lessThan" priority="38" type="cellIs">
      <formula>0</formula>
    </cfRule>
    <cfRule dxfId="4" operator="lessThan" priority="39" type="cellIs">
      <formula>0</formula>
    </cfRule>
    <cfRule dxfId="5" operator="greaterThanOrEqual" priority="40" type="cellIs">
      <formula>0</formula>
    </cfRule>
    <cfRule dxfId="6" operator="greaterThanOrEqual" priority="41" type="cellIs">
      <formula>0</formula>
    </cfRule>
  </conditionalFormatting>
  <conditionalFormatting sqref="F1:F2 F33:F1048576">
    <cfRule priority="181" type="dataBar">
      <dataBar>
        <cfvo type="min"/>
        <cfvo type="max"/>
        <color rgb="FFFF555A"/>
      </dataBar>
    </cfRule>
  </conditionalFormatting>
  <conditionalFormatting sqref="M3:M18 M30:M32">
    <cfRule dxfId="0" operator="greaterThanOrEqual" priority="112" type="cellIs">
      <formula>0</formula>
    </cfRule>
    <cfRule dxfId="1" operator="greaterThanOrEqual" priority="113" type="cellIs">
      <formula>0</formula>
    </cfRule>
    <cfRule dxfId="2" operator="lessThan" priority="114" type="cellIs">
      <formula>0</formula>
    </cfRule>
    <cfRule dxfId="4" operator="lessThan" priority="115" type="cellIs">
      <formula>0</formula>
    </cfRule>
    <cfRule dxfId="5" operator="greaterThanOrEqual" priority="116" type="cellIs">
      <formula>0</formula>
    </cfRule>
    <cfRule dxfId="6" operator="greaterThanOrEqual" priority="117" type="cellIs">
      <formula>0</formula>
    </cfRule>
  </conditionalFormatting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 zoomScale="97" zoomScaleNormal="97">
      <selection activeCell="A1" sqref="A1:A2"/>
    </sheetView>
  </sheetViews>
  <sheetFormatPr baseColWidth="8" defaultColWidth="9" defaultRowHeight="16.5"/>
  <cols>
    <col customWidth="1" max="1" min="1" style="1" width="32.375"/>
    <col customWidth="1" max="2" min="2" style="25" width="12.5"/>
    <col customWidth="1" max="3" min="3" style="25" width="21.125"/>
    <col customWidth="1" max="4" min="4" style="25" width="20"/>
    <col customWidth="1" max="5" min="5" style="1" width="23.875"/>
    <col customWidth="1" max="6" min="6" style="1" width="9"/>
    <col customWidth="1" max="7" min="7" style="1" width="11.375"/>
    <col customWidth="1" max="16384" min="8" style="1" width="9"/>
  </cols>
  <sheetData>
    <row r="1">
      <c r="A1" s="26" t="inlineStr">
        <is>
          <t>客户名称</t>
        </is>
      </c>
      <c r="B1" s="21" t="inlineStr">
        <is>
          <t>资质下所有账户大搜消费合计</t>
        </is>
      </c>
      <c r="C1" s="6" t="n"/>
      <c r="D1" s="27" t="n"/>
    </row>
    <row r="2">
      <c r="A2" s="9" t="n"/>
      <c r="B2" s="26" t="inlineStr">
        <is>
          <t>大搜近七天日均</t>
        </is>
      </c>
      <c r="C2" s="26" t="inlineStr">
        <is>
          <t>2023年截至08月15日消费</t>
        </is>
      </c>
      <c r="D2" s="28" t="n"/>
    </row>
    <row customHeight="1" ht="18" r="3">
      <c r="A3" s="29" t="inlineStr">
        <is>
          <t>厦门快乐番薯股份有限公司</t>
        </is>
      </c>
      <c r="B3" s="148" t="n">
        <v>4121.524285714286</v>
      </c>
      <c r="C3" s="148" t="n">
        <v>1186527.19</v>
      </c>
      <c r="D3" s="149" t="n"/>
      <c r="E3" s="1" t="inlineStr">
        <is>
          <t>总消费从2023年1月1日起算</t>
        </is>
      </c>
      <c r="H3" s="150" t="n"/>
    </row>
    <row customHeight="1" ht="18" r="4">
      <c r="A4" s="29" t="inlineStr">
        <is>
          <t>厦门运友供应链管理有限公司</t>
        </is>
      </c>
      <c r="B4" s="148" t="n">
        <v>2874.651428571429</v>
      </c>
      <c r="C4" s="148" t="n">
        <v>530101.1</v>
      </c>
      <c r="D4" s="151" t="inlineStr">
        <is>
          <t>同一家</t>
        </is>
      </c>
      <c r="E4" s="14" t="inlineStr">
        <is>
          <t>总消费从2022年12月1日起算</t>
        </is>
      </c>
      <c r="H4" s="150" t="n"/>
    </row>
    <row customHeight="1" ht="18" r="5">
      <c r="A5" s="10" t="inlineStr">
        <is>
          <t>厦门迪超物流有限公司</t>
        </is>
      </c>
      <c r="B5" s="148" t="n">
        <v>670.79</v>
      </c>
      <c r="C5" s="148" t="n">
        <v>206638.81</v>
      </c>
      <c r="D5" s="18" t="n"/>
      <c r="G5" s="150" t="n"/>
      <c r="H5" s="150" t="n"/>
    </row>
    <row customHeight="1" ht="18" r="6">
      <c r="A6" s="10" t="inlineStr">
        <is>
          <t>厦门货运力科技有限公司</t>
        </is>
      </c>
      <c r="B6" s="148" t="n">
        <v>600.5514285714285</v>
      </c>
      <c r="C6" s="148" t="n">
        <v>173837.82</v>
      </c>
      <c r="D6" s="18" t="n"/>
      <c r="G6" s="150" t="n"/>
      <c r="H6" s="150" t="n"/>
    </row>
    <row customHeight="1" ht="18" r="7">
      <c r="A7" s="10" t="inlineStr">
        <is>
          <t>厦门货小运科技有限公司</t>
        </is>
      </c>
      <c r="B7" s="148" t="n">
        <v>480.8671428571428</v>
      </c>
      <c r="C7" s="148" t="n">
        <v>73523.11</v>
      </c>
      <c r="D7" s="18" t="n"/>
      <c r="G7" s="150" t="n"/>
      <c r="H7" s="150" t="n"/>
    </row>
    <row customHeight="1" ht="18" r="8">
      <c r="A8" s="10" t="inlineStr">
        <is>
          <t>厦门市湖里区万线帮货运代理服务部</t>
        </is>
      </c>
      <c r="B8" s="148" t="n">
        <v>0</v>
      </c>
      <c r="C8" s="148" t="n">
        <v>0</v>
      </c>
      <c r="D8" s="18" t="n"/>
      <c r="G8" s="150" t="n"/>
      <c r="H8" s="150" t="n"/>
    </row>
    <row customHeight="1" ht="18" r="9">
      <c r="A9" s="10" t="inlineStr">
        <is>
          <t>厦门雷霆网络科技股份有限公司</t>
        </is>
      </c>
      <c r="B9" s="148" t="n">
        <v>16264.34857142857</v>
      </c>
      <c r="C9" s="148" t="n">
        <v>3758171.44</v>
      </c>
      <c r="D9" s="33" t="inlineStr">
        <is>
          <t>同一家</t>
        </is>
      </c>
      <c r="E9" s="17" t="inlineStr">
        <is>
          <t>总消费从2023年1月1日起算</t>
        </is>
      </c>
      <c r="G9" s="150" t="n"/>
      <c r="H9" s="150" t="n"/>
    </row>
    <row customHeight="1" ht="18" r="10">
      <c r="A10" s="10" t="inlineStr">
        <is>
          <t>厦门雷霆互动网络有限公司</t>
        </is>
      </c>
      <c r="B10" s="148" t="n">
        <v>0</v>
      </c>
      <c r="C10" s="148" t="n">
        <v>0</v>
      </c>
      <c r="D10" s="7" t="n"/>
      <c r="E10" s="18" t="n"/>
      <c r="G10" s="150" t="n"/>
      <c r="H10" s="150" t="n"/>
    </row>
    <row customHeight="1" ht="18" r="11">
      <c r="A11" s="10" t="inlineStr">
        <is>
          <t>稿定（厦门）科技有限公司</t>
        </is>
      </c>
      <c r="B11" s="148" t="n">
        <v>21149.84428571429</v>
      </c>
      <c r="C11" s="148" t="n">
        <v>8042745.109999999</v>
      </c>
      <c r="D11" s="34" t="n"/>
      <c r="E11" s="17" t="inlineStr">
        <is>
          <t>总消费从2022年8月1日起算</t>
        </is>
      </c>
      <c r="G11" s="150" t="n"/>
      <c r="H11" s="150" t="n"/>
    </row>
    <row r="12">
      <c r="A12" s="10" t="inlineStr">
        <is>
          <t>厦门零一世界科技有限公司</t>
        </is>
      </c>
      <c r="B12" s="148" t="n">
        <v>1145.347142857143</v>
      </c>
      <c r="C12" s="148" t="n">
        <v>431691.6</v>
      </c>
      <c r="E12" s="14" t="inlineStr">
        <is>
          <t>总消费从2023年1月1日起算</t>
        </is>
      </c>
      <c r="H12" s="150" t="n"/>
    </row>
    <row r="13">
      <c r="A13" s="10" t="inlineStr">
        <is>
          <t>厦门高定供应链管理有限公司</t>
        </is>
      </c>
      <c r="B13" s="148" t="n">
        <v>529.0142857142856</v>
      </c>
      <c r="C13" s="148" t="n">
        <v>137367.38</v>
      </c>
      <c r="D13" s="35" t="inlineStr">
        <is>
          <t>同一家</t>
        </is>
      </c>
      <c r="E13" s="14" t="inlineStr">
        <is>
          <t>总消费从2023年1月1日起算</t>
        </is>
      </c>
      <c r="H13" s="150" t="n"/>
    </row>
    <row r="14">
      <c r="A14" s="10" t="inlineStr">
        <is>
          <t>厦门创艺社科技有限公司</t>
        </is>
      </c>
      <c r="B14" s="148" t="n">
        <v>2255.124285714285</v>
      </c>
      <c r="C14" s="148" t="n">
        <v>524382.54</v>
      </c>
      <c r="H14" s="150" t="n"/>
    </row>
    <row r="15">
      <c r="A15" s="10" t="inlineStr">
        <is>
          <t>厦门创艺社管理咨询合伙企业（有限合伙）</t>
        </is>
      </c>
      <c r="B15" s="148" t="n">
        <v>248.3</v>
      </c>
      <c r="C15" s="148" t="n">
        <v>64915.07</v>
      </c>
      <c r="H15" s="150" t="n"/>
    </row>
    <row r="16">
      <c r="A16" s="10" t="inlineStr">
        <is>
          <t>厦门立马耀网络科技有限公司</t>
        </is>
      </c>
      <c r="B16" s="148" t="n">
        <v>0</v>
      </c>
      <c r="C16" s="148" t="n">
        <v>0</v>
      </c>
      <c r="D16" s="35" t="inlineStr">
        <is>
          <t>同一家</t>
        </is>
      </c>
      <c r="E16" s="14" t="inlineStr">
        <is>
          <t>总消费从2023年3月1日起算</t>
        </is>
      </c>
      <c r="H16" s="150" t="n"/>
    </row>
    <row r="17">
      <c r="A17" s="10" t="inlineStr">
        <is>
          <t>厦门蝉羽网络科技有限公司</t>
        </is>
      </c>
      <c r="B17" s="148" t="n">
        <v>7841.158571428572</v>
      </c>
      <c r="C17" s="148" t="n">
        <v>1221171.02</v>
      </c>
      <c r="H17" s="150" t="n"/>
    </row>
    <row r="18">
      <c r="A18" s="10" t="inlineStr">
        <is>
          <t>厦门蝉客网络科技有限公司</t>
        </is>
      </c>
      <c r="B18" s="148" t="n">
        <v>0</v>
      </c>
      <c r="C18" s="148" t="n">
        <v>0</v>
      </c>
      <c r="H18" s="150" t="n"/>
    </row>
    <row r="19">
      <c r="A19" s="10" t="inlineStr">
        <is>
          <t>厦门康强人才服务有限公司</t>
        </is>
      </c>
      <c r="B19" s="148" t="n">
        <v>7960.997142857143</v>
      </c>
      <c r="C19" s="148" t="n">
        <v>1625637.56</v>
      </c>
      <c r="E19" s="14" t="inlineStr">
        <is>
          <t>总消费从2023年1月1日起算</t>
        </is>
      </c>
      <c r="H19" s="150" t="n"/>
    </row>
  </sheetData>
  <mergeCells count="10">
    <mergeCell ref="D9:D10"/>
    <mergeCell ref="A1:A2"/>
    <mergeCell ref="E4:E8"/>
    <mergeCell ref="E9:E10"/>
    <mergeCell ref="E16:E18"/>
    <mergeCell ref="E13:E15"/>
    <mergeCell ref="B1:C1"/>
    <mergeCell ref="D16:D18"/>
    <mergeCell ref="D13:D15"/>
    <mergeCell ref="D4:D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:A2"/>
    </sheetView>
  </sheetViews>
  <sheetFormatPr baseColWidth="8" defaultColWidth="14.875" defaultRowHeight="14.25" outlineLevelRow="7"/>
  <cols>
    <col customWidth="1" max="1" min="1" style="19" width="29.375"/>
    <col customWidth="1" max="2" min="2" style="20" width="14.875"/>
    <col customWidth="1" max="3" min="3" style="20" width="21"/>
    <col customWidth="1" max="4" min="4" style="20" width="26.125"/>
    <col customWidth="1" max="16384" min="5" style="20" width="14.875"/>
  </cols>
  <sheetData>
    <row customHeight="1" ht="16.5" r="1">
      <c r="A1" s="3" t="inlineStr">
        <is>
          <t>客户名称</t>
        </is>
      </c>
      <c r="B1" s="21" t="inlineStr">
        <is>
          <t>资质下所有账户信息消费合计</t>
        </is>
      </c>
      <c r="C1" s="6" t="n"/>
    </row>
    <row customHeight="1" ht="16.5" r="2">
      <c r="A2" s="9" t="n"/>
      <c r="B2" s="22" t="inlineStr">
        <is>
          <t>信息流日均消费</t>
        </is>
      </c>
      <c r="C2" s="22" t="inlineStr">
        <is>
          <t>2023年截至08月15日消费</t>
        </is>
      </c>
    </row>
    <row customHeight="1" ht="16.5" r="3">
      <c r="A3" s="10" t="inlineStr">
        <is>
          <t>厦门快乐番薯股份有限公司</t>
        </is>
      </c>
      <c r="B3" s="129" t="n">
        <v>1052.214285714286</v>
      </c>
      <c r="C3" s="148" t="n">
        <v>735021.36</v>
      </c>
      <c r="D3" s="23" t="inlineStr">
        <is>
          <t>总消费从2023年1月1日起算</t>
        </is>
      </c>
      <c r="F3" s="152" t="n"/>
    </row>
    <row customHeight="1" ht="16.5" r="4">
      <c r="A4" s="10" t="inlineStr">
        <is>
          <t>厦门无忧无虑网络科技有限公司</t>
        </is>
      </c>
      <c r="B4" s="129" t="n">
        <v>3134.974285714286</v>
      </c>
      <c r="C4" s="148" t="n">
        <v>633080.42</v>
      </c>
      <c r="D4" s="23" t="inlineStr">
        <is>
          <t>总消费从2023年1月1日起算</t>
        </is>
      </c>
    </row>
    <row customHeight="1" ht="16.5" r="5">
      <c r="A5" s="10" t="inlineStr">
        <is>
          <t>厦门康强人才服务有限公司</t>
        </is>
      </c>
      <c r="B5" s="129" t="n">
        <v>4797.131428571428</v>
      </c>
      <c r="C5" s="148" t="n">
        <v>1081113.15</v>
      </c>
      <c r="D5" s="23" t="inlineStr">
        <is>
          <t>总消费从2023年1月1日起算</t>
        </is>
      </c>
    </row>
    <row customHeight="1" ht="16.5" r="6">
      <c r="A6" s="20" t="n"/>
      <c r="B6" s="152" t="n"/>
    </row>
    <row customHeight="1" ht="16.5" r="7">
      <c r="A7" s="20" t="n"/>
      <c r="B7" s="152" t="n"/>
    </row>
    <row customHeight="1" ht="16.5" r="8">
      <c r="A8" s="20" t="n"/>
      <c r="B8" s="152" t="n"/>
    </row>
  </sheetData>
  <mergeCells count="2">
    <mergeCell ref="B1:C1"/>
    <mergeCell ref="A1:A2"/>
  </mergeCells>
  <pageMargins bottom="0.75" footer="0.3" header="0.3" left="0.7" right="0.7" top="0.7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:A3"/>
    </sheetView>
  </sheetViews>
  <sheetFormatPr baseColWidth="8" defaultColWidth="9" defaultRowHeight="16.5"/>
  <cols>
    <col customWidth="1" max="1" min="1" style="1" width="24.75"/>
    <col customWidth="1" max="3" min="2" style="2" width="14.25"/>
    <col customWidth="1" max="4" min="4" style="2" width="12.375"/>
    <col customWidth="1" max="5" min="5" style="2" width="12"/>
    <col customWidth="1" max="6" min="6" style="2" width="12.75"/>
    <col customWidth="1" max="7" min="7" style="1" width="11.375"/>
    <col customWidth="1" max="16384" min="8" style="1" width="9"/>
  </cols>
  <sheetData>
    <row r="1">
      <c r="A1" s="3" t="inlineStr">
        <is>
          <t>客户名称</t>
        </is>
      </c>
      <c r="B1" s="4" t="inlineStr">
        <is>
          <t>资质下所有账户大搜消费合计</t>
        </is>
      </c>
      <c r="C1" s="5" t="n"/>
      <c r="D1" s="5" t="n"/>
      <c r="E1" s="5" t="n"/>
      <c r="F1" s="6" t="n"/>
    </row>
    <row r="2">
      <c r="A2" s="7" t="n"/>
      <c r="B2" s="8" t="inlineStr">
        <is>
          <t>日均消费</t>
        </is>
      </c>
      <c r="C2" s="6" t="n"/>
      <c r="D2" s="8" t="inlineStr">
        <is>
          <t>2023年截至08月15日消费</t>
        </is>
      </c>
      <c r="E2" s="5" t="n"/>
      <c r="F2" s="6" t="n"/>
    </row>
    <row r="3">
      <c r="A3" s="9" t="n"/>
      <c r="B3" s="3" t="inlineStr">
        <is>
          <t>大搜</t>
        </is>
      </c>
      <c r="C3" s="3" t="inlineStr">
        <is>
          <t>信息流</t>
        </is>
      </c>
      <c r="D3" s="3" t="inlineStr">
        <is>
          <t>大搜</t>
        </is>
      </c>
      <c r="E3" s="3" t="inlineStr">
        <is>
          <t>信息流</t>
        </is>
      </c>
      <c r="F3" s="3" t="inlineStr">
        <is>
          <t>大搜+信息流</t>
        </is>
      </c>
    </row>
    <row r="4">
      <c r="A4" s="10" t="inlineStr">
        <is>
          <t>福建朗盛管业科技有限公司</t>
        </is>
      </c>
      <c r="B4" s="129" t="n">
        <v>0</v>
      </c>
      <c r="C4" s="129" t="n">
        <v>0</v>
      </c>
      <c r="D4" s="148" t="n">
        <v>354602.18</v>
      </c>
      <c r="E4" s="153" t="n">
        <v>17000</v>
      </c>
      <c r="F4" s="148" t="n">
        <v>373254.94</v>
      </c>
      <c r="G4" s="14" t="inlineStr">
        <is>
          <t>同一家</t>
        </is>
      </c>
      <c r="H4" s="15" t="inlineStr">
        <is>
          <t>总消费从2022年6月17日起算</t>
        </is>
      </c>
    </row>
    <row r="5">
      <c r="A5" s="10" t="inlineStr">
        <is>
          <t>福建闽杰管业科技股份有限公司</t>
        </is>
      </c>
      <c r="B5" s="129" t="n">
        <v>1126.081428571429</v>
      </c>
      <c r="C5" s="129" t="n">
        <v>0</v>
      </c>
      <c r="D5" s="148" t="n">
        <v>643954.38</v>
      </c>
      <c r="E5" s="153" t="n">
        <v>691.39</v>
      </c>
      <c r="F5" s="148" t="n">
        <v>647497.38</v>
      </c>
    </row>
    <row r="6">
      <c r="A6" s="10" t="inlineStr">
        <is>
          <t>泉州市青果网络科技有限公司</t>
        </is>
      </c>
      <c r="B6" s="154" t="n">
        <v>3080.212857142857</v>
      </c>
      <c r="C6" s="154" t="n">
        <v>0</v>
      </c>
      <c r="D6" s="148" t="n">
        <v>684757.16</v>
      </c>
      <c r="E6" s="153" t="n">
        <v>0</v>
      </c>
      <c r="F6" s="148" t="n">
        <v>690474.03</v>
      </c>
      <c r="H6" s="1" t="inlineStr">
        <is>
          <t>总消费从2022年11月1日起算</t>
        </is>
      </c>
    </row>
    <row r="7">
      <c r="A7" s="10" t="inlineStr">
        <is>
          <t>厦门房在线科技有限公司</t>
        </is>
      </c>
      <c r="B7" s="154" t="n">
        <v>1067.57</v>
      </c>
      <c r="C7" s="154" t="n">
        <v>0</v>
      </c>
      <c r="D7" s="148" t="n">
        <v>376304.44</v>
      </c>
      <c r="E7" s="153" t="n">
        <v>271.63</v>
      </c>
      <c r="F7" s="148" t="n">
        <v>377618.59</v>
      </c>
      <c r="H7" s="1" t="inlineStr">
        <is>
          <t>总消费从2022年10月10日起算</t>
        </is>
      </c>
    </row>
    <row r="8">
      <c r="A8" s="10" t="inlineStr">
        <is>
          <t>厦门快快网络科技有限公司</t>
        </is>
      </c>
      <c r="B8" s="154" t="n">
        <v>2502.565714285714</v>
      </c>
      <c r="C8" s="154" t="n">
        <v>0.03</v>
      </c>
      <c r="D8" s="148" t="n">
        <v>1010385.99</v>
      </c>
      <c r="E8" s="153" t="n">
        <v>27.71</v>
      </c>
      <c r="F8" s="148" t="n">
        <v>1010413.7</v>
      </c>
      <c r="H8" s="1" t="inlineStr">
        <is>
          <t>总消费从2023年1月1日起算</t>
        </is>
      </c>
    </row>
    <row r="9">
      <c r="A9" s="10" t="inlineStr">
        <is>
          <t>厦门天锐科技股份有限公司</t>
        </is>
      </c>
      <c r="B9" s="154" t="n">
        <v>4251.254285714285</v>
      </c>
      <c r="C9" s="154" t="n">
        <v>37.97571428571429</v>
      </c>
      <c r="D9" s="148" t="n">
        <v>1167961.07</v>
      </c>
      <c r="E9" s="153" t="n">
        <v>2611.01</v>
      </c>
      <c r="F9" s="148" t="n">
        <v>1170572.08</v>
      </c>
      <c r="H9" s="1" t="inlineStr">
        <is>
          <t>总消费从2023年1月1日起算</t>
        </is>
      </c>
    </row>
    <row r="10">
      <c r="A10" s="10" t="inlineStr">
        <is>
          <t>厦门市盈拓商务有限公司</t>
        </is>
      </c>
      <c r="B10" s="154" t="n">
        <v>3302.375714285714</v>
      </c>
      <c r="C10" s="154" t="n">
        <v>0</v>
      </c>
      <c r="D10" s="148" t="n">
        <v>703435.37</v>
      </c>
      <c r="E10" s="153" t="n">
        <v>0</v>
      </c>
      <c r="F10" s="148" t="n">
        <v>703435.37</v>
      </c>
      <c r="H10" s="1" t="inlineStr">
        <is>
          <t>总消费从2023年1月1日起算</t>
        </is>
      </c>
    </row>
    <row r="11">
      <c r="A11" s="10" t="inlineStr">
        <is>
          <t>舒华体育股份有限公司</t>
        </is>
      </c>
      <c r="B11" s="154" t="n">
        <v>1654.137142857143</v>
      </c>
      <c r="C11" s="154" t="n">
        <v>0</v>
      </c>
      <c r="D11" s="148" t="n">
        <v>399784.33</v>
      </c>
      <c r="E11" s="153" t="n">
        <v>0</v>
      </c>
      <c r="F11" s="148" t="n">
        <v>399784.33</v>
      </c>
      <c r="H11" s="1" t="inlineStr">
        <is>
          <t>总消费从2023年1月1日起算</t>
        </is>
      </c>
    </row>
    <row r="12">
      <c r="A12" s="10" t="inlineStr">
        <is>
          <t>泉州市康掌柜网络科技有限公司</t>
        </is>
      </c>
      <c r="B12" s="154" t="n">
        <v>3339.231428571428</v>
      </c>
      <c r="C12" s="154" t="n">
        <v>0</v>
      </c>
      <c r="D12" s="148" t="n">
        <v>718303.63</v>
      </c>
      <c r="E12" s="153" t="n">
        <v>6841.6</v>
      </c>
      <c r="F12" s="148" t="n">
        <v>734963.839999999</v>
      </c>
      <c r="G12" s="17" t="inlineStr">
        <is>
          <t>同一家</t>
        </is>
      </c>
      <c r="H12" s="15" t="inlineStr">
        <is>
          <t>总消费从2023年1月1日起算</t>
        </is>
      </c>
    </row>
    <row r="13">
      <c r="A13" s="10" t="inlineStr">
        <is>
          <t>福建迈格林医疗科技有限公司</t>
        </is>
      </c>
      <c r="B13" s="154" t="n">
        <v>590.1542857142857</v>
      </c>
      <c r="C13" s="154" t="n">
        <v>0</v>
      </c>
      <c r="D13" s="148" t="n">
        <v>86181.48000000001</v>
      </c>
      <c r="E13" s="153" t="n">
        <v>0</v>
      </c>
      <c r="F13" s="148" t="n">
        <v>86181.48000000001</v>
      </c>
      <c r="G13" s="18" t="n"/>
    </row>
    <row r="14">
      <c r="A14" s="10" t="inlineStr">
        <is>
          <t>福建华雄投资有限公司</t>
        </is>
      </c>
      <c r="B14" s="154" t="n">
        <v>0</v>
      </c>
      <c r="C14" s="154" t="n">
        <v>0</v>
      </c>
      <c r="D14" s="148" t="n">
        <v>124016.39</v>
      </c>
      <c r="E14" s="153" t="n">
        <v>0</v>
      </c>
      <c r="F14" s="148" t="n">
        <v>124016.39</v>
      </c>
      <c r="G14" s="17" t="inlineStr">
        <is>
          <t>同一家</t>
        </is>
      </c>
      <c r="H14" s="15" t="inlineStr">
        <is>
          <t>总消费从2023年1月1日起算</t>
        </is>
      </c>
    </row>
    <row r="15">
      <c r="A15" s="10" t="inlineStr">
        <is>
          <t>泉州市丰泽区维美美容美发职业培训学校</t>
        </is>
      </c>
      <c r="B15" s="154" t="n">
        <v>0</v>
      </c>
      <c r="C15" s="154" t="n">
        <v>0</v>
      </c>
      <c r="D15" s="148" t="n">
        <v>0</v>
      </c>
      <c r="E15" s="153" t="n">
        <v>0</v>
      </c>
      <c r="F15" s="148" t="n">
        <v>0</v>
      </c>
      <c r="G15" s="18" t="n"/>
    </row>
    <row r="16">
      <c r="A16" s="10" t="inlineStr">
        <is>
          <t>福建惠兴涂料科技发展有限公司</t>
        </is>
      </c>
      <c r="B16" s="154" t="n">
        <v>0</v>
      </c>
      <c r="C16" s="154" t="n">
        <v>0</v>
      </c>
      <c r="D16" s="148" t="n">
        <v>168085.86</v>
      </c>
      <c r="E16" s="153" t="n">
        <v>19000</v>
      </c>
      <c r="F16" s="148" t="n">
        <v>187085.86</v>
      </c>
      <c r="G16" s="17" t="inlineStr">
        <is>
          <t>同一家</t>
        </is>
      </c>
      <c r="H16" s="15" t="inlineStr">
        <is>
          <t>总消费从2023年3月1日起算</t>
        </is>
      </c>
    </row>
    <row r="17">
      <c r="A17" s="10" t="inlineStr">
        <is>
          <t>福建惠安县惠兴工贸有限公司</t>
        </is>
      </c>
      <c r="B17" s="154" t="n">
        <v>310.2857142857143</v>
      </c>
      <c r="C17" s="154" t="n">
        <v>0</v>
      </c>
      <c r="D17" s="148" t="n">
        <v>80707.07000000001</v>
      </c>
      <c r="E17" s="153" t="n">
        <v>0</v>
      </c>
      <c r="F17" s="148" t="n">
        <v>80707.07000000001</v>
      </c>
      <c r="G17" s="18" t="n"/>
    </row>
    <row r="18">
      <c r="A18" s="10" t="inlineStr">
        <is>
          <t>福建南方路面机械股份有限公司</t>
        </is>
      </c>
      <c r="B18" s="154" t="n">
        <v>6412.507142857143</v>
      </c>
      <c r="C18" s="154" t="n">
        <v>2974.442857142857</v>
      </c>
      <c r="D18" s="148" t="n">
        <v>1210806.19</v>
      </c>
      <c r="E18" s="153" t="n">
        <v>549728.51</v>
      </c>
      <c r="F18" s="148" t="n">
        <v>1760534.7</v>
      </c>
      <c r="H18" s="1" t="inlineStr">
        <is>
          <t>总消费从2023年1月1日起算</t>
        </is>
      </c>
    </row>
  </sheetData>
  <mergeCells count="12">
    <mergeCell ref="G16:G17"/>
    <mergeCell ref="H4:J5"/>
    <mergeCell ref="H12:J13"/>
    <mergeCell ref="G4:G5"/>
    <mergeCell ref="H14:J15"/>
    <mergeCell ref="H16:J17"/>
    <mergeCell ref="G14:G15"/>
    <mergeCell ref="D2:F2"/>
    <mergeCell ref="A1:A3"/>
    <mergeCell ref="G12:G13"/>
    <mergeCell ref="B1:F1"/>
    <mergeCell ref="B2:C2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2015-06-05T18:17:00Z</dcterms:created>
  <dcterms:modified xsi:type="dcterms:W3CDTF">2023-08-16T06:47:51Z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CF8BC8FAF9C24FD5A3E19D817257D7FD_12</vt:lpwstr>
  </property>
  <property fmtid="{D5CDD505-2E9C-101B-9397-08002B2CF9AE}" name="KSOProductBuildVer" pid="3">
    <vt:lpwstr>2052-11.8.2.8053</vt:lpwstr>
  </property>
</Properties>
</file>