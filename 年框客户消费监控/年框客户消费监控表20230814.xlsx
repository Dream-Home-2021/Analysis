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 tabRatio="761"/>
  </bookViews>
  <sheets>
    <sheet name="汇总表" sheetId="1" r:id="rId1"/>
    <sheet name="大搜年框客户消费监控" sheetId="2" r:id="rId2"/>
    <sheet name="信息流年框客户消费监控" sheetId="3" r:id="rId3"/>
    <sheet name="大搜+信息流年框客户消费监控" sheetId="4" r:id="rId4"/>
    <sheet name="大搜年框客户消费明细" sheetId="5" state="hidden" r:id="rId5"/>
    <sheet name="信息流年框客户消费明细" sheetId="6" state="hidden" r:id="rId6"/>
    <sheet name="大搜+信息流年框客户消费明细" sheetId="7" state="hidden" r:id="rId7"/>
  </sheets>
  <calcPr calcId="144525"/>
</workbook>
</file>

<file path=xl/sharedStrings.xml><?xml version="1.0" encoding="utf-8"?>
<sst xmlns="http://schemas.openxmlformats.org/spreadsheetml/2006/main" count="404" uniqueCount="150">
  <si>
    <t>签框产品</t>
  </si>
  <si>
    <t>返款形式</t>
  </si>
  <si>
    <t>签框客户数</t>
  </si>
  <si>
    <t>截止2023年08月14日消费达标返款客户</t>
  </si>
  <si>
    <t>大搜</t>
  </si>
  <si>
    <t>年结</t>
  </si>
  <si>
    <t>即充即返</t>
  </si>
  <si>
    <t>信息流</t>
  </si>
  <si>
    <t/>
  </si>
  <si>
    <t>月结</t>
  </si>
  <si>
    <t>大搜+信息流</t>
  </si>
  <si>
    <t>签约客户</t>
  </si>
  <si>
    <t>总消费完成进展</t>
  </si>
  <si>
    <t>日均消费进展</t>
  </si>
  <si>
    <t>合同到期剩余天数</t>
  </si>
  <si>
    <t>签约信息</t>
  </si>
  <si>
    <t>客户公司名称</t>
  </si>
  <si>
    <t>框架金额</t>
  </si>
  <si>
    <t>返款点数</t>
  </si>
  <si>
    <t>截止08月14日已完成消费</t>
  </si>
  <si>
    <t>完成进度</t>
  </si>
  <si>
    <t>目前达标返款点数</t>
  </si>
  <si>
    <t>当前日均消费</t>
  </si>
  <si>
    <t>预计达标所需日均消费</t>
  </si>
  <si>
    <t>日均进度差值</t>
  </si>
  <si>
    <t>预计达标日均所需提升占比</t>
  </si>
  <si>
    <t>当前日均消费预计需完成天数</t>
  </si>
  <si>
    <t>当前日均消费预计完成时间</t>
  </si>
  <si>
    <t>距合同到期剩余天数</t>
  </si>
  <si>
    <t>合同到期日期</t>
  </si>
  <si>
    <t>签框产品线</t>
  </si>
  <si>
    <t>返款对像</t>
  </si>
  <si>
    <t xml:space="preserve">结算方式 </t>
  </si>
  <si>
    <t>是否已经签订合同</t>
  </si>
  <si>
    <t>合同时间</t>
  </si>
  <si>
    <t>备注</t>
  </si>
  <si>
    <t>部门</t>
  </si>
  <si>
    <t>维护客服</t>
  </si>
  <si>
    <t>签约客服</t>
  </si>
  <si>
    <t>厦门快乐番薯股份有限公司</t>
  </si>
  <si>
    <t>客户</t>
  </si>
  <si>
    <t>年返</t>
  </si>
  <si>
    <t>是</t>
  </si>
  <si>
    <t>2023年1月1日~2023年12月31日</t>
  </si>
  <si>
    <t>仅大搜消费</t>
  </si>
  <si>
    <t>KOL</t>
  </si>
  <si>
    <t>邓玲玲</t>
  </si>
  <si>
    <t>蒋铃溪</t>
  </si>
  <si>
    <t xml:space="preserve">厦门运友供应链管理有限公司  
厦门迪超物流有限公司  
厦门货运力科技有限公司  
厦门货小运科技有限公司  
厦门市湖里区万线帮货运代理服务部  </t>
  </si>
  <si>
    <t xml:space="preserve">即充即返
</t>
  </si>
  <si>
    <t>2022年12月1日~2023年11月30日</t>
  </si>
  <si>
    <t>郑燕森</t>
  </si>
  <si>
    <t>厦门立马耀网络科技有限公司（含旗下所有子公司）
厦门蝉羽网络科技有限公司
 厦门蝉客网络科技有限公司</t>
  </si>
  <si>
    <t>2023年3月1日~2024年2月28日</t>
  </si>
  <si>
    <t>行业二部</t>
  </si>
  <si>
    <t>陈金锐</t>
  </si>
  <si>
    <t>陈巧云</t>
  </si>
  <si>
    <t>厦门高定供应链管理有限公司
厦门创艺社科技有限公司
厦门创艺社管理咨询合伙企业（有限合伙）</t>
  </si>
  <si>
    <t>大搜PC</t>
  </si>
  <si>
    <t>厦门零一世界科技有限公司</t>
  </si>
  <si>
    <t>框架金额2个档</t>
  </si>
  <si>
    <t>新开一部</t>
  </si>
  <si>
    <t>张唯唯</t>
  </si>
  <si>
    <t xml:space="preserve"> 
厦门康强人才服务有限公司</t>
  </si>
  <si>
    <t>张慧敏</t>
  </si>
  <si>
    <t xml:space="preserve">即充即返 </t>
  </si>
  <si>
    <t>厦门雷霆网络科技股份有限公司
厦门雷霆互动网络有限公司</t>
  </si>
  <si>
    <t>尹林平</t>
  </si>
  <si>
    <t>稿定（厦门）科技有限公司</t>
  </si>
  <si>
    <t>即冲击返</t>
  </si>
  <si>
    <t>2022年8月1日~2023年7月31日</t>
  </si>
  <si>
    <t>签约客户信息</t>
  </si>
  <si>
    <t>目前完成达标返款点数</t>
  </si>
  <si>
    <t>仅信息流消费</t>
  </si>
  <si>
    <t>厦门康强人才服务有限公司</t>
  </si>
  <si>
    <t>信息流vip</t>
  </si>
  <si>
    <t>萧月梅</t>
  </si>
  <si>
    <t>王小丽</t>
  </si>
  <si>
    <t>月返</t>
  </si>
  <si>
    <t>厦门无忧无虑网络科技有限公司</t>
  </si>
  <si>
    <t>房产旅游维护部</t>
  </si>
  <si>
    <t>许国忠</t>
  </si>
  <si>
    <t>郑色艳</t>
  </si>
  <si>
    <t>截止08月14日已完成消费(大搜+信息流)</t>
  </si>
  <si>
    <t>当前日均消费
(大搜+信息流)</t>
  </si>
  <si>
    <t>福建朗盛管业科技有限公司
福建闽杰管业科技股份有限公司</t>
  </si>
  <si>
    <t>大搜+信息流合签</t>
  </si>
  <si>
    <t>账户</t>
  </si>
  <si>
    <t>2022年6月17日~2023年6月16日</t>
  </si>
  <si>
    <t>漳州部门</t>
  </si>
  <si>
    <t>翁泉龙</t>
  </si>
  <si>
    <t>陈燕秀</t>
  </si>
  <si>
    <t>泉州市青果网络科技有限公司</t>
  </si>
  <si>
    <t>2022年11月1日~2023年10月31日</t>
  </si>
  <si>
    <t>泉州增值团队</t>
  </si>
  <si>
    <t xml:space="preserve">谢龙辉 </t>
  </si>
  <si>
    <t>厦门快快网络科技有限公司</t>
  </si>
  <si>
    <t>厦门天锐科技股份有限公司</t>
  </si>
  <si>
    <t>厦门市盈拓商务有限公司</t>
  </si>
  <si>
    <t>陈沅</t>
  </si>
  <si>
    <t>舒华体育股份有限公司</t>
  </si>
  <si>
    <t>现金</t>
  </si>
  <si>
    <t>否</t>
  </si>
  <si>
    <t>谢龙辉</t>
  </si>
  <si>
    <t>泉州市康掌柜网络科技有限公司
福建迈格林医疗科技有限公司</t>
  </si>
  <si>
    <t>许珊珊</t>
  </si>
  <si>
    <t xml:space="preserve">许珊珊 </t>
  </si>
  <si>
    <t>福建华雄投资有限公司
泉州市丰泽区维美美容美发职业培训学校</t>
  </si>
  <si>
    <t>2022年1月1日~2023年12月31日</t>
  </si>
  <si>
    <t>福建惠兴涂料科技发展有限公司
福建惠安县惠兴工贸有限公司</t>
  </si>
  <si>
    <t>2023年3月1日~2024年2月29日</t>
  </si>
  <si>
    <t>福建南方路面机械股份有限公司</t>
  </si>
  <si>
    <t>厦门房在线科技有限公司</t>
  </si>
  <si>
    <t>2022年10月10日~2023年10月9日</t>
  </si>
  <si>
    <t>客户名称</t>
  </si>
  <si>
    <t>资质下所有账户大搜消费合计</t>
  </si>
  <si>
    <t>大搜近七天日均</t>
  </si>
  <si>
    <t>2023年截至08月14日消费</t>
  </si>
  <si>
    <t>总消费从2023年1月1日起算</t>
  </si>
  <si>
    <t>厦门运友供应链管理有限公司</t>
  </si>
  <si>
    <t>同一家</t>
  </si>
  <si>
    <t>总消费从2022年12月1日起算</t>
  </si>
  <si>
    <t>厦门迪超物流有限公司</t>
  </si>
  <si>
    <t>厦门货运力科技有限公司</t>
  </si>
  <si>
    <t>厦门货小运科技有限公司</t>
  </si>
  <si>
    <t>厦门市湖里区万线帮货运代理服务部</t>
  </si>
  <si>
    <t>厦门雷霆网络科技股份有限公司</t>
  </si>
  <si>
    <t>厦门雷霆互动网络有限公司</t>
  </si>
  <si>
    <t>总消费从2022年8月1日起算</t>
  </si>
  <si>
    <t>厦门高定供应链管理有限公司</t>
  </si>
  <si>
    <t>厦门创艺社科技有限公司</t>
  </si>
  <si>
    <t>厦门创艺社管理咨询合伙企业（有限合伙）</t>
  </si>
  <si>
    <t>厦门立马耀网络科技有限公司</t>
  </si>
  <si>
    <t>总消费从2023年3月1日起算</t>
  </si>
  <si>
    <t>厦门蝉羽网络科技有限公司</t>
  </si>
  <si>
    <t>厦门蝉客网络科技有限公司</t>
  </si>
  <si>
    <t>资质下所有账户信息消费合计</t>
  </si>
  <si>
    <t>信息流日均消费</t>
  </si>
  <si>
    <t>日均消费</t>
  </si>
  <si>
    <t>福建朗盛管业科技有限公司</t>
  </si>
  <si>
    <t>总消费从2022年6月17日起算</t>
  </si>
  <si>
    <t>福建闽杰管业科技股份有限公司</t>
  </si>
  <si>
    <t>总消费从2022年11月1日起算</t>
  </si>
  <si>
    <t>总消费从2022年10月10日起算</t>
  </si>
  <si>
    <t>泉州市康掌柜网络科技有限公司</t>
  </si>
  <si>
    <t>福建迈格林医疗科技有限公司</t>
  </si>
  <si>
    <t>福建华雄投资有限公司</t>
  </si>
  <si>
    <t>泉州市丰泽区维美美容美发职业培训学校</t>
  </si>
  <si>
    <t>福建惠兴涂料科技发展有限公司</t>
  </si>
  <si>
    <t>福建惠安县惠兴工贸有限公司</t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</si>
</sst>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_ "/>
    <numFmt numFmtId="177" formatCode="#,##0.00_);[Red]\(#,##0.00\)"/>
    <numFmt numFmtId="178" formatCode="#,##0_);[Red]\(#,##0\)"/>
    <numFmt numFmtId="179" formatCode="0.00_);[Red]\(0.00\)"/>
    <numFmt numFmtId="180" formatCode="0_ ;[Red]\-0\ "/>
    <numFmt numFmtId="181" formatCode="#,##0_ ;[Red]\-#,##0\ "/>
    <numFmt numFmtId="182" formatCode="0_);[Red]\(0\)"/>
    <numFmt numFmtId="183" formatCode="yyyy&quot;年&quot;m&quot;月&quot;;@"/>
  </numFmts>
  <fonts count="27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0">
    <xf numFmtId="0" fontId="0" fillId="0" borderId="0"/>
    <xf numFmtId="0" fontId="0" fillId="0" borderId="0">
      <alignment vertical="center"/>
    </xf>
    <xf numFmtId="42" fontId="0" fillId="0" borderId="0">
      <alignment vertical="center"/>
    </xf>
    <xf numFmtId="0" fontId="8" fillId="12" borderId="0">
      <alignment vertical="center"/>
    </xf>
    <xf numFmtId="0" fontId="11" fillId="17" borderId="11">
      <alignment vertical="center"/>
    </xf>
    <xf numFmtId="44" fontId="0" fillId="0" borderId="0">
      <alignment vertical="center"/>
    </xf>
    <xf numFmtId="0" fontId="0" fillId="0" borderId="0">
      <alignment vertical="center"/>
    </xf>
    <xf numFmtId="41" fontId="0" fillId="0" borderId="0">
      <alignment vertical="center"/>
    </xf>
    <xf numFmtId="0" fontId="8" fillId="10" borderId="0">
      <alignment vertical="center"/>
    </xf>
    <xf numFmtId="0" fontId="13" fillId="18" borderId="0">
      <alignment vertical="center"/>
    </xf>
    <xf numFmtId="43" fontId="0" fillId="0" borderId="0">
      <alignment vertical="center"/>
    </xf>
    <xf numFmtId="0" fontId="7" fillId="21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0" fillId="16" borderId="9">
      <alignment vertical="center"/>
    </xf>
    <xf numFmtId="0" fontId="7" fillId="24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6" fillId="0" borderId="13">
      <alignment vertical="center"/>
    </xf>
    <xf numFmtId="0" fontId="21" fillId="0" borderId="13">
      <alignment vertical="center"/>
    </xf>
    <xf numFmtId="0" fontId="7" fillId="5" borderId="0">
      <alignment vertical="center"/>
    </xf>
    <xf numFmtId="0" fontId="18" fillId="0" borderId="14">
      <alignment vertical="center"/>
    </xf>
    <xf numFmtId="0" fontId="7" fillId="15" borderId="0">
      <alignment vertical="center"/>
    </xf>
    <xf numFmtId="0" fontId="23" fillId="27" borderId="15">
      <alignment vertical="center"/>
    </xf>
    <xf numFmtId="0" fontId="24" fillId="27" borderId="11">
      <alignment vertical="center"/>
    </xf>
    <xf numFmtId="0" fontId="25" fillId="28" borderId="16">
      <alignment vertical="center"/>
    </xf>
    <xf numFmtId="0" fontId="8" fillId="11" borderId="0">
      <alignment vertical="center"/>
    </xf>
    <xf numFmtId="0" fontId="7" fillId="31" borderId="0">
      <alignment vertical="center"/>
    </xf>
    <xf numFmtId="0" fontId="12" fillId="0" borderId="12">
      <alignment vertical="center"/>
    </xf>
    <xf numFmtId="0" fontId="10" fillId="0" borderId="10">
      <alignment vertical="center"/>
    </xf>
    <xf numFmtId="0" fontId="22" fillId="26" borderId="0">
      <alignment vertical="center"/>
    </xf>
    <xf numFmtId="0" fontId="20" fillId="25" borderId="0">
      <alignment vertical="center"/>
    </xf>
    <xf numFmtId="0" fontId="8" fillId="34" borderId="0">
      <alignment vertical="center"/>
    </xf>
    <xf numFmtId="0" fontId="7" fillId="33" borderId="0">
      <alignment vertical="center"/>
    </xf>
    <xf numFmtId="0" fontId="8" fillId="9" borderId="0">
      <alignment vertical="center"/>
    </xf>
    <xf numFmtId="0" fontId="8" fillId="14" borderId="0">
      <alignment vertical="center"/>
    </xf>
    <xf numFmtId="0" fontId="8" fillId="37" borderId="0">
      <alignment vertical="center"/>
    </xf>
    <xf numFmtId="0" fontId="8" fillId="36" borderId="0">
      <alignment vertical="center"/>
    </xf>
    <xf numFmtId="0" fontId="7" fillId="30" borderId="0">
      <alignment vertical="center"/>
    </xf>
    <xf numFmtId="0" fontId="7" fillId="23" borderId="0">
      <alignment vertical="center"/>
    </xf>
    <xf numFmtId="0" fontId="8" fillId="29" borderId="0">
      <alignment vertical="center"/>
    </xf>
    <xf numFmtId="0" fontId="8" fillId="32" borderId="0">
      <alignment vertical="center"/>
    </xf>
    <xf numFmtId="0" fontId="7" fillId="8" borderId="0">
      <alignment vertical="center"/>
    </xf>
    <xf numFmtId="0" fontId="8" fillId="20" borderId="0">
      <alignment vertical="center"/>
    </xf>
    <xf numFmtId="0" fontId="7" fillId="13" borderId="0">
      <alignment vertical="center"/>
    </xf>
    <xf numFmtId="0" fontId="7" fillId="35" borderId="0">
      <alignment vertical="center"/>
    </xf>
    <xf numFmtId="0" fontId="8" fillId="19" borderId="0">
      <alignment vertical="center"/>
    </xf>
    <xf numFmtId="0" fontId="7" fillId="22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55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1" xfId="55" applyFont="1" applyFill="1" applyBorder="1" applyAlignment="1">
      <alignment horizontal="center" vertical="center"/>
    </xf>
    <xf numFmtId="0" fontId="0" fillId="0" borderId="5" xfId="0" applyBorder="1"/>
    <xf numFmtId="0" fontId="1" fillId="0" borderId="1" xfId="0" applyFont="1" applyBorder="1" applyAlignment="1">
      <alignment horizontal="left"/>
    </xf>
    <xf numFmtId="178" fontId="1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8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55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177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left"/>
    </xf>
    <xf numFmtId="0" fontId="2" fillId="2" borderId="1" xfId="55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2" fillId="2" borderId="0" xfId="55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left"/>
    </xf>
    <xf numFmtId="178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2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left" vertical="center"/>
    </xf>
    <xf numFmtId="181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18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 wrapText="1"/>
    </xf>
    <xf numFmtId="181" fontId="4" fillId="4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81" fontId="4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81" fontId="1" fillId="0" borderId="1" xfId="10" applyNumberFormat="1" applyFont="1" applyBorder="1" applyAlignment="1">
      <alignment horizontal="center" vertical="center"/>
    </xf>
    <xf numFmtId="10" fontId="1" fillId="0" borderId="1" xfId="13" applyNumberFormat="1" applyFont="1" applyBorder="1" applyAlignment="1">
      <alignment horizontal="center" vertical="center"/>
    </xf>
    <xf numFmtId="9" fontId="1" fillId="0" borderId="1" xfId="13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7" borderId="1" xfId="16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/>
    <xf numFmtId="0" fontId="3" fillId="7" borderId="1" xfId="53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83" fontId="1" fillId="7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left" vertical="center"/>
    </xf>
    <xf numFmtId="18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81" fontId="2" fillId="3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8" fontId="1" fillId="7" borderId="1" xfId="0" applyNumberFormat="1" applyFont="1" applyFill="1" applyBorder="1" applyAlignment="1">
      <alignment horizontal="center" vertical="center"/>
    </xf>
    <xf numFmtId="181" fontId="1" fillId="7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1" fontId="1" fillId="0" borderId="0" xfId="0" applyNumberFormat="1" applyFont="1" applyAlignment="1">
      <alignment horizontal="right" vertical="center"/>
    </xf>
    <xf numFmtId="9" fontId="1" fillId="0" borderId="0" xfId="13" applyFont="1" applyAlignment="1">
      <alignment horizontal="center" vertical="center"/>
    </xf>
    <xf numFmtId="10" fontId="1" fillId="0" borderId="0" xfId="13" applyNumberFormat="1" applyFont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4" fillId="4" borderId="1" xfId="13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0" fontId="4" fillId="5" borderId="1" xfId="13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79" fontId="3" fillId="7" borderId="1" xfId="53" applyNumberFormat="1" applyFont="1" applyFill="1" applyBorder="1" applyAlignment="1">
      <alignment horizontal="center" vertical="center" wrapText="1"/>
    </xf>
    <xf numFmtId="179" fontId="1" fillId="7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13" applyNumberFormat="1" applyFont="1" applyBorder="1" applyAlignment="1">
      <alignment horizontal="center" vertical="center"/>
    </xf>
  </cellXfs>
  <cellStyles count="60">
    <cellStyle name="常规" xfId="0" builtinId="0"/>
    <cellStyle name="常规 4 4" xfId="1"/>
    <cellStyle name="货币[0]" xfId="2" builtinId="7"/>
    <cellStyle name="20% - 强调文字颜色 3" xfId="3" builtinId="38"/>
    <cellStyle name="输入" xfId="4" builtinId="20"/>
    <cellStyle name="货币" xfId="5" builtinId="4"/>
    <cellStyle name="常规 4 6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常规 4 7" xfId="14"/>
    <cellStyle name="已访问的超链接" xfId="15" builtinId="9"/>
    <cellStyle name="百分比 2" xfId="16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3" xfId="53"/>
    <cellStyle name="常规 4" xfId="54"/>
    <cellStyle name="常规 2" xfId="55"/>
    <cellStyle name="常规 5" xfId="56"/>
    <cellStyle name="常规 4 2" xfId="57"/>
    <cellStyle name="常规 4 3" xfId="58"/>
    <cellStyle name="常规 4 5" xfId="59"/>
  </cellStyles>
  <dxfs count="7">
    <dxf>
      <fill>
        <patternFill patternType="solid">
          <bgColor theme="0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A1:G7"/>
  <sheetViews>
    <sheetView tabSelected="1" zoomScale="96" zoomScaleNormal="96" workbookViewId="0">
      <selection activeCell="A1" sqref="A1"/>
    </sheetView>
  </sheetViews>
  <sheetFormatPr defaultColWidth="9" defaultRowHeight="16.5" outlineLevelRow="6" outlineLevelCol="6"/>
  <cols>
    <col min="1" max="1" width="13.625" style="14" customWidth="1"/>
    <col min="2" max="4" width="19.875" style="14" customWidth="1"/>
    <col min="5" max="16384" width="9" style="14" customWidth="1"/>
  </cols>
  <sheetData>
    <row r="1" ht="35.25" customHeight="1" spans="1:4">
      <c r="A1" s="41" t="s">
        <v>0</v>
      </c>
      <c r="B1" s="41" t="s">
        <v>1</v>
      </c>
      <c r="C1" s="41" t="s">
        <v>2</v>
      </c>
      <c r="D1" s="67" t="s">
        <v>3</v>
      </c>
    </row>
    <row r="2" ht="27.75" customHeight="1" spans="1:4">
      <c r="A2" s="49" t="s">
        <v>4</v>
      </c>
      <c r="B2" s="49" t="s">
        <v>5</v>
      </c>
      <c r="C2" s="49">
        <f>COUNTA(大搜年框客户消费监控!B3:B19)</f>
        <v>6</v>
      </c>
      <c r="D2" s="114">
        <f>COUNTIF(大搜年框客户消费监控!G3:G19,"&gt;"&amp;0)</f>
        <v>2</v>
      </c>
    </row>
    <row r="3" ht="27.75" customHeight="1" spans="1:4">
      <c r="A3" s="9"/>
      <c r="B3" s="49" t="s">
        <v>6</v>
      </c>
      <c r="C3" s="49">
        <f>COUNTA(大搜年框客户消费监控!B20:B32)</f>
        <v>2</v>
      </c>
      <c r="D3" s="115">
        <f>COUNTIF(大搜年框客户消费监控!G20:G32,"&gt;"&amp;0)</f>
        <v>2</v>
      </c>
    </row>
    <row r="4" ht="27.75" customHeight="1" spans="1:5">
      <c r="A4" s="49" t="s">
        <v>7</v>
      </c>
      <c r="B4" s="49" t="s">
        <v>5</v>
      </c>
      <c r="C4" s="49">
        <f>COUNTA(信息流年框客户消费监控!B3:B8)</f>
        <v>2</v>
      </c>
      <c r="D4" s="114">
        <f>COUNTIF(信息流年框客户消费监控!G3:G8,"&gt;"&amp;0)</f>
        <v>2</v>
      </c>
      <c r="E4" s="14" t="s">
        <v>8</v>
      </c>
    </row>
    <row r="5" ht="24" customHeight="1" spans="1:7">
      <c r="A5" s="9"/>
      <c r="B5" s="49" t="s">
        <v>9</v>
      </c>
      <c r="C5" s="49">
        <f>COUNTA(信息流年框客户消费监控!B9)</f>
        <v>1</v>
      </c>
      <c r="D5" s="114">
        <f>COUNTIF(信息流年框客户消费监控!G9,"&gt;"&amp;0)</f>
        <v>0</v>
      </c>
      <c r="G5" s="99"/>
    </row>
    <row r="6" ht="24" customHeight="1" spans="1:4">
      <c r="A6" s="49" t="s">
        <v>10</v>
      </c>
      <c r="B6" s="49" t="s">
        <v>9</v>
      </c>
      <c r="C6" s="49">
        <f>COUNTA('大搜+信息流年框客户消费监控'!B30:B32)</f>
        <v>1</v>
      </c>
      <c r="D6" s="114">
        <f>COUNTIF('大搜+信息流年框客户消费监控'!G30:G32,"&gt;"&amp;0)</f>
        <v>0</v>
      </c>
    </row>
    <row r="7" ht="26.25" customHeight="1" spans="1:4">
      <c r="A7" s="9"/>
      <c r="B7" s="49" t="s">
        <v>5</v>
      </c>
      <c r="C7" s="49">
        <f>COUNTA('大搜+信息流年框客户消费监控'!B3:B29)</f>
        <v>10</v>
      </c>
      <c r="D7" s="116">
        <f>COUNTIF('大搜+信息流年框客户消费监控'!G3:G29,"&gt;"&amp;0)</f>
        <v>0</v>
      </c>
    </row>
  </sheetData>
  <mergeCells count="3">
    <mergeCell ref="A2:A3"/>
    <mergeCell ref="A4:A5"/>
    <mergeCell ref="A6:A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34"/>
  <sheetViews>
    <sheetView workbookViewId="0">
      <pane ySplit="2" topLeftCell="A3" activePane="bottomLeft" state="frozen"/>
      <selection/>
      <selection pane="bottomLeft" activeCell="E2" sqref="E2"/>
    </sheetView>
  </sheetViews>
  <sheetFormatPr defaultColWidth="8.875" defaultRowHeight="16.5"/>
  <cols>
    <col min="1" max="1" width="11.5" style="15" customWidth="1"/>
    <col min="2" max="2" width="32.25" style="15" customWidth="1"/>
    <col min="3" max="3" width="11" style="83" customWidth="1"/>
    <col min="4" max="4" width="8" style="36" customWidth="1"/>
    <col min="5" max="5" width="12.75" style="98" customWidth="1"/>
    <col min="6" max="6" width="15.75" style="38" customWidth="1"/>
    <col min="7" max="7" width="12.875" style="99" customWidth="1"/>
    <col min="8" max="8" width="11.375" style="39" customWidth="1"/>
    <col min="9" max="9" width="12.625" style="37" customWidth="1"/>
    <col min="10" max="10" width="12" style="39" customWidth="1"/>
    <col min="11" max="11" width="16.125" style="100" customWidth="1"/>
    <col min="12" max="12" width="12" style="101" customWidth="1"/>
    <col min="13" max="13" width="15.25" style="40" customWidth="1"/>
    <col min="14" max="14" width="11.5" style="101" customWidth="1"/>
    <col min="15" max="15" width="13.125" style="40" customWidth="1"/>
    <col min="16" max="16" width="9.625" style="15" customWidth="1"/>
    <col min="17" max="17" width="8" style="15" customWidth="1"/>
    <col min="18" max="18" width="8.5" style="15" customWidth="1"/>
    <col min="19" max="19" width="9.875" style="15" customWidth="1"/>
    <col min="20" max="20" width="28" style="15" customWidth="1"/>
    <col min="21" max="21" width="15.25" style="15" customWidth="1"/>
    <col min="22" max="24" width="8" style="15" customWidth="1"/>
    <col min="25" max="16384" width="8.875" style="15" customWidth="1"/>
  </cols>
  <sheetData>
    <row r="1" s="14" customFormat="1" spans="1:24">
      <c r="A1" s="67" t="s">
        <v>11</v>
      </c>
      <c r="B1" s="5"/>
      <c r="C1" s="5"/>
      <c r="D1" s="6"/>
      <c r="E1" s="102" t="s">
        <v>12</v>
      </c>
      <c r="F1" s="5"/>
      <c r="G1" s="6"/>
      <c r="H1" s="43" t="s">
        <v>13</v>
      </c>
      <c r="I1" s="5"/>
      <c r="J1" s="5"/>
      <c r="K1" s="5"/>
      <c r="L1" s="5"/>
      <c r="M1" s="6"/>
      <c r="N1" s="41" t="s">
        <v>14</v>
      </c>
      <c r="O1" s="6"/>
      <c r="P1" s="41" t="s">
        <v>15</v>
      </c>
      <c r="Q1" s="5"/>
      <c r="R1" s="5"/>
      <c r="S1" s="5"/>
      <c r="T1" s="5"/>
      <c r="U1" s="5"/>
      <c r="V1" s="5"/>
      <c r="W1" s="5"/>
      <c r="X1" s="6"/>
    </row>
    <row r="2" s="80" customFormat="1" ht="33" customHeight="1" spans="1:24">
      <c r="A2" s="67" t="s">
        <v>1</v>
      </c>
      <c r="B2" s="67" t="s">
        <v>16</v>
      </c>
      <c r="C2" s="103" t="s">
        <v>17</v>
      </c>
      <c r="D2" s="104" t="s">
        <v>18</v>
      </c>
      <c r="E2" s="46" t="s">
        <v>19</v>
      </c>
      <c r="F2" s="47" t="s">
        <v>20</v>
      </c>
      <c r="G2" s="105" t="s">
        <v>21</v>
      </c>
      <c r="H2" s="48" t="s">
        <v>22</v>
      </c>
      <c r="I2" s="48" t="s">
        <v>23</v>
      </c>
      <c r="J2" s="48" t="s">
        <v>24</v>
      </c>
      <c r="K2" s="109" t="s">
        <v>25</v>
      </c>
      <c r="L2" s="110" t="s">
        <v>26</v>
      </c>
      <c r="M2" s="64" t="s">
        <v>27</v>
      </c>
      <c r="N2" s="111" t="s">
        <v>28</v>
      </c>
      <c r="O2" s="66" t="s">
        <v>29</v>
      </c>
      <c r="P2" s="67" t="s">
        <v>30</v>
      </c>
      <c r="Q2" s="67" t="s">
        <v>31</v>
      </c>
      <c r="R2" s="67" t="s">
        <v>32</v>
      </c>
      <c r="S2" s="67" t="s">
        <v>33</v>
      </c>
      <c r="T2" s="67" t="s">
        <v>34</v>
      </c>
      <c r="U2" s="67" t="s">
        <v>35</v>
      </c>
      <c r="V2" s="67" t="s">
        <v>36</v>
      </c>
      <c r="W2" s="67" t="s">
        <v>37</v>
      </c>
      <c r="X2" s="67" t="s">
        <v>38</v>
      </c>
    </row>
    <row r="3" spans="1:24">
      <c r="A3" s="106" t="s">
        <v>5</v>
      </c>
      <c r="B3" s="106" t="s">
        <v>39</v>
      </c>
      <c r="C3" s="11">
        <v>1000000</v>
      </c>
      <c r="D3" s="52">
        <v>0.17</v>
      </c>
      <c r="E3" s="56">
        <f>大搜年框客户消费明细!$C$3</f>
        <v>1183134.59</v>
      </c>
      <c r="F3" s="68">
        <f>$E$3/C3</f>
        <v>1.18313459</v>
      </c>
      <c r="G3" s="106">
        <f>IF($E$3&gt;=C4,D4,IF($E$3&gt;=C3,D3,"未达标"))</f>
        <v>0.17</v>
      </c>
      <c r="H3" s="56">
        <f>大搜年框客户消费明细!B3</f>
        <v>4746.35857142857</v>
      </c>
      <c r="I3" s="56" t="str">
        <f ca="1">IF($E$3&gt;=C3,"已达标",(C3-$E$3)/$N$3)</f>
        <v>已达标</v>
      </c>
      <c r="J3" s="56" t="str">
        <f ca="1">IF($E$3&gt;=C3,"已达标",$H$3-I3)</f>
        <v>已达标</v>
      </c>
      <c r="K3" s="68" t="str">
        <f ca="1">IF($E$3&gt;=C3,"已达标",IF(J3&lt;0,I3/$H$3-1,"当前日均已达标"))</f>
        <v>已达标</v>
      </c>
      <c r="L3" s="94">
        <f>(C3-$E$3)/$H$3</f>
        <v>-38.5842298351428</v>
      </c>
      <c r="M3" s="70">
        <f ca="1" t="shared" ref="M3:M32" si="0">TODAY()+L3</f>
        <v>45114.4157701649</v>
      </c>
      <c r="N3" s="94" t="e">
        <f ca="1">IF(TODAY()&gt;O3,"合同已到期",_xlfn.DAYS(O3+1,TODAY()))</f>
        <v>#NAME?</v>
      </c>
      <c r="O3" s="70">
        <v>45291</v>
      </c>
      <c r="P3" s="106" t="s">
        <v>4</v>
      </c>
      <c r="Q3" s="106" t="s">
        <v>40</v>
      </c>
      <c r="R3" s="106" t="s">
        <v>41</v>
      </c>
      <c r="S3" s="106" t="s">
        <v>42</v>
      </c>
      <c r="T3" s="107" t="s">
        <v>43</v>
      </c>
      <c r="U3" s="106" t="s">
        <v>44</v>
      </c>
      <c r="V3" s="106" t="s">
        <v>45</v>
      </c>
      <c r="W3" s="106" t="s">
        <v>46</v>
      </c>
      <c r="X3" s="106" t="s">
        <v>47</v>
      </c>
    </row>
    <row r="4" spans="1:24">
      <c r="A4" s="7"/>
      <c r="B4" s="9"/>
      <c r="C4" s="11">
        <v>1500000</v>
      </c>
      <c r="D4" s="52">
        <v>0.19</v>
      </c>
      <c r="E4" s="9"/>
      <c r="F4" s="68">
        <f>$E$3/C4</f>
        <v>0.788756393333333</v>
      </c>
      <c r="G4" s="9"/>
      <c r="H4" s="9"/>
      <c r="I4" s="56" t="e">
        <f ca="1">IF($E$3&gt;=C4,"已达标",(C4-$E$3)/$N$3)</f>
        <v>#NAME?</v>
      </c>
      <c r="J4" s="56" t="e">
        <f ca="1">IF($E$3&gt;=C4,"已达标",$H$3-I4)</f>
        <v>#NAME?</v>
      </c>
      <c r="K4" s="68" t="e">
        <f ca="1">IF($E$3&gt;=C4,"已达标",IF(J4&lt;0,I4/$H$3-1,"当前日均已达标"))</f>
        <v>#NAME?</v>
      </c>
      <c r="L4" s="94">
        <f>(C4-$E$3)/$H$3</f>
        <v>66.7596864483479</v>
      </c>
      <c r="M4" s="70">
        <f ca="1" t="shared" si="0"/>
        <v>45219.7596864483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41.25" customHeight="1" spans="1:24">
      <c r="A5" s="7"/>
      <c r="B5" s="107" t="s">
        <v>48</v>
      </c>
      <c r="C5" s="11">
        <v>1000000</v>
      </c>
      <c r="D5" s="52">
        <v>0.18</v>
      </c>
      <c r="E5" s="56">
        <f>SUM(大搜年框客户消费明细!$C$4:$C$8)</f>
        <v>979420.33</v>
      </c>
      <c r="F5" s="68">
        <f>$E$5/C5</f>
        <v>0.97942033</v>
      </c>
      <c r="G5" s="106" t="str">
        <f>IF($E$5&gt;=C6,D6,IF($E$5&gt;=C5,D5,"未达标"))</f>
        <v>未达标</v>
      </c>
      <c r="H5" s="56">
        <f>SUM(大搜年框客户消费明细!B4:$B$8)</f>
        <v>4636.14</v>
      </c>
      <c r="I5" s="56" t="e">
        <f ca="1">IF($E$5&gt;=C5,"已达标",(C5-$E$5)/$N$5)</f>
        <v>#NAME?</v>
      </c>
      <c r="J5" s="56" t="e">
        <f ca="1">IF($E$5&gt;=C5,"已达标",$H$5-I5)</f>
        <v>#NAME?</v>
      </c>
      <c r="K5" s="68" t="e">
        <f ca="1">IF($E$5&gt;=C5,"已达标",IF(J5&lt;0,I5/$H$5-1,"当前日均已达标"))</f>
        <v>#NAME?</v>
      </c>
      <c r="L5" s="94">
        <f>(C5-$E$5)/$H$5</f>
        <v>4.43896646779434</v>
      </c>
      <c r="M5" s="70">
        <f ca="1" t="shared" si="0"/>
        <v>45157.4389664678</v>
      </c>
      <c r="N5" s="94" t="e">
        <f ca="1">IF(TODAY()&gt;O5,"合同已到期",_xlfn.DAYS(O5+1,TODAY()))</f>
        <v>#NAME?</v>
      </c>
      <c r="O5" s="74">
        <v>45260</v>
      </c>
      <c r="P5" s="106" t="s">
        <v>4</v>
      </c>
      <c r="Q5" s="112" t="s">
        <v>40</v>
      </c>
      <c r="R5" s="107" t="s">
        <v>49</v>
      </c>
      <c r="S5" s="113" t="s">
        <v>42</v>
      </c>
      <c r="T5" s="113" t="s">
        <v>50</v>
      </c>
      <c r="U5" s="113" t="s">
        <v>44</v>
      </c>
      <c r="V5" s="106" t="s">
        <v>45</v>
      </c>
      <c r="W5" s="106" t="s">
        <v>51</v>
      </c>
      <c r="X5" s="106" t="s">
        <v>47</v>
      </c>
    </row>
    <row r="6" ht="41.25" customHeight="1" spans="1:24">
      <c r="A6" s="7"/>
      <c r="B6" s="9"/>
      <c r="C6" s="11">
        <v>2000000</v>
      </c>
      <c r="D6" s="52">
        <v>0.2</v>
      </c>
      <c r="E6" s="9"/>
      <c r="F6" s="68">
        <f>$E$5/C6</f>
        <v>0.489710165</v>
      </c>
      <c r="G6" s="9"/>
      <c r="H6" s="9"/>
      <c r="I6" s="56" t="e">
        <f ca="1">IF($E$5&gt;=C6,"已达标",(C6-$E$5)/$N$5)</f>
        <v>#NAME?</v>
      </c>
      <c r="J6" s="56" t="e">
        <f ca="1">IF($E$5&gt;=C6,"已达标",$H$5-I6)</f>
        <v>#NAME?</v>
      </c>
      <c r="K6" s="68" t="e">
        <f ca="1">IF($E$5&gt;=C6,"已达标",IF(J6&lt;0,I6/$H$5-1,"当前日均已达标"))</f>
        <v>#NAME?</v>
      </c>
      <c r="L6" s="94">
        <f>(C6-$E$5)/$H$5</f>
        <v>220.135645170336</v>
      </c>
      <c r="M6" s="70">
        <f ca="1" t="shared" si="0"/>
        <v>45373.1356451703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21" customHeight="1" spans="1:24">
      <c r="A7" s="7"/>
      <c r="B7" s="50" t="s">
        <v>52</v>
      </c>
      <c r="C7" s="11">
        <v>1500000</v>
      </c>
      <c r="D7" s="52">
        <v>0.11</v>
      </c>
      <c r="E7" s="51">
        <f>SUM(大搜年框客户消费明细!$C$16:$C$18)</f>
        <v>1211835.61</v>
      </c>
      <c r="F7" s="68">
        <f>$E$7/C7</f>
        <v>0.807890406666667</v>
      </c>
      <c r="G7" s="106" t="str">
        <f>IF($E$7&gt;=C9,D9,IF($E$7&gt;=C8,D8,IF($E$7&gt;=C7,D7,"未达标")))</f>
        <v>未达标</v>
      </c>
      <c r="H7" s="51">
        <f>SUM(大搜年框客户消费明细!$B$16:$B$18)</f>
        <v>7734.48285714286</v>
      </c>
      <c r="I7" s="56" t="e">
        <f ca="1">IF($E$7&gt;=C7,"已达标",(C7-$E$7)/$N$7)</f>
        <v>#NAME?</v>
      </c>
      <c r="J7" s="56" t="e">
        <f ca="1">IF($E$7&gt;=C7,"已达标",$H$7-I7)</f>
        <v>#NAME?</v>
      </c>
      <c r="K7" s="68" t="e">
        <f ca="1">IF($E$7&gt;=C7,"已达标",IF(J7&lt;0,I7/$H$7-1,"当前日均已达标"))</f>
        <v>#NAME?</v>
      </c>
      <c r="L7" s="94">
        <f>(C7-$E$7)/$H$7</f>
        <v>37.2570985445883</v>
      </c>
      <c r="M7" s="70">
        <f ca="1" t="shared" si="0"/>
        <v>45190.2570985446</v>
      </c>
      <c r="N7" s="94" t="e">
        <f ca="1">IF(TODAY()&gt;O7,"合同已到期",_xlfn.DAYS(O7+1,TODAY()))</f>
        <v>#NAME?</v>
      </c>
      <c r="O7" s="70">
        <v>45350</v>
      </c>
      <c r="P7" s="49" t="s">
        <v>4</v>
      </c>
      <c r="Q7" s="49" t="s">
        <v>40</v>
      </c>
      <c r="R7" s="49" t="s">
        <v>41</v>
      </c>
      <c r="S7" s="49" t="s">
        <v>42</v>
      </c>
      <c r="T7" s="106" t="s">
        <v>53</v>
      </c>
      <c r="U7" s="106" t="s">
        <v>44</v>
      </c>
      <c r="V7" s="49" t="s">
        <v>54</v>
      </c>
      <c r="W7" s="49" t="s">
        <v>55</v>
      </c>
      <c r="X7" s="49" t="s">
        <v>56</v>
      </c>
    </row>
    <row r="8" ht="21" customHeight="1" spans="1:24">
      <c r="A8" s="7"/>
      <c r="B8" s="7"/>
      <c r="C8" s="11">
        <v>1800000</v>
      </c>
      <c r="D8" s="52">
        <v>0.12</v>
      </c>
      <c r="E8" s="7"/>
      <c r="F8" s="68">
        <f>$E$7/C8</f>
        <v>0.673242005555555</v>
      </c>
      <c r="G8" s="7"/>
      <c r="H8" s="7"/>
      <c r="I8" s="56" t="e">
        <f ca="1">IF($E$7&gt;=C8,"已达标",(C8-$E$7)/$N$7)</f>
        <v>#NAME?</v>
      </c>
      <c r="J8" s="56" t="e">
        <f ca="1">IF($E$7&gt;=C8,"已达标",$H$7-I8)</f>
        <v>#NAME?</v>
      </c>
      <c r="K8" s="68" t="e">
        <f ca="1">IF($E$7&gt;=C8,"已达标",IF(J8&lt;0,I8/$H$7-1,"当前日均已达标"))</f>
        <v>#NAME?</v>
      </c>
      <c r="L8" s="94">
        <f>(C8-$E$7)/$H$7</f>
        <v>76.0444364366036</v>
      </c>
      <c r="M8" s="70">
        <f ca="1" t="shared" si="0"/>
        <v>45229.0444364366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21" customHeight="1" spans="1:24">
      <c r="A9" s="7"/>
      <c r="B9" s="9"/>
      <c r="C9" s="11">
        <v>2000000</v>
      </c>
      <c r="D9" s="52">
        <v>0.13</v>
      </c>
      <c r="E9" s="9"/>
      <c r="F9" s="68">
        <f>$E$7/C9</f>
        <v>0.605917805</v>
      </c>
      <c r="G9" s="9"/>
      <c r="H9" s="9"/>
      <c r="I9" s="56" t="e">
        <f ca="1">IF($E$7&gt;=C9,"已达标",(C9-$E$7)/$N$7)</f>
        <v>#NAME?</v>
      </c>
      <c r="J9" s="56" t="e">
        <f ca="1">IF($E$7&gt;=C9,"已达标",$H$7-I9)</f>
        <v>#NAME?</v>
      </c>
      <c r="K9" s="68" t="e">
        <f ca="1">IF($E$7&gt;=C9,"已达标",IF(J9&lt;0,I9/$H$7-1,"当前日均已达标"))</f>
        <v>#NAME?</v>
      </c>
      <c r="L9" s="94">
        <f>(C9-$E$7)/$H$7</f>
        <v>101.902661697947</v>
      </c>
      <c r="M9" s="70">
        <f ca="1" t="shared" si="0"/>
        <v>45254.9026616979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>
      <c r="A10" s="7"/>
      <c r="B10" s="107" t="s">
        <v>57</v>
      </c>
      <c r="C10" s="11">
        <v>1000000</v>
      </c>
      <c r="D10" s="52">
        <v>0.03</v>
      </c>
      <c r="E10" s="56">
        <f>SUM(大搜年框客户消费明细!$C$13:$C$15)</f>
        <v>722865.65</v>
      </c>
      <c r="F10" s="68">
        <f>$E$10/C10</f>
        <v>0.72286565</v>
      </c>
      <c r="G10" s="106" t="str">
        <f>IF($E$10&gt;=C12,D12,IF($E$10&gt;=C11,D11,IF($E$10&gt;=C10,D10,"未达标")))</f>
        <v>未达标</v>
      </c>
      <c r="H10" s="56">
        <f>SUM(大搜年框客户消费明细!$B$13:$B$15)</f>
        <v>2973.07714285714</v>
      </c>
      <c r="I10" s="56" t="e">
        <f ca="1">IF($E$10&gt;=C10,"已达标",(C10-$E$10)/$N$10)</f>
        <v>#NAME?</v>
      </c>
      <c r="J10" s="56" t="e">
        <f ca="1">IF($E$10&gt;=C10,"已达标",$H$10-I10)</f>
        <v>#NAME?</v>
      </c>
      <c r="K10" s="68" t="e">
        <f ca="1">IF($E$10&gt;=C10,"已达标",IF(J10&lt;0,I10/$H$10-1,"当前日均已达标"))</f>
        <v>#NAME?</v>
      </c>
      <c r="L10" s="94">
        <f>(C10-$E$10)/$H$10</f>
        <v>93.2146515827277</v>
      </c>
      <c r="M10" s="70">
        <f ca="1" t="shared" si="0"/>
        <v>45246.2146515827</v>
      </c>
      <c r="N10" s="94" t="e">
        <f ca="1">IF(TODAY()&gt;O10,"合同已到期",_xlfn.DAYS(O10+1,TODAY()))</f>
        <v>#NAME?</v>
      </c>
      <c r="O10" s="70">
        <v>45291</v>
      </c>
      <c r="P10" s="106" t="s">
        <v>4</v>
      </c>
      <c r="Q10" s="106" t="s">
        <v>40</v>
      </c>
      <c r="R10" s="106" t="s">
        <v>41</v>
      </c>
      <c r="S10" s="106" t="s">
        <v>42</v>
      </c>
      <c r="T10" s="106" t="s">
        <v>43</v>
      </c>
      <c r="U10" s="106" t="s">
        <v>58</v>
      </c>
      <c r="V10" s="106" t="s">
        <v>45</v>
      </c>
      <c r="W10" s="106" t="s">
        <v>51</v>
      </c>
      <c r="X10" s="106" t="s">
        <v>47</v>
      </c>
    </row>
    <row r="11" spans="1:24">
      <c r="A11" s="7"/>
      <c r="B11" s="7"/>
      <c r="C11" s="11">
        <v>1200000</v>
      </c>
      <c r="D11" s="52">
        <v>0.05</v>
      </c>
      <c r="E11" s="7"/>
      <c r="F11" s="68">
        <f>$E$10/C11</f>
        <v>0.602388041666667</v>
      </c>
      <c r="G11" s="7"/>
      <c r="H11" s="7"/>
      <c r="I11" s="56" t="e">
        <f ca="1">IF($E$10&gt;=C11,"已达标",(C11-$E$10)/$N$10)</f>
        <v>#NAME?</v>
      </c>
      <c r="J11" s="56" t="e">
        <f ca="1">IF($E$10&gt;=C11,"已达标",$H$10-I11)</f>
        <v>#NAME?</v>
      </c>
      <c r="K11" s="68" t="e">
        <f ca="1">IF($E$10&gt;=C11,"已达标",IF(J11&lt;0,I11/$H$10-1,"当前日均已达标"))</f>
        <v>#NAME?</v>
      </c>
      <c r="L11" s="94">
        <f>(C11-$E$10)/$H$10</f>
        <v>160.485021771575</v>
      </c>
      <c r="M11" s="70">
        <f ca="1" t="shared" si="0"/>
        <v>45313.4850217716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7"/>
      <c r="B12" s="9"/>
      <c r="C12" s="11">
        <v>1400000</v>
      </c>
      <c r="D12" s="52">
        <v>0.08</v>
      </c>
      <c r="E12" s="9"/>
      <c r="F12" s="68">
        <f>$E$10/C12</f>
        <v>0.516332607142857</v>
      </c>
      <c r="G12" s="9"/>
      <c r="H12" s="9"/>
      <c r="I12" s="56" t="e">
        <f ca="1">IF($E$10&gt;=C12,"已达标",(C12-$E$10)/$N$10)</f>
        <v>#NAME?</v>
      </c>
      <c r="J12" s="56" t="e">
        <f ca="1">IF($E$10&gt;=C12,"已达标",$H$10-I12)</f>
        <v>#NAME?</v>
      </c>
      <c r="K12" s="68" t="e">
        <f ca="1">IF($E$10&gt;=C12,"已达标",IF(J12&lt;0,I12/$H$10-1,"当前日均已达标"))</f>
        <v>#NAME?</v>
      </c>
      <c r="L12" s="94">
        <f>(C12-$E$10)/$H$10</f>
        <v>227.755391960422</v>
      </c>
      <c r="M12" s="70">
        <f ca="1" t="shared" si="0"/>
        <v>45380.7553919604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>
      <c r="A13" s="7"/>
      <c r="B13" s="49" t="s">
        <v>59</v>
      </c>
      <c r="C13" s="11">
        <v>1000000</v>
      </c>
      <c r="D13" s="52">
        <v>0.03</v>
      </c>
      <c r="E13" s="56">
        <f>大搜年框客户消费明细!$C$12</f>
        <v>430516.7</v>
      </c>
      <c r="F13" s="68">
        <f>$E$13/C13</f>
        <v>0.4305167</v>
      </c>
      <c r="G13" s="106" t="str">
        <f>IF($E$13&gt;=C14,D14,IF($E$13&gt;=C13,D13,"未达标"))</f>
        <v>未达标</v>
      </c>
      <c r="H13" s="56">
        <f>大搜年框客户消费明细!$B$12</f>
        <v>1121.45428571429</v>
      </c>
      <c r="I13" s="56" t="e">
        <f ca="1">IF($E$13&gt;=C13,"已达标",(C13-$E$13)/$N$13)</f>
        <v>#NAME?</v>
      </c>
      <c r="J13" s="56" t="e">
        <f ca="1">IF($E$13&gt;=C13,"已达标",$H$13-I13)</f>
        <v>#NAME?</v>
      </c>
      <c r="K13" s="68" t="e">
        <f ca="1">IF($E$13&gt;=C13,"已达标",IF(J13&lt;0,I13/$H$13-1,"当前日均已达标"))</f>
        <v>#NAME?</v>
      </c>
      <c r="L13" s="94">
        <f>(C13-$E$13)/$H$13</f>
        <v>507.807859182847</v>
      </c>
      <c r="M13" s="70">
        <f ca="1" t="shared" si="0"/>
        <v>45660.8078591828</v>
      </c>
      <c r="N13" s="94" t="e">
        <f ca="1">IF(TODAY()&gt;O13,"合同已到期",_xlfn.DAYS(O13+1,TODAY()))</f>
        <v>#NAME?</v>
      </c>
      <c r="O13" s="70">
        <v>45291</v>
      </c>
      <c r="P13" s="106" t="s">
        <v>4</v>
      </c>
      <c r="Q13" s="106" t="s">
        <v>40</v>
      </c>
      <c r="R13" s="106" t="s">
        <v>41</v>
      </c>
      <c r="S13" s="106" t="s">
        <v>42</v>
      </c>
      <c r="T13" s="106" t="s">
        <v>43</v>
      </c>
      <c r="U13" s="106" t="s">
        <v>60</v>
      </c>
      <c r="V13" s="106" t="s">
        <v>61</v>
      </c>
      <c r="W13" s="106" t="s">
        <v>62</v>
      </c>
      <c r="X13" s="106" t="s">
        <v>62</v>
      </c>
    </row>
    <row r="14" spans="1:24">
      <c r="A14" s="7"/>
      <c r="B14" s="9"/>
      <c r="C14" s="11">
        <v>1200000</v>
      </c>
      <c r="D14" s="52">
        <v>0.05</v>
      </c>
      <c r="E14" s="9"/>
      <c r="F14" s="68">
        <f>$E$13/C14</f>
        <v>0.358763916666667</v>
      </c>
      <c r="G14" s="9"/>
      <c r="H14" s="9"/>
      <c r="I14" s="56" t="e">
        <f ca="1">IF($E$13&gt;=C14,"已达标",(C14-$E$13)/$N$13)</f>
        <v>#NAME?</v>
      </c>
      <c r="J14" s="56" t="e">
        <f ca="1">IF($E$13&gt;=C14,"已达标",$H$13-I14)</f>
        <v>#NAME?</v>
      </c>
      <c r="K14" s="68" t="e">
        <f ca="1">IF($E$13&gt;=C14,"已达标",IF(J14&lt;0,I14/$H$13-1,"当前日均已达标"))</f>
        <v>#NAME?</v>
      </c>
      <c r="L14" s="94">
        <f>(C14-$E$13)/$H$13</f>
        <v>686.147718905809</v>
      </c>
      <c r="M14" s="70">
        <f ca="1" t="shared" si="0"/>
        <v>45839.1477189058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7"/>
      <c r="B15" s="49" t="s">
        <v>63</v>
      </c>
      <c r="C15" s="11">
        <v>1200000</v>
      </c>
      <c r="D15" s="52">
        <v>0.05</v>
      </c>
      <c r="E15" s="51">
        <f>大搜年框客户消费明细!$C$19</f>
        <v>1617648.77</v>
      </c>
      <c r="F15" s="68">
        <f>$E$15/C15</f>
        <v>1.34804064166667</v>
      </c>
      <c r="G15" s="55">
        <f>IF($E$15&gt;=C19,D19,IF($E$15&gt;=C18,D18,IF($E$15&gt;=C17,D17,IF($E$15&gt;=C16,D16,IF($E$15&gt;=C15,D15,"未达标")))))</f>
        <v>0.07</v>
      </c>
      <c r="H15" s="51">
        <f>大搜年框客户消费明细!$B$19</f>
        <v>7962.14428571429</v>
      </c>
      <c r="I15" s="56" t="str">
        <f ca="1">IF($E$15&gt;=C15,"已达标",(C15-$E$15)/$N$15)</f>
        <v>已达标</v>
      </c>
      <c r="J15" s="56" t="str">
        <f ca="1">IF($E$15&gt;=C15,"已达标",$H$15-I15)</f>
        <v>已达标</v>
      </c>
      <c r="K15" s="68" t="str">
        <f ca="1">IF($E$15&gt;=C15,"已达标",IF(J15&lt;0,I15/$H$15-1,"当前日均已达标"))</f>
        <v>已达标</v>
      </c>
      <c r="L15" s="94">
        <f>(C15-$E$15)/$H$15</f>
        <v>-52.4543081628585</v>
      </c>
      <c r="M15" s="70">
        <f ca="1" t="shared" si="0"/>
        <v>45100.5456918371</v>
      </c>
      <c r="N15" s="94" t="e">
        <f ca="1">IF(TODAY()&gt;O15,"合同已到期",_xlfn.DAYS(O15+1,TODAY()))</f>
        <v>#NAME?</v>
      </c>
      <c r="O15" s="74">
        <v>45291</v>
      </c>
      <c r="P15" s="49" t="s">
        <v>4</v>
      </c>
      <c r="Q15" s="77" t="s">
        <v>40</v>
      </c>
      <c r="R15" s="50" t="s">
        <v>41</v>
      </c>
      <c r="S15" s="78" t="s">
        <v>42</v>
      </c>
      <c r="T15" s="79" t="s">
        <v>43</v>
      </c>
      <c r="U15" s="78" t="s">
        <v>44</v>
      </c>
      <c r="V15" s="49" t="s">
        <v>54</v>
      </c>
      <c r="W15" s="49" t="s">
        <v>64</v>
      </c>
      <c r="X15" s="49" t="s">
        <v>56</v>
      </c>
    </row>
    <row r="16" spans="1:24">
      <c r="A16" s="7"/>
      <c r="B16" s="7"/>
      <c r="C16" s="11">
        <v>1500000</v>
      </c>
      <c r="D16" s="52">
        <v>0.07</v>
      </c>
      <c r="E16" s="7"/>
      <c r="F16" s="68">
        <f>$E$15/C16</f>
        <v>1.07843251333333</v>
      </c>
      <c r="G16" s="7"/>
      <c r="H16" s="7"/>
      <c r="I16" s="56" t="str">
        <f ca="1">IF($E$15&gt;=C16,"已达标",(C16-$E$15)/$N$15)</f>
        <v>已达标</v>
      </c>
      <c r="J16" s="56" t="str">
        <f ca="1">IF($E$15&gt;=C16,"已达标",$H$15-I16)</f>
        <v>已达标</v>
      </c>
      <c r="K16" s="68" t="str">
        <f ca="1">IF($E$15&gt;=C16,"已达标",IF(J16&lt;0,I16/$H$15-1,"当前日均已达标"))</f>
        <v>已达标</v>
      </c>
      <c r="L16" s="94">
        <f>(C16-$E$15)/$H$15</f>
        <v>-14.7760158291889</v>
      </c>
      <c r="M16" s="70">
        <f ca="1" t="shared" si="0"/>
        <v>45138.2239841708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7"/>
      <c r="B17" s="7"/>
      <c r="C17" s="11">
        <v>1800000</v>
      </c>
      <c r="D17" s="52">
        <v>0.08</v>
      </c>
      <c r="E17" s="7"/>
      <c r="F17" s="68">
        <f>$E$15/C17</f>
        <v>0.898693761111111</v>
      </c>
      <c r="G17" s="7"/>
      <c r="H17" s="7"/>
      <c r="I17" s="56" t="e">
        <f ca="1">IF($E$15&gt;=C17,"已达标",(C17-$E$15)/$N$15)</f>
        <v>#NAME?</v>
      </c>
      <c r="J17" s="56" t="e">
        <f ca="1">IF($E$15&gt;=C17,"已达标",$H$15-I17)</f>
        <v>#NAME?</v>
      </c>
      <c r="K17" s="68" t="e">
        <f ca="1">IF($E$15&gt;=C17,"已达标",IF(J17&lt;0,I17/$H$15-1,"当前日均已达标"))</f>
        <v>#NAME?</v>
      </c>
      <c r="L17" s="94">
        <f>(C17-$E$15)/$H$15</f>
        <v>22.9022765044808</v>
      </c>
      <c r="M17" s="70">
        <f ca="1" t="shared" si="0"/>
        <v>45175.9022765045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7"/>
      <c r="B18" s="7"/>
      <c r="C18" s="11">
        <v>2000000</v>
      </c>
      <c r="D18" s="52">
        <v>0.09</v>
      </c>
      <c r="E18" s="7"/>
      <c r="F18" s="68">
        <f>$E$15/C18</f>
        <v>0.808824385</v>
      </c>
      <c r="G18" s="7"/>
      <c r="H18" s="7"/>
      <c r="I18" s="56" t="e">
        <f ca="1">IF($E$15&gt;=C18,"已达标",(C18-$E$15)/$N$15)</f>
        <v>#NAME?</v>
      </c>
      <c r="J18" s="56" t="e">
        <f ca="1">IF($E$15&gt;=C18,"已达标",$H$15-I18)</f>
        <v>#NAME?</v>
      </c>
      <c r="K18" s="68" t="e">
        <f ca="1">IF($E$15&gt;=C18,"已达标",IF(J18&lt;0,I18/$H$15-1,"当前日均已达标"))</f>
        <v>#NAME?</v>
      </c>
      <c r="L18" s="94">
        <f>(C18-$E$15)/$H$15</f>
        <v>48.0211380602605</v>
      </c>
      <c r="M18" s="70">
        <f ca="1" t="shared" si="0"/>
        <v>45201.0211380603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9"/>
      <c r="B19" s="9"/>
      <c r="C19" s="11">
        <v>2500000</v>
      </c>
      <c r="D19" s="52">
        <v>0.11</v>
      </c>
      <c r="E19" s="9"/>
      <c r="F19" s="68">
        <f>$E$15/C19</f>
        <v>0.647059508</v>
      </c>
      <c r="G19" s="9"/>
      <c r="H19" s="9"/>
      <c r="I19" s="56" t="e">
        <f ca="1">IF($E$15&gt;=C19,"已达标",(C19-$E$15)/$N$15)</f>
        <v>#NAME?</v>
      </c>
      <c r="J19" s="56" t="e">
        <f ca="1">IF($E$15&gt;=C19,"已达标",$H$15-I19)</f>
        <v>#NAME?</v>
      </c>
      <c r="K19" s="68" t="e">
        <f ca="1">IF($E$15&gt;=C19,"已达标",IF(J19&lt;0,I19/$H$15-1,"当前日均已达标"))</f>
        <v>#NAME?</v>
      </c>
      <c r="L19" s="94">
        <f>(C19-$E$15)/$H$15</f>
        <v>110.81829194971</v>
      </c>
      <c r="M19" s="70">
        <f ca="1" t="shared" si="0"/>
        <v>45263.8182919497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A20" s="49" t="s">
        <v>65</v>
      </c>
      <c r="B20" s="50" t="s">
        <v>66</v>
      </c>
      <c r="C20" s="11">
        <v>1000000</v>
      </c>
      <c r="D20" s="55">
        <v>0.08</v>
      </c>
      <c r="E20" s="53">
        <f>SUM(大搜年框客户消费明细!$C$9:$C$10)</f>
        <v>3745361.95</v>
      </c>
      <c r="F20" s="68">
        <f>$E$20/C20</f>
        <v>3.74536195</v>
      </c>
      <c r="G20" s="55">
        <f>IF($E$20&gt;=C24,D24,IF($E$20&gt;=C23,D23,IF($E$20&gt;=C22,D22,IF($E$20&gt;=C21,D21,IF($E$20&gt;=C20,D20,"未达标")))))</f>
        <v>0.11</v>
      </c>
      <c r="H20" s="56">
        <f>SUM(大搜年框客户消费明细!$B$9:$B$10)</f>
        <v>16663.8714285714</v>
      </c>
      <c r="I20" s="56" t="str">
        <f ca="1">IF($E$20&gt;=C20,"已达标",(C20-$E$20)/$N$20)</f>
        <v>已达标</v>
      </c>
      <c r="J20" s="56" t="str">
        <f ca="1">IF($E$20&gt;=C20,"已达标",$H$20-I20)</f>
        <v>已达标</v>
      </c>
      <c r="K20" s="68" t="str">
        <f ca="1">IF($E$20&gt;=C20,"已达标",IF(J20&lt;0,I20/$H$20-1,"当前日均已达标"))</f>
        <v>已达标</v>
      </c>
      <c r="L20" s="94">
        <f>(C20-$E$20)/$H$20</f>
        <v>-164.749347819191</v>
      </c>
      <c r="M20" s="70">
        <f ca="1" t="shared" si="0"/>
        <v>44988.2506521808</v>
      </c>
      <c r="N20" s="94" t="e">
        <f ca="1">IF(TODAY()&gt;O20,"合同已到期",_xlfn.DAYS(O20+1,TODAY()))</f>
        <v>#NAME?</v>
      </c>
      <c r="O20" s="74">
        <v>45291</v>
      </c>
      <c r="P20" s="49" t="s">
        <v>4</v>
      </c>
      <c r="Q20" s="77" t="s">
        <v>40</v>
      </c>
      <c r="R20" s="50" t="s">
        <v>49</v>
      </c>
      <c r="S20" s="78" t="s">
        <v>42</v>
      </c>
      <c r="T20" s="79" t="s">
        <v>43</v>
      </c>
      <c r="U20" s="78" t="s">
        <v>44</v>
      </c>
      <c r="V20" s="78" t="s">
        <v>45</v>
      </c>
      <c r="W20" s="78" t="s">
        <v>67</v>
      </c>
      <c r="X20" s="78" t="s">
        <v>47</v>
      </c>
    </row>
    <row r="21" spans="1:24">
      <c r="A21" s="7"/>
      <c r="B21" s="7"/>
      <c r="C21" s="11">
        <v>2000000</v>
      </c>
      <c r="D21" s="55">
        <v>0.09</v>
      </c>
      <c r="E21" s="7"/>
      <c r="F21" s="68">
        <f>$E$20/C21</f>
        <v>1.872680975</v>
      </c>
      <c r="G21" s="7"/>
      <c r="H21" s="7"/>
      <c r="I21" s="56" t="str">
        <f ca="1">IF($E$20&gt;=C21,"已达标",(C21-$E$20)/$N$20)</f>
        <v>已达标</v>
      </c>
      <c r="J21" s="56" t="str">
        <f ca="1">IF($E$20&gt;=C21,"已达标",$H$20-I21)</f>
        <v>已达标</v>
      </c>
      <c r="K21" s="68" t="str">
        <f ca="1">IF($E$20&gt;=C21,"已达标",IF(J21&lt;0,I21/$H$20-1,"当前日均已达标"))</f>
        <v>已达标</v>
      </c>
      <c r="L21" s="94">
        <f>(C21-$E$20)/$H$20</f>
        <v>-104.739283274081</v>
      </c>
      <c r="M21" s="70">
        <f ca="1" t="shared" si="0"/>
        <v>45048.2607167259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7"/>
      <c r="B22" s="7"/>
      <c r="C22" s="11">
        <v>3000000</v>
      </c>
      <c r="D22" s="55">
        <v>0.11</v>
      </c>
      <c r="E22" s="7"/>
      <c r="F22" s="68">
        <f>$E$20/C22</f>
        <v>1.24845398333333</v>
      </c>
      <c r="G22" s="7"/>
      <c r="H22" s="7"/>
      <c r="I22" s="56" t="str">
        <f ca="1">IF($E$20&gt;=C22,"已达标",(C22-$E$20)/$N$20)</f>
        <v>已达标</v>
      </c>
      <c r="J22" s="56" t="str">
        <f ca="1">IF($E$20&gt;=C22,"已达标",$H$20-I22)</f>
        <v>已达标</v>
      </c>
      <c r="K22" s="68" t="str">
        <f ca="1">IF($E$20&gt;=C22,"已达标",IF(J22&lt;0,I22/$H$20-1,"当前日均已达标"))</f>
        <v>已达标</v>
      </c>
      <c r="L22" s="94">
        <f>(C22-$E$20)/$H$20</f>
        <v>-44.7292187289697</v>
      </c>
      <c r="M22" s="70">
        <f ca="1" t="shared" si="0"/>
        <v>45108.270781271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7"/>
      <c r="B23" s="7"/>
      <c r="C23" s="11">
        <v>4000000</v>
      </c>
      <c r="D23" s="55">
        <v>0.12</v>
      </c>
      <c r="E23" s="7"/>
      <c r="F23" s="68">
        <f>$E$20/C23</f>
        <v>0.9363404875</v>
      </c>
      <c r="G23" s="7"/>
      <c r="H23" s="7"/>
      <c r="I23" s="56" t="e">
        <f ca="1">IF($E$20&gt;=C23,"已达标",(C23-$E$20)/$N$20)</f>
        <v>#NAME?</v>
      </c>
      <c r="J23" s="56" t="e">
        <f ca="1">IF($E$20&gt;=C23,"已达标",$H$20-I23)</f>
        <v>#NAME?</v>
      </c>
      <c r="K23" s="68" t="e">
        <f ca="1">IF($E$20&gt;=C23,"已达标",IF(J23&lt;0,I23/$H$20-1,"当前日均已达标"))</f>
        <v>#NAME?</v>
      </c>
      <c r="L23" s="94">
        <f>(C23-$E$20)/$H$20</f>
        <v>15.2808458161412</v>
      </c>
      <c r="M23" s="70">
        <f ca="1" t="shared" si="0"/>
        <v>45168.2808458161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7"/>
      <c r="B24" s="9"/>
      <c r="C24" s="11">
        <v>5000000</v>
      </c>
      <c r="D24" s="55">
        <v>0.13</v>
      </c>
      <c r="E24" s="9"/>
      <c r="F24" s="68">
        <f>$E$20/C24</f>
        <v>0.74907239</v>
      </c>
      <c r="G24" s="9"/>
      <c r="H24" s="9"/>
      <c r="I24" s="56" t="e">
        <f ca="1">IF($E$20&gt;=C24,"已达标",(C24-$E$20)/$N$20)</f>
        <v>#NAME?</v>
      </c>
      <c r="J24" s="56" t="e">
        <f ca="1">IF($E$20&gt;=C24,"已达标",$H$20-I24)</f>
        <v>#NAME?</v>
      </c>
      <c r="K24" s="68" t="e">
        <f ca="1">IF($E$20&gt;=C24,"已达标",IF(J24&lt;0,I24/$H$20-1,"当前日均已达标"))</f>
        <v>#NAME?</v>
      </c>
      <c r="L24" s="94">
        <f>(C24-$E$20)/$H$20</f>
        <v>75.290910361252</v>
      </c>
      <c r="M24" s="70">
        <f ca="1" t="shared" si="0"/>
        <v>45228.2909103613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>
      <c r="A25" s="7"/>
      <c r="B25" s="49" t="s">
        <v>68</v>
      </c>
      <c r="C25" s="11">
        <v>3000000</v>
      </c>
      <c r="D25" s="108">
        <v>0.14</v>
      </c>
      <c r="E25" s="53">
        <f>大搜年框客户消费明细!$C$11</f>
        <v>8017125.09</v>
      </c>
      <c r="F25" s="68">
        <f t="shared" ref="F25:F32" si="1">$E$25/C25</f>
        <v>2.67237503</v>
      </c>
      <c r="G25" s="108">
        <f>IF($E$25&gt;=C32,D32,IF($E$25&gt;=C31,D31,IF($E$25&gt;=C30,D30,IF($E$25&gt;=C29,D29,IF($E$25&gt;=C28,D28,IF($E$25&gt;=C27,D27,IF($E$25&gt;=C26,D26,IF($E$25&gt;=C25,D25,"未达标"))))))))</f>
        <v>0.18</v>
      </c>
      <c r="H25" s="56">
        <f>大搜年框客户消费明细!$B$11</f>
        <v>20812.82</v>
      </c>
      <c r="I25" s="56" t="str">
        <f ca="1" t="shared" ref="I25:I32" si="2">IF($E$25&gt;=C25,"已达标",(C25-$E$25)/$N$25)</f>
        <v>已达标</v>
      </c>
      <c r="J25" s="56" t="str">
        <f ca="1" t="shared" ref="J25:J32" si="3">IF($E$25&gt;=C25,"已达标",$H$25-I25)</f>
        <v>已达标</v>
      </c>
      <c r="K25" s="68" t="str">
        <f ca="1" t="shared" ref="K25:K32" si="4">IF($E$25&gt;=C25,"已达标",IF(J25&lt;0,I25/$H$25-1,"当前日均已达标"))</f>
        <v>已达标</v>
      </c>
      <c r="L25" s="94">
        <f t="shared" ref="L25:L32" si="5">(C25-$E$25)/$H$25</f>
        <v>-241.059361009224</v>
      </c>
      <c r="M25" s="70">
        <f ca="1" t="shared" si="0"/>
        <v>44911.9406389908</v>
      </c>
      <c r="N25" s="94" t="str">
        <f ca="1">IF(TODAY()&gt;O25,"合同已到期",_xlfn.DAYS(O25+1,TODAY()))</f>
        <v>合同已到期</v>
      </c>
      <c r="O25" s="70">
        <v>45138</v>
      </c>
      <c r="P25" s="49" t="s">
        <v>4</v>
      </c>
      <c r="Q25" s="49" t="s">
        <v>40</v>
      </c>
      <c r="R25" s="49" t="s">
        <v>69</v>
      </c>
      <c r="S25" s="49" t="s">
        <v>42</v>
      </c>
      <c r="T25" s="49" t="s">
        <v>70</v>
      </c>
      <c r="U25" s="49" t="s">
        <v>44</v>
      </c>
      <c r="V25" s="49" t="s">
        <v>45</v>
      </c>
      <c r="W25" s="49" t="s">
        <v>51</v>
      </c>
      <c r="X25" s="49" t="s">
        <v>47</v>
      </c>
    </row>
    <row r="26" spans="1:24">
      <c r="A26" s="7"/>
      <c r="B26" s="7"/>
      <c r="C26" s="11">
        <v>5000000</v>
      </c>
      <c r="D26" s="108">
        <v>0.16</v>
      </c>
      <c r="E26" s="7"/>
      <c r="F26" s="68">
        <f t="shared" si="1"/>
        <v>1.603425018</v>
      </c>
      <c r="G26" s="7"/>
      <c r="H26" s="7"/>
      <c r="I26" s="56" t="str">
        <f ca="1" t="shared" si="2"/>
        <v>已达标</v>
      </c>
      <c r="J26" s="56" t="str">
        <f ca="1" t="shared" si="3"/>
        <v>已达标</v>
      </c>
      <c r="K26" s="68" t="str">
        <f ca="1" t="shared" si="4"/>
        <v>已达标</v>
      </c>
      <c r="L26" s="94">
        <f t="shared" si="5"/>
        <v>-144.964742403961</v>
      </c>
      <c r="M26" s="70">
        <f ca="1" t="shared" si="0"/>
        <v>45008.035257596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7"/>
      <c r="B27" s="7"/>
      <c r="C27" s="11">
        <v>7000000</v>
      </c>
      <c r="D27" s="108">
        <v>0.18</v>
      </c>
      <c r="E27" s="7"/>
      <c r="F27" s="68">
        <f t="shared" si="1"/>
        <v>1.14530358428571</v>
      </c>
      <c r="G27" s="7"/>
      <c r="H27" s="7"/>
      <c r="I27" s="56" t="str">
        <f ca="1" t="shared" si="2"/>
        <v>已达标</v>
      </c>
      <c r="J27" s="56" t="str">
        <f ca="1" t="shared" si="3"/>
        <v>已达标</v>
      </c>
      <c r="K27" s="68" t="str">
        <f ca="1" t="shared" si="4"/>
        <v>已达标</v>
      </c>
      <c r="L27" s="94">
        <f t="shared" si="5"/>
        <v>-48.8701237986972</v>
      </c>
      <c r="M27" s="70">
        <f ca="1" t="shared" si="0"/>
        <v>45104.1298762013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7"/>
      <c r="B28" s="7"/>
      <c r="C28" s="11">
        <v>10000000</v>
      </c>
      <c r="D28" s="108">
        <v>0.21</v>
      </c>
      <c r="E28" s="7"/>
      <c r="F28" s="68">
        <f t="shared" si="1"/>
        <v>0.801712509</v>
      </c>
      <c r="G28" s="7"/>
      <c r="H28" s="7"/>
      <c r="I28" s="56" t="e">
        <f ca="1" t="shared" si="2"/>
        <v>#VALUE!</v>
      </c>
      <c r="J28" s="56" t="e">
        <f ca="1" t="shared" si="3"/>
        <v>#VALUE!</v>
      </c>
      <c r="K28" s="68" t="e">
        <f ca="1" t="shared" si="4"/>
        <v>#VALUE!</v>
      </c>
      <c r="L28" s="94">
        <f t="shared" si="5"/>
        <v>95.271804109198</v>
      </c>
      <c r="M28" s="70">
        <f ca="1" t="shared" si="0"/>
        <v>45248.2718041092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7"/>
      <c r="B29" s="7"/>
      <c r="C29" s="11">
        <v>13000000</v>
      </c>
      <c r="D29" s="108">
        <v>0.22</v>
      </c>
      <c r="E29" s="7"/>
      <c r="F29" s="68">
        <f t="shared" si="1"/>
        <v>0.61670193</v>
      </c>
      <c r="G29" s="7"/>
      <c r="H29" s="7"/>
      <c r="I29" s="56" t="e">
        <f ca="1" t="shared" si="2"/>
        <v>#VALUE!</v>
      </c>
      <c r="J29" s="56" t="e">
        <f ca="1" t="shared" si="3"/>
        <v>#VALUE!</v>
      </c>
      <c r="K29" s="68" t="e">
        <f ca="1" t="shared" si="4"/>
        <v>#VALUE!</v>
      </c>
      <c r="L29" s="94">
        <f t="shared" si="5"/>
        <v>239.413732017093</v>
      </c>
      <c r="M29" s="70">
        <f ca="1" t="shared" si="0"/>
        <v>45392.4137320171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7"/>
      <c r="B30" s="7"/>
      <c r="C30" s="11">
        <v>15000000</v>
      </c>
      <c r="D30" s="108">
        <v>0.24</v>
      </c>
      <c r="E30" s="7"/>
      <c r="F30" s="68">
        <f t="shared" si="1"/>
        <v>0.534475006</v>
      </c>
      <c r="G30" s="7"/>
      <c r="H30" s="7"/>
      <c r="I30" s="56" t="e">
        <f ca="1" t="shared" si="2"/>
        <v>#VALUE!</v>
      </c>
      <c r="J30" s="56" t="e">
        <f ca="1" t="shared" si="3"/>
        <v>#VALUE!</v>
      </c>
      <c r="K30" s="68" t="e">
        <f ca="1" t="shared" si="4"/>
        <v>#VALUE!</v>
      </c>
      <c r="L30" s="94">
        <f t="shared" si="5"/>
        <v>335.508350622357</v>
      </c>
      <c r="M30" s="70">
        <f ca="1" t="shared" si="0"/>
        <v>45488.5083506224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7"/>
      <c r="B31" s="7"/>
      <c r="C31" s="11">
        <v>18000000</v>
      </c>
      <c r="D31" s="108">
        <v>0.25</v>
      </c>
      <c r="E31" s="7"/>
      <c r="F31" s="68">
        <f t="shared" si="1"/>
        <v>0.445395838333333</v>
      </c>
      <c r="G31" s="7"/>
      <c r="H31" s="7"/>
      <c r="I31" s="56" t="e">
        <f ca="1" t="shared" si="2"/>
        <v>#VALUE!</v>
      </c>
      <c r="J31" s="56" t="e">
        <f ca="1" t="shared" si="3"/>
        <v>#VALUE!</v>
      </c>
      <c r="K31" s="68" t="e">
        <f ca="1" t="shared" si="4"/>
        <v>#VALUE!</v>
      </c>
      <c r="L31" s="94">
        <f t="shared" si="5"/>
        <v>479.650278530252</v>
      </c>
      <c r="M31" s="70">
        <f ca="1" t="shared" si="0"/>
        <v>45632.6502785303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9"/>
      <c r="B32" s="9"/>
      <c r="C32" s="11">
        <v>20000000</v>
      </c>
      <c r="D32" s="108">
        <v>0.26</v>
      </c>
      <c r="E32" s="9"/>
      <c r="F32" s="68">
        <f t="shared" si="1"/>
        <v>0.4008562545</v>
      </c>
      <c r="G32" s="9"/>
      <c r="H32" s="9"/>
      <c r="I32" s="56" t="e">
        <f ca="1" t="shared" si="2"/>
        <v>#VALUE!</v>
      </c>
      <c r="J32" s="56" t="e">
        <f ca="1" t="shared" si="3"/>
        <v>#VALUE!</v>
      </c>
      <c r="K32" s="68" t="e">
        <f ca="1" t="shared" si="4"/>
        <v>#VALUE!</v>
      </c>
      <c r="L32" s="94">
        <f t="shared" si="5"/>
        <v>575.744897135515</v>
      </c>
      <c r="M32" s="70">
        <f ca="1" t="shared" si="0"/>
        <v>45728.7448971355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4" ht="82.5" customHeight="1"/>
  </sheetData>
  <mergeCells count="127">
    <mergeCell ref="A1:D1"/>
    <mergeCell ref="E1:G1"/>
    <mergeCell ref="H1:M1"/>
    <mergeCell ref="N1:O1"/>
    <mergeCell ref="P1:X1"/>
    <mergeCell ref="A3:A19"/>
    <mergeCell ref="A20:A32"/>
    <mergeCell ref="B3:B4"/>
    <mergeCell ref="B5:B6"/>
    <mergeCell ref="B7:B9"/>
    <mergeCell ref="B10:B12"/>
    <mergeCell ref="B13:B14"/>
    <mergeCell ref="B15:B19"/>
    <mergeCell ref="B20:B24"/>
    <mergeCell ref="B25:B32"/>
    <mergeCell ref="E3:E4"/>
    <mergeCell ref="E5:E6"/>
    <mergeCell ref="E7:E9"/>
    <mergeCell ref="E10:E12"/>
    <mergeCell ref="E13:E14"/>
    <mergeCell ref="E15:E19"/>
    <mergeCell ref="E20:E24"/>
    <mergeCell ref="E25:E32"/>
    <mergeCell ref="G3:G4"/>
    <mergeCell ref="G5:G6"/>
    <mergeCell ref="G7:G9"/>
    <mergeCell ref="G10:G12"/>
    <mergeCell ref="G13:G14"/>
    <mergeCell ref="G15:G19"/>
    <mergeCell ref="G20:G24"/>
    <mergeCell ref="G25:G32"/>
    <mergeCell ref="H3:H4"/>
    <mergeCell ref="H5:H6"/>
    <mergeCell ref="H7:H9"/>
    <mergeCell ref="H10:H12"/>
    <mergeCell ref="H13:H14"/>
    <mergeCell ref="H15:H19"/>
    <mergeCell ref="H20:H24"/>
    <mergeCell ref="H25:H32"/>
    <mergeCell ref="N3:N4"/>
    <mergeCell ref="N5:N6"/>
    <mergeCell ref="N7:N9"/>
    <mergeCell ref="N10:N12"/>
    <mergeCell ref="N13:N14"/>
    <mergeCell ref="N15:N19"/>
    <mergeCell ref="N20:N24"/>
    <mergeCell ref="N25:N32"/>
    <mergeCell ref="O3:O4"/>
    <mergeCell ref="O5:O6"/>
    <mergeCell ref="O7:O9"/>
    <mergeCell ref="O10:O12"/>
    <mergeCell ref="O13:O14"/>
    <mergeCell ref="O15:O19"/>
    <mergeCell ref="O20:O24"/>
    <mergeCell ref="O25:O32"/>
    <mergeCell ref="P3:P4"/>
    <mergeCell ref="P5:P6"/>
    <mergeCell ref="P7:P9"/>
    <mergeCell ref="P10:P12"/>
    <mergeCell ref="P13:P14"/>
    <mergeCell ref="P15:P19"/>
    <mergeCell ref="P20:P24"/>
    <mergeCell ref="P25:P32"/>
    <mergeCell ref="Q3:Q4"/>
    <mergeCell ref="Q5:Q6"/>
    <mergeCell ref="Q7:Q9"/>
    <mergeCell ref="Q10:Q12"/>
    <mergeCell ref="Q13:Q14"/>
    <mergeCell ref="Q15:Q19"/>
    <mergeCell ref="Q20:Q24"/>
    <mergeCell ref="Q25:Q32"/>
    <mergeCell ref="R3:R4"/>
    <mergeCell ref="R5:R6"/>
    <mergeCell ref="R7:R9"/>
    <mergeCell ref="R10:R12"/>
    <mergeCell ref="R13:R14"/>
    <mergeCell ref="R15:R19"/>
    <mergeCell ref="R20:R24"/>
    <mergeCell ref="R25:R32"/>
    <mergeCell ref="S3:S4"/>
    <mergeCell ref="S5:S6"/>
    <mergeCell ref="S7:S9"/>
    <mergeCell ref="S10:S12"/>
    <mergeCell ref="S13:S14"/>
    <mergeCell ref="S15:S19"/>
    <mergeCell ref="S20:S24"/>
    <mergeCell ref="S25:S32"/>
    <mergeCell ref="T3:T4"/>
    <mergeCell ref="T5:T6"/>
    <mergeCell ref="T7:T9"/>
    <mergeCell ref="T10:T12"/>
    <mergeCell ref="T13:T14"/>
    <mergeCell ref="T15:T19"/>
    <mergeCell ref="T20:T24"/>
    <mergeCell ref="T25:T32"/>
    <mergeCell ref="U3:U4"/>
    <mergeCell ref="U5:U6"/>
    <mergeCell ref="U7:U9"/>
    <mergeCell ref="U10:U12"/>
    <mergeCell ref="U13:U14"/>
    <mergeCell ref="U15:U19"/>
    <mergeCell ref="U20:U24"/>
    <mergeCell ref="U25:U32"/>
    <mergeCell ref="V3:V4"/>
    <mergeCell ref="V5:V6"/>
    <mergeCell ref="V7:V9"/>
    <mergeCell ref="V10:V12"/>
    <mergeCell ref="V13:V14"/>
    <mergeCell ref="V15:V19"/>
    <mergeCell ref="V20:V24"/>
    <mergeCell ref="V25:V32"/>
    <mergeCell ref="W3:W4"/>
    <mergeCell ref="W5:W6"/>
    <mergeCell ref="W7:W9"/>
    <mergeCell ref="W10:W12"/>
    <mergeCell ref="W13:W14"/>
    <mergeCell ref="W15:W19"/>
    <mergeCell ref="W20:W24"/>
    <mergeCell ref="W25:W32"/>
    <mergeCell ref="X3:X4"/>
    <mergeCell ref="X5:X6"/>
    <mergeCell ref="X7:X9"/>
    <mergeCell ref="X10:X12"/>
    <mergeCell ref="X13:X14"/>
    <mergeCell ref="X15:X19"/>
    <mergeCell ref="X20:X24"/>
    <mergeCell ref="X25:X32"/>
  </mergeCells>
  <conditionalFormatting sqref="F3:F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{a6b41eb2-1778-45e3-b713-9c2d9f7481cb}</x14:id>
        </ext>
      </extLst>
    </cfRule>
  </conditionalFormatting>
  <conditionalFormatting sqref="F5:F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{ef4a12a5-d910-47dd-8c00-04aacf308c33}</x14:id>
        </ext>
      </extLst>
    </cfRule>
  </conditionalFormatting>
  <conditionalFormatting sqref="F7:F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{882f1bc1-7e02-4ace-94d9-f2284d44816c}</x14:id>
        </ext>
      </extLst>
    </cfRule>
  </conditionalFormatting>
  <conditionalFormatting sqref="F10:F1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{5370a63f-98c5-4b57-a6b6-0f32afe18289}</x14:id>
        </ext>
      </extLst>
    </cfRule>
  </conditionalFormatting>
  <conditionalFormatting sqref="F13:F14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{90a5b06f-f077-4f05-9c57-94d9c57e4aa1}</x14:id>
        </ext>
      </extLst>
    </cfRule>
  </conditionalFormatting>
  <conditionalFormatting sqref="F15:F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{dbb13a29-a3c6-4d63-85b6-a52199dc6b35}</x14:id>
        </ext>
      </extLst>
    </cfRule>
  </conditionalFormatting>
  <conditionalFormatting sqref="F20:F24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{05fb8523-afae-400a-a3cd-9b20ea0472e4}</x14:id>
        </ext>
      </extLst>
    </cfRule>
  </conditionalFormatting>
  <conditionalFormatting sqref="F25:F3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{30b29ab7-9568-4e5e-9adb-9cc97e8ad0ca}</x14:id>
        </ext>
      </extLst>
    </cfRule>
  </conditionalFormatting>
  <conditionalFormatting sqref="K3:K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{2af53b12-42e0-4abf-96ed-5747313e03d6}</x14:id>
        </ext>
      </extLst>
    </cfRule>
  </conditionalFormatting>
  <conditionalFormatting sqref="K5:K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{30e08758-14f1-453f-99dd-89b4afc335fe}</x14:id>
        </ext>
      </extLst>
    </cfRule>
  </conditionalFormatting>
  <conditionalFormatting sqref="K7:K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{40a4375c-a292-41d8-a3b5-16c9720c8ed1}</x14:id>
        </ext>
      </extLst>
    </cfRule>
  </conditionalFormatting>
  <conditionalFormatting sqref="K10:K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{890c462b-92fb-4945-ab8a-3ccc7814d55b}</x14:id>
        </ext>
      </extLst>
    </cfRule>
  </conditionalFormatting>
  <conditionalFormatting sqref="K13:K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{84713a80-4e7c-48bf-9f87-d2f115cd3896}</x14:id>
        </ext>
      </extLst>
    </cfRule>
  </conditionalFormatting>
  <conditionalFormatting sqref="K15:K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{67524fb9-096c-4d01-bf53-547f4c4a7c31}</x14:id>
        </ext>
      </extLst>
    </cfRule>
  </conditionalFormatting>
  <conditionalFormatting sqref="K20:K2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{e2bda300-74bd-4861-9eaa-ef5f2c5026f4}</x14:id>
        </ext>
      </extLst>
    </cfRule>
  </conditionalFormatting>
  <conditionalFormatting sqref="K25:K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{f19cd347-085c-430f-9f64-c7ca1c687004}</x14:id>
        </ext>
      </extLst>
    </cfRule>
  </conditionalFormatting>
  <conditionalFormatting sqref="K33:K1048576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{48a2c54a-96e1-4a9b-b730-7cddc99c9067}</x14:id>
        </ext>
      </extLst>
    </cfRule>
  </conditionalFormatting>
  <conditionalFormatting sqref="L3:L32">
    <cfRule type="cellIs" dxfId="0" priority="49" operator="greaterThanOrEqual">
      <formula>0</formula>
    </cfRule>
    <cfRule type="cellIs" dxfId="1" priority="50" operator="greaterThanOrEqual">
      <formula>0</formula>
    </cfRule>
    <cfRule type="cellIs" dxfId="2" priority="51" operator="lessThan">
      <formula>0</formula>
    </cfRule>
    <cfRule type="cellIs" dxfId="3" priority="52" operator="greaterThanOrEqual">
      <formula>0</formula>
    </cfRule>
  </conditionalFormatting>
  <conditionalFormatting sqref="F1:F2 F33:F1048576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{d506c8db-80b3-44d7-8198-4186257c651c}</x14:id>
        </ext>
      </extLst>
    </cfRule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{265f9c74-6f1e-4b96-957a-7fa3453260f3}</x14:id>
        </ext>
      </extLst>
    </cfRule>
  </conditionalFormatting>
  <conditionalFormatting sqref="K1:K2 K33:K1048576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{3e7b7eb3-c7f4-4b86-9712-764811b8464c}</x14:id>
        </ext>
      </extLst>
    </cfRule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{5efc81b8-7f1d-427f-8b92-96dd845fc94d}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{436915e3-d979-44f7-badf-14aab7a84f15}</x14:id>
        </ext>
      </extLst>
    </cfRule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{383b2a4f-0947-43ef-ad92-6d3380fd5b4c}</x14:id>
        </ext>
      </extLst>
    </cfRule>
  </conditionalFormatting>
  <conditionalFormatting sqref="K33:M1048576 L3:L32">
    <cfRule type="cellIs" dxfId="0" priority="262" operator="greaterThanOrEqual">
      <formula>0</formula>
    </cfRule>
    <cfRule type="cellIs" dxfId="1" priority="263" operator="greaterThanOrEqual">
      <formula>0</formula>
    </cfRule>
    <cfRule type="cellIs" dxfId="2" priority="264" operator="lessThan">
      <formula>0</formula>
    </cfRule>
    <cfRule type="cellIs" dxfId="4" priority="265" operator="lessThan">
      <formula>0</formula>
    </cfRule>
    <cfRule type="cellIs" dxfId="5" priority="266" operator="greaterThanOrEqual">
      <formula>0</formula>
    </cfRule>
    <cfRule type="cellIs" dxfId="6" priority="267" operator="greaterThanOrEqual">
      <formula>0</formula>
    </cfRule>
  </conditionalFormatting>
  <pageMargins left="0.7" right="0.7" top="0.75" bottom="0.75" header="0.3" footer="0.3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b41eb2-1778-45e3-b713-9c2d9f7481c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F3:F4</xm:sqref>
        </x14:conditionalFormatting>
        <x14:conditionalFormatting xmlns:xm="http://schemas.microsoft.com/office/excel/2006/main">
          <x14:cfRule type="dataBar" id="{ef4a12a5-d910-47dd-8c00-04aacf308c3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F5:F6</xm:sqref>
        </x14:conditionalFormatting>
        <x14:conditionalFormatting xmlns:xm="http://schemas.microsoft.com/office/excel/2006/main">
          <x14:cfRule type="dataBar" id="{882f1bc1-7e02-4ace-94d9-f2284d44816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F7:F9</xm:sqref>
        </x14:conditionalFormatting>
        <x14:conditionalFormatting xmlns:xm="http://schemas.microsoft.com/office/excel/2006/main">
          <x14:cfRule type="dataBar" id="{5370a63f-98c5-4b57-a6b6-0f32afe1828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F10:F12</xm:sqref>
        </x14:conditionalFormatting>
        <x14:conditionalFormatting xmlns:xm="http://schemas.microsoft.com/office/excel/2006/main">
          <x14:cfRule type="dataBar" id="{90a5b06f-f077-4f05-9c57-94d9c57e4aa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F13:F14</xm:sqref>
        </x14:conditionalFormatting>
        <x14:conditionalFormatting xmlns:xm="http://schemas.microsoft.com/office/excel/2006/main">
          <x14:cfRule type="dataBar" id="{dbb13a29-a3c6-4d63-85b6-a52199dc6b3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F15:F19</xm:sqref>
        </x14:conditionalFormatting>
        <x14:conditionalFormatting xmlns:xm="http://schemas.microsoft.com/office/excel/2006/main">
          <x14:cfRule type="dataBar" id="{05fb8523-afae-400a-a3cd-9b20ea0472e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F20:F24</xm:sqref>
        </x14:conditionalFormatting>
        <x14:conditionalFormatting xmlns:xm="http://schemas.microsoft.com/office/excel/2006/main">
          <x14:cfRule type="dataBar" id="{30b29ab7-9568-4e5e-9adb-9cc97e8ad0c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F25:F32</xm:sqref>
        </x14:conditionalFormatting>
        <x14:conditionalFormatting xmlns:xm="http://schemas.microsoft.com/office/excel/2006/main">
          <x14:cfRule type="dataBar" id="{2af53b12-42e0-4abf-96ed-5747313e03d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K3:K4</xm:sqref>
        </x14:conditionalFormatting>
        <x14:conditionalFormatting xmlns:xm="http://schemas.microsoft.com/office/excel/2006/main">
          <x14:cfRule type="dataBar" id="{30e08758-14f1-453f-99dd-89b4afc335f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K5:K6</xm:sqref>
        </x14:conditionalFormatting>
        <x14:conditionalFormatting xmlns:xm="http://schemas.microsoft.com/office/excel/2006/main">
          <x14:cfRule type="dataBar" id="{40a4375c-a292-41d8-a3b5-16c9720c8ed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K7:K9</xm:sqref>
        </x14:conditionalFormatting>
        <x14:conditionalFormatting xmlns:xm="http://schemas.microsoft.com/office/excel/2006/main">
          <x14:cfRule type="dataBar" id="{890c462b-92fb-4945-ab8a-3ccc7814d55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K10:K12</xm:sqref>
        </x14:conditionalFormatting>
        <x14:conditionalFormatting xmlns:xm="http://schemas.microsoft.com/office/excel/2006/main">
          <x14:cfRule type="dataBar" id="{84713a80-4e7c-48bf-9f87-d2f115cd389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K13:K14</xm:sqref>
        </x14:conditionalFormatting>
        <x14:conditionalFormatting xmlns:xm="http://schemas.microsoft.com/office/excel/2006/main">
          <x14:cfRule type="dataBar" id="{67524fb9-096c-4d01-bf53-547f4c4a7c3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K15:K19</xm:sqref>
        </x14:conditionalFormatting>
        <x14:conditionalFormatting xmlns:xm="http://schemas.microsoft.com/office/excel/2006/main">
          <x14:cfRule type="dataBar" id="{e2bda300-74bd-4861-9eaa-ef5f2c5026f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K20:K24</xm:sqref>
        </x14:conditionalFormatting>
        <x14:conditionalFormatting xmlns:xm="http://schemas.microsoft.com/office/excel/2006/main">
          <x14:cfRule type="dataBar" id="{f19cd347-085c-430f-9f64-c7ca1c68700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K25:K32</xm:sqref>
        </x14:conditionalFormatting>
        <x14:conditionalFormatting xmlns:xm="http://schemas.microsoft.com/office/excel/2006/main">
          <x14:cfRule type="dataBar" id="{48a2c54a-96e1-4a9b-b730-7cddc99c906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K33:K1048576</xm:sqref>
        </x14:conditionalFormatting>
        <x14:conditionalFormatting xmlns:xm="http://schemas.microsoft.com/office/excel/2006/main">
          <x14:cfRule type="dataBar" id="{d506c8db-80b3-44d7-8198-4186257c651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65f9c74-6f1e-4b96-957a-7fa3453260f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F1:F2 F33:F1048576</xm:sqref>
        </x14:conditionalFormatting>
        <x14:conditionalFormatting xmlns:xm="http://schemas.microsoft.com/office/excel/2006/main">
          <x14:cfRule type="dataBar" id="{3e7b7eb3-c7f4-4b86-9712-764811b8464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5efc81b8-7f1d-427f-8b92-96dd845fc94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36915e3-d979-44f7-badf-14aab7a84f1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383b2a4f-0947-43ef-ad92-6d3380fd5b4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K1:K2 K33:K1048576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11"/>
  <sheetViews>
    <sheetView workbookViewId="0">
      <selection activeCell="E2" sqref="E2"/>
    </sheetView>
  </sheetViews>
  <sheetFormatPr defaultColWidth="9" defaultRowHeight="16.5"/>
  <cols>
    <col min="1" max="1" width="9" style="15" customWidth="1"/>
    <col min="2" max="2" width="27.25" style="15" customWidth="1"/>
    <col min="3" max="3" width="14" style="37" customWidth="1"/>
    <col min="4" max="4" width="11.125" style="81" customWidth="1"/>
    <col min="5" max="5" width="12.75" style="82" customWidth="1"/>
    <col min="6" max="6" width="11.5" style="38" customWidth="1"/>
    <col min="7" max="7" width="11.5" style="15" customWidth="1"/>
    <col min="8" max="8" width="11.375" style="39" customWidth="1"/>
    <col min="9" max="9" width="13.125" style="83" customWidth="1"/>
    <col min="10" max="10" width="13.5" style="37" customWidth="1"/>
    <col min="11" max="11" width="15.75" style="38" customWidth="1"/>
    <col min="12" max="12" width="12.375" style="84" customWidth="1"/>
    <col min="13" max="13" width="11.625" style="15" customWidth="1"/>
    <col min="14" max="15" width="11.375" style="15" customWidth="1"/>
    <col min="16" max="16" width="9.25" style="15" customWidth="1"/>
    <col min="17" max="17" width="8" style="15" customWidth="1"/>
    <col min="18" max="18" width="8.5" style="15" customWidth="1"/>
    <col min="19" max="19" width="7.25" style="85" customWidth="1"/>
    <col min="20" max="20" width="27.25" style="15" customWidth="1"/>
    <col min="21" max="21" width="9.625" style="15" customWidth="1"/>
    <col min="22" max="22" width="9" style="15" customWidth="1"/>
    <col min="23" max="23" width="8" style="15" customWidth="1"/>
    <col min="24" max="24" width="12.25" style="15" customWidth="1"/>
    <col min="25" max="16384" width="9" style="15" customWidth="1"/>
  </cols>
  <sheetData>
    <row r="1" s="14" customFormat="1" spans="1:24">
      <c r="A1" s="41" t="s">
        <v>71</v>
      </c>
      <c r="B1" s="5"/>
      <c r="C1" s="5"/>
      <c r="D1" s="6"/>
      <c r="E1" s="42" t="s">
        <v>12</v>
      </c>
      <c r="F1" s="5"/>
      <c r="G1" s="6"/>
      <c r="H1" s="43" t="s">
        <v>13</v>
      </c>
      <c r="I1" s="5"/>
      <c r="J1" s="5"/>
      <c r="K1" s="5"/>
      <c r="L1" s="5"/>
      <c r="M1" s="6"/>
      <c r="N1" s="41" t="s">
        <v>14</v>
      </c>
      <c r="O1" s="6"/>
      <c r="P1" s="41" t="s">
        <v>15</v>
      </c>
      <c r="Q1" s="5"/>
      <c r="R1" s="5"/>
      <c r="S1" s="5"/>
      <c r="T1" s="5"/>
      <c r="U1" s="5"/>
      <c r="V1" s="5"/>
      <c r="W1" s="5"/>
      <c r="X1" s="6"/>
    </row>
    <row r="2" s="80" customFormat="1" ht="33" customHeight="1" spans="1:24">
      <c r="A2" s="67" t="s">
        <v>1</v>
      </c>
      <c r="B2" s="67" t="s">
        <v>16</v>
      </c>
      <c r="C2" s="86" t="s">
        <v>17</v>
      </c>
      <c r="D2" s="45" t="s">
        <v>18</v>
      </c>
      <c r="E2" s="46" t="s">
        <v>19</v>
      </c>
      <c r="F2" s="47" t="s">
        <v>20</v>
      </c>
      <c r="G2" s="42" t="s">
        <v>72</v>
      </c>
      <c r="H2" s="48" t="s">
        <v>22</v>
      </c>
      <c r="I2" s="88" t="s">
        <v>23</v>
      </c>
      <c r="J2" s="48" t="s">
        <v>24</v>
      </c>
      <c r="K2" s="89" t="s">
        <v>25</v>
      </c>
      <c r="L2" s="90" t="s">
        <v>26</v>
      </c>
      <c r="M2" s="91" t="s">
        <v>27</v>
      </c>
      <c r="N2" s="65" t="s">
        <v>28</v>
      </c>
      <c r="O2" s="66" t="s">
        <v>29</v>
      </c>
      <c r="P2" s="67" t="s">
        <v>30</v>
      </c>
      <c r="Q2" s="67" t="s">
        <v>31</v>
      </c>
      <c r="R2" s="67" t="s">
        <v>32</v>
      </c>
      <c r="S2" s="67" t="s">
        <v>33</v>
      </c>
      <c r="T2" s="67" t="s">
        <v>34</v>
      </c>
      <c r="U2" s="67" t="s">
        <v>35</v>
      </c>
      <c r="V2" s="67" t="s">
        <v>36</v>
      </c>
      <c r="W2" s="67" t="s">
        <v>38</v>
      </c>
      <c r="X2" s="67" t="s">
        <v>37</v>
      </c>
    </row>
    <row r="3" s="14" customFormat="1" spans="1:24">
      <c r="A3" s="60" t="s">
        <v>5</v>
      </c>
      <c r="B3" s="49" t="s">
        <v>39</v>
      </c>
      <c r="C3" s="56">
        <v>500000</v>
      </c>
      <c r="D3" s="52">
        <v>0.3</v>
      </c>
      <c r="E3" s="56">
        <f>信息流年框客户消费明细!$C$3</f>
        <v>733849.85</v>
      </c>
      <c r="F3" s="54">
        <f>$E$3/C3</f>
        <v>1.4676997</v>
      </c>
      <c r="G3" s="52">
        <f>IF($E$3&gt;=C4,D4,IF($E$3&gt;=C3,D3,"未达标"))</f>
        <v>0.3</v>
      </c>
      <c r="H3" s="56">
        <f>信息流年框客户消费明细!$B$3</f>
        <v>1021.43857142857</v>
      </c>
      <c r="I3" s="92" t="str">
        <f ca="1">IF($E$3&gt;=C3,"已达标",(C3-$E$3)/$N$3)</f>
        <v>已达标</v>
      </c>
      <c r="J3" s="93" t="str">
        <f ca="1">IF($E$3&gt;=C3,"已达标",$H$3-I3)</f>
        <v>已达标</v>
      </c>
      <c r="K3" s="68" t="str">
        <f ca="1">IF($E$3&gt;=C3,"已达标",IF(J3&lt;0,I3/$H$3-1,"当前日均已达标"))</f>
        <v>已达标</v>
      </c>
      <c r="L3" s="94">
        <f>(C3-$E$3)/$H$3</f>
        <v>-228.941667703953</v>
      </c>
      <c r="M3" s="70">
        <f ca="1" t="shared" ref="M3:M11" si="0">L3+TODAY()</f>
        <v>44924.058332296</v>
      </c>
      <c r="N3" s="49" t="e">
        <f ca="1">IF(TODAY()&gt;O3,"合同已到期",_xlfn.DAYS(O3+1,TODAY()))</f>
        <v>#NAME?</v>
      </c>
      <c r="O3" s="95">
        <v>45291</v>
      </c>
      <c r="P3" s="50" t="s">
        <v>7</v>
      </c>
      <c r="Q3" s="50" t="s">
        <v>40</v>
      </c>
      <c r="R3" s="50" t="s">
        <v>41</v>
      </c>
      <c r="S3" s="50" t="s">
        <v>42</v>
      </c>
      <c r="T3" s="50" t="s">
        <v>43</v>
      </c>
      <c r="U3" s="50" t="s">
        <v>73</v>
      </c>
      <c r="V3" s="50" t="s">
        <v>45</v>
      </c>
      <c r="W3" s="50" t="s">
        <v>46</v>
      </c>
      <c r="X3" s="50" t="s">
        <v>47</v>
      </c>
    </row>
    <row r="4" s="14" customFormat="1" spans="1:24">
      <c r="A4" s="7"/>
      <c r="B4" s="9"/>
      <c r="C4" s="56">
        <v>1000000</v>
      </c>
      <c r="D4" s="52">
        <v>0.36</v>
      </c>
      <c r="E4" s="9"/>
      <c r="F4" s="54">
        <f>$E$3/C4</f>
        <v>0.73384985</v>
      </c>
      <c r="G4" s="9"/>
      <c r="H4" s="9"/>
      <c r="I4" s="92" t="e">
        <f ca="1">IF($E$3&gt;=C4,"已达标",(C4-$E$3)/$N$3)</f>
        <v>#NAME?</v>
      </c>
      <c r="J4" s="93" t="e">
        <f ca="1">IF($E$3&gt;=C4,"已达标",$H$3-I4)</f>
        <v>#NAME?</v>
      </c>
      <c r="K4" s="68" t="e">
        <f ca="1">IF($E$3&gt;=C4,"已达标",IF(J4&lt;0,I4/$H$3-1,"当前日均已达标"))</f>
        <v>#NAME?</v>
      </c>
      <c r="L4" s="94">
        <f>(C4-$E$3)/$H$3</f>
        <v>260.564029443068</v>
      </c>
      <c r="M4" s="70">
        <f ca="1" t="shared" si="0"/>
        <v>45413.5640294431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="14" customFormat="1" spans="1:24">
      <c r="A5" s="7"/>
      <c r="B5" s="60" t="s">
        <v>74</v>
      </c>
      <c r="C5" s="56">
        <v>1000000</v>
      </c>
      <c r="D5" s="52">
        <v>0.1</v>
      </c>
      <c r="E5" s="87">
        <f>信息流年框客户消费明细!$C$5</f>
        <v>1076314.42</v>
      </c>
      <c r="F5" s="54">
        <f>$E$5/C5</f>
        <v>1.07631442</v>
      </c>
      <c r="G5" s="60">
        <f>IF($E$5&gt;=C8,D8,IF($E$5&gt;=C7,D7,IF($E$5&gt;=C6,D6,IF($E$5&gt;=C5,D5,"未达标"))))</f>
        <v>0.1</v>
      </c>
      <c r="H5" s="87">
        <f>信息流年框客户消费明细!$B$5</f>
        <v>4795.60571428571</v>
      </c>
      <c r="I5" s="92" t="str">
        <f ca="1">IF($E$5&gt;=C5,"已达标",(C5-$E$5)/$N$5)</f>
        <v>已达标</v>
      </c>
      <c r="J5" s="93" t="str">
        <f ca="1">IF($E$5&gt;=C5,"已达标",$H$5-I5)</f>
        <v>已达标</v>
      </c>
      <c r="K5" s="68" t="str">
        <f ca="1">IF($E$5&gt;=C5,"已达标",IF(J5&lt;0,I5/$H$5-1,"当前日均已达标"))</f>
        <v>已达标</v>
      </c>
      <c r="L5" s="94">
        <f>(C5-$E$5)/$H$5</f>
        <v>-15.9134058441597</v>
      </c>
      <c r="M5" s="70">
        <f ca="1" t="shared" si="0"/>
        <v>45137.0865941558</v>
      </c>
      <c r="N5" s="60" t="e">
        <f ca="1">IF(TODAY()&gt;O5,"合同已到期",_xlfn.DAYS(O5+1,TODAY()))</f>
        <v>#NAME?</v>
      </c>
      <c r="O5" s="96">
        <v>45291</v>
      </c>
      <c r="P5" s="60" t="s">
        <v>7</v>
      </c>
      <c r="Q5" s="60" t="s">
        <v>40</v>
      </c>
      <c r="R5" s="60" t="s">
        <v>41</v>
      </c>
      <c r="S5" s="60" t="s">
        <v>42</v>
      </c>
      <c r="T5" s="60" t="s">
        <v>43</v>
      </c>
      <c r="U5" s="97" t="s">
        <v>73</v>
      </c>
      <c r="V5" s="60" t="s">
        <v>75</v>
      </c>
      <c r="W5" s="60" t="s">
        <v>76</v>
      </c>
      <c r="X5" s="60" t="s">
        <v>77</v>
      </c>
    </row>
    <row r="6" s="14" customFormat="1" spans="1:24">
      <c r="A6" s="7"/>
      <c r="B6" s="7"/>
      <c r="C6" s="56">
        <v>1200000</v>
      </c>
      <c r="D6" s="52">
        <v>0.12</v>
      </c>
      <c r="E6" s="7"/>
      <c r="F6" s="54">
        <f>$E$5/C6</f>
        <v>0.896928683333333</v>
      </c>
      <c r="G6" s="7"/>
      <c r="H6" s="7"/>
      <c r="I6" s="92" t="e">
        <f ca="1">IF($E$5&gt;=C6,"已达标",(C6-$E$5)/$N$5)</f>
        <v>#NAME?</v>
      </c>
      <c r="J6" s="93" t="e">
        <f ca="1">IF($E$5&gt;=C6,"已达标",$H$5-I6)</f>
        <v>#NAME?</v>
      </c>
      <c r="K6" s="68" t="e">
        <f ca="1">IF($E$5&gt;=C6,"已达标",IF(J6&lt;0,I6/$H$5-1,"当前日均已达标"))</f>
        <v>#NAME?</v>
      </c>
      <c r="L6" s="94">
        <f>(C6-$E$5)/$H$5</f>
        <v>25.7914406164691</v>
      </c>
      <c r="M6" s="70">
        <f ca="1" t="shared" si="0"/>
        <v>45178.7914406165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="14" customFormat="1" spans="1:24">
      <c r="A7" s="7"/>
      <c r="B7" s="7"/>
      <c r="C7" s="56">
        <v>1500000</v>
      </c>
      <c r="D7" s="52">
        <v>0.15</v>
      </c>
      <c r="E7" s="7"/>
      <c r="F7" s="54">
        <f>$E$5/C7</f>
        <v>0.717542946666667</v>
      </c>
      <c r="G7" s="7"/>
      <c r="H7" s="7"/>
      <c r="I7" s="92" t="e">
        <f ca="1">IF($E$5&gt;=C7,"已达标",(C7-$E$5)/$N$5)</f>
        <v>#NAME?</v>
      </c>
      <c r="J7" s="93" t="e">
        <f ca="1">IF($E$5&gt;=C7,"已达标",$H$5-I7)</f>
        <v>#NAME?</v>
      </c>
      <c r="K7" s="68" t="e">
        <f ca="1">IF($E$5&gt;=C7,"已达标",IF(J7&lt;0,I7/$H$5-1,"当前日均已达标"))</f>
        <v>#NAME?</v>
      </c>
      <c r="L7" s="94">
        <f>(C7-$E$5)/$H$5</f>
        <v>88.3487103074124</v>
      </c>
      <c r="M7" s="70">
        <f ca="1" t="shared" si="0"/>
        <v>45241.3487103074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="14" customFormat="1" spans="1:24">
      <c r="A8" s="9"/>
      <c r="B8" s="9"/>
      <c r="C8" s="56">
        <v>2000000</v>
      </c>
      <c r="D8" s="52">
        <v>0.17</v>
      </c>
      <c r="E8" s="9"/>
      <c r="F8" s="54">
        <f>$E$5/C8</f>
        <v>0.53815721</v>
      </c>
      <c r="G8" s="9"/>
      <c r="H8" s="9"/>
      <c r="I8" s="92" t="e">
        <f ca="1">IF($E$5&gt;=C8,"已达标",(C8-$E$5)/$N$5)</f>
        <v>#NAME?</v>
      </c>
      <c r="J8" s="93" t="e">
        <f ca="1">IF($E$5&gt;=C8,"已达标",$H$5-I8)</f>
        <v>#NAME?</v>
      </c>
      <c r="K8" s="68" t="e">
        <f ca="1">IF($E$5&gt;=C8,"已达标",IF(J8&lt;0,I8/$H$5-1,"当前日均已达标"))</f>
        <v>#NAME?</v>
      </c>
      <c r="L8" s="94">
        <f>(C8-$E$5)/$H$5</f>
        <v>192.610826458984</v>
      </c>
      <c r="M8" s="70">
        <f ca="1" t="shared" si="0"/>
        <v>45345.610826459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49" t="s">
        <v>78</v>
      </c>
      <c r="B9" s="49" t="s">
        <v>79</v>
      </c>
      <c r="C9" s="56">
        <v>1000000</v>
      </c>
      <c r="D9" s="52">
        <v>0.29</v>
      </c>
      <c r="E9" s="56">
        <f>信息流年框客户消费明细!$C$4</f>
        <v>630496.89</v>
      </c>
      <c r="F9" s="54">
        <f>$E$9/C9</f>
        <v>0.63049689</v>
      </c>
      <c r="G9" s="49" t="str">
        <f>IF($E$9&gt;C11,D11,IF($E$9&gt;=C10,D10,IF($E$9&gt;=C9,D9,"未达标")))</f>
        <v>未达标</v>
      </c>
      <c r="H9" s="56">
        <f>信息流年框客户消费明细!$B$4</f>
        <v>3084.65428571429</v>
      </c>
      <c r="I9" s="11" t="e">
        <f ca="1">IF($E$9&gt;=C9,"已达标",(C9-$E$9)/$N$9)</f>
        <v>#NAME?</v>
      </c>
      <c r="J9" s="56" t="e">
        <f ca="1">IF($H$9&gt;=C9,"已达标",$H$9-I9)</f>
        <v>#NAME?</v>
      </c>
      <c r="K9" s="68" t="e">
        <f ca="1">IF($E$9&gt;=C9,"已达标",IF(J9&lt;0,I9/$H$9-1,"当前日均已达标"))</f>
        <v>#NAME?</v>
      </c>
      <c r="L9" s="94">
        <f>(C9-$E$9)/$H$9</f>
        <v>119.787527474716</v>
      </c>
      <c r="M9" s="70">
        <f ca="1" t="shared" si="0"/>
        <v>45272.7875274747</v>
      </c>
      <c r="N9" s="49" t="e">
        <f ca="1">IF(TODAY()&gt;O9,"合同已到期",_xlfn.DAYS(O9+1,TODAY()))</f>
        <v>#NAME?</v>
      </c>
      <c r="O9" s="70">
        <v>45291</v>
      </c>
      <c r="P9" s="49" t="s">
        <v>7</v>
      </c>
      <c r="Q9" s="49" t="s">
        <v>40</v>
      </c>
      <c r="R9" s="49" t="s">
        <v>78</v>
      </c>
      <c r="S9" s="50" t="s">
        <v>42</v>
      </c>
      <c r="T9" s="49" t="s">
        <v>43</v>
      </c>
      <c r="U9" s="50" t="s">
        <v>73</v>
      </c>
      <c r="V9" s="50" t="s">
        <v>80</v>
      </c>
      <c r="W9" s="49" t="s">
        <v>81</v>
      </c>
      <c r="X9" s="49" t="s">
        <v>82</v>
      </c>
    </row>
    <row r="10" spans="1:24">
      <c r="A10" s="7"/>
      <c r="B10" s="7"/>
      <c r="C10" s="56">
        <v>1500000</v>
      </c>
      <c r="D10" s="52">
        <v>0.31</v>
      </c>
      <c r="E10" s="7"/>
      <c r="F10" s="54">
        <f>$E$9/C10</f>
        <v>0.42033126</v>
      </c>
      <c r="G10" s="7"/>
      <c r="H10" s="7"/>
      <c r="I10" s="11" t="e">
        <f ca="1">IF($E$9&gt;=C10,"已达标",(C10-$E$9)/$N$9)</f>
        <v>#NAME?</v>
      </c>
      <c r="J10" s="56" t="e">
        <f ca="1">IF($H$9&gt;=C10,"已达标",$H$9-I10)</f>
        <v>#NAME?</v>
      </c>
      <c r="K10" s="68" t="e">
        <f ca="1">IF($E$9&gt;=C10,"已达标",IF(J10&lt;0,I10/$H$9-1,"当前日均已达标"))</f>
        <v>#NAME?</v>
      </c>
      <c r="L10" s="94">
        <f>(C10-$E$9)/$H$9</f>
        <v>281.880246362408</v>
      </c>
      <c r="M10" s="70">
        <f ca="1" t="shared" si="0"/>
        <v>45434.8802463624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9"/>
      <c r="B11" s="9"/>
      <c r="C11" s="56">
        <v>2000000</v>
      </c>
      <c r="D11" s="52">
        <v>0.33</v>
      </c>
      <c r="E11" s="9"/>
      <c r="F11" s="54">
        <f>$E$9/C11</f>
        <v>0.315248445</v>
      </c>
      <c r="G11" s="9"/>
      <c r="H11" s="9"/>
      <c r="I11" s="11" t="e">
        <f ca="1">IF($E$9&gt;=C11,"已达标",(C11-$E$9)/$N$9)</f>
        <v>#NAME?</v>
      </c>
      <c r="J11" s="56" t="e">
        <f ca="1">IF($H$9&gt;=C11,"已达标",$H$9-I11)</f>
        <v>#NAME?</v>
      </c>
      <c r="K11" s="68" t="e">
        <f ca="1">IF($E$9&gt;=C11,"已达标",IF(J11&lt;0,I11/$H$9-1,"当前日均已达标"))</f>
        <v>#NAME?</v>
      </c>
      <c r="L11" s="94">
        <f>(C11-$E$9)/$H$9</f>
        <v>443.9729652501</v>
      </c>
      <c r="M11" s="70">
        <f ca="1" t="shared" si="0"/>
        <v>45596.9729652501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</sheetData>
  <mergeCells count="52">
    <mergeCell ref="A1:D1"/>
    <mergeCell ref="E1:G1"/>
    <mergeCell ref="H1:M1"/>
    <mergeCell ref="N1:O1"/>
    <mergeCell ref="P1:X1"/>
    <mergeCell ref="A3:A8"/>
    <mergeCell ref="A9:A11"/>
    <mergeCell ref="B3:B4"/>
    <mergeCell ref="B5:B8"/>
    <mergeCell ref="B9:B11"/>
    <mergeCell ref="E3:E4"/>
    <mergeCell ref="E5:E8"/>
    <mergeCell ref="E9:E11"/>
    <mergeCell ref="G3:G4"/>
    <mergeCell ref="G5:G8"/>
    <mergeCell ref="G9:G11"/>
    <mergeCell ref="H3:H4"/>
    <mergeCell ref="H5:H8"/>
    <mergeCell ref="H9:H11"/>
    <mergeCell ref="N3:N4"/>
    <mergeCell ref="N5:N8"/>
    <mergeCell ref="N9:N11"/>
    <mergeCell ref="O3:O4"/>
    <mergeCell ref="O5:O8"/>
    <mergeCell ref="O9:O11"/>
    <mergeCell ref="P3:P4"/>
    <mergeCell ref="P5:P8"/>
    <mergeCell ref="P9:P11"/>
    <mergeCell ref="Q3:Q4"/>
    <mergeCell ref="Q5:Q8"/>
    <mergeCell ref="Q9:Q11"/>
    <mergeCell ref="R3:R4"/>
    <mergeCell ref="R5:R8"/>
    <mergeCell ref="R9:R11"/>
    <mergeCell ref="S3:S4"/>
    <mergeCell ref="S5:S8"/>
    <mergeCell ref="S9:S11"/>
    <mergeCell ref="T3:T4"/>
    <mergeCell ref="T5:T8"/>
    <mergeCell ref="T9:T11"/>
    <mergeCell ref="U3:U4"/>
    <mergeCell ref="U5:U8"/>
    <mergeCell ref="U9:U11"/>
    <mergeCell ref="V3:V4"/>
    <mergeCell ref="V5:V8"/>
    <mergeCell ref="V9:V11"/>
    <mergeCell ref="W3:W4"/>
    <mergeCell ref="W5:W8"/>
    <mergeCell ref="W9:W11"/>
    <mergeCell ref="X3:X4"/>
    <mergeCell ref="X5:X8"/>
    <mergeCell ref="X9:X11"/>
  </mergeCells>
  <conditionalFormatting sqref="F3:F4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{2ebe1008-efaa-42b1-bb78-e00107f8349c}</x14:id>
        </ext>
      </extLst>
    </cfRule>
  </conditionalFormatting>
  <conditionalFormatting sqref="F5:F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{bc4555a4-815b-4525-a7b1-4cfa78d60202}</x14:id>
        </ext>
      </extLst>
    </cfRule>
  </conditionalFormatting>
  <conditionalFormatting sqref="F9:F1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{57c24db8-13ab-4a99-b45d-4457599e22dd}</x14:id>
        </ext>
      </extLst>
    </cfRule>
  </conditionalFormatting>
  <conditionalFormatting sqref="K3:K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{d588be62-2d68-4fa3-b74b-4f0f65b4eb95}</x14:id>
        </ext>
      </extLst>
    </cfRule>
  </conditionalFormatting>
  <conditionalFormatting sqref="K5:K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{49fd94e5-ddf6-43fd-a9d3-dbdf7c91142b}</x14:id>
        </ext>
      </extLst>
    </cfRule>
  </conditionalFormatting>
  <conditionalFormatting sqref="K9:K1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{c62d4dba-a420-4a26-ae4b-3725730802fa}</x14:id>
        </ext>
      </extLst>
    </cfRule>
  </conditionalFormatting>
  <conditionalFormatting sqref="L3:L8">
    <cfRule type="cellIs" dxfId="0" priority="26" operator="greaterThanOrEqual">
      <formula>0</formula>
    </cfRule>
    <cfRule type="cellIs" dxfId="1" priority="27" operator="greaterThanOrEqual">
      <formula>0</formula>
    </cfRule>
    <cfRule type="cellIs" dxfId="2" priority="28" operator="lessThan">
      <formula>0</formula>
    </cfRule>
    <cfRule type="cellIs" dxfId="3" priority="29" operator="greaterThanOrEqual">
      <formula>0</formula>
    </cfRule>
  </conditionalFormatting>
  <conditionalFormatting sqref="M3:M8">
    <cfRule type="cellIs" dxfId="0" priority="8" operator="greaterThanOrEqual">
      <formula>0</formula>
    </cfRule>
    <cfRule type="cellIs" dxfId="1" priority="9" operator="greaterThanOrEqual">
      <formula>0</formula>
    </cfRule>
    <cfRule type="cellIs" dxfId="2" priority="10" operator="lessThan">
      <formula>0</formula>
    </cfRule>
    <cfRule type="cellIs" dxfId="4" priority="11" operator="lessThan">
      <formula>0</formula>
    </cfRule>
    <cfRule type="cellIs" dxfId="5" priority="12" operator="greaterThanOrEqual">
      <formula>0</formula>
    </cfRule>
    <cfRule type="cellIs" dxfId="6" priority="13" operator="greaterThanOrEqual">
      <formula>0</formula>
    </cfRule>
  </conditionalFormatting>
  <conditionalFormatting sqref="E1 E2:G2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{ec0ab6c4-1c6d-4ead-931e-285e1d4d37f5}</x14:id>
        </ext>
      </extLst>
    </cfRule>
  </conditionalFormatting>
  <conditionalFormatting sqref="F1:F2 F12:F1048576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{0e10a07b-f683-4312-b3c2-b004467cd911}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{f7f057ac-9ee9-4508-b3a2-113d93b5f0a2}</x14:id>
        </ext>
      </extLst>
    </cfRule>
  </conditionalFormatting>
  <conditionalFormatting sqref="K1:K2 K12:K1048576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{74ed9a3c-02f1-492b-9f27-90230104444a}</x14:id>
        </ext>
      </extLst>
    </cfRule>
  </conditionalFormatting>
  <conditionalFormatting sqref="L3:M8">
    <cfRule type="cellIs" dxfId="0" priority="30" operator="greaterThanOrEqual">
      <formula>0</formula>
    </cfRule>
    <cfRule type="cellIs" dxfId="1" priority="31" operator="greaterThanOrEqual">
      <formula>0</formula>
    </cfRule>
    <cfRule type="cellIs" dxfId="2" priority="32" operator="lessThan">
      <formula>0</formula>
    </cfRule>
    <cfRule type="cellIs" dxfId="3" priority="33" operator="greaterThanOrEqual">
      <formula>0</formula>
    </cfRule>
  </conditionalFormatting>
  <conditionalFormatting sqref="K12:M1048576 L9:M11">
    <cfRule type="cellIs" dxfId="0" priority="212" operator="greaterThanOrEqual">
      <formula>0</formula>
    </cfRule>
    <cfRule type="cellIs" dxfId="1" priority="213" operator="greaterThanOrEqual">
      <formula>0</formula>
    </cfRule>
    <cfRule type="cellIs" dxfId="2" priority="214" operator="lessThan">
      <formula>0</formula>
    </cfRule>
    <cfRule type="cellIs" dxfId="3" priority="215" operator="greaterThanOrEqual">
      <formula>0</formula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be1008-efaa-42b1-bb78-e00107f8349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F3:F4</xm:sqref>
        </x14:conditionalFormatting>
        <x14:conditionalFormatting xmlns:xm="http://schemas.microsoft.com/office/excel/2006/main">
          <x14:cfRule type="dataBar" id="{bc4555a4-815b-4525-a7b1-4cfa78d6020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F5:F8</xm:sqref>
        </x14:conditionalFormatting>
        <x14:conditionalFormatting xmlns:xm="http://schemas.microsoft.com/office/excel/2006/main">
          <x14:cfRule type="dataBar" id="{57c24db8-13ab-4a99-b45d-4457599e22d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F9:F11</xm:sqref>
        </x14:conditionalFormatting>
        <x14:conditionalFormatting xmlns:xm="http://schemas.microsoft.com/office/excel/2006/main">
          <x14:cfRule type="dataBar" id="{d588be62-2d68-4fa3-b74b-4f0f65b4eb9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K3:K4</xm:sqref>
        </x14:conditionalFormatting>
        <x14:conditionalFormatting xmlns:xm="http://schemas.microsoft.com/office/excel/2006/main">
          <x14:cfRule type="dataBar" id="{49fd94e5-ddf6-43fd-a9d3-dbdf7c91142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K5:K8</xm:sqref>
        </x14:conditionalFormatting>
        <x14:conditionalFormatting xmlns:xm="http://schemas.microsoft.com/office/excel/2006/main">
          <x14:cfRule type="dataBar" id="{c62d4dba-a420-4a26-ae4b-3725730802f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K9:K11</xm:sqref>
        </x14:conditionalFormatting>
        <x14:conditionalFormatting xmlns:xm="http://schemas.microsoft.com/office/excel/2006/main">
          <x14:cfRule type="dataBar" id="{ec0ab6c4-1c6d-4ead-931e-285e1d4d37f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E1 E2:G2</xm:sqref>
        </x14:conditionalFormatting>
        <x14:conditionalFormatting xmlns:xm="http://schemas.microsoft.com/office/excel/2006/main">
          <x14:cfRule type="dataBar" id="{0e10a07b-f683-4312-b3c2-b004467cd91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7f057ac-9ee9-4508-b3a2-113d93b5f0a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F1:F2 F12:F1048576</xm:sqref>
        </x14:conditionalFormatting>
        <x14:conditionalFormatting xmlns:xm="http://schemas.microsoft.com/office/excel/2006/main">
          <x14:cfRule type="dataBar" id="{74ed9a3c-02f1-492b-9f27-90230104444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K1:K2 K12:K1048576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X32"/>
  <sheetViews>
    <sheetView workbookViewId="0">
      <pane ySplit="2" topLeftCell="A3" activePane="bottomLeft" state="frozen"/>
      <selection/>
      <selection pane="bottomLeft" activeCell="E2" sqref="E2"/>
    </sheetView>
  </sheetViews>
  <sheetFormatPr defaultColWidth="9" defaultRowHeight="16.5"/>
  <cols>
    <col min="1" max="1" width="9" style="14" customWidth="1"/>
    <col min="2" max="2" width="28.25" style="15" customWidth="1"/>
    <col min="3" max="3" width="13.25" style="15" customWidth="1"/>
    <col min="4" max="4" width="10" style="36" customWidth="1"/>
    <col min="5" max="5" width="13.625" style="37" customWidth="1"/>
    <col min="6" max="6" width="13.625" style="38" customWidth="1"/>
    <col min="7" max="7" width="10.875" style="15" customWidth="1"/>
    <col min="8" max="8" width="11.25" style="39" customWidth="1"/>
    <col min="9" max="9" width="10.875" style="15" customWidth="1"/>
    <col min="10" max="10" width="11.25" style="15" customWidth="1"/>
    <col min="11" max="11" width="17.25" style="38" customWidth="1"/>
    <col min="12" max="12" width="12.125" style="15" customWidth="1"/>
    <col min="13" max="13" width="11" style="40" customWidth="1"/>
    <col min="14" max="14" width="10.375" style="15" customWidth="1"/>
    <col min="15" max="15" width="13.875" style="40" customWidth="1"/>
    <col min="16" max="16" width="13.75" style="15" customWidth="1"/>
    <col min="17" max="17" width="12" style="15" customWidth="1"/>
    <col min="18" max="18" width="8.5" style="15" customWidth="1"/>
    <col min="19" max="19" width="7.5" style="15" customWidth="1"/>
    <col min="20" max="20" width="27.75" style="15" customWidth="1"/>
    <col min="21" max="21" width="11.25" style="15" customWidth="1"/>
    <col min="22" max="23" width="9" style="15" customWidth="1"/>
    <col min="24" max="24" width="8" style="15" customWidth="1"/>
    <col min="25" max="16384" width="9" style="15" customWidth="1"/>
  </cols>
  <sheetData>
    <row r="1" s="14" customFormat="1" spans="1:24">
      <c r="A1" s="41" t="s">
        <v>11</v>
      </c>
      <c r="B1" s="5"/>
      <c r="C1" s="5"/>
      <c r="D1" s="6"/>
      <c r="E1" s="42" t="s">
        <v>12</v>
      </c>
      <c r="F1" s="5"/>
      <c r="G1" s="6"/>
      <c r="H1" s="43" t="s">
        <v>13</v>
      </c>
      <c r="I1" s="5"/>
      <c r="J1" s="5"/>
      <c r="K1" s="5"/>
      <c r="L1" s="5"/>
      <c r="M1" s="6"/>
      <c r="N1" s="41" t="s">
        <v>14</v>
      </c>
      <c r="O1" s="6"/>
      <c r="P1" s="41" t="s">
        <v>15</v>
      </c>
      <c r="Q1" s="5"/>
      <c r="R1" s="5"/>
      <c r="S1" s="5"/>
      <c r="T1" s="5"/>
      <c r="U1" s="5"/>
      <c r="V1" s="5"/>
      <c r="W1" s="5"/>
      <c r="X1" s="6"/>
    </row>
    <row r="2" s="14" customFormat="1" ht="49.5" customHeight="1" spans="1:24">
      <c r="A2" s="44" t="s">
        <v>1</v>
      </c>
      <c r="B2" s="41" t="s">
        <v>16</v>
      </c>
      <c r="C2" s="41" t="s">
        <v>17</v>
      </c>
      <c r="D2" s="45" t="s">
        <v>18</v>
      </c>
      <c r="E2" s="46" t="s">
        <v>83</v>
      </c>
      <c r="F2" s="47" t="s">
        <v>20</v>
      </c>
      <c r="G2" s="42" t="s">
        <v>72</v>
      </c>
      <c r="H2" s="48" t="s">
        <v>84</v>
      </c>
      <c r="I2" s="62" t="s">
        <v>23</v>
      </c>
      <c r="J2" s="62" t="s">
        <v>24</v>
      </c>
      <c r="K2" s="63" t="s">
        <v>25</v>
      </c>
      <c r="L2" s="62" t="s">
        <v>26</v>
      </c>
      <c r="M2" s="64" t="s">
        <v>27</v>
      </c>
      <c r="N2" s="65" t="s">
        <v>28</v>
      </c>
      <c r="O2" s="66" t="s">
        <v>29</v>
      </c>
      <c r="P2" s="67" t="s">
        <v>30</v>
      </c>
      <c r="Q2" s="41" t="s">
        <v>31</v>
      </c>
      <c r="R2" s="41" t="s">
        <v>32</v>
      </c>
      <c r="S2" s="67" t="s">
        <v>33</v>
      </c>
      <c r="T2" s="41" t="s">
        <v>34</v>
      </c>
      <c r="U2" s="67" t="s">
        <v>35</v>
      </c>
      <c r="V2" s="41" t="s">
        <v>36</v>
      </c>
      <c r="W2" s="41" t="s">
        <v>37</v>
      </c>
      <c r="X2" s="41" t="s">
        <v>38</v>
      </c>
    </row>
    <row r="3" s="14" customFormat="1" spans="1:24">
      <c r="A3" s="49" t="s">
        <v>5</v>
      </c>
      <c r="B3" s="50" t="s">
        <v>85</v>
      </c>
      <c r="C3" s="51">
        <v>1500000</v>
      </c>
      <c r="D3" s="52">
        <v>0.16</v>
      </c>
      <c r="E3" s="53">
        <f>SUM('大搜+信息流年框客户消费明细'!$F$4:$F$5)</f>
        <v>1019562.7</v>
      </c>
      <c r="F3" s="54">
        <f>E3/C3</f>
        <v>0.679708466666667</v>
      </c>
      <c r="G3" s="55" t="str">
        <f>IF(E3&gt;=C4,D4,IF(E3&gt;=C3,D3,"未达标"))</f>
        <v>未达标</v>
      </c>
      <c r="H3" s="56">
        <f>'大搜+信息流年框客户消费明细'!B4+'大搜+信息流年框客户消费明细'!B5+'大搜+信息流年框客户消费明细'!C4+'大搜+信息流年框客户消费明细'!C5</f>
        <v>1114.21285714286</v>
      </c>
      <c r="I3" s="56" t="e">
        <f ca="1">(C3-E3)/N3</f>
        <v>#VALUE!</v>
      </c>
      <c r="J3" s="56" t="e">
        <f ca="1">H3-I3</f>
        <v>#VALUE!</v>
      </c>
      <c r="K3" s="68" t="e">
        <f ca="1">IF(J3&lt;0,I3/H3-1,"当前日均可达标")</f>
        <v>#VALUE!</v>
      </c>
      <c r="L3" s="69">
        <f>(C3-E3)/H3</f>
        <v>431.189872671162</v>
      </c>
      <c r="M3" s="70">
        <f ca="1" t="shared" ref="M3:M32" si="0">TODAY()+L3</f>
        <v>45584.1898726712</v>
      </c>
      <c r="N3" s="49" t="str">
        <f ca="1">IF(TODAY()&gt;O3,"合同已到期",DATE(2023,6,16)-TODAY()+1)</f>
        <v>合同已到期</v>
      </c>
      <c r="O3" s="70">
        <v>45093</v>
      </c>
      <c r="P3" s="70" t="s">
        <v>86</v>
      </c>
      <c r="Q3" s="70" t="s">
        <v>87</v>
      </c>
      <c r="R3" s="70" t="s">
        <v>5</v>
      </c>
      <c r="S3" s="70" t="s">
        <v>42</v>
      </c>
      <c r="T3" s="70" t="s">
        <v>88</v>
      </c>
      <c r="U3" s="70" t="s">
        <v>10</v>
      </c>
      <c r="V3" s="70" t="s">
        <v>89</v>
      </c>
      <c r="W3" s="70" t="s">
        <v>90</v>
      </c>
      <c r="X3" s="70" t="s">
        <v>91</v>
      </c>
    </row>
    <row r="4" s="14" customFormat="1" spans="1:24">
      <c r="A4" s="7"/>
      <c r="B4" s="9"/>
      <c r="C4" s="51">
        <v>3500000</v>
      </c>
      <c r="D4" s="52">
        <v>0.17</v>
      </c>
      <c r="E4" s="9"/>
      <c r="F4" s="54">
        <f>E3/C4</f>
        <v>0.291303628571429</v>
      </c>
      <c r="G4" s="9"/>
      <c r="H4" s="9"/>
      <c r="I4" s="56" t="e">
        <f ca="1">(C4-E3)/N3</f>
        <v>#VALUE!</v>
      </c>
      <c r="J4" s="56" t="e">
        <f ca="1">H3-I4</f>
        <v>#VALUE!</v>
      </c>
      <c r="K4" s="68" t="e">
        <f ca="1">IF(J4&lt;0,I4/H3-1,"当前日均可达标")</f>
        <v>#VALUE!</v>
      </c>
      <c r="L4" s="69">
        <f>(C4-E3)/H3</f>
        <v>2226.17903221877</v>
      </c>
      <c r="M4" s="70">
        <f ca="1" t="shared" si="0"/>
        <v>47379.1790322188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="14" customFormat="1" ht="15.75" customHeight="1" spans="1:24">
      <c r="A5" s="7"/>
      <c r="B5" s="49" t="s">
        <v>92</v>
      </c>
      <c r="C5" s="51">
        <v>800000</v>
      </c>
      <c r="D5" s="52">
        <v>0.04</v>
      </c>
      <c r="E5" s="56">
        <f>'大搜+信息流年框客户消费明细'!$F$6</f>
        <v>686759.52</v>
      </c>
      <c r="F5" s="54">
        <f>$E$5/C5</f>
        <v>0.8584494</v>
      </c>
      <c r="G5" s="49" t="str">
        <f>IF(E5&gt;=C7,D7,IF(E5&gt;=C6,D6,IF(E5&gt;=C5,D5,"未达标")))</f>
        <v>未达标</v>
      </c>
      <c r="H5" s="56">
        <f>'大搜+信息流年框客户消费明细'!B6+'大搜+信息流年框客户消费明细'!C6</f>
        <v>2932.73571428571</v>
      </c>
      <c r="I5" s="56">
        <f ca="1">(C5-$E$5)/$N$5</f>
        <v>1451.80102564103</v>
      </c>
      <c r="J5" s="56">
        <f ca="1">$H$5-I5</f>
        <v>1480.93468864469</v>
      </c>
      <c r="K5" s="68" t="str">
        <f ca="1">IF(J5&lt;0,I5/$H$5-1,"当前日均可达标")</f>
        <v>当前日均可达标</v>
      </c>
      <c r="L5" s="69">
        <f>(C5-$E$5)/$H$5</f>
        <v>38.612575776396</v>
      </c>
      <c r="M5" s="70">
        <f ca="1" t="shared" si="0"/>
        <v>45191.6125757764</v>
      </c>
      <c r="N5" s="71">
        <f ca="1">IF(TODAY()&gt;O5,"合同已到期",DATE(2023,10,31)-TODAY()+1)</f>
        <v>78</v>
      </c>
      <c r="O5" s="70">
        <v>45230</v>
      </c>
      <c r="P5" s="72" t="s">
        <v>86</v>
      </c>
      <c r="Q5" s="49" t="s">
        <v>87</v>
      </c>
      <c r="R5" s="49" t="s">
        <v>5</v>
      </c>
      <c r="S5" s="49" t="s">
        <v>42</v>
      </c>
      <c r="T5" s="75" t="s">
        <v>93</v>
      </c>
      <c r="U5" s="49" t="s">
        <v>10</v>
      </c>
      <c r="V5" s="50" t="s">
        <v>94</v>
      </c>
      <c r="W5" s="49" t="s">
        <v>95</v>
      </c>
      <c r="X5" s="49" t="s">
        <v>95</v>
      </c>
    </row>
    <row r="6" s="14" customFormat="1" ht="15.75" customHeight="1" spans="1:24">
      <c r="A6" s="7"/>
      <c r="B6" s="7"/>
      <c r="C6" s="51">
        <v>1100000</v>
      </c>
      <c r="D6" s="52">
        <v>0.05</v>
      </c>
      <c r="E6" s="7"/>
      <c r="F6" s="54">
        <f>$E$5/C6</f>
        <v>0.624326836363636</v>
      </c>
      <c r="G6" s="7"/>
      <c r="H6" s="7"/>
      <c r="I6" s="56">
        <f ca="1">(C6-$E$5)/$N$5</f>
        <v>5297.95487179487</v>
      </c>
      <c r="J6" s="56">
        <f ca="1">$H$5-I6</f>
        <v>-2365.21915750916</v>
      </c>
      <c r="K6" s="68">
        <f ca="1">IF(J6&lt;0,I6/$H$5-1,"当前日均可达标")</f>
        <v>0.806489021833057</v>
      </c>
      <c r="L6" s="69">
        <f>(C6-$E$5)/$H$5</f>
        <v>140.906143702978</v>
      </c>
      <c r="M6" s="70">
        <f ca="1" t="shared" si="0"/>
        <v>45293.906143703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="14" customFormat="1" ht="15.75" customHeight="1" spans="1:24">
      <c r="A7" s="7"/>
      <c r="B7" s="9"/>
      <c r="C7" s="51">
        <v>1500000</v>
      </c>
      <c r="D7" s="52">
        <v>0.07</v>
      </c>
      <c r="E7" s="9"/>
      <c r="F7" s="54">
        <f>$E$5/C7</f>
        <v>0.45783968</v>
      </c>
      <c r="G7" s="9"/>
      <c r="H7" s="9"/>
      <c r="I7" s="56">
        <f ca="1">(C7-$E$5)/$N$5</f>
        <v>10426.16</v>
      </c>
      <c r="J7" s="56">
        <f ca="1">$H$5-I7</f>
        <v>-7493.42428571429</v>
      </c>
      <c r="K7" s="68">
        <f ca="1">IF(J7&lt;0,I7/$H$5-1,"当前日均可达标")</f>
        <v>2.55509702057806</v>
      </c>
      <c r="L7" s="69">
        <f>(C7-$E$5)/$H$5</f>
        <v>277.297567605088</v>
      </c>
      <c r="M7" s="70">
        <f ca="1" t="shared" si="0"/>
        <v>45430.2975676051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="14" customFormat="1" spans="1:24">
      <c r="A8" s="7"/>
      <c r="B8" s="49" t="s">
        <v>96</v>
      </c>
      <c r="C8" s="51">
        <v>1400000</v>
      </c>
      <c r="D8" s="52">
        <v>0.04</v>
      </c>
      <c r="E8" s="56">
        <f>'大搜+信息流年框客户消费明细'!$F$8</f>
        <v>1007286.03</v>
      </c>
      <c r="F8" s="54">
        <f>$E$8/C8</f>
        <v>0.719490021428571</v>
      </c>
      <c r="G8" s="49" t="str">
        <f>IF($E$8&gt;=C11,D11,IF($E$8&gt;=C10,D10,IF($E$8&gt;=C9,D9,IF($E$8&gt;=C8,D8,"未达标"))))</f>
        <v>未达标</v>
      </c>
      <c r="H8" s="56">
        <f>'大搜+信息流年框客户消费明细'!$B$8+'大搜+信息流年框客户消费明细'!$C$8</f>
        <v>2426.72</v>
      </c>
      <c r="I8" s="56" t="e">
        <f ca="1">IF($E$8&gt;=C8,"已达标",(C8-$E$8)/$N$8)</f>
        <v>#NAME?</v>
      </c>
      <c r="J8" s="56" t="e">
        <f ca="1">IF($E$8&gt;=C8,"已达标",$H$8-I8)</f>
        <v>#NAME?</v>
      </c>
      <c r="K8" s="68" t="e">
        <f ca="1">IF($E$8&gt;=C8,"已达标",IF(J8&lt;0,I8/$H$8-1,"当前日均可达标"))</f>
        <v>#NAME?</v>
      </c>
      <c r="L8" s="69">
        <f>(C8-$E$8)/$H$8</f>
        <v>161.829123261027</v>
      </c>
      <c r="M8" s="70">
        <f ca="1" t="shared" si="0"/>
        <v>45314.829123261</v>
      </c>
      <c r="N8" s="49" t="e">
        <f ca="1">IF(TODAY()&gt;O8,"合同已到期",_xlfn.DAYS(O8+1,TODAY()))</f>
        <v>#NAME?</v>
      </c>
      <c r="O8" s="70">
        <v>45291</v>
      </c>
      <c r="P8" s="49" t="s">
        <v>4</v>
      </c>
      <c r="Q8" s="49" t="s">
        <v>40</v>
      </c>
      <c r="R8" s="49" t="s">
        <v>41</v>
      </c>
      <c r="S8" s="49" t="s">
        <v>42</v>
      </c>
      <c r="T8" s="49" t="s">
        <v>43</v>
      </c>
      <c r="U8" s="49" t="s">
        <v>10</v>
      </c>
      <c r="V8" s="49" t="s">
        <v>45</v>
      </c>
      <c r="W8" s="49" t="s">
        <v>67</v>
      </c>
      <c r="X8" s="49" t="s">
        <v>47</v>
      </c>
    </row>
    <row r="9" s="14" customFormat="1" spans="1:24">
      <c r="A9" s="7"/>
      <c r="B9" s="7"/>
      <c r="C9" s="51">
        <v>1700000</v>
      </c>
      <c r="D9" s="52">
        <v>0.05</v>
      </c>
      <c r="E9" s="7"/>
      <c r="F9" s="54">
        <f>$E$8/C9</f>
        <v>0.592521194117647</v>
      </c>
      <c r="G9" s="7"/>
      <c r="H9" s="7"/>
      <c r="I9" s="56" t="e">
        <f ca="1">IF($E$8&gt;=C9,"已达标",(C9-$E$8)/$N$8)</f>
        <v>#NAME?</v>
      </c>
      <c r="J9" s="56" t="e">
        <f ca="1">IF($E$8&gt;=C9,"已达标",$H$8-I9)</f>
        <v>#NAME?</v>
      </c>
      <c r="K9" s="68" t="e">
        <f ca="1">IF($E$8&gt;=C9,"已达标",IF(J9&lt;0,I9/$H$8-1,"当前日均可达标"))</f>
        <v>#NAME?</v>
      </c>
      <c r="L9" s="69">
        <f>(C9-$E$8)/$H$8</f>
        <v>285.452779883959</v>
      </c>
      <c r="M9" s="70">
        <f ca="1" t="shared" si="0"/>
        <v>45438.452779884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="14" customFormat="1" spans="1:24">
      <c r="A10" s="7"/>
      <c r="B10" s="7"/>
      <c r="C10" s="51">
        <v>2000000</v>
      </c>
      <c r="D10" s="52">
        <v>0.06</v>
      </c>
      <c r="E10" s="7"/>
      <c r="F10" s="54">
        <f>$E$8/C10</f>
        <v>0.503643015</v>
      </c>
      <c r="G10" s="7"/>
      <c r="H10" s="7"/>
      <c r="I10" s="56" t="e">
        <f ca="1">IF($E$8&gt;=C10,"已达标",(C10-$E$8)/$N$8)</f>
        <v>#NAME?</v>
      </c>
      <c r="J10" s="56" t="e">
        <f ca="1">IF($E$8&gt;=C10,"已达标",$H$8-I10)</f>
        <v>#NAME?</v>
      </c>
      <c r="K10" s="68" t="e">
        <f ca="1">IF($E$8&gt;=C10,"已达标",IF(J10&lt;0,I10/$H$8-1,"当前日均可达标"))</f>
        <v>#NAME?</v>
      </c>
      <c r="L10" s="69">
        <f>(C10-$E$8)/$H$8</f>
        <v>409.07643650689</v>
      </c>
      <c r="M10" s="70">
        <f ca="1" t="shared" si="0"/>
        <v>45562.0764365069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="14" customFormat="1" spans="1:24">
      <c r="A11" s="7"/>
      <c r="B11" s="9"/>
      <c r="C11" s="51">
        <v>2500000</v>
      </c>
      <c r="D11" s="52">
        <v>0.07</v>
      </c>
      <c r="E11" s="9"/>
      <c r="F11" s="54">
        <f>$E$8/C11</f>
        <v>0.402914412</v>
      </c>
      <c r="G11" s="9"/>
      <c r="H11" s="9"/>
      <c r="I11" s="56" t="e">
        <f ca="1">IF($E$8&gt;=C11,"已达标",(C11-$E$8)/$N$8)</f>
        <v>#NAME?</v>
      </c>
      <c r="J11" s="56" t="e">
        <f ca="1">IF($E$8&gt;=C11,"已达标",$H$8-I11)</f>
        <v>#NAME?</v>
      </c>
      <c r="K11" s="68" t="e">
        <f ca="1">IF($E$8&gt;=C11,"已达标",IF(J11&lt;0,I11/$H$8-1,"当前日均可达标"))</f>
        <v>#NAME?</v>
      </c>
      <c r="L11" s="69">
        <f>(C11-$E$8)/$H$8</f>
        <v>615.115864211776</v>
      </c>
      <c r="M11" s="70">
        <f ca="1" t="shared" si="0"/>
        <v>45768.1158642118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="14" customFormat="1" spans="1:24">
      <c r="A12" s="7"/>
      <c r="B12" s="49" t="s">
        <v>97</v>
      </c>
      <c r="C12" s="51">
        <v>1800000</v>
      </c>
      <c r="D12" s="52">
        <v>0.04</v>
      </c>
      <c r="E12" s="56">
        <f>'大搜+信息流年框客户消费明细'!$F$9</f>
        <v>1165882.72</v>
      </c>
      <c r="F12" s="54">
        <f>$E$12/C12</f>
        <v>0.647712622222222</v>
      </c>
      <c r="G12" s="49" t="str">
        <f>IF($E$12&gt;=C15,D15,IF($E$8&gt;=C14,D14,IF($E$8&gt;=C13,D13,IF($E$8&gt;=C12,D12,"未达标"))))</f>
        <v>未达标</v>
      </c>
      <c r="H12" s="56">
        <f>'大搜+信息流年框客户消费明细'!$B$9+'大搜+信息流年框客户消费明细'!$C$9</f>
        <v>4372.60571428571</v>
      </c>
      <c r="I12" s="56" t="e">
        <f ca="1">IF($E$12&gt;=C12,"已达标",(C12-$E$12)/$N$12)</f>
        <v>#NAME?</v>
      </c>
      <c r="J12" s="56" t="e">
        <f ca="1">IF($E$12&gt;=C12,"已达标",$H$12-I12)</f>
        <v>#NAME?</v>
      </c>
      <c r="K12" s="68" t="e">
        <f ca="1">IF($E$12&gt;=C12,"已达标",IF(J12&lt;0,I12/$H$12-1,"当前日均可达标"))</f>
        <v>#NAME?</v>
      </c>
      <c r="L12" s="69">
        <f>(C12-$E$12)/$H$12</f>
        <v>145.020457236352</v>
      </c>
      <c r="M12" s="70">
        <f ca="1" t="shared" si="0"/>
        <v>45298.0204572364</v>
      </c>
      <c r="N12" s="49" t="e">
        <f ca="1">IF(TODAY()&gt;O12,"合同已到期",_xlfn.DAYS(O12+1,TODAY()))</f>
        <v>#NAME?</v>
      </c>
      <c r="O12" s="70">
        <v>45291</v>
      </c>
      <c r="P12" s="49" t="s">
        <v>4</v>
      </c>
      <c r="Q12" s="49" t="s">
        <v>40</v>
      </c>
      <c r="R12" s="49" t="s">
        <v>41</v>
      </c>
      <c r="S12" s="49" t="s">
        <v>42</v>
      </c>
      <c r="T12" s="49" t="s">
        <v>43</v>
      </c>
      <c r="U12" s="49" t="s">
        <v>10</v>
      </c>
      <c r="V12" s="49" t="s">
        <v>45</v>
      </c>
      <c r="W12" s="49" t="s">
        <v>67</v>
      </c>
      <c r="X12" s="49" t="s">
        <v>47</v>
      </c>
    </row>
    <row r="13" s="14" customFormat="1" spans="1:24">
      <c r="A13" s="7"/>
      <c r="B13" s="7"/>
      <c r="C13" s="51">
        <v>2000000</v>
      </c>
      <c r="D13" s="52">
        <v>0.05</v>
      </c>
      <c r="E13" s="7"/>
      <c r="F13" s="54">
        <f>$E$12/C13</f>
        <v>0.58294136</v>
      </c>
      <c r="G13" s="7"/>
      <c r="H13" s="7"/>
      <c r="I13" s="56" t="e">
        <f ca="1">IF($E$12&gt;=C13,"已达标",(C13-$E$12)/$N$12)</f>
        <v>#NAME?</v>
      </c>
      <c r="J13" s="56" t="e">
        <f ca="1">IF($E$12&gt;=C13,"已达标",$H$12-I13)</f>
        <v>#NAME?</v>
      </c>
      <c r="K13" s="68" t="e">
        <f ca="1">IF($E$12&gt;=C13,"已达标",IF(J13&lt;0,I13/$H$12-1,"当前日均可达标"))</f>
        <v>#NAME?</v>
      </c>
      <c r="L13" s="69">
        <f>(C13-$E$12)/$H$12</f>
        <v>190.759774492098</v>
      </c>
      <c r="M13" s="70">
        <f ca="1" t="shared" si="0"/>
        <v>45343.7597744921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="14" customFormat="1" spans="1:24">
      <c r="A14" s="7"/>
      <c r="B14" s="7"/>
      <c r="C14" s="51">
        <v>2300000</v>
      </c>
      <c r="D14" s="52">
        <v>0.06</v>
      </c>
      <c r="E14" s="7"/>
      <c r="F14" s="54">
        <f>$E$12/C14</f>
        <v>0.506905530434783</v>
      </c>
      <c r="G14" s="7"/>
      <c r="H14" s="7"/>
      <c r="I14" s="56" t="e">
        <f ca="1">IF($E$12&gt;=C14,"已达标",(C14-$E$12)/$N$12)</f>
        <v>#NAME?</v>
      </c>
      <c r="J14" s="56" t="e">
        <f ca="1">IF($E$12&gt;=C14,"已达标",$H$12-I14)</f>
        <v>#NAME?</v>
      </c>
      <c r="K14" s="68" t="e">
        <f ca="1">IF($E$12&gt;=C14,"已达标",IF(J14&lt;0,I14/$H$12-1,"当前日均可达标"))</f>
        <v>#NAME?</v>
      </c>
      <c r="L14" s="69">
        <f>(C14-$E$12)/$H$12</f>
        <v>259.368750375716</v>
      </c>
      <c r="M14" s="70">
        <f ca="1" t="shared" si="0"/>
        <v>45412.3687503757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="14" customFormat="1" spans="1:24">
      <c r="A15" s="7"/>
      <c r="B15" s="9"/>
      <c r="C15" s="51">
        <v>2600000</v>
      </c>
      <c r="D15" s="52">
        <v>0.07</v>
      </c>
      <c r="E15" s="9"/>
      <c r="F15" s="54">
        <f>$E$12/C15</f>
        <v>0.448416430769231</v>
      </c>
      <c r="G15" s="9"/>
      <c r="H15" s="9"/>
      <c r="I15" s="56" t="e">
        <f ca="1">IF($E$12&gt;=C15,"已达标",(C15-$E$12)/$N$12)</f>
        <v>#NAME?</v>
      </c>
      <c r="J15" s="56" t="e">
        <f ca="1">IF($E$12&gt;=C15,"已达标",$H$12-I15)</f>
        <v>#NAME?</v>
      </c>
      <c r="K15" s="68" t="e">
        <f ca="1">IF($E$12&gt;=C15,"已达标",IF(J15&lt;0,I15/$H$12-1,"当前日均可达标"))</f>
        <v>#NAME?</v>
      </c>
      <c r="L15" s="69">
        <f>(C15-$E$12)/$H$12</f>
        <v>327.977726259334</v>
      </c>
      <c r="M15" s="70">
        <f ca="1" t="shared" si="0"/>
        <v>45480.9777262593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="14" customFormat="1" spans="1:24">
      <c r="A16" s="7"/>
      <c r="B16" s="49" t="s">
        <v>98</v>
      </c>
      <c r="C16" s="51">
        <v>1400000</v>
      </c>
      <c r="D16" s="52">
        <v>0.05</v>
      </c>
      <c r="E16" s="56">
        <f>'大搜+信息流年框客户消费明细'!$F$10</f>
        <v>699124.34</v>
      </c>
      <c r="F16" s="54">
        <f>$E$16/C16</f>
        <v>0.499374528571429</v>
      </c>
      <c r="G16" s="49" t="str">
        <f>IF($E$16&gt;=C17,D17,IF($E$16&gt;=C16,D16,"未达标"))</f>
        <v>未达标</v>
      </c>
      <c r="H16" s="56">
        <f>'大搜+信息流年框客户消费明细'!$B$10+'大搜+信息流年框客户消费明细'!C10</f>
        <v>3316.57714285714</v>
      </c>
      <c r="I16" s="56" t="e">
        <f ca="1">IF($E$16&gt;=C16,"已达标",(C16-$E$16)/$N$16)</f>
        <v>#NAME?</v>
      </c>
      <c r="J16" s="56" t="e">
        <f ca="1">IF($E$16&gt;=C16,"已达标",$H$16-I16)</f>
        <v>#NAME?</v>
      </c>
      <c r="K16" s="68" t="e">
        <f ca="1">IF($E$16&gt;=C16,"已达标",IF(J16&lt;0,I16/$H$16-1,"当前日均可达标"))</f>
        <v>#NAME?</v>
      </c>
      <c r="L16" s="69">
        <f>(C16-$E$16)/$H$16</f>
        <v>211.324998578569</v>
      </c>
      <c r="M16" s="70">
        <f ca="1" t="shared" si="0"/>
        <v>45364.3249985786</v>
      </c>
      <c r="N16" s="49" t="e">
        <f ca="1">IF(TODAY()&gt;O16,"合同已到期",_xlfn.DAYS(O16+1,TODAY()))</f>
        <v>#NAME?</v>
      </c>
      <c r="O16" s="70">
        <v>45291</v>
      </c>
      <c r="P16" s="49" t="s">
        <v>4</v>
      </c>
      <c r="Q16" s="49" t="s">
        <v>40</v>
      </c>
      <c r="R16" s="49" t="s">
        <v>41</v>
      </c>
      <c r="S16" s="49" t="s">
        <v>42</v>
      </c>
      <c r="T16" s="49" t="s">
        <v>43</v>
      </c>
      <c r="U16" s="49" t="s">
        <v>10</v>
      </c>
      <c r="V16" s="49" t="s">
        <v>45</v>
      </c>
      <c r="W16" s="49" t="s">
        <v>99</v>
      </c>
      <c r="X16" s="49" t="s">
        <v>47</v>
      </c>
    </row>
    <row r="17" s="14" customFormat="1" spans="1:24">
      <c r="A17" s="7"/>
      <c r="B17" s="9"/>
      <c r="C17" s="51">
        <v>2000000</v>
      </c>
      <c r="D17" s="52">
        <v>0.06</v>
      </c>
      <c r="E17" s="9"/>
      <c r="F17" s="54">
        <f>$E$16/C17</f>
        <v>0.34956217</v>
      </c>
      <c r="G17" s="9"/>
      <c r="H17" s="9"/>
      <c r="I17" s="56" t="e">
        <f ca="1">IF($E$16&gt;=C17,"已达标",(C17-$E$16)/$N$16)</f>
        <v>#NAME?</v>
      </c>
      <c r="J17" s="56" t="e">
        <f ca="1">IF($E$16&gt;=C17,"已达标",$H$16-I17)</f>
        <v>#NAME?</v>
      </c>
      <c r="K17" s="68" t="e">
        <f ca="1">IF($E$16&gt;=C17,"已达标",IF(J17&lt;0,I17/$H$16-1,"当前日均可达标"))</f>
        <v>#NAME?</v>
      </c>
      <c r="L17" s="69">
        <f>(C17-$E$16)/$H$16</f>
        <v>392.234404317015</v>
      </c>
      <c r="M17" s="70">
        <f ca="1" t="shared" si="0"/>
        <v>45545.234404317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="14" customFormat="1" ht="29.25" customHeight="1" spans="1:24">
      <c r="A18" s="7"/>
      <c r="B18" s="57" t="s">
        <v>100</v>
      </c>
      <c r="C18" s="51">
        <v>1050000</v>
      </c>
      <c r="D18" s="52">
        <v>0.04</v>
      </c>
      <c r="E18" s="58">
        <f>'大搜+信息流年框客户消费明细'!$F$11</f>
        <v>397619.69</v>
      </c>
      <c r="F18" s="54">
        <f>$E$18/C18</f>
        <v>0.378685419047619</v>
      </c>
      <c r="G18" s="57" t="str">
        <f>IF($E$18&gt;=C18,D18,"未达标")</f>
        <v>未达标</v>
      </c>
      <c r="H18" s="58">
        <f>SUM('大搜+信息流年框客户消费明细'!B11:C11)</f>
        <v>1644.95285714286</v>
      </c>
      <c r="I18" s="56" t="e">
        <f ca="1">IF($E$18&gt;=C18,"已达标",(C18-$E$18)/$N$18)</f>
        <v>#NAME?</v>
      </c>
      <c r="J18" s="56" t="e">
        <f ca="1">IF($E$18&gt;=C18,"已达标",$H$18-I18)</f>
        <v>#NAME?</v>
      </c>
      <c r="K18" s="68" t="e">
        <f ca="1">IF($E$18&gt;=C18,"已达标",IF(J18&lt;0,I18/$H$18-1,"当前日均可达标"))</f>
        <v>#NAME?</v>
      </c>
      <c r="L18" s="69">
        <f>(C18-$E$18)/$H$18</f>
        <v>396.595140807335</v>
      </c>
      <c r="M18" s="70">
        <f ca="1" t="shared" si="0"/>
        <v>45549.5951408073</v>
      </c>
      <c r="N18" s="57" t="e">
        <f ca="1">IF(TODAY()&gt;O18,"合同已到期",_xlfn.DAYS(O18+1,TODAY()))</f>
        <v>#NAME?</v>
      </c>
      <c r="O18" s="73">
        <v>45291</v>
      </c>
      <c r="P18" s="57" t="s">
        <v>10</v>
      </c>
      <c r="Q18" s="57" t="s">
        <v>101</v>
      </c>
      <c r="R18" s="57" t="s">
        <v>5</v>
      </c>
      <c r="S18" s="57" t="s">
        <v>102</v>
      </c>
      <c r="T18" s="57" t="s">
        <v>43</v>
      </c>
      <c r="U18" s="76"/>
      <c r="V18" s="59" t="s">
        <v>94</v>
      </c>
      <c r="W18" s="57" t="s">
        <v>103</v>
      </c>
      <c r="X18" s="57" t="s">
        <v>103</v>
      </c>
    </row>
    <row r="19" s="14" customFormat="1" spans="1:24">
      <c r="A19" s="7"/>
      <c r="B19" s="50" t="s">
        <v>104</v>
      </c>
      <c r="C19" s="51">
        <v>1600000</v>
      </c>
      <c r="D19" s="52">
        <v>0.05</v>
      </c>
      <c r="E19" s="11">
        <f>'大搜+信息流年框客户消费明细'!F12+'大搜+信息流年框客户消费明细'!F13</f>
        <v>817089.119999999</v>
      </c>
      <c r="F19" s="54">
        <f>$E$19/C19</f>
        <v>0.510680699999999</v>
      </c>
      <c r="G19" s="49" t="str">
        <f>IF(E19&gt;=C21,D21,IF(E19&gt;=C20,D20,IF(E19&gt;=C19,D19,"未达标")))</f>
        <v>未达标</v>
      </c>
      <c r="H19" s="11">
        <f>SUM('大搜+信息流年框客户消费明细'!B12:C13)</f>
        <v>3919.28142857143</v>
      </c>
      <c r="I19" s="56" t="e">
        <f ca="1">IF($E$19&gt;=C19,"已达标",(C19-$E$19)/$N$19)</f>
        <v>#NAME?</v>
      </c>
      <c r="J19" s="56" t="e">
        <f ca="1">IF($E$19&gt;=C19,"已达标",$H$19-I19)</f>
        <v>#NAME?</v>
      </c>
      <c r="K19" s="68" t="e">
        <f ca="1">IF($E$19&gt;=C19,"已达标",IF(J19&lt;0,I19/$H$19-1,"当前日均可达标"))</f>
        <v>#NAME?</v>
      </c>
      <c r="L19" s="69">
        <f>(C19-$E$19)/$H$19</f>
        <v>199.758780855237</v>
      </c>
      <c r="M19" s="70">
        <f ca="1" t="shared" si="0"/>
        <v>45352.7587808552</v>
      </c>
      <c r="N19" s="71" t="e">
        <f ca="1">IF(TODAY()&gt;O19,"合同已到期",_xlfn.DAYS(O19+1,TODAY()))</f>
        <v>#NAME?</v>
      </c>
      <c r="O19" s="70">
        <v>45291</v>
      </c>
      <c r="P19" s="72" t="s">
        <v>10</v>
      </c>
      <c r="Q19" s="49" t="s">
        <v>87</v>
      </c>
      <c r="R19" s="49" t="s">
        <v>5</v>
      </c>
      <c r="S19" s="49" t="s">
        <v>42</v>
      </c>
      <c r="T19" s="75" t="s">
        <v>43</v>
      </c>
      <c r="U19" s="49"/>
      <c r="V19" s="50" t="s">
        <v>94</v>
      </c>
      <c r="W19" s="49" t="s">
        <v>105</v>
      </c>
      <c r="X19" s="49" t="s">
        <v>106</v>
      </c>
    </row>
    <row r="20" s="14" customFormat="1" spans="1:24">
      <c r="A20" s="7"/>
      <c r="B20" s="7"/>
      <c r="C20" s="51">
        <v>1750000</v>
      </c>
      <c r="D20" s="52">
        <v>0.06</v>
      </c>
      <c r="E20" s="7"/>
      <c r="F20" s="54">
        <f>$E$19/C20</f>
        <v>0.466908068571428</v>
      </c>
      <c r="G20" s="7"/>
      <c r="H20" s="7"/>
      <c r="I20" s="56" t="e">
        <f ca="1">IF($E$19&gt;=C20,"已达标",(C20-$E$19)/$N$19)</f>
        <v>#NAME?</v>
      </c>
      <c r="J20" s="56" t="e">
        <f ca="1">IF($E$19&gt;=C20,"已达标",$H$19-I20)</f>
        <v>#NAME?</v>
      </c>
      <c r="K20" s="68" t="e">
        <f ca="1">IF($E$19&gt;=C20,"已达标",IF(J20&lt;0,I20/$H$19-1,"当前日均可达标"))</f>
        <v>#NAME?</v>
      </c>
      <c r="L20" s="69">
        <f>(C20-$E$19)/$H$19</f>
        <v>238.031102640171</v>
      </c>
      <c r="M20" s="70">
        <f ca="1" t="shared" si="0"/>
        <v>45391.0311026402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="14" customFormat="1" spans="1:24">
      <c r="A21" s="7"/>
      <c r="B21" s="9"/>
      <c r="C21" s="51">
        <v>1900000</v>
      </c>
      <c r="D21" s="52">
        <v>0.07</v>
      </c>
      <c r="E21" s="9"/>
      <c r="F21" s="54">
        <f>$E$19/C21</f>
        <v>0.430046905263157</v>
      </c>
      <c r="G21" s="9"/>
      <c r="H21" s="9"/>
      <c r="I21" s="56" t="e">
        <f ca="1">IF($E$19&gt;=C21,"已达标",(C21-$E$19)/$N$19)</f>
        <v>#NAME?</v>
      </c>
      <c r="J21" s="56" t="e">
        <f ca="1">IF($E$19&gt;=C21,"已达标",$H$19-I21)</f>
        <v>#NAME?</v>
      </c>
      <c r="K21" s="68" t="e">
        <f ca="1">IF($E$19&gt;=C21,"已达标",IF(J21&lt;0,I21/$H$19-1,"当前日均可达标"))</f>
        <v>#NAME?</v>
      </c>
      <c r="L21" s="69">
        <f>(C21-$E$19)/$H$19</f>
        <v>276.303424425104</v>
      </c>
      <c r="M21" s="70">
        <f ca="1" t="shared" si="0"/>
        <v>45429.3034244251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="14" customFormat="1" spans="1:24">
      <c r="A22" s="7"/>
      <c r="B22" s="50" t="s">
        <v>107</v>
      </c>
      <c r="C22" s="51">
        <v>1000000</v>
      </c>
      <c r="D22" s="52">
        <v>0.05</v>
      </c>
      <c r="E22" s="11">
        <f>'大搜+信息流年框客户消费明细'!F14+'大搜+信息流年框客户消费明细'!F15</f>
        <v>124016.39</v>
      </c>
      <c r="F22" s="54">
        <f>$E$22/C22</f>
        <v>0.12401639</v>
      </c>
      <c r="G22" s="49" t="str">
        <f>IF(E22&gt;=C24,D24,IF(E22&gt;=C23,D23,IF(E22&gt;=C22,D22,"未达标")))</f>
        <v>未达标</v>
      </c>
      <c r="H22" s="11">
        <f>SUM('大搜+信息流年框客户消费明细'!B14:C15)</f>
        <v>0</v>
      </c>
      <c r="I22" s="56" t="e">
        <f ca="1">IF($E$22&gt;=C22,"已达标",(C22-$E$22)/$N$22)</f>
        <v>#NAME?</v>
      </c>
      <c r="J22" s="56" t="e">
        <f ca="1">IF($E$22&gt;=C22,"已达标",$H$22-I22)</f>
        <v>#NAME?</v>
      </c>
      <c r="K22" s="68" t="e">
        <f ca="1">IF($E$22&gt;=C22,"已达标",IF(J22&lt;0,I22/$H$22-1,"当前日均可达标"))</f>
        <v>#NAME?</v>
      </c>
      <c r="L22" s="69" t="e">
        <f>(C22-$E$22)/$H$22</f>
        <v>#DIV/0!</v>
      </c>
      <c r="M22" s="70" t="e">
        <f ca="1" t="shared" si="0"/>
        <v>#DIV/0!</v>
      </c>
      <c r="N22" s="71" t="e">
        <f ca="1">IF(TODAY()&gt;O22,"合同已到期",_xlfn.DAYS(O22+1,TODAY()))</f>
        <v>#NAME?</v>
      </c>
      <c r="O22" s="70">
        <v>45291</v>
      </c>
      <c r="P22" s="72" t="s">
        <v>10</v>
      </c>
      <c r="Q22" s="49" t="s">
        <v>87</v>
      </c>
      <c r="R22" s="49" t="s">
        <v>5</v>
      </c>
      <c r="S22" s="49" t="s">
        <v>42</v>
      </c>
      <c r="T22" s="75" t="s">
        <v>108</v>
      </c>
      <c r="U22" s="49"/>
      <c r="V22" s="50" t="s">
        <v>94</v>
      </c>
      <c r="W22" s="49" t="s">
        <v>105</v>
      </c>
      <c r="X22" s="49" t="s">
        <v>106</v>
      </c>
    </row>
    <row r="23" s="14" customFormat="1" spans="1:24">
      <c r="A23" s="7"/>
      <c r="B23" s="7"/>
      <c r="C23" s="51">
        <v>1500000</v>
      </c>
      <c r="D23" s="52">
        <v>0.06</v>
      </c>
      <c r="E23" s="7"/>
      <c r="F23" s="54">
        <f>$E$22/C23</f>
        <v>0.0826775933333333</v>
      </c>
      <c r="G23" s="7"/>
      <c r="H23" s="7"/>
      <c r="I23" s="56" t="e">
        <f ca="1">IF($E$22&gt;=C23,"已达标",(C23-$E$22)/$N$22)</f>
        <v>#NAME?</v>
      </c>
      <c r="J23" s="56" t="e">
        <f ca="1">IF($E$22&gt;=C23,"已达标",$H$22-I23)</f>
        <v>#NAME?</v>
      </c>
      <c r="K23" s="68" t="e">
        <f ca="1">IF($E$22&gt;=C23,"已达标",IF(J23&lt;0,I23/$H$22-1,"当前日均可达标"))</f>
        <v>#NAME?</v>
      </c>
      <c r="L23" s="69" t="e">
        <f>(C23-$E$22)/$H$22</f>
        <v>#DIV/0!</v>
      </c>
      <c r="M23" s="70" t="e">
        <f ca="1" t="shared" si="0"/>
        <v>#DIV/0!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="14" customFormat="1" spans="1:24">
      <c r="A24" s="7"/>
      <c r="B24" s="9"/>
      <c r="C24" s="51">
        <v>2000000</v>
      </c>
      <c r="D24" s="52">
        <v>0.07</v>
      </c>
      <c r="E24" s="9"/>
      <c r="F24" s="54">
        <f>$E$22/C24</f>
        <v>0.062008195</v>
      </c>
      <c r="G24" s="9"/>
      <c r="H24" s="9"/>
      <c r="I24" s="56" t="e">
        <f ca="1">IF($E$22&gt;=C24,"已达标",(C24-$E$22)/$N$22)</f>
        <v>#NAME?</v>
      </c>
      <c r="J24" s="56" t="e">
        <f ca="1">IF($E$22&gt;=C24,"已达标",$H$22-I24)</f>
        <v>#NAME?</v>
      </c>
      <c r="K24" s="68" t="e">
        <f ca="1">IF($E$22&gt;=C24,"已达标",IF(J24&lt;0,I24/$H$22-1,"当前日均可达标"))</f>
        <v>#NAME?</v>
      </c>
      <c r="L24" s="69" t="e">
        <f>(C24-$E$22)/$H$22</f>
        <v>#DIV/0!</v>
      </c>
      <c r="M24" s="70" t="e">
        <f ca="1" t="shared" si="0"/>
        <v>#DIV/0!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="14" customFormat="1" ht="33" customHeight="1" spans="1:24">
      <c r="A25" s="7"/>
      <c r="B25" s="59" t="s">
        <v>109</v>
      </c>
      <c r="C25" s="51">
        <v>1000000</v>
      </c>
      <c r="D25" s="52">
        <v>0.05</v>
      </c>
      <c r="E25" s="58">
        <f>'大搜+信息流年框客户消费明细'!F16+'大搜+信息流年框客户消费明细'!F17</f>
        <v>266706.93</v>
      </c>
      <c r="F25" s="54">
        <f>$E$25/C25</f>
        <v>0.26670693</v>
      </c>
      <c r="G25" s="57" t="str">
        <f>IF($E$25&gt;=C25,D25,"未达标")</f>
        <v>未达标</v>
      </c>
      <c r="H25" s="58">
        <f>SUM('大搜+信息流年框客户消费明细'!B16:C17)</f>
        <v>155.142857142857</v>
      </c>
      <c r="I25" s="56" t="e">
        <f ca="1">IF($E$25&gt;=C25,"已达标",(C25-$E$25)/$N$25)</f>
        <v>#NAME?</v>
      </c>
      <c r="J25" s="56" t="e">
        <f ca="1">IF($E$25&gt;=C25,"已达标",$H$25-I25)</f>
        <v>#NAME?</v>
      </c>
      <c r="K25" s="68" t="e">
        <f ca="1">IF($E$25&gt;=C25,"已达标",IF(J25&lt;0,I25/$H$25-1,"当前日均可达标"))</f>
        <v>#NAME?</v>
      </c>
      <c r="L25" s="69">
        <f>(C25-$E$25)/$H$25</f>
        <v>4726.5667495396</v>
      </c>
      <c r="M25" s="70">
        <f ca="1" t="shared" si="0"/>
        <v>49879.5667495396</v>
      </c>
      <c r="N25" s="57" t="e">
        <f ca="1">IF(TODAY()&gt;O25,"合同已到期",_xlfn.DAYS(O25+1,TODAY()))</f>
        <v>#NAME?</v>
      </c>
      <c r="O25" s="73">
        <v>45351</v>
      </c>
      <c r="P25" s="57" t="s">
        <v>10</v>
      </c>
      <c r="Q25" s="57" t="s">
        <v>87</v>
      </c>
      <c r="R25" s="57" t="s">
        <v>5</v>
      </c>
      <c r="S25" s="57" t="s">
        <v>42</v>
      </c>
      <c r="T25" s="57" t="s">
        <v>110</v>
      </c>
      <c r="U25" s="76"/>
      <c r="V25" s="59" t="s">
        <v>94</v>
      </c>
      <c r="W25" s="57" t="s">
        <v>105</v>
      </c>
      <c r="X25" s="57" t="s">
        <v>105</v>
      </c>
    </row>
    <row r="26" s="14" customFormat="1" spans="1:24">
      <c r="A26" s="7"/>
      <c r="B26" s="49" t="s">
        <v>111</v>
      </c>
      <c r="C26" s="51">
        <v>2500000</v>
      </c>
      <c r="D26" s="52">
        <v>0.03</v>
      </c>
      <c r="E26" s="11">
        <f>'大搜+信息流年框客户消费明细'!F18</f>
        <v>1750801.08</v>
      </c>
      <c r="F26" s="54">
        <f>$E$26/C26</f>
        <v>0.700320432</v>
      </c>
      <c r="G26" s="49" t="str">
        <f>IF($E$26&gt;=C29,D29,IF($E$26&gt;=C28,D28,IF($E$26&gt;=C27,D27,IF($E$26&gt;=C26,D26,"未达标"))))</f>
        <v>未达标</v>
      </c>
      <c r="H26" s="11">
        <f>SUM('大搜+信息流年框客户消费明细'!B18:C18)</f>
        <v>9359.24857142857</v>
      </c>
      <c r="I26" s="56" t="e">
        <f ca="1">IF($E$26&gt;=C26,"已达标",(C26-$E$26)/$N$26)</f>
        <v>#NAME?</v>
      </c>
      <c r="J26" s="56" t="e">
        <f ca="1">IF($E$26&gt;=C26,"已达标",$H$26-I26)</f>
        <v>#NAME?</v>
      </c>
      <c r="K26" s="68" t="e">
        <f ca="1">IF($E$26&gt;=C26,"已达标",IF(J26&lt;0,I26/$H$26-1,"当前日均可达标"))</f>
        <v>#NAME?</v>
      </c>
      <c r="L26" s="69">
        <f>(C26-$E$26)/$H$26</f>
        <v>80.0490460620007</v>
      </c>
      <c r="M26" s="70">
        <f ca="1" t="shared" si="0"/>
        <v>45233.049046062</v>
      </c>
      <c r="N26" s="49" t="e">
        <f ca="1">IF(TODAY()&gt;O26,"合同已到期",_xlfn.DAYS(O26+1,TODAY()))</f>
        <v>#NAME?</v>
      </c>
      <c r="O26" s="70">
        <v>45291</v>
      </c>
      <c r="P26" s="49" t="s">
        <v>10</v>
      </c>
      <c r="Q26" s="49" t="s">
        <v>87</v>
      </c>
      <c r="R26" s="49" t="s">
        <v>5</v>
      </c>
      <c r="S26" s="49" t="s">
        <v>42</v>
      </c>
      <c r="T26" s="49" t="s">
        <v>43</v>
      </c>
      <c r="U26" s="49"/>
      <c r="V26" s="50" t="s">
        <v>94</v>
      </c>
      <c r="W26" s="49" t="s">
        <v>105</v>
      </c>
      <c r="X26" s="49" t="s">
        <v>105</v>
      </c>
    </row>
    <row r="27" s="14" customFormat="1" spans="1:24">
      <c r="A27" s="7"/>
      <c r="B27" s="7"/>
      <c r="C27" s="51">
        <v>2910000</v>
      </c>
      <c r="D27" s="52">
        <v>0.04</v>
      </c>
      <c r="E27" s="7"/>
      <c r="F27" s="54">
        <f>$E$26/C27</f>
        <v>0.601649855670103</v>
      </c>
      <c r="G27" s="7"/>
      <c r="H27" s="7"/>
      <c r="I27" s="56" t="e">
        <f ca="1">IF($E$26&gt;=C27,"已达标",(C27-$E$26)/$N$26)</f>
        <v>#NAME?</v>
      </c>
      <c r="J27" s="56" t="e">
        <f ca="1">IF($E$26&gt;=C27,"已达标",$H$26-I27)</f>
        <v>#NAME?</v>
      </c>
      <c r="K27" s="68" t="e">
        <f ca="1">IF($E$26&gt;=C27,"已达标",IF(J27&lt;0,I27/$H$26-1,"当前日均可达标"))</f>
        <v>#NAME?</v>
      </c>
      <c r="L27" s="69">
        <f>(C27-$E$26)/$H$26</f>
        <v>123.855981722586</v>
      </c>
      <c r="M27" s="70">
        <f ca="1" t="shared" si="0"/>
        <v>45276.8559817226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="14" customFormat="1" spans="1:24">
      <c r="A28" s="7"/>
      <c r="B28" s="7"/>
      <c r="C28" s="51">
        <v>3310000</v>
      </c>
      <c r="D28" s="52">
        <v>0.05</v>
      </c>
      <c r="E28" s="7"/>
      <c r="F28" s="54">
        <f>$E$26/C28</f>
        <v>0.528942924471299</v>
      </c>
      <c r="G28" s="7"/>
      <c r="H28" s="7"/>
      <c r="I28" s="56" t="e">
        <f ca="1">IF($E$26&gt;=C28,"已达标",(C28-$E$26)/$N$26)</f>
        <v>#NAME?</v>
      </c>
      <c r="J28" s="56" t="e">
        <f ca="1">IF($E$26&gt;=C28,"已达标",$H$26-I28)</f>
        <v>#NAME?</v>
      </c>
      <c r="K28" s="68" t="e">
        <f ca="1">IF($E$26&gt;=C28,"已达标",IF(J28&lt;0,I28/$H$26-1,"当前日均可达标"))</f>
        <v>#NAME?</v>
      </c>
      <c r="L28" s="69">
        <f>(C28-$E$26)/$H$26</f>
        <v>166.594455537792</v>
      </c>
      <c r="M28" s="70">
        <f ca="1" t="shared" si="0"/>
        <v>45319.5944555378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="14" customFormat="1" spans="1:24">
      <c r="A29" s="9"/>
      <c r="B29" s="9"/>
      <c r="C29" s="51">
        <v>4010000</v>
      </c>
      <c r="D29" s="52">
        <v>0.06</v>
      </c>
      <c r="E29" s="9"/>
      <c r="F29" s="54">
        <f>$E$26/C29</f>
        <v>0.436608748129676</v>
      </c>
      <c r="G29" s="9"/>
      <c r="H29" s="9"/>
      <c r="I29" s="56" t="e">
        <f ca="1">IF($E$26&gt;=C29,"已达标",(C29-$E$26)/$N$26)</f>
        <v>#NAME?</v>
      </c>
      <c r="J29" s="56" t="e">
        <f ca="1">IF($E$26&gt;=C29,"已达标",$H$26-I29)</f>
        <v>#NAME?</v>
      </c>
      <c r="K29" s="68" t="e">
        <f ca="1">IF($E$26&gt;=C29,"已达标",IF(J29&lt;0,I29/$H$26-1,"当前日均可达标"))</f>
        <v>#NAME?</v>
      </c>
      <c r="L29" s="69">
        <f>(C29-$E$26)/$H$26</f>
        <v>241.386784714402</v>
      </c>
      <c r="M29" s="70">
        <f ca="1" t="shared" si="0"/>
        <v>45394.3867847144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="14" customFormat="1" spans="1:24">
      <c r="A30" s="60" t="s">
        <v>9</v>
      </c>
      <c r="B30" s="49" t="s">
        <v>112</v>
      </c>
      <c r="C30" s="61">
        <v>700000</v>
      </c>
      <c r="D30" s="52">
        <v>0.17</v>
      </c>
      <c r="E30" s="56">
        <f>'大搜+信息流年框客户消费明细'!$F$7</f>
        <v>376541.17</v>
      </c>
      <c r="F30" s="54">
        <f>$E$30/C30</f>
        <v>0.537915957142857</v>
      </c>
      <c r="G30" s="52" t="str">
        <f>IF($E$30&gt;=C32,D32,IF($E$30&gt;=C31,D31,IF($E$30&gt;=C30,D30,"未达标")))</f>
        <v>未达标</v>
      </c>
      <c r="H30" s="56">
        <f>'大搜+信息流年框客户消费明细'!$B$7+'大搜+信息流年框客户消费明细'!$C$7</f>
        <v>1030.88428571429</v>
      </c>
      <c r="I30" s="56">
        <f ca="1">IF(E30&gt;=C30,"已达标",(C30-$E$30)/$N$5)</f>
        <v>4146.90807692308</v>
      </c>
      <c r="J30" s="56">
        <f ca="1">IF(E30&gt;=C30,"已达标",$H$30-I30)</f>
        <v>-3116.02379120879</v>
      </c>
      <c r="K30" s="68">
        <f ca="1">IF(E30&gt;=C30,"已达标",IF(J30&lt;0,I30/$H$30-1,"当前日均可达标"))</f>
        <v>3.02267076372179</v>
      </c>
      <c r="L30" s="69">
        <f>(C30-$E$30)/$H$30</f>
        <v>313.7683195703</v>
      </c>
      <c r="M30" s="70">
        <f ca="1" t="shared" si="0"/>
        <v>45466.7683195703</v>
      </c>
      <c r="N30" s="71">
        <f ca="1">IF(TODAY()&gt;O30,"合同已到期",DATE(2023,10,9)-TODAY()+1)</f>
        <v>56</v>
      </c>
      <c r="O30" s="74">
        <v>45208</v>
      </c>
      <c r="P30" s="49" t="s">
        <v>86</v>
      </c>
      <c r="Q30" s="77" t="s">
        <v>40</v>
      </c>
      <c r="R30" s="50" t="s">
        <v>78</v>
      </c>
      <c r="S30" s="78" t="s">
        <v>42</v>
      </c>
      <c r="T30" s="79" t="s">
        <v>113</v>
      </c>
      <c r="U30" s="78" t="s">
        <v>10</v>
      </c>
      <c r="V30" s="78" t="s">
        <v>45</v>
      </c>
      <c r="W30" s="78" t="s">
        <v>99</v>
      </c>
      <c r="X30" s="78" t="s">
        <v>47</v>
      </c>
    </row>
    <row r="31" s="14" customFormat="1" spans="1:24">
      <c r="A31" s="7"/>
      <c r="B31" s="7"/>
      <c r="C31" s="61">
        <v>800000</v>
      </c>
      <c r="D31" s="52">
        <v>0.18</v>
      </c>
      <c r="E31" s="7"/>
      <c r="F31" s="54">
        <f>$E$30/C31</f>
        <v>0.4706764625</v>
      </c>
      <c r="G31" s="7"/>
      <c r="H31" s="7"/>
      <c r="I31" s="56">
        <f ca="1">IF(E31&gt;=C31,"已达标",(C31-$E$30)/$N$5)</f>
        <v>5428.95935897436</v>
      </c>
      <c r="J31" s="56">
        <f ca="1">IF(E31&gt;=C31,"已达标",$H$30-I31)</f>
        <v>-4398.07507326007</v>
      </c>
      <c r="K31" s="68">
        <f ca="1">IF(E31&gt;=C31,"已达标",IF(J31&lt;0,I31/$H$30-1,"当前日均可达标"))</f>
        <v>4.26631304231464</v>
      </c>
      <c r="L31" s="69">
        <f>(C31-$E$30)/$H$30</f>
        <v>410.772417300542</v>
      </c>
      <c r="M31" s="70">
        <f ca="1" t="shared" si="0"/>
        <v>45563.7724173005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="14" customFormat="1" spans="1:24">
      <c r="A32" s="9"/>
      <c r="B32" s="9"/>
      <c r="C32" s="51">
        <v>1000000</v>
      </c>
      <c r="D32" s="55">
        <v>0.2</v>
      </c>
      <c r="E32" s="9"/>
      <c r="F32" s="54">
        <f>$E$30/C32</f>
        <v>0.37654117</v>
      </c>
      <c r="G32" s="9"/>
      <c r="H32" s="9"/>
      <c r="I32" s="56">
        <f ca="1">IF(E32&gt;=C32,"已达标",(C32-$E$30)/$N$5)</f>
        <v>7993.06192307692</v>
      </c>
      <c r="J32" s="56">
        <f ca="1">IF(E32&gt;=C32,"已达标",$H$30-I32)</f>
        <v>-6962.17763736264</v>
      </c>
      <c r="K32" s="68">
        <f ca="1">IF(E32&gt;=C32,"已达标",IF(J32&lt;0,I32/$H$30-1,"当前日均可达标"))</f>
        <v>6.75359759950036</v>
      </c>
      <c r="L32" s="69">
        <f>(C32-$E$30)/$H$30</f>
        <v>604.780612761028</v>
      </c>
      <c r="M32" s="70">
        <f ca="1" t="shared" si="0"/>
        <v>45757.780612761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</sheetData>
  <mergeCells count="142">
    <mergeCell ref="A1:D1"/>
    <mergeCell ref="E1:G1"/>
    <mergeCell ref="H1:M1"/>
    <mergeCell ref="N1:O1"/>
    <mergeCell ref="P1:X1"/>
    <mergeCell ref="A3:A29"/>
    <mergeCell ref="A30:A32"/>
    <mergeCell ref="B3:B4"/>
    <mergeCell ref="B5:B7"/>
    <mergeCell ref="B8:B11"/>
    <mergeCell ref="B12:B15"/>
    <mergeCell ref="B16:B17"/>
    <mergeCell ref="B19:B21"/>
    <mergeCell ref="B22:B24"/>
    <mergeCell ref="B26:B29"/>
    <mergeCell ref="B30:B32"/>
    <mergeCell ref="E3:E4"/>
    <mergeCell ref="E5:E7"/>
    <mergeCell ref="E8:E11"/>
    <mergeCell ref="E12:E15"/>
    <mergeCell ref="E16:E17"/>
    <mergeCell ref="E19:E21"/>
    <mergeCell ref="E22:E24"/>
    <mergeCell ref="E26:E29"/>
    <mergeCell ref="E30:E32"/>
    <mergeCell ref="G3:G4"/>
    <mergeCell ref="G5:G7"/>
    <mergeCell ref="G8:G11"/>
    <mergeCell ref="G12:G15"/>
    <mergeCell ref="G16:G17"/>
    <mergeCell ref="G19:G21"/>
    <mergeCell ref="G22:G24"/>
    <mergeCell ref="G26:G29"/>
    <mergeCell ref="G30:G32"/>
    <mergeCell ref="H3:H4"/>
    <mergeCell ref="H5:H7"/>
    <mergeCell ref="H8:H11"/>
    <mergeCell ref="H12:H15"/>
    <mergeCell ref="H16:H17"/>
    <mergeCell ref="H19:H21"/>
    <mergeCell ref="H22:H24"/>
    <mergeCell ref="H26:H29"/>
    <mergeCell ref="H30:H32"/>
    <mergeCell ref="N3:N4"/>
    <mergeCell ref="N5:N7"/>
    <mergeCell ref="N8:N11"/>
    <mergeCell ref="N12:N15"/>
    <mergeCell ref="N16:N17"/>
    <mergeCell ref="N19:N21"/>
    <mergeCell ref="N22:N24"/>
    <mergeCell ref="N26:N29"/>
    <mergeCell ref="N30:N32"/>
    <mergeCell ref="O3:O4"/>
    <mergeCell ref="O5:O7"/>
    <mergeCell ref="O8:O11"/>
    <mergeCell ref="O12:O15"/>
    <mergeCell ref="O16:O17"/>
    <mergeCell ref="O19:O21"/>
    <mergeCell ref="O22:O24"/>
    <mergeCell ref="O26:O29"/>
    <mergeCell ref="O30:O32"/>
    <mergeCell ref="P3:P4"/>
    <mergeCell ref="P5:P7"/>
    <mergeCell ref="P8:P11"/>
    <mergeCell ref="P12:P15"/>
    <mergeCell ref="P16:P17"/>
    <mergeCell ref="P19:P21"/>
    <mergeCell ref="P22:P24"/>
    <mergeCell ref="P26:P29"/>
    <mergeCell ref="P30:P32"/>
    <mergeCell ref="Q3:Q4"/>
    <mergeCell ref="Q5:Q7"/>
    <mergeCell ref="Q8:Q11"/>
    <mergeCell ref="Q12:Q15"/>
    <mergeCell ref="Q16:Q17"/>
    <mergeCell ref="Q19:Q21"/>
    <mergeCell ref="Q22:Q24"/>
    <mergeCell ref="Q26:Q29"/>
    <mergeCell ref="Q30:Q32"/>
    <mergeCell ref="R3:R4"/>
    <mergeCell ref="R5:R7"/>
    <mergeCell ref="R8:R11"/>
    <mergeCell ref="R12:R15"/>
    <mergeCell ref="R16:R17"/>
    <mergeCell ref="R19:R21"/>
    <mergeCell ref="R22:R24"/>
    <mergeCell ref="R26:R29"/>
    <mergeCell ref="R30:R32"/>
    <mergeCell ref="S3:S4"/>
    <mergeCell ref="S5:S7"/>
    <mergeCell ref="S8:S11"/>
    <mergeCell ref="S12:S15"/>
    <mergeCell ref="S16:S17"/>
    <mergeCell ref="S19:S21"/>
    <mergeCell ref="S22:S24"/>
    <mergeCell ref="S26:S29"/>
    <mergeCell ref="S30:S32"/>
    <mergeCell ref="T3:T4"/>
    <mergeCell ref="T5:T7"/>
    <mergeCell ref="T8:T11"/>
    <mergeCell ref="T12:T15"/>
    <mergeCell ref="T16:T17"/>
    <mergeCell ref="T19:T21"/>
    <mergeCell ref="T22:T24"/>
    <mergeCell ref="T26:T29"/>
    <mergeCell ref="T30:T32"/>
    <mergeCell ref="U3:U4"/>
    <mergeCell ref="U5:U7"/>
    <mergeCell ref="U8:U11"/>
    <mergeCell ref="U12:U15"/>
    <mergeCell ref="U16:U17"/>
    <mergeCell ref="U19:U21"/>
    <mergeCell ref="U22:U24"/>
    <mergeCell ref="U26:U29"/>
    <mergeCell ref="U30:U32"/>
    <mergeCell ref="V3:V4"/>
    <mergeCell ref="V5:V7"/>
    <mergeCell ref="V8:V11"/>
    <mergeCell ref="V12:V15"/>
    <mergeCell ref="V16:V17"/>
    <mergeCell ref="V19:V21"/>
    <mergeCell ref="V22:V24"/>
    <mergeCell ref="V26:V29"/>
    <mergeCell ref="V30:V32"/>
    <mergeCell ref="W3:W4"/>
    <mergeCell ref="W5:W7"/>
    <mergeCell ref="W8:W11"/>
    <mergeCell ref="W12:W15"/>
    <mergeCell ref="W16:W17"/>
    <mergeCell ref="W19:W21"/>
    <mergeCell ref="W22:W24"/>
    <mergeCell ref="W26:W29"/>
    <mergeCell ref="W30:W32"/>
    <mergeCell ref="X3:X4"/>
    <mergeCell ref="X5:X7"/>
    <mergeCell ref="X8:X11"/>
    <mergeCell ref="X12:X15"/>
    <mergeCell ref="X16:X17"/>
    <mergeCell ref="X19:X21"/>
    <mergeCell ref="X22:X24"/>
    <mergeCell ref="X26:X29"/>
    <mergeCell ref="X30:X32"/>
  </mergeCells>
  <conditionalFormatting sqref="E1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{0755bd2a-419c-4287-b12e-99d5e957c535}</x14:id>
        </ext>
      </extLst>
    </cfRule>
  </conditionalFormatting>
  <conditionalFormatting sqref="E2:G2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{9197976a-e405-412e-be42-b4830285ce9f}</x14:id>
        </ext>
      </extLst>
    </cfRule>
  </conditionalFormatting>
  <conditionalFormatting sqref="F18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{0379fdc8-cb14-47e5-8a1e-aa7d5c539a1f}</x14:id>
        </ext>
      </extLst>
    </cfRule>
  </conditionalFormatting>
  <conditionalFormatting sqref="K1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{3f1e4f5e-364e-46de-b21d-bee1f7bebaa0}</x14:id>
        </ext>
      </extLst>
    </cfRule>
  </conditionalFormatting>
  <conditionalFormatting sqref="F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{96ed9b17-227a-4643-b433-02e981961e4e}</x14:id>
        </ext>
      </extLst>
    </cfRule>
  </conditionalFormatting>
  <conditionalFormatting sqref="K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{1c774477-953e-4d50-8fdc-892a399cac39}</x14:id>
        </ext>
      </extLst>
    </cfRule>
  </conditionalFormatting>
  <conditionalFormatting sqref="M25">
    <cfRule type="cellIs" dxfId="0" priority="44" operator="greaterThanOrEqual">
      <formula>0</formula>
    </cfRule>
    <cfRule type="cellIs" dxfId="1" priority="45" operator="greaterThanOrEqual">
      <formula>0</formula>
    </cfRule>
    <cfRule type="cellIs" dxfId="2" priority="46" operator="lessThan">
      <formula>0</formula>
    </cfRule>
    <cfRule type="cellIs" dxfId="4" priority="47" operator="lessThan">
      <formula>0</formula>
    </cfRule>
    <cfRule type="cellIs" dxfId="5" priority="48" operator="greaterThanOrEqual">
      <formula>0</formula>
    </cfRule>
    <cfRule type="cellIs" dxfId="6" priority="49" operator="greaterThanOrEqual">
      <formula>0</formula>
    </cfRule>
  </conditionalFormatting>
  <conditionalFormatting sqref="F3:F4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{1b608b2e-bcf9-4ed7-be55-7ea34d72c9c5}</x14:id>
        </ext>
      </extLst>
    </cfRule>
  </conditionalFormatting>
  <conditionalFormatting sqref="F5:F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{860d6c74-1538-433c-981e-ff9a6eaf667e}</x14:id>
        </ext>
      </extLst>
    </cfRule>
  </conditionalFormatting>
  <conditionalFormatting sqref="F8:F11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{b9527f09-cf4f-47ec-80f6-abf11ab8ecc5}</x14:id>
        </ext>
      </extLst>
    </cfRule>
  </conditionalFormatting>
  <conditionalFormatting sqref="F12:F1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{c27ea247-6fb8-4154-8353-c91e8bbb4c35}</x14:id>
        </ext>
      </extLst>
    </cfRule>
  </conditionalFormatting>
  <conditionalFormatting sqref="F16:F17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{cd2f6f87-990a-43be-82a5-e4ad79060d9c}</x14:id>
        </ext>
      </extLst>
    </cfRule>
  </conditionalFormatting>
  <conditionalFormatting sqref="F19:F21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{ba6baf17-3b0b-49e5-ab3a-306f4be8b294}</x14:id>
        </ext>
      </extLst>
    </cfRule>
  </conditionalFormatting>
  <conditionalFormatting sqref="F22:F24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{effdf9e0-b81e-4732-8cfe-330e5e38b0f6}</x14:id>
        </ext>
      </extLst>
    </cfRule>
  </conditionalFormatting>
  <conditionalFormatting sqref="F26:F29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{938299ca-f337-4ac5-8bda-e83f8ae4879a}</x14:id>
        </ext>
      </extLst>
    </cfRule>
  </conditionalFormatting>
  <conditionalFormatting sqref="F30:F3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{67c747e2-2110-47dc-8a5d-434f35236595}</x14:id>
        </ext>
      </extLst>
    </cfRule>
  </conditionalFormatting>
  <conditionalFormatting sqref="K3:K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{ad084011-b013-45f5-bc4e-d6891b1955e1}</x14:id>
        </ext>
      </extLst>
    </cfRule>
  </conditionalFormatting>
  <conditionalFormatting sqref="K5:K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{8e708e2d-c1cc-425b-b64c-20358100b970}</x14:id>
        </ext>
      </extLst>
    </cfRule>
  </conditionalFormatting>
  <conditionalFormatting sqref="K8:K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{3933e18b-93ed-44a0-8d59-f7920820d55e}</x14:id>
        </ext>
      </extLst>
    </cfRule>
  </conditionalFormatting>
  <conditionalFormatting sqref="K12:K1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{9006ec24-cfe6-4867-8a8f-ff02c55bdd1f}</x14:id>
        </ext>
      </extLst>
    </cfRule>
  </conditionalFormatting>
  <conditionalFormatting sqref="K16:K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{ebfdaf50-ea3d-4da7-b081-daf732efa6e4}</x14:id>
        </ext>
      </extLst>
    </cfRule>
  </conditionalFormatting>
  <conditionalFormatting sqref="K19:K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{8f1a674c-af54-41a7-99c2-15f16291fb8c}</x14:id>
        </ext>
      </extLst>
    </cfRule>
  </conditionalFormatting>
  <conditionalFormatting sqref="K22:K2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{7ff74499-6b2e-4c8e-8db4-cc2d4502d956}</x14:id>
        </ext>
      </extLst>
    </cfRule>
  </conditionalFormatting>
  <conditionalFormatting sqref="K26:K2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{758229c1-9b14-404e-9148-8218a78d80fb}</x14:id>
        </ext>
      </extLst>
    </cfRule>
  </conditionalFormatting>
  <conditionalFormatting sqref="K30:K3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{61335016-c120-4f41-b308-ea22773ca230}</x14:id>
        </ext>
      </extLst>
    </cfRule>
  </conditionalFormatting>
  <conditionalFormatting sqref="M19:M21">
    <cfRule type="cellIs" dxfId="0" priority="60" operator="greaterThanOrEqual">
      <formula>0</formula>
    </cfRule>
    <cfRule type="cellIs" dxfId="1" priority="61" operator="greaterThanOrEqual">
      <formula>0</formula>
    </cfRule>
    <cfRule type="cellIs" dxfId="2" priority="62" operator="lessThan">
      <formula>0</formula>
    </cfRule>
    <cfRule type="cellIs" dxfId="4" priority="63" operator="lessThan">
      <formula>0</formula>
    </cfRule>
    <cfRule type="cellIs" dxfId="5" priority="64" operator="greaterThanOrEqual">
      <formula>0</formula>
    </cfRule>
    <cfRule type="cellIs" dxfId="6" priority="65" operator="greaterThanOrEqual">
      <formula>0</formula>
    </cfRule>
  </conditionalFormatting>
  <conditionalFormatting sqref="M22:M24">
    <cfRule type="cellIs" dxfId="0" priority="52" operator="greaterThanOrEqual">
      <formula>0</formula>
    </cfRule>
    <cfRule type="cellIs" dxfId="1" priority="53" operator="greaterThanOrEqual">
      <formula>0</formula>
    </cfRule>
    <cfRule type="cellIs" dxfId="2" priority="54" operator="lessThan">
      <formula>0</formula>
    </cfRule>
    <cfRule type="cellIs" dxfId="4" priority="55" operator="lessThan">
      <formula>0</formula>
    </cfRule>
    <cfRule type="cellIs" dxfId="5" priority="56" operator="greaterThanOrEqual">
      <formula>0</formula>
    </cfRule>
    <cfRule type="cellIs" dxfId="6" priority="57" operator="greaterThanOrEqual">
      <formula>0</formula>
    </cfRule>
  </conditionalFormatting>
  <conditionalFormatting sqref="M26:M29">
    <cfRule type="cellIs" dxfId="0" priority="36" operator="greaterThanOrEqual">
      <formula>0</formula>
    </cfRule>
    <cfRule type="cellIs" dxfId="1" priority="37" operator="greaterThanOrEqual">
      <formula>0</formula>
    </cfRule>
    <cfRule type="cellIs" dxfId="2" priority="38" operator="lessThan">
      <formula>0</formula>
    </cfRule>
    <cfRule type="cellIs" dxfId="4" priority="39" operator="lessThan">
      <formula>0</formula>
    </cfRule>
    <cfRule type="cellIs" dxfId="5" priority="40" operator="greaterThanOrEqual">
      <formula>0</formula>
    </cfRule>
    <cfRule type="cellIs" dxfId="6" priority="41" operator="greaterThanOrEqual">
      <formula>0</formula>
    </cfRule>
  </conditionalFormatting>
  <conditionalFormatting sqref="F1:F2 F33:F1048576">
    <cfRule type="dataBar" priority="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{718ebd84-260a-402d-940c-b841bb38ef48}</x14:id>
        </ext>
      </extLst>
    </cfRule>
  </conditionalFormatting>
  <conditionalFormatting sqref="M3:M18 M30:M32">
    <cfRule type="cellIs" dxfId="0" priority="112" operator="greaterThanOrEqual">
      <formula>0</formula>
    </cfRule>
    <cfRule type="cellIs" dxfId="1" priority="113" operator="greaterThanOrEqual">
      <formula>0</formula>
    </cfRule>
    <cfRule type="cellIs" dxfId="2" priority="114" operator="lessThan">
      <formula>0</formula>
    </cfRule>
    <cfRule type="cellIs" dxfId="4" priority="115" operator="lessThan">
      <formula>0</formula>
    </cfRule>
    <cfRule type="cellIs" dxfId="5" priority="116" operator="greaterThanOrEqual">
      <formula>0</formula>
    </cfRule>
    <cfRule type="cellIs" dxfId="6" priority="117" operator="greaterThanOrEqual">
      <formula>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55bd2a-419c-4287-b12e-99d5e957c53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E1</xm:sqref>
        </x14:conditionalFormatting>
        <x14:conditionalFormatting xmlns:xm="http://schemas.microsoft.com/office/excel/2006/main">
          <x14:cfRule type="dataBar" id="{9197976a-e405-412e-be42-b4830285ce9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E2:G2</xm:sqref>
        </x14:conditionalFormatting>
        <x14:conditionalFormatting xmlns:xm="http://schemas.microsoft.com/office/excel/2006/main">
          <x14:cfRule type="dataBar" id="{0379fdc8-cb14-47e5-8a1e-aa7d5c539a1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F18</xm:sqref>
        </x14:conditionalFormatting>
        <x14:conditionalFormatting xmlns:xm="http://schemas.microsoft.com/office/excel/2006/main">
          <x14:cfRule type="dataBar" id="{3f1e4f5e-364e-46de-b21d-bee1f7bebaa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K18</xm:sqref>
        </x14:conditionalFormatting>
        <x14:conditionalFormatting xmlns:xm="http://schemas.microsoft.com/office/excel/2006/main">
          <x14:cfRule type="dataBar" id="{96ed9b17-227a-4643-b433-02e981961e4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F25</xm:sqref>
        </x14:conditionalFormatting>
        <x14:conditionalFormatting xmlns:xm="http://schemas.microsoft.com/office/excel/2006/main">
          <x14:cfRule type="dataBar" id="{1c774477-953e-4d50-8fdc-892a399cac3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K25</xm:sqref>
        </x14:conditionalFormatting>
        <x14:conditionalFormatting xmlns:xm="http://schemas.microsoft.com/office/excel/2006/main">
          <x14:cfRule type="dataBar" id="{1b608b2e-bcf9-4ed7-be55-7ea34d72c9c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F3:F4</xm:sqref>
        </x14:conditionalFormatting>
        <x14:conditionalFormatting xmlns:xm="http://schemas.microsoft.com/office/excel/2006/main">
          <x14:cfRule type="dataBar" id="{860d6c74-1538-433c-981e-ff9a6eaf667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F5:F7</xm:sqref>
        </x14:conditionalFormatting>
        <x14:conditionalFormatting xmlns:xm="http://schemas.microsoft.com/office/excel/2006/main">
          <x14:cfRule type="dataBar" id="{b9527f09-cf4f-47ec-80f6-abf11ab8ecc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F8:F11</xm:sqref>
        </x14:conditionalFormatting>
        <x14:conditionalFormatting xmlns:xm="http://schemas.microsoft.com/office/excel/2006/main">
          <x14:cfRule type="dataBar" id="{c27ea247-6fb8-4154-8353-c91e8bbb4c3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F12:F15</xm:sqref>
        </x14:conditionalFormatting>
        <x14:conditionalFormatting xmlns:xm="http://schemas.microsoft.com/office/excel/2006/main">
          <x14:cfRule type="dataBar" id="{cd2f6f87-990a-43be-82a5-e4ad79060d9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F16:F17</xm:sqref>
        </x14:conditionalFormatting>
        <x14:conditionalFormatting xmlns:xm="http://schemas.microsoft.com/office/excel/2006/main">
          <x14:cfRule type="dataBar" id="{ba6baf17-3b0b-49e5-ab3a-306f4be8b29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F19:F21</xm:sqref>
        </x14:conditionalFormatting>
        <x14:conditionalFormatting xmlns:xm="http://schemas.microsoft.com/office/excel/2006/main">
          <x14:cfRule type="dataBar" id="{effdf9e0-b81e-4732-8cfe-330e5e38b0f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F22:F24</xm:sqref>
        </x14:conditionalFormatting>
        <x14:conditionalFormatting xmlns:xm="http://schemas.microsoft.com/office/excel/2006/main">
          <x14:cfRule type="dataBar" id="{938299ca-f337-4ac5-8bda-e83f8ae4879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F26:F29</xm:sqref>
        </x14:conditionalFormatting>
        <x14:conditionalFormatting xmlns:xm="http://schemas.microsoft.com/office/excel/2006/main">
          <x14:cfRule type="dataBar" id="{67c747e2-2110-47dc-8a5d-434f3523659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F30:F32</xm:sqref>
        </x14:conditionalFormatting>
        <x14:conditionalFormatting xmlns:xm="http://schemas.microsoft.com/office/excel/2006/main">
          <x14:cfRule type="dataBar" id="{ad084011-b013-45f5-bc4e-d6891b1955e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K3:K4</xm:sqref>
        </x14:conditionalFormatting>
        <x14:conditionalFormatting xmlns:xm="http://schemas.microsoft.com/office/excel/2006/main">
          <x14:cfRule type="dataBar" id="{8e708e2d-c1cc-425b-b64c-20358100b97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K5:K7</xm:sqref>
        </x14:conditionalFormatting>
        <x14:conditionalFormatting xmlns:xm="http://schemas.microsoft.com/office/excel/2006/main">
          <x14:cfRule type="dataBar" id="{3933e18b-93ed-44a0-8d59-f7920820d55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K8:K11</xm:sqref>
        </x14:conditionalFormatting>
        <x14:conditionalFormatting xmlns:xm="http://schemas.microsoft.com/office/excel/2006/main">
          <x14:cfRule type="dataBar" id="{9006ec24-cfe6-4867-8a8f-ff02c55bdd1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K12:K15</xm:sqref>
        </x14:conditionalFormatting>
        <x14:conditionalFormatting xmlns:xm="http://schemas.microsoft.com/office/excel/2006/main">
          <x14:cfRule type="dataBar" id="{ebfdaf50-ea3d-4da7-b081-daf732efa6e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K16:K17</xm:sqref>
        </x14:conditionalFormatting>
        <x14:conditionalFormatting xmlns:xm="http://schemas.microsoft.com/office/excel/2006/main">
          <x14:cfRule type="dataBar" id="{8f1a674c-af54-41a7-99c2-15f16291fb8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K19:K21</xm:sqref>
        </x14:conditionalFormatting>
        <x14:conditionalFormatting xmlns:xm="http://schemas.microsoft.com/office/excel/2006/main">
          <x14:cfRule type="dataBar" id="{7ff74499-6b2e-4c8e-8db4-cc2d4502d95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K22:K24</xm:sqref>
        </x14:conditionalFormatting>
        <x14:conditionalFormatting xmlns:xm="http://schemas.microsoft.com/office/excel/2006/main">
          <x14:cfRule type="dataBar" id="{758229c1-9b14-404e-9148-8218a78d80f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K26:K29</xm:sqref>
        </x14:conditionalFormatting>
        <x14:conditionalFormatting xmlns:xm="http://schemas.microsoft.com/office/excel/2006/main">
          <x14:cfRule type="dataBar" id="{61335016-c120-4f41-b308-ea22773ca23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K30:K32</xm:sqref>
        </x14:conditionalFormatting>
        <x14:conditionalFormatting xmlns:xm="http://schemas.microsoft.com/office/excel/2006/main">
          <x14:cfRule type="dataBar" id="{718ebd84-260a-402d-940c-b841bb38ef4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F1:F2 F33:F1048576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97" zoomScaleNormal="97" workbookViewId="0">
      <selection activeCell="A1" sqref="A1:A2"/>
    </sheetView>
  </sheetViews>
  <sheetFormatPr defaultColWidth="9" defaultRowHeight="16.5" outlineLevelCol="7"/>
  <cols>
    <col min="1" max="1" width="32.375" style="1" customWidth="1"/>
    <col min="2" max="2" width="12.5" style="25" customWidth="1"/>
    <col min="3" max="3" width="21.125" style="25" customWidth="1"/>
    <col min="4" max="4" width="20" style="25" customWidth="1"/>
    <col min="5" max="5" width="23.875" style="1" customWidth="1"/>
    <col min="6" max="6" width="9" style="1" customWidth="1"/>
    <col min="7" max="7" width="11.375" style="1" customWidth="1"/>
    <col min="8" max="16384" width="9" style="1" customWidth="1"/>
  </cols>
  <sheetData>
    <row r="1" spans="1:4">
      <c r="A1" s="26" t="s">
        <v>114</v>
      </c>
      <c r="B1" s="21" t="s">
        <v>115</v>
      </c>
      <c r="C1" s="6"/>
      <c r="D1" s="27"/>
    </row>
    <row r="2" spans="1:4">
      <c r="A2" s="9"/>
      <c r="B2" s="26" t="s">
        <v>116</v>
      </c>
      <c r="C2" s="26" t="s">
        <v>117</v>
      </c>
      <c r="D2" s="28"/>
    </row>
    <row r="3" ht="18" customHeight="1" spans="1:8">
      <c r="A3" s="29" t="s">
        <v>39</v>
      </c>
      <c r="B3" s="12">
        <v>4746.35857142857</v>
      </c>
      <c r="C3" s="12">
        <v>1183134.59</v>
      </c>
      <c r="D3" s="30"/>
      <c r="E3" s="1" t="s">
        <v>118</v>
      </c>
      <c r="H3" s="31"/>
    </row>
    <row r="4" ht="18" customHeight="1" spans="1:8">
      <c r="A4" s="29" t="s">
        <v>119</v>
      </c>
      <c r="B4" s="12">
        <v>2870.07714285714</v>
      </c>
      <c r="C4" s="12">
        <v>527247.96</v>
      </c>
      <c r="D4" s="32" t="s">
        <v>120</v>
      </c>
      <c r="E4" s="14" t="s">
        <v>121</v>
      </c>
      <c r="H4" s="31"/>
    </row>
    <row r="5" ht="18" customHeight="1" spans="1:8">
      <c r="A5" s="10" t="s">
        <v>122</v>
      </c>
      <c r="B5" s="12">
        <v>676.532857142857</v>
      </c>
      <c r="C5" s="12">
        <v>205938.8</v>
      </c>
      <c r="D5" s="18"/>
      <c r="G5" s="31"/>
      <c r="H5" s="31"/>
    </row>
    <row r="6" ht="18" customHeight="1" spans="1:8">
      <c r="A6" s="10" t="s">
        <v>123</v>
      </c>
      <c r="B6" s="12">
        <v>610.09</v>
      </c>
      <c r="C6" s="12">
        <v>173197.47</v>
      </c>
      <c r="D6" s="18"/>
      <c r="G6" s="31"/>
      <c r="H6" s="31"/>
    </row>
    <row r="7" ht="18" customHeight="1" spans="1:8">
      <c r="A7" s="10" t="s">
        <v>124</v>
      </c>
      <c r="B7" s="12">
        <v>479.44</v>
      </c>
      <c r="C7" s="12">
        <v>73036.1</v>
      </c>
      <c r="D7" s="18"/>
      <c r="G7" s="31"/>
      <c r="H7" s="31"/>
    </row>
    <row r="8" ht="18" customHeight="1" spans="1:8">
      <c r="A8" s="10" t="s">
        <v>125</v>
      </c>
      <c r="B8" s="12">
        <v>0</v>
      </c>
      <c r="C8" s="12">
        <v>0</v>
      </c>
      <c r="D8" s="18"/>
      <c r="G8" s="31"/>
      <c r="H8" s="31"/>
    </row>
    <row r="9" ht="18" customHeight="1" spans="1:8">
      <c r="A9" s="10" t="s">
        <v>126</v>
      </c>
      <c r="B9" s="12">
        <v>16663.8714285714</v>
      </c>
      <c r="C9" s="12">
        <v>3745361.95</v>
      </c>
      <c r="D9" s="33" t="s">
        <v>120</v>
      </c>
      <c r="E9" s="17" t="s">
        <v>118</v>
      </c>
      <c r="G9" s="31"/>
      <c r="H9" s="31"/>
    </row>
    <row r="10" ht="18" customHeight="1" spans="1:8">
      <c r="A10" s="10" t="s">
        <v>127</v>
      </c>
      <c r="B10" s="12">
        <v>0</v>
      </c>
      <c r="C10" s="12">
        <v>0</v>
      </c>
      <c r="D10" s="7"/>
      <c r="E10" s="18"/>
      <c r="G10" s="31"/>
      <c r="H10" s="31"/>
    </row>
    <row r="11" ht="18" customHeight="1" spans="1:8">
      <c r="A11" s="10" t="s">
        <v>68</v>
      </c>
      <c r="B11" s="12">
        <v>20812.82</v>
      </c>
      <c r="C11" s="12">
        <v>8017125.09</v>
      </c>
      <c r="D11" s="34"/>
      <c r="E11" s="17" t="s">
        <v>128</v>
      </c>
      <c r="G11" s="31"/>
      <c r="H11" s="31"/>
    </row>
    <row r="12" spans="1:8">
      <c r="A12" s="10" t="s">
        <v>59</v>
      </c>
      <c r="B12" s="12">
        <v>1121.45428571429</v>
      </c>
      <c r="C12" s="12">
        <v>430516.7</v>
      </c>
      <c r="E12" s="14" t="s">
        <v>118</v>
      </c>
      <c r="H12" s="31"/>
    </row>
    <row r="13" spans="1:8">
      <c r="A13" s="10" t="s">
        <v>129</v>
      </c>
      <c r="B13" s="12">
        <v>525.404285714286</v>
      </c>
      <c r="C13" s="12">
        <v>136459.01</v>
      </c>
      <c r="D13" s="35" t="s">
        <v>120</v>
      </c>
      <c r="E13" s="14" t="s">
        <v>118</v>
      </c>
      <c r="H13" s="31"/>
    </row>
    <row r="14" spans="1:8">
      <c r="A14" s="10" t="s">
        <v>130</v>
      </c>
      <c r="B14" s="12">
        <v>2199.57428571429</v>
      </c>
      <c r="C14" s="12">
        <v>521753.59</v>
      </c>
      <c r="H14" s="31"/>
    </row>
    <row r="15" spans="1:8">
      <c r="A15" s="10" t="s">
        <v>131</v>
      </c>
      <c r="B15" s="12">
        <v>248.098571428571</v>
      </c>
      <c r="C15" s="12">
        <v>64653.05</v>
      </c>
      <c r="H15" s="31"/>
    </row>
    <row r="16" spans="1:8">
      <c r="A16" s="10" t="s">
        <v>132</v>
      </c>
      <c r="B16" s="12">
        <v>0</v>
      </c>
      <c r="C16" s="12">
        <v>0</v>
      </c>
      <c r="D16" s="35" t="s">
        <v>120</v>
      </c>
      <c r="E16" s="14" t="s">
        <v>133</v>
      </c>
      <c r="H16" s="31"/>
    </row>
    <row r="17" spans="1:8">
      <c r="A17" s="10" t="s">
        <v>134</v>
      </c>
      <c r="B17" s="12">
        <v>7734.48285714286</v>
      </c>
      <c r="C17" s="12">
        <v>1211835.61</v>
      </c>
      <c r="H17" s="31"/>
    </row>
    <row r="18" spans="1:8">
      <c r="A18" s="10" t="s">
        <v>135</v>
      </c>
      <c r="B18" s="12">
        <v>0</v>
      </c>
      <c r="C18" s="12">
        <v>0</v>
      </c>
      <c r="H18" s="31"/>
    </row>
    <row r="19" spans="1:8">
      <c r="A19" s="10" t="s">
        <v>74</v>
      </c>
      <c r="B19" s="12">
        <v>7962.14428571429</v>
      </c>
      <c r="C19" s="12">
        <v>1617648.77</v>
      </c>
      <c r="E19" s="14" t="s">
        <v>118</v>
      </c>
      <c r="H19" s="31"/>
    </row>
  </sheetData>
  <mergeCells count="10">
    <mergeCell ref="B1:C1"/>
    <mergeCell ref="A1:A2"/>
    <mergeCell ref="D4:D8"/>
    <mergeCell ref="D9:D10"/>
    <mergeCell ref="D13:D15"/>
    <mergeCell ref="D16:D18"/>
    <mergeCell ref="E4:E8"/>
    <mergeCell ref="E9:E10"/>
    <mergeCell ref="E13:E15"/>
    <mergeCell ref="E16:E1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A2"/>
    </sheetView>
  </sheetViews>
  <sheetFormatPr defaultColWidth="14.875" defaultRowHeight="14.25" outlineLevelRow="7" outlineLevelCol="5"/>
  <cols>
    <col min="1" max="1" width="29.375" style="19" customWidth="1"/>
    <col min="2" max="2" width="14.875" style="20" customWidth="1"/>
    <col min="3" max="3" width="21" style="20" customWidth="1"/>
    <col min="4" max="4" width="26.125" style="20" customWidth="1"/>
    <col min="5" max="16384" width="14.875" style="20" customWidth="1"/>
  </cols>
  <sheetData>
    <row r="1" ht="16.5" customHeight="1" spans="1:3">
      <c r="A1" s="3" t="s">
        <v>114</v>
      </c>
      <c r="B1" s="21" t="s">
        <v>136</v>
      </c>
      <c r="C1" s="6"/>
    </row>
    <row r="2" ht="16.5" customHeight="1" spans="1:3">
      <c r="A2" s="9"/>
      <c r="B2" s="22" t="s">
        <v>137</v>
      </c>
      <c r="C2" s="22" t="s">
        <v>117</v>
      </c>
    </row>
    <row r="3" ht="16.5" customHeight="1" spans="1:6">
      <c r="A3" s="10" t="s">
        <v>39</v>
      </c>
      <c r="B3" s="11">
        <v>1021.43857142857</v>
      </c>
      <c r="C3" s="12">
        <v>733849.85</v>
      </c>
      <c r="D3" s="23" t="s">
        <v>118</v>
      </c>
      <c r="F3" s="24"/>
    </row>
    <row r="4" ht="16.5" customHeight="1" spans="1:4">
      <c r="A4" s="10" t="s">
        <v>79</v>
      </c>
      <c r="B4" s="11">
        <v>3084.65428571429</v>
      </c>
      <c r="C4" s="12">
        <v>630496.89</v>
      </c>
      <c r="D4" s="23" t="s">
        <v>118</v>
      </c>
    </row>
    <row r="5" ht="16.5" customHeight="1" spans="1:4">
      <c r="A5" s="10" t="s">
        <v>74</v>
      </c>
      <c r="B5" s="11">
        <v>4795.60571428571</v>
      </c>
      <c r="C5" s="12">
        <v>1076314.42</v>
      </c>
      <c r="D5" s="23" t="s">
        <v>118</v>
      </c>
    </row>
    <row r="6" ht="16.5" customHeight="1" spans="1:2">
      <c r="A6" s="20"/>
      <c r="B6" s="24"/>
    </row>
    <row r="7" ht="16.5" customHeight="1" spans="1:2">
      <c r="A7" s="20"/>
      <c r="B7" s="24"/>
    </row>
    <row r="8" ht="16.5" customHeight="1" spans="1:2">
      <c r="A8" s="20"/>
      <c r="B8" s="24"/>
    </row>
  </sheetData>
  <mergeCells count="2">
    <mergeCell ref="B1:C1"/>
    <mergeCell ref="A1:A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" sqref="A1:A3"/>
    </sheetView>
  </sheetViews>
  <sheetFormatPr defaultColWidth="9" defaultRowHeight="16.5"/>
  <cols>
    <col min="1" max="1" width="24.75" style="1" customWidth="1"/>
    <col min="2" max="3" width="14.25" style="2" customWidth="1"/>
    <col min="4" max="4" width="12.375" style="2" customWidth="1"/>
    <col min="5" max="5" width="12" style="2" customWidth="1"/>
    <col min="6" max="6" width="12.75" style="2" customWidth="1"/>
    <col min="7" max="7" width="11.375" style="1" customWidth="1"/>
    <col min="8" max="16384" width="9" style="1" customWidth="1"/>
  </cols>
  <sheetData>
    <row r="1" spans="1:6">
      <c r="A1" s="3" t="s">
        <v>114</v>
      </c>
      <c r="B1" s="4" t="s">
        <v>115</v>
      </c>
      <c r="C1" s="5"/>
      <c r="D1" s="5"/>
      <c r="E1" s="5"/>
      <c r="F1" s="6"/>
    </row>
    <row r="2" spans="1:6">
      <c r="A2" s="7"/>
      <c r="B2" s="8" t="s">
        <v>138</v>
      </c>
      <c r="C2" s="6"/>
      <c r="D2" s="8" t="s">
        <v>117</v>
      </c>
      <c r="E2" s="5"/>
      <c r="F2" s="6"/>
    </row>
    <row r="3" spans="1:6">
      <c r="A3" s="9"/>
      <c r="B3" s="3" t="s">
        <v>4</v>
      </c>
      <c r="C3" s="3" t="s">
        <v>7</v>
      </c>
      <c r="D3" s="3" t="s">
        <v>4</v>
      </c>
      <c r="E3" s="3" t="s">
        <v>7</v>
      </c>
      <c r="F3" s="3" t="s">
        <v>10</v>
      </c>
    </row>
    <row r="4" spans="1:8">
      <c r="A4" s="10" t="s">
        <v>139</v>
      </c>
      <c r="B4" s="11">
        <v>0</v>
      </c>
      <c r="C4" s="11">
        <v>0</v>
      </c>
      <c r="D4" s="12">
        <v>354602.18</v>
      </c>
      <c r="E4" s="13">
        <v>17000</v>
      </c>
      <c r="F4" s="12">
        <v>373254.94</v>
      </c>
      <c r="G4" s="14" t="s">
        <v>120</v>
      </c>
      <c r="H4" s="15" t="s">
        <v>140</v>
      </c>
    </row>
    <row r="5" spans="1:6">
      <c r="A5" s="10" t="s">
        <v>141</v>
      </c>
      <c r="B5" s="11">
        <v>1114.21285714286</v>
      </c>
      <c r="C5" s="11">
        <v>0</v>
      </c>
      <c r="D5" s="12">
        <v>642764.76</v>
      </c>
      <c r="E5" s="13">
        <v>691.39</v>
      </c>
      <c r="F5" s="12">
        <v>646307.76</v>
      </c>
    </row>
    <row r="6" spans="1:8">
      <c r="A6" s="10" t="s">
        <v>92</v>
      </c>
      <c r="B6" s="16">
        <v>2932.73571428571</v>
      </c>
      <c r="C6" s="16">
        <v>0</v>
      </c>
      <c r="D6" s="12">
        <v>681042.65</v>
      </c>
      <c r="E6" s="13">
        <v>0</v>
      </c>
      <c r="F6" s="12">
        <v>686759.52</v>
      </c>
      <c r="H6" s="1" t="s">
        <v>142</v>
      </c>
    </row>
    <row r="7" spans="1:8">
      <c r="A7" s="10" t="s">
        <v>112</v>
      </c>
      <c r="B7" s="16">
        <v>1030.88428571429</v>
      </c>
      <c r="C7" s="16">
        <v>0</v>
      </c>
      <c r="D7" s="12">
        <v>375227.02</v>
      </c>
      <c r="E7" s="13">
        <v>271.63</v>
      </c>
      <c r="F7" s="12">
        <v>376541.17</v>
      </c>
      <c r="H7" s="1" t="s">
        <v>143</v>
      </c>
    </row>
    <row r="8" spans="1:8">
      <c r="A8" s="10" t="s">
        <v>96</v>
      </c>
      <c r="B8" s="16">
        <v>2426.65571428571</v>
      </c>
      <c r="C8" s="16">
        <v>0.0642857142857143</v>
      </c>
      <c r="D8" s="12">
        <v>1007258.32</v>
      </c>
      <c r="E8" s="13">
        <v>27.71</v>
      </c>
      <c r="F8" s="12">
        <v>1007286.03</v>
      </c>
      <c r="H8" s="1" t="s">
        <v>118</v>
      </c>
    </row>
    <row r="9" spans="1:8">
      <c r="A9" s="10" t="s">
        <v>97</v>
      </c>
      <c r="B9" s="16">
        <v>4341.40714285714</v>
      </c>
      <c r="C9" s="16">
        <v>31.1985714285714</v>
      </c>
      <c r="D9" s="12">
        <v>1163373.64</v>
      </c>
      <c r="E9" s="13">
        <v>2509.08</v>
      </c>
      <c r="F9" s="12">
        <v>1165882.72</v>
      </c>
      <c r="H9" s="1" t="s">
        <v>118</v>
      </c>
    </row>
    <row r="10" spans="1:8">
      <c r="A10" s="10" t="s">
        <v>98</v>
      </c>
      <c r="B10" s="16">
        <v>3316.57714285714</v>
      </c>
      <c r="C10" s="16">
        <v>0</v>
      </c>
      <c r="D10" s="12">
        <v>699124.34</v>
      </c>
      <c r="E10" s="13">
        <v>0</v>
      </c>
      <c r="F10" s="12">
        <v>699124.34</v>
      </c>
      <c r="H10" s="1" t="s">
        <v>118</v>
      </c>
    </row>
    <row r="11" spans="1:8">
      <c r="A11" s="10" t="s">
        <v>100</v>
      </c>
      <c r="B11" s="16">
        <v>1644.95285714286</v>
      </c>
      <c r="C11" s="16">
        <v>0</v>
      </c>
      <c r="D11" s="12">
        <v>397619.69</v>
      </c>
      <c r="E11" s="13">
        <v>0</v>
      </c>
      <c r="F11" s="12">
        <v>397619.69</v>
      </c>
      <c r="H11" s="1" t="s">
        <v>118</v>
      </c>
    </row>
    <row r="12" spans="1:8">
      <c r="A12" s="10" t="s">
        <v>144</v>
      </c>
      <c r="B12" s="16">
        <v>3319.67857142857</v>
      </c>
      <c r="C12" s="16">
        <v>0</v>
      </c>
      <c r="D12" s="12">
        <v>714869.95</v>
      </c>
      <c r="E12" s="13">
        <v>6841.6</v>
      </c>
      <c r="F12" s="12">
        <v>731530.159999999</v>
      </c>
      <c r="G12" s="17" t="s">
        <v>120</v>
      </c>
      <c r="H12" s="15" t="s">
        <v>118</v>
      </c>
    </row>
    <row r="13" spans="1:7">
      <c r="A13" s="10" t="s">
        <v>145</v>
      </c>
      <c r="B13" s="16">
        <v>599.602857142857</v>
      </c>
      <c r="C13" s="16">
        <v>0</v>
      </c>
      <c r="D13" s="12">
        <v>85558.96</v>
      </c>
      <c r="E13" s="13">
        <v>0</v>
      </c>
      <c r="F13" s="12">
        <v>85558.96</v>
      </c>
      <c r="G13" s="18"/>
    </row>
    <row r="14" spans="1:8">
      <c r="A14" s="10" t="s">
        <v>146</v>
      </c>
      <c r="B14" s="16">
        <v>0</v>
      </c>
      <c r="C14" s="16">
        <v>0</v>
      </c>
      <c r="D14" s="12">
        <v>124016.39</v>
      </c>
      <c r="E14" s="13">
        <v>0</v>
      </c>
      <c r="F14" s="12">
        <v>124016.39</v>
      </c>
      <c r="G14" s="17" t="s">
        <v>120</v>
      </c>
      <c r="H14" s="15" t="s">
        <v>118</v>
      </c>
    </row>
    <row r="15" spans="1:7">
      <c r="A15" s="10" t="s">
        <v>147</v>
      </c>
      <c r="B15" s="16">
        <v>0</v>
      </c>
      <c r="C15" s="16">
        <v>0</v>
      </c>
      <c r="D15" s="12">
        <v>0</v>
      </c>
      <c r="E15" s="13">
        <v>0</v>
      </c>
      <c r="F15" s="12">
        <v>0</v>
      </c>
      <c r="G15" s="18"/>
    </row>
    <row r="16" spans="1:8">
      <c r="A16" s="10" t="s">
        <v>148</v>
      </c>
      <c r="B16" s="16">
        <v>0</v>
      </c>
      <c r="C16" s="16">
        <v>0</v>
      </c>
      <c r="D16" s="12">
        <v>168085.86</v>
      </c>
      <c r="E16" s="13">
        <v>19000</v>
      </c>
      <c r="F16" s="12">
        <v>187085.86</v>
      </c>
      <c r="G16" s="17" t="s">
        <v>120</v>
      </c>
      <c r="H16" s="15" t="s">
        <v>133</v>
      </c>
    </row>
    <row r="17" spans="1:7">
      <c r="A17" s="10" t="s">
        <v>149</v>
      </c>
      <c r="B17" s="16">
        <v>155.142857142857</v>
      </c>
      <c r="C17" s="16">
        <v>0</v>
      </c>
      <c r="D17" s="12">
        <v>79621.07</v>
      </c>
      <c r="E17" s="13">
        <v>0</v>
      </c>
      <c r="F17" s="12">
        <v>79621.07</v>
      </c>
      <c r="G17" s="18"/>
    </row>
    <row r="18" spans="1:8">
      <c r="A18" s="10" t="s">
        <v>111</v>
      </c>
      <c r="B18" s="16">
        <v>6459.30142857143</v>
      </c>
      <c r="C18" s="16">
        <v>2899.94714285714</v>
      </c>
      <c r="D18" s="12">
        <v>1203888.87</v>
      </c>
      <c r="E18" s="13">
        <v>546912.21</v>
      </c>
      <c r="F18" s="12">
        <v>1750801.08</v>
      </c>
      <c r="H18" s="1" t="s">
        <v>118</v>
      </c>
    </row>
  </sheetData>
  <mergeCells count="12">
    <mergeCell ref="B1:F1"/>
    <mergeCell ref="B2:C2"/>
    <mergeCell ref="D2:F2"/>
    <mergeCell ref="A1:A3"/>
    <mergeCell ref="G4:G5"/>
    <mergeCell ref="G12:G13"/>
    <mergeCell ref="G14:G15"/>
    <mergeCell ref="G16:G17"/>
    <mergeCell ref="H4:J5"/>
    <mergeCell ref="H12:J13"/>
    <mergeCell ref="H14:J15"/>
    <mergeCell ref="H16:J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汇总表</vt:lpstr>
      <vt:lpstr>大搜年框客户消费监控</vt:lpstr>
      <vt:lpstr>信息流年框客户消费监控</vt:lpstr>
      <vt:lpstr>大搜+信息流年框客户消费监控</vt:lpstr>
      <vt:lpstr>大搜年框客户消费明细</vt:lpstr>
      <vt:lpstr>信息流年框客户消费明细</vt:lpstr>
      <vt:lpstr>大搜+信息流年框客户消费明细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2015-06-05T18:17:00Z</dcterms:created>
  <dcterms:modified xsi:type="dcterms:W3CDTF">2023-08-15T00:52:05Z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CF8BC8FAF9C24FD5A3E19D817257D7FD_12</vt:lpwstr>
  </property>
  <property fmtid="{D5CDD505-2E9C-101B-9397-08002B2CF9AE}" pid="3" name="KSOProductBuildVer">
    <vt:lpwstr>2052-11.8.2.8053</vt:lpwstr>
  </property>
</Properties>
</file>