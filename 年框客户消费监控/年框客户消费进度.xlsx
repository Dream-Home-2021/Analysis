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bookViews>
    <workbookView xWindow="-120" yWindow="-120" windowWidth="24270" windowHeight="1315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<sst xmlns="http://schemas.openxmlformats.org/spreadsheetml/2006/main" count="154" uniqueCount="81">
  <si>
    <t>签约客户</t>
    <phoneticPr fontId="3" type="noConversion"/>
  </si>
  <si>
    <t>总消费完成进展</t>
    <phoneticPr fontId="3" type="noConversion"/>
  </si>
  <si>
    <t>日均消费进展</t>
    <phoneticPr fontId="3" type="noConversion"/>
  </si>
  <si>
    <t>合同到期剩余天数</t>
    <phoneticPr fontId="3" type="noConversion"/>
  </si>
  <si>
    <t>签约信息</t>
    <phoneticPr fontId="3" type="noConversion"/>
  </si>
  <si>
    <t>返款形式</t>
    <phoneticPr fontId="6" type="noConversion"/>
  </si>
  <si>
    <t>客户公司名称</t>
    <phoneticPr fontId="6" type="noConversion"/>
  </si>
  <si>
    <t>框架金额</t>
    <phoneticPr fontId="6" type="noConversion"/>
  </si>
  <si>
    <t>完成进度</t>
    <phoneticPr fontId="3" type="noConversion"/>
  </si>
  <si>
    <t>目前达标返款点数</t>
    <phoneticPr fontId="3" type="noConversion"/>
  </si>
  <si>
    <t>当前日均消费</t>
    <phoneticPr fontId="3" type="noConversion"/>
  </si>
  <si>
    <t>预计达标所需日均消费</t>
    <phoneticPr fontId="3" type="noConversion"/>
  </si>
  <si>
    <t>日均进度差值</t>
    <phoneticPr fontId="3" type="noConversion"/>
  </si>
  <si>
    <t>预计达标日均所需提升占比</t>
    <phoneticPr fontId="3" type="noConversion"/>
  </si>
  <si>
    <t>当前日均消费预计需完成天数</t>
    <phoneticPr fontId="3" type="noConversion"/>
  </si>
  <si>
    <t>当前日均消费预计完成时间</t>
    <phoneticPr fontId="3" type="noConversion"/>
  </si>
  <si>
    <t>距合同到期剩余天数</t>
    <phoneticPr fontId="3" type="noConversion"/>
  </si>
  <si>
    <t>合同到期日期</t>
    <phoneticPr fontId="3" type="noConversion"/>
  </si>
  <si>
    <t>签框产品线</t>
    <phoneticPr fontId="3" type="noConversion"/>
  </si>
  <si>
    <t>返款对像</t>
    <phoneticPr fontId="6" type="noConversion"/>
  </si>
  <si>
    <t xml:space="preserve">结算方式 </t>
    <phoneticPr fontId="6" type="noConversion"/>
  </si>
  <si>
    <t>是否已经签订合同</t>
    <phoneticPr fontId="6" type="noConversion"/>
  </si>
  <si>
    <t>合同时间</t>
    <phoneticPr fontId="6" type="noConversion"/>
  </si>
  <si>
    <t>备注</t>
    <phoneticPr fontId="3" type="noConversion"/>
  </si>
  <si>
    <t>部门</t>
    <phoneticPr fontId="3" type="noConversion"/>
  </si>
  <si>
    <t>维护客服</t>
    <phoneticPr fontId="6" type="noConversion"/>
  </si>
  <si>
    <t>签约客服</t>
    <phoneticPr fontId="3" type="noConversion"/>
  </si>
  <si>
    <t>稿定（厦门）科技有限公司</t>
    <phoneticPr fontId="3" type="noConversion"/>
  </si>
  <si>
    <t>大搜</t>
    <phoneticPr fontId="3" type="noConversion"/>
  </si>
  <si>
    <t>客户</t>
    <phoneticPr fontId="3" type="noConversion"/>
  </si>
  <si>
    <t>是</t>
    <phoneticPr fontId="3" type="noConversion"/>
  </si>
  <si>
    <t>2021年7月1日~2022年6月30日</t>
    <phoneticPr fontId="3" type="noConversion"/>
  </si>
  <si>
    <t>仅大搜消费</t>
    <phoneticPr fontId="3" type="noConversion"/>
  </si>
  <si>
    <t>KOL</t>
    <phoneticPr fontId="3" type="noConversion"/>
  </si>
  <si>
    <t>郑燕森</t>
    <phoneticPr fontId="3" type="noConversion"/>
  </si>
  <si>
    <t xml:space="preserve"> </t>
    <phoneticPr fontId="3" type="noConversion"/>
  </si>
  <si>
    <t>截止 月 日已完成消费</t>
    <phoneticPr fontId="6" type="noConversion"/>
  </si>
  <si>
    <t xml:space="preserve"> </t>
    <phoneticPr fontId="6" type="noConversion"/>
  </si>
  <si>
    <t>即冲击返</t>
    <phoneticPr fontId="3" type="noConversion"/>
  </si>
  <si>
    <t>蒋铃溪</t>
  </si>
  <si>
    <t>蒋铃溪</t>
    <phoneticPr fontId="3" type="noConversion"/>
  </si>
  <si>
    <t>即冲即返</t>
    <phoneticPr fontId="3" type="noConversion"/>
  </si>
  <si>
    <t>厦门快乐番薯股份有限公司</t>
    <phoneticPr fontId="6" type="noConversion"/>
  </si>
  <si>
    <t>大搜</t>
  </si>
  <si>
    <t>客户</t>
  </si>
  <si>
    <t>年返</t>
  </si>
  <si>
    <t>是</t>
  </si>
  <si>
    <t>仅大搜消费</t>
  </si>
  <si>
    <t>KOL</t>
  </si>
  <si>
    <t>邓玲玲</t>
  </si>
  <si>
    <t>年返</t>
    <phoneticPr fontId="3" type="noConversion"/>
  </si>
  <si>
    <t>2023年1月1日~2023年12月31日</t>
    <phoneticPr fontId="6" type="noConversion"/>
  </si>
  <si>
    <t>厦门雷霆网络科技股份有限公司
厦门雷霆互动网络有限公司</t>
    <phoneticPr fontId="3" type="noConversion"/>
  </si>
  <si>
    <t>是</t>
    <phoneticPr fontId="6" type="noConversion"/>
  </si>
  <si>
    <t>KOL</t>
    <phoneticPr fontId="6" type="noConversion"/>
  </si>
  <si>
    <t xml:space="preserve">即充即返
</t>
    <phoneticPr fontId="3" type="noConversion"/>
  </si>
  <si>
    <t>尹林平</t>
    <phoneticPr fontId="3" type="noConversion"/>
  </si>
  <si>
    <t>厦门快乐番薯股份有限公司</t>
    <phoneticPr fontId="3" type="noConversion"/>
  </si>
  <si>
    <t>信息流</t>
  </si>
  <si>
    <t>仅信息流消费</t>
  </si>
  <si>
    <t>2023年1月1日~2023年12月31日</t>
    <phoneticPr fontId="3" type="noConversion"/>
  </si>
  <si>
    <t>月结</t>
    <phoneticPr fontId="3" type="noConversion"/>
  </si>
  <si>
    <t>厦门房在线科技有限公司</t>
    <phoneticPr fontId="3" type="noConversion"/>
  </si>
  <si>
    <t>大搜+信息流合签</t>
    <phoneticPr fontId="3" type="noConversion"/>
  </si>
  <si>
    <t>月返</t>
    <phoneticPr fontId="3" type="noConversion"/>
  </si>
  <si>
    <t>大搜+信息流</t>
    <phoneticPr fontId="3" type="noConversion"/>
  </si>
  <si>
    <t>2022年10月10日~2023年10月9日</t>
    <phoneticPr fontId="6" type="noConversion"/>
  </si>
  <si>
    <t>陈沅</t>
    <phoneticPr fontId="3" type="noConversion"/>
  </si>
  <si>
    <t xml:space="preserve">即充即返 </t>
    <phoneticPr fontId="6" type="noConversion"/>
  </si>
  <si>
    <t xml:space="preserve">厦门运友供应链管理有限公司  
厦门迪超物流有限公司  
厦门货运力科技有限公司  
厦门货小运科技有限公司  
厦门市湖里区万线帮货运代理服务部  </t>
    <phoneticPr fontId="3" type="noConversion"/>
  </si>
  <si>
    <t>2022年12月1日~2023年11月30日</t>
    <phoneticPr fontId="6" type="noConversion"/>
  </si>
  <si>
    <t>厦门快快网络科技有限公司</t>
    <phoneticPr fontId="3" type="noConversion"/>
  </si>
  <si>
    <t>厦门高定供应链管理有限公司/厦门创艺社科技有限公司/厦门创艺社管理咨询合伙企业（有限合伙）</t>
    <phoneticPr fontId="3" type="noConversion"/>
  </si>
  <si>
    <t>2023年1月1日~2023年12月31日</t>
  </si>
  <si>
    <t>大搜+信息流</t>
  </si>
  <si>
    <t>大搜PC</t>
    <phoneticPr fontId="3" type="noConversion"/>
  </si>
  <si>
    <t>2023年1月1日~2023年12月31日</t>
    <phoneticPr fontId="3" type="noConversion"/>
  </si>
  <si>
    <t>大搜+信息流</t>
    <phoneticPr fontId="3" type="noConversion"/>
  </si>
  <si>
    <t>大搜</t>
    <phoneticPr fontId="3" type="noConversion"/>
  </si>
  <si>
    <t>厦门天锐科技股份有限公司</t>
    <phoneticPr fontId="3" type="noConversion"/>
  </si>
  <si>
    <t>厦门市盈拓商务有限公司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</si>
</sst>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#,##0_);[Red]\(#,##0\)"/>
    <numFmt numFmtId="177" formatCode="#,##0_ "/>
    <numFmt numFmtId="178" formatCode="#,##0.00_);[Red]\(#,##0.00\)"/>
    <numFmt numFmtId="179" formatCode="yyyy&quot;年&quot;m&quot;月&quot;;@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01">
    <xf numFmtId="0" fontId="0" fillId="0" borderId="0" xfId="0"/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9" fontId="4" fillId="3" borderId="1" xfId="2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0" fontId="4" fillId="4" borderId="1" xfId="2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9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right" vertical="center"/>
    </xf>
    <xf numFmtId="10" fontId="5" fillId="0" borderId="1" xfId="2" applyNumberFormat="1" applyFont="1" applyBorder="1" applyAlignment="1">
      <alignment horizontal="left" vertical="center"/>
    </xf>
    <xf numFmtId="1" fontId="5" fillId="5" borderId="1" xfId="0" applyNumberFormat="1" applyFon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left" vertical="center"/>
    </xf>
    <xf numFmtId="43" fontId="5" fillId="0" borderId="1" xfId="1" applyFont="1" applyBorder="1" applyAlignment="1">
      <alignment horizontal="left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2" applyFont="1" applyBorder="1" applyAlignment="1">
      <alignment horizontal="right" vertical="center"/>
    </xf>
    <xf numFmtId="0" fontId="0" fillId="0" borderId="1" xfId="0" applyBorder="1"/>
    <xf numFmtId="9" fontId="0" fillId="0" borderId="1" xfId="0" applyNumberFormat="1" applyBorder="1" applyAlignment="1">
      <alignment horizontal="right"/>
    </xf>
    <xf numFmtId="9" fontId="5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8" fillId="5" borderId="1" xfId="4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3" fontId="5" fillId="0" borderId="1" xfId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9" fontId="5" fillId="5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5" fillId="5" borderId="1" xfId="3" applyNumberFormat="1" applyFont="1" applyFill="1" applyBorder="1" applyAlignment="1">
      <alignment horizontal="left" vertical="center" wrapText="1"/>
    </xf>
    <xf numFmtId="0" fontId="8" fillId="5" borderId="1" xfId="4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14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14" fontId="5" fillId="5" borderId="1" xfId="3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9" fontId="5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6" borderId="5" xfId="0" applyFill="1" applyBorder="1" applyAlignment="1">
      <alignment horizontal="left" vertical="center"/>
    </xf>
    <xf numFmtId="0" fontId="0" fillId="6" borderId="0" xfId="0" applyFill="1" applyAlignment="1">
      <alignment horizontal="left"/>
    </xf>
    <xf numFmtId="0" fontId="0" fillId="6" borderId="0" xfId="0" applyFill="1"/>
    <xf numFmtId="9" fontId="0" fillId="6" borderId="0" xfId="0" applyNumberFormat="1" applyFill="1"/>
    <xf numFmtId="0" fontId="0" fillId="6" borderId="6" xfId="0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6" borderId="2" xfId="4" applyFont="1" applyFill="1" applyBorder="1" applyAlignment="1">
      <alignment horizontal="center" vertical="center" wrapText="1"/>
    </xf>
    <xf numFmtId="0" fontId="8" fillId="6" borderId="3" xfId="4" applyFont="1" applyFill="1" applyBorder="1" applyAlignment="1">
      <alignment horizontal="center" vertical="center" wrapText="1"/>
    </xf>
    <xf numFmtId="0" fontId="8" fillId="6" borderId="4" xfId="4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14" fontId="5" fillId="6" borderId="8" xfId="0" applyNumberFormat="1" applyFont="1" applyFill="1" applyBorder="1" applyAlignment="1">
      <alignment horizontal="center" vertical="center"/>
    </xf>
    <xf numFmtId="14" fontId="5" fillId="6" borderId="9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7" borderId="6" xfId="0" applyFill="1" applyBorder="1" applyAlignment="1">
      <alignment horizontal="center" wrapText="1"/>
    </xf>
    <xf numFmtId="0" fontId="0" fillId="7" borderId="0" xfId="0" applyFill="1" applyAlignment="1">
      <alignment horizontal="left"/>
    </xf>
    <xf numFmtId="0" fontId="0" fillId="7" borderId="0" xfId="0" applyFill="1"/>
    <xf numFmtId="9" fontId="0" fillId="7" borderId="0" xfId="0" applyNumberFormat="1" applyFill="1"/>
    <xf numFmtId="0" fontId="5" fillId="7" borderId="0" xfId="0" applyFont="1" applyFill="1" applyBorder="1" applyAlignment="1">
      <alignment horizontal="center" vertical="center"/>
    </xf>
    <xf numFmtId="0" fontId="8" fillId="7" borderId="0" xfId="4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center" vertical="center"/>
    </xf>
    <xf numFmtId="0" fontId="8" fillId="7" borderId="11" xfId="4" applyFont="1" applyFill="1" applyBorder="1" applyAlignment="1">
      <alignment horizontal="center" vertical="center" wrapText="1"/>
    </xf>
  </cellXfs>
  <cellStyles count="5">
    <cellStyle name="百分比" xfId="2" builtinId="5"/>
    <cellStyle name="百分比 2" xfId="3"/>
    <cellStyle name="常规" xfId="0" builtinId="0"/>
    <cellStyle name="常规 3" xfId="4"/>
    <cellStyle name="千位分隔" xfId="1" builtinId="3"/>
  </cellStyles>
  <dxfs count="60"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ouzhou\AppData\Roaming\Foxmail7\Temp-21168-20230113134035\Attach\&#21103;&#26412;&#24180;&#26694;&#23458;&#25143;&#28040;&#36153;&#30417;&#25511;&#34920;20221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汇总表"/>
      <sheetName val="大搜年框客户消费监控"/>
      <sheetName val="信息流年框客户消费监控"/>
      <sheetName val="大搜+信息流年框客户消费监控"/>
      <sheetName val="大搜年框客户消费明细"/>
      <sheetName val="信息流年框客户消费明细"/>
      <sheetName val="大搜+信息流年框客户消费明细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workbookViewId="0">
      <pane ySplit="2" topLeftCell="A24" activePane="bottomLeft" state="frozen"/>
      <selection activeCell="C1" sqref="C1"/>
      <selection pane="bottomLeft" activeCell="B36" sqref="B36:B38"/>
    </sheetView>
  </sheetViews>
  <sheetFormatPr defaultRowHeight="14.25" x14ac:dyDescent="0.2"/>
  <cols>
    <col min="1" max="1" width="12.5" style="36" customWidth="1"/>
    <col min="2" max="2" width="28.625" style="36" customWidth="1"/>
    <col min="3" max="3" width="12.625" style="36" customWidth="1"/>
    <col min="4" max="12" width="9" customWidth="1"/>
    <col min="13" max="13" width="10.375" customWidth="1"/>
    <col min="14" max="14" width="11.25" customWidth="1"/>
    <col min="20" max="20" width="15.75" customWidth="1"/>
  </cols>
  <sheetData>
    <row r="1" spans="1:23" s="1" customFormat="1" ht="16.5" x14ac:dyDescent="0.2">
      <c r="A1" s="41" t="s">
        <v>0</v>
      </c>
      <c r="B1" s="41"/>
      <c r="C1" s="41"/>
      <c r="D1" s="42" t="s">
        <v>1</v>
      </c>
      <c r="E1" s="42"/>
      <c r="F1" s="42"/>
      <c r="G1" s="43" t="s">
        <v>2</v>
      </c>
      <c r="H1" s="43"/>
      <c r="I1" s="43"/>
      <c r="J1" s="43"/>
      <c r="K1" s="43"/>
      <c r="L1" s="43"/>
      <c r="M1" s="44" t="s">
        <v>3</v>
      </c>
      <c r="N1" s="44"/>
      <c r="O1" s="45" t="s">
        <v>4</v>
      </c>
      <c r="P1" s="45"/>
      <c r="Q1" s="45"/>
      <c r="R1" s="45"/>
      <c r="S1" s="45"/>
      <c r="T1" s="45"/>
      <c r="U1" s="45"/>
      <c r="V1" s="45"/>
      <c r="W1" s="45"/>
    </row>
    <row r="2" spans="1:23" s="12" customFormat="1" ht="49.5" x14ac:dyDescent="0.2">
      <c r="A2" s="2" t="s">
        <v>5</v>
      </c>
      <c r="B2" s="2" t="s">
        <v>6</v>
      </c>
      <c r="C2" s="3" t="s">
        <v>7</v>
      </c>
      <c r="D2" s="4" t="s">
        <v>36</v>
      </c>
      <c r="E2" s="5" t="s">
        <v>8</v>
      </c>
      <c r="F2" s="6" t="s">
        <v>9</v>
      </c>
      <c r="G2" s="7" t="s">
        <v>10</v>
      </c>
      <c r="H2" s="7" t="s">
        <v>11</v>
      </c>
      <c r="I2" s="7" t="s">
        <v>12</v>
      </c>
      <c r="J2" s="8" t="s">
        <v>13</v>
      </c>
      <c r="K2" s="9" t="s">
        <v>14</v>
      </c>
      <c r="L2" s="9" t="s">
        <v>15</v>
      </c>
      <c r="M2" s="10" t="s">
        <v>16</v>
      </c>
      <c r="N2" s="11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</row>
    <row r="3" spans="1:23" s="1" customFormat="1" ht="16.5" x14ac:dyDescent="0.2">
      <c r="A3" s="50" t="s">
        <v>41</v>
      </c>
      <c r="B3" s="46" t="s">
        <v>27</v>
      </c>
      <c r="C3" s="14">
        <v>3000000</v>
      </c>
      <c r="D3" s="48" t="s">
        <v>35</v>
      </c>
      <c r="E3" s="15" t="s">
        <v>35</v>
      </c>
      <c r="F3" s="19">
        <v>0.14000000000000001</v>
      </c>
      <c r="G3" s="49" t="s">
        <v>35</v>
      </c>
      <c r="H3" s="16"/>
      <c r="I3" s="16"/>
      <c r="J3" s="16"/>
      <c r="K3" s="17"/>
      <c r="L3" s="18"/>
      <c r="M3" s="46" t="s">
        <v>37</v>
      </c>
      <c r="N3" s="47">
        <v>45138</v>
      </c>
      <c r="O3" s="46" t="s">
        <v>28</v>
      </c>
      <c r="P3" s="46" t="s">
        <v>29</v>
      </c>
      <c r="Q3" s="46" t="s">
        <v>38</v>
      </c>
      <c r="R3" s="46" t="s">
        <v>30</v>
      </c>
      <c r="S3" s="46" t="s">
        <v>31</v>
      </c>
      <c r="T3" s="46" t="s">
        <v>32</v>
      </c>
      <c r="U3" s="46" t="s">
        <v>33</v>
      </c>
      <c r="V3" s="46" t="s">
        <v>34</v>
      </c>
      <c r="W3" s="46" t="s">
        <v>40</v>
      </c>
    </row>
    <row r="4" spans="1:23" s="1" customFormat="1" ht="16.5" x14ac:dyDescent="0.2">
      <c r="A4" s="50"/>
      <c r="B4" s="46"/>
      <c r="C4" s="14">
        <v>5000000</v>
      </c>
      <c r="D4" s="48"/>
      <c r="E4" s="15" t="s">
        <v>35</v>
      </c>
      <c r="F4" s="19">
        <v>0.16</v>
      </c>
      <c r="G4" s="49"/>
      <c r="H4" s="16"/>
      <c r="I4" s="16"/>
      <c r="J4" s="16"/>
      <c r="K4" s="17"/>
      <c r="L4" s="18"/>
      <c r="M4" s="46"/>
      <c r="N4" s="47"/>
      <c r="O4" s="46"/>
      <c r="P4" s="46"/>
      <c r="Q4" s="46"/>
      <c r="R4" s="46"/>
      <c r="S4" s="46"/>
      <c r="T4" s="46"/>
      <c r="U4" s="46"/>
      <c r="V4" s="46"/>
      <c r="W4" s="46"/>
    </row>
    <row r="5" spans="1:23" s="1" customFormat="1" ht="16.5" x14ac:dyDescent="0.2">
      <c r="A5" s="50"/>
      <c r="B5" s="46"/>
      <c r="C5" s="14">
        <v>7000000</v>
      </c>
      <c r="D5" s="48"/>
      <c r="E5" s="15" t="s">
        <v>35</v>
      </c>
      <c r="F5" s="19">
        <v>0.18</v>
      </c>
      <c r="G5" s="49"/>
      <c r="H5" s="16"/>
      <c r="I5" s="16"/>
      <c r="J5" s="16"/>
      <c r="K5" s="17"/>
      <c r="L5" s="18"/>
      <c r="M5" s="46"/>
      <c r="N5" s="47"/>
      <c r="O5" s="46"/>
      <c r="P5" s="46"/>
      <c r="Q5" s="46"/>
      <c r="R5" s="46"/>
      <c r="S5" s="46"/>
      <c r="T5" s="46"/>
      <c r="U5" s="46"/>
      <c r="V5" s="46"/>
      <c r="W5" s="46"/>
    </row>
    <row r="6" spans="1:23" s="1" customFormat="1" ht="16.5" x14ac:dyDescent="0.2">
      <c r="A6" s="50"/>
      <c r="B6" s="46"/>
      <c r="C6" s="14">
        <v>10000000</v>
      </c>
      <c r="D6" s="48"/>
      <c r="E6" s="15" t="s">
        <v>35</v>
      </c>
      <c r="F6" s="19">
        <v>0.21</v>
      </c>
      <c r="G6" s="49"/>
      <c r="H6" s="16"/>
      <c r="I6" s="16"/>
      <c r="J6" s="16"/>
      <c r="K6" s="17"/>
      <c r="L6" s="18"/>
      <c r="M6" s="46"/>
      <c r="N6" s="47"/>
      <c r="O6" s="46"/>
      <c r="P6" s="46"/>
      <c r="Q6" s="46"/>
      <c r="R6" s="46"/>
      <c r="S6" s="46"/>
      <c r="T6" s="46"/>
      <c r="U6" s="46"/>
      <c r="V6" s="46"/>
      <c r="W6" s="46"/>
    </row>
    <row r="7" spans="1:23" s="1" customFormat="1" ht="16.5" x14ac:dyDescent="0.2">
      <c r="A7" s="50"/>
      <c r="B7" s="46"/>
      <c r="C7" s="14">
        <v>13000000</v>
      </c>
      <c r="D7" s="48"/>
      <c r="E7" s="15" t="s">
        <v>35</v>
      </c>
      <c r="F7" s="19">
        <v>0.22</v>
      </c>
      <c r="G7" s="49"/>
      <c r="H7" s="16"/>
      <c r="I7" s="16"/>
      <c r="J7" s="16"/>
      <c r="K7" s="17"/>
      <c r="L7" s="18"/>
      <c r="M7" s="46"/>
      <c r="N7" s="47"/>
      <c r="O7" s="46"/>
      <c r="P7" s="46"/>
      <c r="Q7" s="46"/>
      <c r="R7" s="46"/>
      <c r="S7" s="46"/>
      <c r="T7" s="46"/>
      <c r="U7" s="46"/>
      <c r="V7" s="46"/>
      <c r="W7" s="46"/>
    </row>
    <row r="8" spans="1:23" s="1" customFormat="1" ht="16.5" x14ac:dyDescent="0.2">
      <c r="A8" s="50"/>
      <c r="B8" s="46"/>
      <c r="C8" s="14">
        <v>15000000</v>
      </c>
      <c r="D8" s="48"/>
      <c r="E8" s="15" t="s">
        <v>35</v>
      </c>
      <c r="F8" s="19">
        <v>0.24</v>
      </c>
      <c r="G8" s="49"/>
      <c r="H8" s="16"/>
      <c r="I8" s="16"/>
      <c r="J8" s="16"/>
      <c r="K8" s="17"/>
      <c r="L8" s="18"/>
      <c r="M8" s="46"/>
      <c r="N8" s="47"/>
      <c r="O8" s="46"/>
      <c r="P8" s="46"/>
      <c r="Q8" s="46"/>
      <c r="R8" s="46"/>
      <c r="S8" s="46"/>
      <c r="T8" s="46"/>
      <c r="U8" s="46"/>
      <c r="V8" s="46"/>
      <c r="W8" s="46"/>
    </row>
    <row r="9" spans="1:23" s="1" customFormat="1" ht="16.5" x14ac:dyDescent="0.2">
      <c r="A9" s="50"/>
      <c r="B9" s="46"/>
      <c r="C9" s="14">
        <v>18000000</v>
      </c>
      <c r="D9" s="48"/>
      <c r="E9" s="15" t="s">
        <v>35</v>
      </c>
      <c r="F9" s="19">
        <v>0.25</v>
      </c>
      <c r="G9" s="49"/>
      <c r="H9" s="16"/>
      <c r="I9" s="16"/>
      <c r="J9" s="16"/>
      <c r="K9" s="17"/>
      <c r="L9" s="18"/>
      <c r="M9" s="46"/>
      <c r="N9" s="47"/>
      <c r="O9" s="46"/>
      <c r="P9" s="46"/>
      <c r="Q9" s="46"/>
      <c r="R9" s="46"/>
      <c r="S9" s="46"/>
      <c r="T9" s="46"/>
      <c r="U9" s="46"/>
      <c r="V9" s="46"/>
      <c r="W9" s="46"/>
    </row>
    <row r="10" spans="1:23" s="1" customFormat="1" ht="16.5" x14ac:dyDescent="0.2">
      <c r="A10" s="50"/>
      <c r="B10" s="46"/>
      <c r="C10" s="14">
        <v>20000000</v>
      </c>
      <c r="D10" s="48"/>
      <c r="E10" s="15" t="s">
        <v>35</v>
      </c>
      <c r="F10" s="19">
        <v>0.26</v>
      </c>
      <c r="G10" s="49"/>
      <c r="H10" s="16"/>
      <c r="I10" s="16"/>
      <c r="J10" s="16"/>
      <c r="K10" s="17"/>
      <c r="L10" s="18"/>
      <c r="M10" s="46"/>
      <c r="N10" s="47"/>
      <c r="O10" s="46"/>
      <c r="P10" s="46"/>
      <c r="Q10" s="46"/>
      <c r="R10" s="46"/>
      <c r="S10" s="46"/>
      <c r="T10" s="46"/>
      <c r="U10" s="46"/>
      <c r="V10" s="46"/>
      <c r="W10" s="46"/>
    </row>
    <row r="11" spans="1:23" s="1" customFormat="1" ht="66" x14ac:dyDescent="0.2">
      <c r="A11" s="39" t="s">
        <v>50</v>
      </c>
      <c r="B11" s="46" t="s">
        <v>42</v>
      </c>
      <c r="C11" s="20">
        <v>1000000</v>
      </c>
      <c r="D11" s="21" t="s">
        <v>35</v>
      </c>
      <c r="E11" s="15" t="s">
        <v>35</v>
      </c>
      <c r="F11" s="23">
        <v>0.17</v>
      </c>
      <c r="G11" s="16" t="s">
        <v>35</v>
      </c>
      <c r="H11" s="16"/>
      <c r="I11" s="16"/>
      <c r="J11" s="15"/>
      <c r="K11" s="17"/>
      <c r="L11" s="18"/>
      <c r="M11" s="13"/>
      <c r="N11" s="18">
        <v>45291</v>
      </c>
      <c r="O11" s="13" t="s">
        <v>43</v>
      </c>
      <c r="P11" s="13" t="s">
        <v>44</v>
      </c>
      <c r="Q11" s="13" t="s">
        <v>45</v>
      </c>
      <c r="R11" s="13" t="s">
        <v>46</v>
      </c>
      <c r="S11" s="22" t="s">
        <v>51</v>
      </c>
      <c r="T11" s="13" t="s">
        <v>47</v>
      </c>
      <c r="U11" s="13" t="s">
        <v>48</v>
      </c>
      <c r="V11" s="13" t="s">
        <v>49</v>
      </c>
      <c r="W11" s="13" t="s">
        <v>39</v>
      </c>
    </row>
    <row r="12" spans="1:23" ht="16.5" x14ac:dyDescent="0.2">
      <c r="A12" s="39"/>
      <c r="B12" s="46"/>
      <c r="C12" s="14">
        <v>1500000</v>
      </c>
      <c r="D12" s="30"/>
      <c r="E12" s="30"/>
      <c r="F12" s="31">
        <v>0.19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s="1" customFormat="1" ht="16.5" x14ac:dyDescent="0.2">
      <c r="A13" s="46" t="s">
        <v>68</v>
      </c>
      <c r="B13" s="52" t="s">
        <v>52</v>
      </c>
      <c r="C13" s="14">
        <v>1000000</v>
      </c>
      <c r="D13" s="48"/>
      <c r="E13" s="24"/>
      <c r="F13" s="32">
        <v>0.08</v>
      </c>
      <c r="G13" s="49"/>
      <c r="H13" s="16"/>
      <c r="I13" s="16"/>
      <c r="J13" s="16"/>
      <c r="K13" s="25"/>
      <c r="L13" s="18"/>
      <c r="M13" s="46"/>
      <c r="N13" s="53">
        <v>45291</v>
      </c>
      <c r="O13" s="46" t="s">
        <v>28</v>
      </c>
      <c r="P13" s="54" t="s">
        <v>29</v>
      </c>
      <c r="Q13" s="52" t="s">
        <v>55</v>
      </c>
      <c r="R13" s="55" t="s">
        <v>53</v>
      </c>
      <c r="S13" s="51" t="s">
        <v>51</v>
      </c>
      <c r="T13" s="55" t="s">
        <v>32</v>
      </c>
      <c r="U13" s="55" t="s">
        <v>54</v>
      </c>
      <c r="V13" s="55" t="s">
        <v>56</v>
      </c>
      <c r="W13" s="55" t="s">
        <v>40</v>
      </c>
    </row>
    <row r="14" spans="1:23" s="1" customFormat="1" ht="16.5" x14ac:dyDescent="0.2">
      <c r="A14" s="46"/>
      <c r="B14" s="52"/>
      <c r="C14" s="14">
        <v>2000000</v>
      </c>
      <c r="D14" s="48"/>
      <c r="E14" s="24"/>
      <c r="F14" s="32">
        <v>0.09</v>
      </c>
      <c r="G14" s="49"/>
      <c r="H14" s="16"/>
      <c r="I14" s="16"/>
      <c r="J14" s="16"/>
      <c r="K14" s="25"/>
      <c r="L14" s="18"/>
      <c r="M14" s="46"/>
      <c r="N14" s="53"/>
      <c r="O14" s="46"/>
      <c r="P14" s="54"/>
      <c r="Q14" s="52"/>
      <c r="R14" s="55"/>
      <c r="S14" s="51"/>
      <c r="T14" s="55"/>
      <c r="U14" s="55"/>
      <c r="V14" s="55"/>
      <c r="W14" s="55"/>
    </row>
    <row r="15" spans="1:23" s="1" customFormat="1" ht="16.5" x14ac:dyDescent="0.2">
      <c r="A15" s="46"/>
      <c r="B15" s="52"/>
      <c r="C15" s="14">
        <v>3000000</v>
      </c>
      <c r="D15" s="48"/>
      <c r="E15" s="24"/>
      <c r="F15" s="32">
        <v>0.11</v>
      </c>
      <c r="G15" s="49"/>
      <c r="H15" s="16"/>
      <c r="I15" s="16"/>
      <c r="J15" s="16"/>
      <c r="K15" s="25"/>
      <c r="L15" s="18"/>
      <c r="M15" s="46"/>
      <c r="N15" s="53"/>
      <c r="O15" s="46"/>
      <c r="P15" s="54"/>
      <c r="Q15" s="52"/>
      <c r="R15" s="55"/>
      <c r="S15" s="51"/>
      <c r="T15" s="55"/>
      <c r="U15" s="55"/>
      <c r="V15" s="55"/>
      <c r="W15" s="55"/>
    </row>
    <row r="16" spans="1:23" s="1" customFormat="1" ht="16.5" x14ac:dyDescent="0.2">
      <c r="A16" s="46"/>
      <c r="B16" s="52"/>
      <c r="C16" s="14">
        <v>4000000</v>
      </c>
      <c r="D16" s="48"/>
      <c r="E16" s="24"/>
      <c r="F16" s="32">
        <v>0.12</v>
      </c>
      <c r="G16" s="49"/>
      <c r="H16" s="16"/>
      <c r="I16" s="16"/>
      <c r="J16" s="16"/>
      <c r="K16" s="25"/>
      <c r="L16" s="18"/>
      <c r="M16" s="46"/>
      <c r="N16" s="53"/>
      <c r="O16" s="46"/>
      <c r="P16" s="54"/>
      <c r="Q16" s="52"/>
      <c r="R16" s="55"/>
      <c r="S16" s="51"/>
      <c r="T16" s="55"/>
      <c r="U16" s="55"/>
      <c r="V16" s="55"/>
      <c r="W16" s="55"/>
    </row>
    <row r="17" spans="1:23" s="1" customFormat="1" ht="16.5" x14ac:dyDescent="0.2">
      <c r="A17" s="46"/>
      <c r="B17" s="52"/>
      <c r="C17" s="14">
        <v>5000000</v>
      </c>
      <c r="D17" s="48"/>
      <c r="E17" s="24"/>
      <c r="F17" s="32">
        <v>0.13</v>
      </c>
      <c r="G17" s="49"/>
      <c r="H17" s="16"/>
      <c r="I17" s="16"/>
      <c r="J17" s="16"/>
      <c r="K17" s="25"/>
      <c r="L17" s="18"/>
      <c r="M17" s="46"/>
      <c r="N17" s="53"/>
      <c r="O17" s="46"/>
      <c r="P17" s="54"/>
      <c r="Q17" s="52"/>
      <c r="R17" s="55"/>
      <c r="S17" s="51"/>
      <c r="T17" s="55"/>
      <c r="U17" s="55"/>
      <c r="V17" s="55"/>
      <c r="W17" s="55"/>
    </row>
    <row r="18" spans="1:23" s="1" customFormat="1" ht="16.5" x14ac:dyDescent="0.2">
      <c r="A18" s="39" t="s">
        <v>50</v>
      </c>
      <c r="B18" s="46" t="s">
        <v>57</v>
      </c>
      <c r="C18" s="20">
        <v>500000</v>
      </c>
      <c r="D18" s="56" t="s">
        <v>35</v>
      </c>
      <c r="E18" s="24" t="s">
        <v>35</v>
      </c>
      <c r="F18" s="34">
        <v>0.3</v>
      </c>
      <c r="G18" s="49" t="s">
        <v>35</v>
      </c>
      <c r="H18" s="26"/>
      <c r="I18" s="26"/>
      <c r="J18" s="15"/>
      <c r="K18" s="17"/>
      <c r="L18" s="18"/>
      <c r="M18" s="46"/>
      <c r="N18" s="57">
        <v>45291</v>
      </c>
      <c r="O18" s="52" t="s">
        <v>58</v>
      </c>
      <c r="P18" s="52" t="s">
        <v>44</v>
      </c>
      <c r="Q18" s="52" t="s">
        <v>45</v>
      </c>
      <c r="R18" s="52" t="s">
        <v>46</v>
      </c>
      <c r="S18" s="52" t="s">
        <v>60</v>
      </c>
      <c r="T18" s="52" t="s">
        <v>59</v>
      </c>
      <c r="U18" s="52" t="s">
        <v>48</v>
      </c>
      <c r="V18" s="52" t="s">
        <v>49</v>
      </c>
      <c r="W18" s="52" t="s">
        <v>39</v>
      </c>
    </row>
    <row r="19" spans="1:23" s="1" customFormat="1" ht="16.5" x14ac:dyDescent="0.2">
      <c r="A19" s="39"/>
      <c r="B19" s="46"/>
      <c r="C19" s="20">
        <v>1000000</v>
      </c>
      <c r="D19" s="56"/>
      <c r="E19" s="24" t="s">
        <v>35</v>
      </c>
      <c r="F19" s="34">
        <v>0.36</v>
      </c>
      <c r="G19" s="49"/>
      <c r="H19" s="26"/>
      <c r="I19" s="26"/>
      <c r="J19" s="15"/>
      <c r="K19" s="17"/>
      <c r="L19" s="18"/>
      <c r="M19" s="46"/>
      <c r="N19" s="57"/>
      <c r="O19" s="52"/>
      <c r="P19" s="52"/>
      <c r="Q19" s="52"/>
      <c r="R19" s="52"/>
      <c r="S19" s="52"/>
      <c r="T19" s="52"/>
      <c r="U19" s="52"/>
      <c r="V19" s="52"/>
      <c r="W19" s="52"/>
    </row>
    <row r="20" spans="1:23" s="1" customFormat="1" ht="16.5" x14ac:dyDescent="0.2">
      <c r="A20" s="46" t="s">
        <v>61</v>
      </c>
      <c r="B20" s="46" t="s">
        <v>62</v>
      </c>
      <c r="C20" s="20">
        <v>700000</v>
      </c>
      <c r="D20" s="33"/>
      <c r="E20" s="24"/>
      <c r="F20" s="34">
        <v>0.17</v>
      </c>
      <c r="G20" s="16"/>
      <c r="H20" s="26"/>
      <c r="I20" s="26"/>
      <c r="J20" s="15"/>
      <c r="K20" s="17"/>
      <c r="L20" s="18"/>
      <c r="M20" s="13"/>
      <c r="N20" s="59">
        <v>45208</v>
      </c>
      <c r="O20" s="60" t="s">
        <v>63</v>
      </c>
      <c r="P20" s="61" t="s">
        <v>44</v>
      </c>
      <c r="Q20" s="62" t="s">
        <v>64</v>
      </c>
      <c r="R20" s="58" t="s">
        <v>53</v>
      </c>
      <c r="S20" s="63" t="s">
        <v>66</v>
      </c>
      <c r="T20" s="58" t="s">
        <v>65</v>
      </c>
      <c r="U20" s="58" t="s">
        <v>54</v>
      </c>
      <c r="V20" s="58" t="s">
        <v>67</v>
      </c>
      <c r="W20" s="58" t="s">
        <v>40</v>
      </c>
    </row>
    <row r="21" spans="1:23" s="1" customFormat="1" ht="16.5" x14ac:dyDescent="0.2">
      <c r="A21" s="46"/>
      <c r="B21" s="46"/>
      <c r="C21" s="20">
        <v>800000</v>
      </c>
      <c r="D21" s="33"/>
      <c r="E21" s="24"/>
      <c r="F21" s="34">
        <v>0.18</v>
      </c>
      <c r="G21" s="16"/>
      <c r="H21" s="26"/>
      <c r="I21" s="26"/>
      <c r="J21" s="15"/>
      <c r="K21" s="17"/>
      <c r="L21" s="18"/>
      <c r="M21" s="13"/>
      <c r="N21" s="59"/>
      <c r="O21" s="60"/>
      <c r="P21" s="61"/>
      <c r="Q21" s="62"/>
      <c r="R21" s="58"/>
      <c r="S21" s="63"/>
      <c r="T21" s="58"/>
      <c r="U21" s="58"/>
      <c r="V21" s="58"/>
      <c r="W21" s="58"/>
    </row>
    <row r="22" spans="1:23" s="1" customFormat="1" ht="16.5" x14ac:dyDescent="0.2">
      <c r="A22" s="46"/>
      <c r="B22" s="46"/>
      <c r="C22" s="14">
        <v>1000000</v>
      </c>
      <c r="D22" s="27">
        <f>'[1]大搜+信息流年框客户消费明细'!F21</f>
        <v>0</v>
      </c>
      <c r="E22" s="24" t="s">
        <v>35</v>
      </c>
      <c r="F22" s="29">
        <v>0.2</v>
      </c>
      <c r="G22" s="16"/>
      <c r="H22" s="16"/>
      <c r="I22" s="16"/>
      <c r="J22" s="16"/>
      <c r="K22" s="28"/>
      <c r="L22" s="18"/>
      <c r="M22" s="13"/>
      <c r="N22" s="59"/>
      <c r="O22" s="60"/>
      <c r="P22" s="61"/>
      <c r="Q22" s="62"/>
      <c r="R22" s="58"/>
      <c r="S22" s="63"/>
      <c r="T22" s="58"/>
      <c r="U22" s="58"/>
      <c r="V22" s="58"/>
      <c r="W22" s="58"/>
    </row>
    <row r="23" spans="1:23" ht="14.45" customHeight="1" x14ac:dyDescent="0.2">
      <c r="A23" s="39" t="s">
        <v>50</v>
      </c>
      <c r="B23" s="67" t="s">
        <v>69</v>
      </c>
      <c r="C23" s="20">
        <v>1000000</v>
      </c>
      <c r="D23" s="30"/>
      <c r="E23" s="30"/>
      <c r="F23" s="34">
        <v>0.18</v>
      </c>
      <c r="G23" s="30"/>
      <c r="H23" s="30"/>
      <c r="I23" s="30"/>
      <c r="J23" s="30"/>
      <c r="K23" s="30"/>
      <c r="L23" s="30"/>
      <c r="M23" s="30"/>
      <c r="N23" s="53">
        <v>45260</v>
      </c>
      <c r="O23" s="46" t="s">
        <v>28</v>
      </c>
      <c r="P23" s="54" t="s">
        <v>29</v>
      </c>
      <c r="Q23" s="52" t="s">
        <v>55</v>
      </c>
      <c r="R23" s="55" t="s">
        <v>53</v>
      </c>
      <c r="S23" s="51" t="s">
        <v>70</v>
      </c>
      <c r="T23" s="55" t="s">
        <v>32</v>
      </c>
      <c r="U23" s="64" t="s">
        <v>33</v>
      </c>
      <c r="V23" s="64" t="s">
        <v>34</v>
      </c>
      <c r="W23" s="64" t="s">
        <v>40</v>
      </c>
    </row>
    <row r="24" spans="1:23" ht="16.5" x14ac:dyDescent="0.2">
      <c r="A24" s="39"/>
      <c r="B24" s="39"/>
      <c r="C24" s="20">
        <v>2000000</v>
      </c>
      <c r="D24" s="30"/>
      <c r="E24" s="30"/>
      <c r="F24" s="34">
        <v>0.2</v>
      </c>
      <c r="G24" s="30"/>
      <c r="H24" s="30"/>
      <c r="I24" s="30"/>
      <c r="J24" s="30"/>
      <c r="K24" s="30"/>
      <c r="L24" s="30"/>
      <c r="M24" s="30"/>
      <c r="N24" s="53"/>
      <c r="O24" s="46"/>
      <c r="P24" s="54"/>
      <c r="Q24" s="52"/>
      <c r="R24" s="55"/>
      <c r="S24" s="51"/>
      <c r="T24" s="55"/>
      <c r="U24" s="65"/>
      <c r="V24" s="65"/>
      <c r="W24" s="65"/>
    </row>
    <row r="25" spans="1:23" x14ac:dyDescent="0.2">
      <c r="A25" s="39"/>
      <c r="B25" s="39"/>
      <c r="C25" s="35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53"/>
      <c r="O25" s="46"/>
      <c r="P25" s="54"/>
      <c r="Q25" s="52"/>
      <c r="R25" s="55"/>
      <c r="S25" s="51"/>
      <c r="T25" s="55"/>
      <c r="U25" s="65"/>
      <c r="V25" s="65"/>
      <c r="W25" s="65"/>
    </row>
    <row r="26" spans="1:23" x14ac:dyDescent="0.2">
      <c r="A26" s="39"/>
      <c r="B26" s="39"/>
      <c r="C26" s="35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53"/>
      <c r="O26" s="46"/>
      <c r="P26" s="54"/>
      <c r="Q26" s="52"/>
      <c r="R26" s="55"/>
      <c r="S26" s="51"/>
      <c r="T26" s="55"/>
      <c r="U26" s="65"/>
      <c r="V26" s="65"/>
      <c r="W26" s="65"/>
    </row>
    <row r="27" spans="1:23" x14ac:dyDescent="0.2">
      <c r="A27" s="39"/>
      <c r="B27" s="39"/>
      <c r="C27" s="35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53"/>
      <c r="O27" s="46"/>
      <c r="P27" s="54"/>
      <c r="Q27" s="52"/>
      <c r="R27" s="55"/>
      <c r="S27" s="51"/>
      <c r="T27" s="55"/>
      <c r="U27" s="66"/>
      <c r="V27" s="66"/>
      <c r="W27" s="66"/>
    </row>
    <row r="28" spans="1:23" s="71" customFormat="1" ht="16.5" customHeight="1" x14ac:dyDescent="0.2">
      <c r="A28" s="68" t="s">
        <v>50</v>
      </c>
      <c r="B28" s="69" t="s">
        <v>71</v>
      </c>
      <c r="C28" s="70">
        <v>1400000</v>
      </c>
      <c r="F28" s="72">
        <v>0.04</v>
      </c>
      <c r="N28" s="86">
        <v>45291</v>
      </c>
      <c r="O28" s="74" t="s">
        <v>78</v>
      </c>
      <c r="P28" s="77" t="s">
        <v>29</v>
      </c>
      <c r="Q28" s="80" t="s">
        <v>50</v>
      </c>
      <c r="R28" s="82" t="s">
        <v>30</v>
      </c>
      <c r="S28" s="84" t="s">
        <v>76</v>
      </c>
      <c r="T28" s="82" t="s">
        <v>77</v>
      </c>
      <c r="U28" s="71" t="s">
        <v>48</v>
      </c>
      <c r="V28" s="71" t="s">
        <v>56</v>
      </c>
      <c r="W28" s="71" t="s">
        <v>40</v>
      </c>
    </row>
    <row r="29" spans="1:23" s="71" customFormat="1" ht="16.5" customHeight="1" x14ac:dyDescent="0.2">
      <c r="A29" s="68"/>
      <c r="B29" s="73"/>
      <c r="C29" s="70">
        <v>1700000</v>
      </c>
      <c r="F29" s="72">
        <v>0.05</v>
      </c>
      <c r="N29" s="87"/>
      <c r="O29" s="75"/>
      <c r="P29" s="78"/>
      <c r="Q29" s="81"/>
      <c r="R29" s="83"/>
      <c r="S29" s="84"/>
      <c r="T29" s="85"/>
    </row>
    <row r="30" spans="1:23" s="71" customFormat="1" ht="16.5" customHeight="1" x14ac:dyDescent="0.2">
      <c r="A30" s="68"/>
      <c r="B30" s="73"/>
      <c r="C30" s="70">
        <v>2000000</v>
      </c>
      <c r="F30" s="72">
        <v>0.06</v>
      </c>
      <c r="N30" s="87"/>
      <c r="O30" s="75"/>
      <c r="P30" s="78"/>
      <c r="Q30" s="81"/>
      <c r="R30" s="83"/>
      <c r="S30" s="84"/>
      <c r="T30" s="85"/>
    </row>
    <row r="31" spans="1:23" s="71" customFormat="1" ht="16.5" customHeight="1" x14ac:dyDescent="0.2">
      <c r="A31" s="68"/>
      <c r="B31" s="73"/>
      <c r="C31" s="70">
        <v>2500000</v>
      </c>
      <c r="F31" s="72">
        <v>7.0000000000000007E-2</v>
      </c>
      <c r="N31" s="88"/>
      <c r="O31" s="76"/>
      <c r="P31" s="79"/>
      <c r="Q31" s="81"/>
      <c r="R31" s="83"/>
      <c r="S31" s="84"/>
      <c r="T31" s="85"/>
    </row>
    <row r="32" spans="1:23" ht="16.5" x14ac:dyDescent="0.2">
      <c r="A32" s="39" t="s">
        <v>50</v>
      </c>
      <c r="B32" s="40" t="s">
        <v>79</v>
      </c>
      <c r="C32" s="36">
        <v>1800000</v>
      </c>
      <c r="F32" s="37">
        <v>0.04</v>
      </c>
      <c r="N32" s="18">
        <v>45291</v>
      </c>
      <c r="O32" s="33" t="s">
        <v>28</v>
      </c>
      <c r="P32" s="38" t="s">
        <v>29</v>
      </c>
      <c r="Q32" t="s">
        <v>50</v>
      </c>
      <c r="S32" t="s">
        <v>73</v>
      </c>
      <c r="T32" t="s">
        <v>74</v>
      </c>
      <c r="U32" t="s">
        <v>48</v>
      </c>
      <c r="V32" t="s">
        <v>56</v>
      </c>
      <c r="W32" t="s">
        <v>39</v>
      </c>
    </row>
    <row r="33" spans="1:23" x14ac:dyDescent="0.2">
      <c r="A33" s="39"/>
      <c r="B33" s="40"/>
      <c r="C33" s="36">
        <v>2000000</v>
      </c>
      <c r="F33" s="37">
        <v>0.05</v>
      </c>
    </row>
    <row r="34" spans="1:23" x14ac:dyDescent="0.2">
      <c r="A34" s="39"/>
      <c r="B34" s="40"/>
      <c r="C34" s="36">
        <v>2300000</v>
      </c>
      <c r="F34" s="37">
        <v>0.06</v>
      </c>
    </row>
    <row r="35" spans="1:23" x14ac:dyDescent="0.2">
      <c r="A35" s="39"/>
      <c r="B35" s="40"/>
      <c r="C35" s="36">
        <v>2600000</v>
      </c>
      <c r="F35" s="37">
        <v>7.0000000000000007E-2</v>
      </c>
    </row>
    <row r="36" spans="1:23" s="92" customFormat="1" x14ac:dyDescent="0.2">
      <c r="A36" s="89" t="s">
        <v>50</v>
      </c>
      <c r="B36" s="90" t="s">
        <v>72</v>
      </c>
      <c r="C36" s="91">
        <v>1000000</v>
      </c>
      <c r="F36" s="93">
        <v>0.03</v>
      </c>
      <c r="O36" s="94" t="s">
        <v>28</v>
      </c>
      <c r="P36" s="95" t="s">
        <v>29</v>
      </c>
      <c r="Q36" s="96" t="s">
        <v>50</v>
      </c>
      <c r="T36" s="97" t="s">
        <v>75</v>
      </c>
    </row>
    <row r="37" spans="1:23" s="92" customFormat="1" x14ac:dyDescent="0.2">
      <c r="A37" s="89"/>
      <c r="B37" s="90"/>
      <c r="C37" s="91">
        <v>1200000</v>
      </c>
      <c r="F37" s="93">
        <v>0.05</v>
      </c>
      <c r="O37" s="94"/>
      <c r="P37" s="95"/>
      <c r="Q37" s="96"/>
      <c r="T37" s="97"/>
    </row>
    <row r="38" spans="1:23" s="92" customFormat="1" ht="16.5" x14ac:dyDescent="0.2">
      <c r="A38" s="89"/>
      <c r="B38" s="90"/>
      <c r="C38" s="91">
        <v>1400000</v>
      </c>
      <c r="F38" s="93">
        <v>0.08</v>
      </c>
      <c r="N38" s="98">
        <v>45291</v>
      </c>
      <c r="O38" s="99"/>
      <c r="P38" s="100"/>
      <c r="Q38" s="96"/>
      <c r="S38" s="92" t="s">
        <v>60</v>
      </c>
      <c r="T38" s="97"/>
      <c r="U38" s="92" t="s">
        <v>48</v>
      </c>
      <c r="V38" s="92" t="s">
        <v>34</v>
      </c>
      <c r="W38" s="92" t="s">
        <v>39</v>
      </c>
    </row>
    <row r="39" spans="1:23" x14ac:dyDescent="0.2">
      <c r="A39" s="39" t="s">
        <v>50</v>
      </c>
      <c r="B39" s="40" t="s">
        <v>80</v>
      </c>
      <c r="C39" s="36">
        <v>1400000</v>
      </c>
      <c r="F39" s="37">
        <v>0.05</v>
      </c>
    </row>
    <row r="40" spans="1:23" ht="16.5" x14ac:dyDescent="0.2">
      <c r="A40" s="39"/>
      <c r="B40" s="40"/>
      <c r="C40" s="36">
        <v>2000000</v>
      </c>
      <c r="F40" s="37">
        <v>0.06</v>
      </c>
      <c r="N40" s="18">
        <v>45291</v>
      </c>
      <c r="O40" s="33" t="s">
        <v>28</v>
      </c>
      <c r="P40" s="38" t="s">
        <v>29</v>
      </c>
      <c r="Q40" t="s">
        <v>50</v>
      </c>
      <c r="S40" t="s">
        <v>73</v>
      </c>
      <c r="T40" t="s">
        <v>74</v>
      </c>
      <c r="U40" t="s">
        <v>48</v>
      </c>
      <c r="V40" t="s">
        <v>67</v>
      </c>
      <c r="W40" t="s">
        <v>39</v>
      </c>
    </row>
  </sheetData>
  <mergeCells count="94">
    <mergeCell ref="N28:N31"/>
    <mergeCell ref="O36:O38"/>
    <mergeCell ref="P36:P38"/>
    <mergeCell ref="T36:T38"/>
    <mergeCell ref="Q36:Q38"/>
    <mergeCell ref="O28:O31"/>
    <mergeCell ref="P28:P31"/>
    <mergeCell ref="Q28:Q31"/>
    <mergeCell ref="R28:R31"/>
    <mergeCell ref="T28:T31"/>
    <mergeCell ref="W23:W27"/>
    <mergeCell ref="A23:A27"/>
    <mergeCell ref="B23:B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R20:R22"/>
    <mergeCell ref="S20:S22"/>
    <mergeCell ref="T20:T22"/>
    <mergeCell ref="U20:U22"/>
    <mergeCell ref="V20:V22"/>
    <mergeCell ref="W20:W22"/>
    <mergeCell ref="U18:U19"/>
    <mergeCell ref="V18:V19"/>
    <mergeCell ref="W18:W19"/>
    <mergeCell ref="A18:A19"/>
    <mergeCell ref="A20:A22"/>
    <mergeCell ref="B20:B22"/>
    <mergeCell ref="N20:N22"/>
    <mergeCell ref="O20:O22"/>
    <mergeCell ref="P20:P22"/>
    <mergeCell ref="Q20:Q22"/>
    <mergeCell ref="O18:O19"/>
    <mergeCell ref="P18:P19"/>
    <mergeCell ref="Q18:Q19"/>
    <mergeCell ref="R18:R19"/>
    <mergeCell ref="S18:S19"/>
    <mergeCell ref="T18:T19"/>
    <mergeCell ref="T13:T17"/>
    <mergeCell ref="U13:U17"/>
    <mergeCell ref="V13:V17"/>
    <mergeCell ref="W13:W17"/>
    <mergeCell ref="B18:B19"/>
    <mergeCell ref="D18:D19"/>
    <mergeCell ref="G18:G19"/>
    <mergeCell ref="M18:M19"/>
    <mergeCell ref="N18:N19"/>
    <mergeCell ref="S13:S17"/>
    <mergeCell ref="A13:A17"/>
    <mergeCell ref="B13:B17"/>
    <mergeCell ref="D13:D17"/>
    <mergeCell ref="G13:G17"/>
    <mergeCell ref="M13:M17"/>
    <mergeCell ref="N13:N17"/>
    <mergeCell ref="O13:O17"/>
    <mergeCell ref="P13:P17"/>
    <mergeCell ref="Q13:Q17"/>
    <mergeCell ref="R13:R17"/>
    <mergeCell ref="T3:T10"/>
    <mergeCell ref="U3:U10"/>
    <mergeCell ref="V3:V10"/>
    <mergeCell ref="W3:W10"/>
    <mergeCell ref="A3:A10"/>
    <mergeCell ref="Q3:Q10"/>
    <mergeCell ref="R3:R10"/>
    <mergeCell ref="S3:S10"/>
    <mergeCell ref="B11:B12"/>
    <mergeCell ref="A11:A12"/>
    <mergeCell ref="N3:N10"/>
    <mergeCell ref="O3:O10"/>
    <mergeCell ref="P3:P10"/>
    <mergeCell ref="B3:B10"/>
    <mergeCell ref="D3:D10"/>
    <mergeCell ref="G3:G10"/>
    <mergeCell ref="M3:M10"/>
    <mergeCell ref="A1:C1"/>
    <mergeCell ref="D1:F1"/>
    <mergeCell ref="G1:L1"/>
    <mergeCell ref="M1:N1"/>
    <mergeCell ref="O1:W1"/>
    <mergeCell ref="A39:A40"/>
    <mergeCell ref="B39:B40"/>
    <mergeCell ref="A28:A31"/>
    <mergeCell ref="A32:A35"/>
    <mergeCell ref="B28:B31"/>
    <mergeCell ref="B32:B35"/>
    <mergeCell ref="A36:A38"/>
    <mergeCell ref="B36:B38"/>
  </mergeCells>
  <phoneticPr fontId="3" type="noConversion"/>
  <conditionalFormatting sqref="J1:J2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{D8B4C5CB-178D-4BC7-9C71-AC19E74216A0}</x14:id>
        </ext>
      </extLst>
    </cfRule>
  </conditionalFormatting>
  <conditionalFormatting sqref="E1:E2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{A0FF962C-E2FA-4320-A80F-FDB623EEA716}</x14:id>
        </ext>
      </extLst>
    </cfRule>
  </conditionalFormatting>
  <conditionalFormatting sqref="J1:J2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{666FB87C-3761-4199-B5CC-3417DCFAA441}</x14:id>
        </ext>
      </extLst>
    </cfRule>
  </conditionalFormatting>
  <conditionalFormatting sqref="J1:J2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{50EC4602-A6D5-46D4-A57E-6F7431E1E9C6}</x14:id>
        </ext>
      </extLst>
    </cfRule>
  </conditionalFormatting>
  <conditionalFormatting sqref="J1:J2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{81B29BE0-ABDC-4086-BFAD-BC2774177F6A}</x14:id>
        </ext>
      </extLst>
    </cfRule>
  </conditionalFormatting>
  <conditionalFormatting sqref="E1:E2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{12AC8A8E-665F-4A3A-83B1-9CCC0DAB9C96}</x14:id>
        </ext>
      </extLst>
    </cfRule>
  </conditionalFormatting>
  <conditionalFormatting sqref="K3:K10">
    <cfRule type="cellIs" dxfId="59" priority="74" operator="greaterThanOrEqual">
      <formula>0</formula>
    </cfRule>
    <cfRule type="cellIs" dxfId="58" priority="75" operator="lessThan">
      <formula>0</formula>
    </cfRule>
    <cfRule type="cellIs" dxfId="57" priority="76" operator="lessThan">
      <formula>0</formula>
    </cfRule>
    <cfRule type="cellIs" dxfId="56" priority="77" operator="greaterThanOrEqual">
      <formula>0</formula>
    </cfRule>
    <cfRule type="cellIs" dxfId="55" priority="78" operator="greaterThanOrEqual">
      <formula>0</formula>
    </cfRule>
  </conditionalFormatting>
  <conditionalFormatting sqref="K3:K10">
    <cfRule type="cellIs" dxfId="54" priority="73" operator="greaterThanOrEqual">
      <formula>0</formula>
    </cfRule>
  </conditionalFormatting>
  <conditionalFormatting sqref="J3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{ADB81828-4E3E-4503-BDEA-1B27A6B11461}</x14:id>
        </ext>
      </extLst>
    </cfRule>
  </conditionalFormatting>
  <conditionalFormatting sqref="J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{0200E70F-ABF1-4FFB-90CE-C641E790EA4E}</x14:id>
        </ext>
      </extLst>
    </cfRule>
  </conditionalFormatting>
  <conditionalFormatting sqref="J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{D892122E-B6F9-4449-81E6-E850FB3CA2C1}</x14:id>
        </ext>
      </extLst>
    </cfRule>
  </conditionalFormatting>
  <conditionalFormatting sqref="J3:J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{5F6A1B01-0630-4197-AE62-91F61B2AC57B}</x14:id>
        </ext>
      </extLst>
    </cfRule>
  </conditionalFormatting>
  <conditionalFormatting sqref="E3:E10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{3C46E6B2-9EC9-4B6C-81EA-51E6CA60F8B3}</x14:id>
        </ext>
      </extLst>
    </cfRule>
  </conditionalFormatting>
  <conditionalFormatting sqref="J6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{5493A779-3DCC-4A1E-9E16-67E8672D8F83}</x14:id>
        </ext>
      </extLst>
    </cfRule>
  </conditionalFormatting>
  <conditionalFormatting sqref="J6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{C44C0B0D-E8F0-412E-AFC4-2B5534063299}</x14:id>
        </ext>
      </extLst>
    </cfRule>
  </conditionalFormatting>
  <conditionalFormatting sqref="E3:E10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{1F54D035-36C7-4297-9E8D-60C8416C9AD8}</x14:id>
        </ext>
      </extLst>
    </cfRule>
  </conditionalFormatting>
  <conditionalFormatting sqref="K11">
    <cfRule type="cellIs" dxfId="53" priority="61" operator="greaterThanOrEqual">
      <formula>0</formula>
    </cfRule>
    <cfRule type="cellIs" dxfId="52" priority="62" operator="lessThan">
      <formula>0</formula>
    </cfRule>
    <cfRule type="cellIs" dxfId="51" priority="63" operator="lessThan">
      <formula>0</formula>
    </cfRule>
    <cfRule type="cellIs" dxfId="50" priority="64" operator="greaterThanOrEqual">
      <formula>0</formula>
    </cfRule>
    <cfRule type="cellIs" dxfId="49" priority="65" operator="greaterThanOrEqual">
      <formula>0</formula>
    </cfRule>
  </conditionalFormatting>
  <conditionalFormatting sqref="K11">
    <cfRule type="cellIs" dxfId="48" priority="60" operator="greaterThanOrEqual">
      <formula>0</formula>
    </cfRule>
  </conditionalFormatting>
  <conditionalFormatting sqref="J11">
    <cfRule type="cellIs" dxfId="47" priority="55" operator="greaterThanOrEqual">
      <formula>0</formula>
    </cfRule>
    <cfRule type="cellIs" dxfId="46" priority="56" operator="lessThan">
      <formula>0</formula>
    </cfRule>
    <cfRule type="cellIs" dxfId="45" priority="57" operator="lessThan">
      <formula>0</formula>
    </cfRule>
    <cfRule type="cellIs" dxfId="44" priority="58" operator="greaterThanOrEqual">
      <formula>0</formula>
    </cfRule>
    <cfRule type="cellIs" dxfId="43" priority="59" operator="greaterThanOrEqual">
      <formula>0</formula>
    </cfRule>
  </conditionalFormatting>
  <conditionalFormatting sqref="J11">
    <cfRule type="cellIs" dxfId="42" priority="54" operator="greaterThanOrEqual">
      <formula>0</formula>
    </cfRule>
  </conditionalFormatting>
  <conditionalFormatting sqref="J11:K11">
    <cfRule type="cellIs" dxfId="41" priority="50" operator="greaterThanOrEqual">
      <formula>0</formula>
    </cfRule>
    <cfRule type="cellIs" dxfId="40" priority="51" operator="greaterThanOrEqual">
      <formula>0</formula>
    </cfRule>
    <cfRule type="cellIs" dxfId="39" priority="52" operator="lessThan">
      <formula>0</formula>
    </cfRule>
    <cfRule type="cellIs" dxfId="38" priority="53" operator="greaterThanOrEqual">
      <formula>0</formula>
    </cfRule>
  </conditionalFormatting>
  <conditionalFormatting sqref="J11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{3747D6D5-FCEF-46B6-8259-FE571ACC15E8}</x14:id>
        </ext>
      </extLst>
    </cfRule>
  </conditionalFormatting>
  <conditionalFormatting sqref="E11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{5EC89689-8460-4B68-B45F-0A5BE2D7C893}</x14:id>
        </ext>
      </extLst>
    </cfRule>
  </conditionalFormatting>
  <conditionalFormatting sqref="J11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{2EC99378-C163-46B9-BA9A-2A215D5C8AB5}</x14:id>
        </ext>
      </extLst>
    </cfRule>
  </conditionalFormatting>
  <conditionalFormatting sqref="E11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{0585DC73-8801-4DDE-A9E6-9AFFACF0DE79}</x14:id>
        </ext>
      </extLst>
    </cfRule>
  </conditionalFormatting>
  <conditionalFormatting sqref="L13:L17">
    <cfRule type="cellIs" dxfId="37" priority="40" operator="greaterThanOrEqual">
      <formula>0</formula>
    </cfRule>
    <cfRule type="cellIs" dxfId="36" priority="41" operator="lessThan">
      <formula>0</formula>
    </cfRule>
    <cfRule type="cellIs" dxfId="35" priority="42" operator="lessThan">
      <formula>0</formula>
    </cfRule>
    <cfRule type="cellIs" dxfId="34" priority="43" operator="greaterThanOrEqual">
      <formula>0</formula>
    </cfRule>
    <cfRule type="cellIs" dxfId="33" priority="44" operator="greaterThanOrEqual">
      <formula>0</formula>
    </cfRule>
  </conditionalFormatting>
  <conditionalFormatting sqref="L13:L17">
    <cfRule type="cellIs" dxfId="32" priority="39" operator="greaterThanOrEqual">
      <formula>0</formula>
    </cfRule>
  </conditionalFormatting>
  <conditionalFormatting sqref="E13:E17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{CAA66ACB-2791-4B25-A80B-BD26A642D68A}</x14:id>
        </ext>
      </extLst>
    </cfRule>
  </conditionalFormatting>
  <conditionalFormatting sqref="E13:E1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{9062C135-2B05-4A1A-B6F8-57D12A83A383}</x14:id>
        </ext>
      </extLst>
    </cfRule>
  </conditionalFormatting>
  <conditionalFormatting sqref="J13:J1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{A688BE32-707A-42AB-BF7B-7A9EC7E51305}</x14:id>
        </ext>
      </extLst>
    </cfRule>
  </conditionalFormatting>
  <conditionalFormatting sqref="J13:J1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{2F10904F-CD63-4FD3-ACFB-08A4B94A24DF}</x14:id>
        </ext>
      </extLst>
    </cfRule>
  </conditionalFormatting>
  <conditionalFormatting sqref="J18:L21">
    <cfRule type="cellIs" dxfId="31" priority="31" operator="greaterThanOrEqual">
      <formula>0</formula>
    </cfRule>
    <cfRule type="cellIs" dxfId="30" priority="32" operator="greaterThanOrEqual">
      <formula>0</formula>
    </cfRule>
    <cfRule type="cellIs" dxfId="29" priority="33" operator="lessThan">
      <formula>0</formula>
    </cfRule>
    <cfRule type="cellIs" dxfId="28" priority="34" operator="greaterThanOrEqual">
      <formula>0</formula>
    </cfRule>
  </conditionalFormatting>
  <conditionalFormatting sqref="K18:K21">
    <cfRule type="cellIs" dxfId="27" priority="27" operator="greaterThanOrEqual">
      <formula>0</formula>
    </cfRule>
    <cfRule type="cellIs" dxfId="26" priority="28" operator="greaterThanOrEqual">
      <formula>0</formula>
    </cfRule>
    <cfRule type="cellIs" dxfId="25" priority="29" operator="lessThan">
      <formula>0</formula>
    </cfRule>
    <cfRule type="cellIs" dxfId="24" priority="30" operator="greaterThanOrEqual">
      <formula>0</formula>
    </cfRule>
  </conditionalFormatting>
  <conditionalFormatting sqref="J18:J21">
    <cfRule type="cellIs" dxfId="23" priority="22" operator="greaterThanOrEqual">
      <formula>0</formula>
    </cfRule>
    <cfRule type="cellIs" dxfId="22" priority="23" operator="lessThan">
      <formula>0</formula>
    </cfRule>
    <cfRule type="cellIs" dxfId="21" priority="24" operator="lessThan">
      <formula>0</formula>
    </cfRule>
    <cfRule type="cellIs" dxfId="20" priority="25" operator="greaterThanOrEqual">
      <formula>0</formula>
    </cfRule>
    <cfRule type="cellIs" dxfId="19" priority="26" operator="greaterThanOrEqual">
      <formula>0</formula>
    </cfRule>
  </conditionalFormatting>
  <conditionalFormatting sqref="J18:J21">
    <cfRule type="cellIs" dxfId="18" priority="21" operator="greaterThanOrEqual">
      <formula>0</formula>
    </cfRule>
  </conditionalFormatting>
  <conditionalFormatting sqref="J18:J21">
    <cfRule type="cellIs" dxfId="17" priority="16" operator="greaterThanOrEqual">
      <formula>0</formula>
    </cfRule>
    <cfRule type="cellIs" dxfId="16" priority="17" operator="lessThan">
      <formula>0</formula>
    </cfRule>
    <cfRule type="cellIs" dxfId="15" priority="18" operator="lessThan">
      <formula>0</formula>
    </cfRule>
    <cfRule type="cellIs" dxfId="14" priority="19" operator="greaterThanOrEqual">
      <formula>0</formula>
    </cfRule>
    <cfRule type="cellIs" dxfId="13" priority="20" operator="greaterThanOrEqual">
      <formula>0</formula>
    </cfRule>
  </conditionalFormatting>
  <conditionalFormatting sqref="J18:J21">
    <cfRule type="cellIs" dxfId="12" priority="15" operator="greaterThanOrEqual">
      <formula>0</formula>
    </cfRule>
  </conditionalFormatting>
  <conditionalFormatting sqref="L18:L21">
    <cfRule type="cellIs" dxfId="11" priority="10" operator="greaterThanOrEqual">
      <formula>0</formula>
    </cfRule>
    <cfRule type="cellIs" dxfId="10" priority="11" operator="lessThan">
      <formula>0</formula>
    </cfRule>
    <cfRule type="cellIs" dxfId="9" priority="12" operator="lessThan">
      <formula>0</formula>
    </cfRule>
    <cfRule type="cellIs" dxfId="8" priority="13" operator="greaterThanOrEqual">
      <formula>0</formula>
    </cfRule>
    <cfRule type="cellIs" dxfId="7" priority="14" operator="greaterThanOrEqual">
      <formula>0</formula>
    </cfRule>
  </conditionalFormatting>
  <conditionalFormatting sqref="L18:L21">
    <cfRule type="cellIs" dxfId="6" priority="9" operator="greaterThanOrEqual">
      <formula>0</formula>
    </cfRule>
  </conditionalFormatting>
  <conditionalFormatting sqref="J18:J2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{362BF5C5-30CC-4833-977A-2BFEF982D4E5}</x14:id>
        </ext>
      </extLst>
    </cfRule>
  </conditionalFormatting>
  <conditionalFormatting sqref="E18:E2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{4944F2D6-F2BD-4BEE-A89E-53FBC3474121}</x14:id>
        </ext>
      </extLst>
    </cfRule>
  </conditionalFormatting>
  <conditionalFormatting sqref="K22:L22">
    <cfRule type="cellIs" dxfId="5" priority="2" operator="greaterThanOrEqual">
      <formula>0</formula>
    </cfRule>
    <cfRule type="cellIs" dxfId="4" priority="3" operator="lessThan">
      <formula>0</formula>
    </cfRule>
    <cfRule type="cellIs" dxfId="3" priority="4" operator="lessThan">
      <formula>0</formula>
    </cfRule>
    <cfRule type="cellIs" dxfId="2" priority="5" operator="greaterThanOrEqual">
      <formula>0</formula>
    </cfRule>
    <cfRule type="cellIs" dxfId="1" priority="6" operator="greaterThanOrEqual">
      <formula>0</formula>
    </cfRule>
  </conditionalFormatting>
  <conditionalFormatting sqref="K22:L22">
    <cfRule type="cellIs" dxfId="0" priority="1" operator="greaterThanOrEqual">
      <formula>0</formula>
    </cfRule>
  </conditionalFormatting>
  <conditionalFormatting sqref="E2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{B00E8D61-525E-48D8-9685-DE2AC6B8BDEF}</x14:id>
        </ext>
      </extLst>
    </cfRule>
  </conditionalFormatting>
  <pageMargins left="0.7" right="0.7" top="0.75" bottom="0.75" header="0.3" footer="0.3"/>
  <pageSetup paperSize="0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B4C5CB-178D-4BC7-9C71-AC19E7421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J1:J2</xm:sqref>
        </x14:conditionalFormatting>
        <x14:conditionalFormatting xmlns:xm="http://schemas.microsoft.com/office/excel/2006/main">
          <x14:cfRule type="dataBar" id="{A0FF962C-E2FA-4320-A80F-FDB623EEA7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E1:E2</xm:sqref>
        </x14:conditionalFormatting>
        <x14:conditionalFormatting xmlns:xm="http://schemas.microsoft.com/office/excel/2006/main">
          <x14:cfRule type="dataBar" id="{666FB87C-3761-4199-B5CC-3417DCFAA4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J1:J2</xm:sqref>
        </x14:conditionalFormatting>
        <x14:conditionalFormatting xmlns:xm="http://schemas.microsoft.com/office/excel/2006/main">
          <x14:cfRule type="dataBar" id="{50EC4602-A6D5-46D4-A57E-6F7431E1E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J1:J2</xm:sqref>
        </x14:conditionalFormatting>
        <x14:conditionalFormatting xmlns:xm="http://schemas.microsoft.com/office/excel/2006/main">
          <x14:cfRule type="dataBar" id="{81B29BE0-ABDC-4086-BFAD-BC2774177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J1:J2</xm:sqref>
        </x14:conditionalFormatting>
        <x14:conditionalFormatting xmlns:xm="http://schemas.microsoft.com/office/excel/2006/main">
          <x14:cfRule type="dataBar" id="{12AC8A8E-665F-4A3A-83B1-9CCC0DAB9C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E1:E2</xm:sqref>
        </x14:conditionalFormatting>
        <x14:conditionalFormatting xmlns:xm="http://schemas.microsoft.com/office/excel/2006/main">
          <x14:cfRule type="dataBar" id="{ADB81828-4E3E-4503-BDEA-1B27A6B11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200E70F-ABF1-4FFB-90CE-C641E790E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892122E-B6F9-4449-81E6-E850FB3CA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5F6A1B01-0630-4197-AE62-91F61B2AC5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3C46E6B2-9EC9-4B6C-81EA-51E6CA60F8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5493A779-3DCC-4A1E-9E16-67E8672D8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44C0B0D-E8F0-412E-AFC4-2B55340632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F54D035-36C7-4297-9E8D-60C8416C9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3747D6D5-FCEF-46B6-8259-FE571ACC15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5EC89689-8460-4B68-B45F-0A5BE2D7C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2EC99378-C163-46B9-BA9A-2A215D5C8A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585DC73-8801-4DDE-A9E6-9AFFACF0DE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CAA66ACB-2791-4B25-A80B-BD26A642D6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E13:E17</xm:sqref>
        </x14:conditionalFormatting>
        <x14:conditionalFormatting xmlns:xm="http://schemas.microsoft.com/office/excel/2006/main">
          <x14:cfRule type="dataBar" id="{9062C135-2B05-4A1A-B6F8-57D12A83A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E13:E17</xm:sqref>
        </x14:conditionalFormatting>
        <x14:conditionalFormatting xmlns:xm="http://schemas.microsoft.com/office/excel/2006/main">
          <x14:cfRule type="dataBar" id="{A688BE32-707A-42AB-BF7B-7A9EC7E51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J13:J17</xm:sqref>
        </x14:conditionalFormatting>
        <x14:conditionalFormatting xmlns:xm="http://schemas.microsoft.com/office/excel/2006/main">
          <x14:cfRule type="dataBar" id="{2F10904F-CD63-4FD3-ACFB-08A4B94A2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J13:J17</xm:sqref>
        </x14:conditionalFormatting>
        <x14:conditionalFormatting xmlns:xm="http://schemas.microsoft.com/office/excel/2006/main">
          <x14:cfRule type="dataBar" id="{362BF5C5-30CC-4833-977A-2BFEF982D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J18:J21</xm:sqref>
        </x14:conditionalFormatting>
        <x14:conditionalFormatting xmlns:xm="http://schemas.microsoft.com/office/excel/2006/main">
          <x14:cfRule type="dataBar" id="{4944F2D6-F2BD-4BEE-A89E-53FBC34741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E18:E21</xm:sqref>
        </x14:conditionalFormatting>
        <x14:conditionalFormatting xmlns:xm="http://schemas.microsoft.com/office/excel/2006/main">
          <x14:cfRule type="dataBar" id="{B00E8D61-525E-48D8-9685-DE2AC6B8BD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libao</dc:creator>
  <cp:lastModifiedBy>user</cp:lastModifiedBy>
  <dcterms:created xsi:type="dcterms:W3CDTF">2015-06-05T18:19:34Z</dcterms:created>
  <dcterms:modified xsi:type="dcterms:W3CDTF">2023-03-10T09:20:30Z</dcterms:modified>
</cp:coreProperties>
</file>