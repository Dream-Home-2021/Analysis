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桌面\日报\年框客户消费监控\"/>
    </mc:Choice>
  </mc:AlternateContent>
  <bookViews>
    <workbookView xWindow="-120" yWindow="-120" windowWidth="20730" windowHeight="11160" tabRatio="888" firstSheet="2" activeTab="6"/>
  </bookViews>
  <sheets>
    <sheet name="汇总表" sheetId="1" r:id="rId1"/>
    <sheet name="大搜年框客户消费监控" sheetId="2" r:id="rId2"/>
    <sheet name="信息流年框客户消费监控" sheetId="3" r:id="rId3"/>
    <sheet name="大搜+信息流年框客户消费监控" sheetId="4" r:id="rId4"/>
    <sheet name="大搜年框客户消费明细" sheetId="5" r:id="rId5"/>
    <sheet name="信息流年框客户消费明细" sheetId="6" r:id="rId6"/>
    <sheet name="大搜+信息流年框客户消费明细" sheetId="7" r:id="rId7"/>
  </sheets>
  <calcPr calcId="152511"/>
</workbook>
</file>

<file path=xl/calcChain.xml><?xml version="1.0" encoding="utf-8"?>
<calcChain xmlns="http://schemas.openxmlformats.org/spreadsheetml/2006/main">
  <c r="N8" i="4" l="1"/>
  <c r="M10" i="4"/>
  <c r="M8" i="4"/>
  <c r="M9" i="4"/>
  <c r="L9" i="4"/>
  <c r="L10" i="4"/>
  <c r="L8" i="4"/>
  <c r="H8" i="4"/>
  <c r="F9" i="4"/>
  <c r="F10" i="4"/>
  <c r="F8" i="4"/>
  <c r="F7" i="4"/>
  <c r="G3" i="4"/>
  <c r="G5" i="4"/>
  <c r="G8" i="4"/>
  <c r="E8" i="4"/>
  <c r="E3" i="4"/>
  <c r="E5" i="4"/>
  <c r="N3" i="3"/>
  <c r="I4" i="3" s="1"/>
  <c r="J4" i="3" s="1"/>
  <c r="K4" i="3" s="1"/>
  <c r="M4" i="3"/>
  <c r="M3" i="3"/>
  <c r="L4" i="3"/>
  <c r="L3" i="3"/>
  <c r="H3" i="3"/>
  <c r="G3" i="3"/>
  <c r="F4" i="3"/>
  <c r="F3" i="3"/>
  <c r="E3" i="3"/>
  <c r="M22" i="2"/>
  <c r="M4" i="2"/>
  <c r="M5" i="2"/>
  <c r="M6" i="2"/>
  <c r="M10" i="2"/>
  <c r="M11" i="2"/>
  <c r="M12" i="2"/>
  <c r="M13" i="2"/>
  <c r="M14" i="2"/>
  <c r="M15" i="2"/>
  <c r="M16" i="2"/>
  <c r="M17" i="2"/>
  <c r="M18" i="2"/>
  <c r="M19" i="2"/>
  <c r="M20" i="2"/>
  <c r="M21" i="2"/>
  <c r="M3" i="2"/>
  <c r="L22" i="2"/>
  <c r="L16" i="2"/>
  <c r="L17" i="2"/>
  <c r="L18" i="2"/>
  <c r="L19" i="2"/>
  <c r="L20" i="2"/>
  <c r="L21" i="2"/>
  <c r="L15" i="2"/>
  <c r="L14" i="2"/>
  <c r="L11" i="2"/>
  <c r="L12" i="2"/>
  <c r="L13" i="2"/>
  <c r="L10" i="2"/>
  <c r="L6" i="2"/>
  <c r="L5" i="2"/>
  <c r="L4" i="2"/>
  <c r="L3" i="2"/>
  <c r="N15" i="2"/>
  <c r="I15" i="2" s="1"/>
  <c r="J15" i="2" s="1"/>
  <c r="K15" i="2" s="1"/>
  <c r="N10" i="2"/>
  <c r="I11" i="2" s="1"/>
  <c r="N5" i="2"/>
  <c r="I5" i="2" s="1"/>
  <c r="J5" i="2" s="1"/>
  <c r="K5" i="2" s="1"/>
  <c r="N3" i="2"/>
  <c r="I3" i="2" s="1"/>
  <c r="H15" i="2"/>
  <c r="H10" i="2"/>
  <c r="H5" i="2"/>
  <c r="I3" i="3" l="1"/>
  <c r="J3" i="3" s="1"/>
  <c r="K3" i="3" s="1"/>
  <c r="J11" i="2"/>
  <c r="K11" i="2" s="1"/>
  <c r="J3" i="2"/>
  <c r="K3" i="2" s="1"/>
  <c r="I22" i="2"/>
  <c r="I19" i="2"/>
  <c r="I18" i="2"/>
  <c r="I21" i="2"/>
  <c r="I17" i="2"/>
  <c r="I20" i="2"/>
  <c r="I16" i="2"/>
  <c r="I14" i="2"/>
  <c r="I13" i="2"/>
  <c r="I12" i="2"/>
  <c r="I10" i="2"/>
  <c r="J10" i="2" s="1"/>
  <c r="K10" i="2" s="1"/>
  <c r="I6" i="2"/>
  <c r="J6" i="2" s="1"/>
  <c r="K6" i="2" s="1"/>
  <c r="I4" i="2"/>
  <c r="J4" i="2" s="1"/>
  <c r="K4" i="2" s="1"/>
  <c r="H3" i="2"/>
  <c r="H5" i="4"/>
  <c r="G15" i="2"/>
  <c r="G10" i="2"/>
  <c r="G5" i="2"/>
  <c r="G3" i="2"/>
  <c r="F16" i="2"/>
  <c r="F17" i="2"/>
  <c r="F18" i="2"/>
  <c r="F19" i="2"/>
  <c r="F20" i="2"/>
  <c r="F21" i="2"/>
  <c r="F22" i="2"/>
  <c r="F15" i="2"/>
  <c r="F14" i="2"/>
  <c r="F11" i="2"/>
  <c r="F12" i="2"/>
  <c r="F13" i="2"/>
  <c r="F10" i="2"/>
  <c r="F5" i="2"/>
  <c r="F6" i="2"/>
  <c r="F4" i="2"/>
  <c r="F3" i="2"/>
  <c r="E15" i="2"/>
  <c r="E10" i="2"/>
  <c r="E5" i="2"/>
  <c r="E3" i="2"/>
  <c r="N5" i="4"/>
  <c r="I10" i="4" s="1"/>
  <c r="L6" i="4"/>
  <c r="M6" i="4" s="1"/>
  <c r="N3" i="4"/>
  <c r="I3" i="4" s="1"/>
  <c r="J3" i="4" s="1"/>
  <c r="K3" i="4" s="1"/>
  <c r="H3" i="4"/>
  <c r="F4" i="4"/>
  <c r="I8" i="4" l="1"/>
  <c r="J8" i="4" s="1"/>
  <c r="K8" i="4" s="1"/>
  <c r="I9" i="4"/>
  <c r="J9" i="4" s="1"/>
  <c r="K9" i="4" s="1"/>
  <c r="J10" i="4"/>
  <c r="K10" i="4" s="1"/>
  <c r="J21" i="2"/>
  <c r="K21" i="2" s="1"/>
  <c r="J16" i="2"/>
  <c r="K16" i="2" s="1"/>
  <c r="J18" i="2"/>
  <c r="K18" i="2" s="1"/>
  <c r="J20" i="2"/>
  <c r="K20" i="2" s="1"/>
  <c r="J19" i="2"/>
  <c r="K19" i="2" s="1"/>
  <c r="J17" i="2"/>
  <c r="K17" i="2" s="1"/>
  <c r="J22" i="2"/>
  <c r="K22" i="2" s="1"/>
  <c r="J12" i="2"/>
  <c r="K12" i="2" s="1"/>
  <c r="J13" i="2"/>
  <c r="K13" i="2" s="1"/>
  <c r="J14" i="2"/>
  <c r="K14" i="2" s="1"/>
  <c r="L4" i="4"/>
  <c r="M4" i="4" s="1"/>
  <c r="F5" i="4"/>
  <c r="F6" i="4"/>
  <c r="F3" i="4"/>
  <c r="I7" i="4"/>
  <c r="J7" i="4" s="1"/>
  <c r="K7" i="4" s="1"/>
  <c r="L3" i="4"/>
  <c r="M3" i="4" s="1"/>
  <c r="I4" i="4"/>
  <c r="J4" i="4" s="1"/>
  <c r="K4" i="4" s="1"/>
  <c r="L5" i="4"/>
  <c r="M5" i="4" s="1"/>
  <c r="I6" i="4"/>
  <c r="J6" i="4" s="1"/>
  <c r="K6" i="4" s="1"/>
  <c r="I5" i="4"/>
  <c r="J5" i="4" s="1"/>
  <c r="K5" i="4" s="1"/>
  <c r="L7" i="4"/>
  <c r="M7" i="4" s="1"/>
</calcChain>
</file>

<file path=xl/sharedStrings.xml><?xml version="1.0" encoding="utf-8"?>
<sst xmlns="http://schemas.openxmlformats.org/spreadsheetml/2006/main" count="232" uniqueCount="135">
  <si>
    <t>签框产品</t>
  </si>
  <si>
    <t>返款形式</t>
  </si>
  <si>
    <t>签框客户数</t>
  </si>
  <si>
    <t>截止2023年01月11日消费达标返款客户</t>
  </si>
  <si>
    <t>大搜</t>
  </si>
  <si>
    <t>年结</t>
  </si>
  <si>
    <t>即充即返+年结</t>
  </si>
  <si>
    <t>月结</t>
  </si>
  <si>
    <t>季结</t>
  </si>
  <si>
    <t>信息流</t>
  </si>
  <si>
    <t xml:space="preserve"> </t>
  </si>
  <si>
    <t>大搜+信息流</t>
  </si>
  <si>
    <t>签约客户</t>
  </si>
  <si>
    <t>总消费完成进展</t>
  </si>
  <si>
    <t>日均消费进展</t>
  </si>
  <si>
    <t>合同到期剩余天数</t>
  </si>
  <si>
    <t>签约信息</t>
  </si>
  <si>
    <t>客户公司名称</t>
  </si>
  <si>
    <t>框架金额</t>
  </si>
  <si>
    <t>返款点数</t>
  </si>
  <si>
    <t>截止01月11日已完成消费</t>
  </si>
  <si>
    <t>完成进度</t>
  </si>
  <si>
    <t>目前达标返款点数</t>
  </si>
  <si>
    <t>当前日均消费</t>
  </si>
  <si>
    <t>预计达标所需日均消费</t>
  </si>
  <si>
    <t>日均进度差值</t>
  </si>
  <si>
    <t>预计达标日均所需提升占比</t>
  </si>
  <si>
    <t>当前日均消费预计需完成天数</t>
  </si>
  <si>
    <t>当前日均消费预计完成时间</t>
  </si>
  <si>
    <t>距合同到期剩余天数</t>
  </si>
  <si>
    <t>合同到期日期</t>
  </si>
  <si>
    <t>签框产品线</t>
  </si>
  <si>
    <t>返款对像</t>
  </si>
  <si>
    <t xml:space="preserve">结算方式 </t>
  </si>
  <si>
    <t>是否已经签订合同</t>
  </si>
  <si>
    <t>合同时间</t>
  </si>
  <si>
    <t>备注</t>
  </si>
  <si>
    <t>部门</t>
  </si>
  <si>
    <t>维护客服</t>
  </si>
  <si>
    <t>签约客服</t>
  </si>
  <si>
    <t>客户</t>
  </si>
  <si>
    <t>是</t>
  </si>
  <si>
    <t>仅大搜消费</t>
  </si>
  <si>
    <t>稿定（厦门）科技有限公司</t>
  </si>
  <si>
    <t>KOL</t>
  </si>
  <si>
    <t>厦门快乐番薯股份有限公司</t>
  </si>
  <si>
    <t>年返</t>
  </si>
  <si>
    <t>邓玲玲</t>
  </si>
  <si>
    <t>蒋铃溪</t>
  </si>
  <si>
    <t>泉州增值团队</t>
  </si>
  <si>
    <t>签约客户信息</t>
  </si>
  <si>
    <t>目前完成达标返款点数</t>
  </si>
  <si>
    <t>仅信息流消费</t>
  </si>
  <si>
    <t>截止01月11日已完成消费(大搜+信息流)</t>
  </si>
  <si>
    <t>当前日均消费
(大搜+信息流)</t>
  </si>
  <si>
    <t>厦门房在线科技有限公司</t>
  </si>
  <si>
    <t>大搜+信息流合签</t>
  </si>
  <si>
    <t>账户</t>
  </si>
  <si>
    <t>福建朗盛管业科技有限公司
福建闽杰管业科技股份有限公司</t>
  </si>
  <si>
    <t>2022年6月17日~2023年6月16日</t>
  </si>
  <si>
    <t>漳州部门</t>
  </si>
  <si>
    <t>翁泉龙</t>
  </si>
  <si>
    <t>陈燕秀</t>
  </si>
  <si>
    <t>泉州市青果网络科技有限公司</t>
  </si>
  <si>
    <t>2022年11月1日~2023年10月31日</t>
  </si>
  <si>
    <t xml:space="preserve">谢龙辉 </t>
  </si>
  <si>
    <t>客户名称</t>
  </si>
  <si>
    <t>资质下所有账户大搜消费合计</t>
  </si>
  <si>
    <t>大搜近七天日均</t>
  </si>
  <si>
    <t>2023年截至01月11日消费</t>
  </si>
  <si>
    <t>厦门雷霆网络科技股份有限公司</t>
  </si>
  <si>
    <t>同一家</t>
  </si>
  <si>
    <t>厦门雷霆互动网络有限公司</t>
  </si>
  <si>
    <t>资质下所有账户信息消费合计</t>
  </si>
  <si>
    <t>信息流日均消费</t>
  </si>
  <si>
    <t>日均消费</t>
  </si>
  <si>
    <t>福建朗盛管业科技有限公司</t>
  </si>
  <si>
    <t>总消费从2022年6月17日起算</t>
  </si>
  <si>
    <t>福建闽杰管业科技股份有限公司</t>
  </si>
  <si>
    <t>总消费从2022年11月1日起算</t>
  </si>
  <si>
    <t>年返</t>
    <phoneticPr fontId="3" type="noConversion"/>
  </si>
  <si>
    <t>2023年1月1日~2023年12月31日</t>
    <phoneticPr fontId="4" type="noConversion"/>
  </si>
  <si>
    <t xml:space="preserve">厦门运友供应链管理有限公司  
厦门迪超物流有限公司  
厦门货运力科技有限公司  
厦门货小运科技有限公司  
厦门市湖里区万线帮货运代理服务部  </t>
    <phoneticPr fontId="3" type="noConversion"/>
  </si>
  <si>
    <t>大搜</t>
    <phoneticPr fontId="3" type="noConversion"/>
  </si>
  <si>
    <t>客户</t>
    <phoneticPr fontId="3" type="noConversion"/>
  </si>
  <si>
    <t xml:space="preserve">即充即返
</t>
    <phoneticPr fontId="3" type="noConversion"/>
  </si>
  <si>
    <t>是</t>
    <phoneticPr fontId="4" type="noConversion"/>
  </si>
  <si>
    <t>2022年12月1日~2023年11月30日</t>
    <phoneticPr fontId="4" type="noConversion"/>
  </si>
  <si>
    <t>仅大搜消费</t>
    <phoneticPr fontId="3" type="noConversion"/>
  </si>
  <si>
    <t>KOL</t>
    <phoneticPr fontId="3" type="noConversion"/>
  </si>
  <si>
    <t>郑燕森</t>
    <phoneticPr fontId="3" type="noConversion"/>
  </si>
  <si>
    <t>蒋铃溪</t>
    <phoneticPr fontId="3" type="noConversion"/>
  </si>
  <si>
    <t xml:space="preserve">即充即返 </t>
    <phoneticPr fontId="4" type="noConversion"/>
  </si>
  <si>
    <t>大搜</t>
    <phoneticPr fontId="3" type="noConversion"/>
  </si>
  <si>
    <t>客户</t>
    <phoneticPr fontId="3" type="noConversion"/>
  </si>
  <si>
    <t xml:space="preserve">即充即返
</t>
    <phoneticPr fontId="3" type="noConversion"/>
  </si>
  <si>
    <t>是</t>
    <phoneticPr fontId="4" type="noConversion"/>
  </si>
  <si>
    <t>仅大搜消费</t>
    <phoneticPr fontId="3" type="noConversion"/>
  </si>
  <si>
    <t>KOL</t>
    <phoneticPr fontId="4" type="noConversion"/>
  </si>
  <si>
    <t>尹林平</t>
    <phoneticPr fontId="3" type="noConversion"/>
  </si>
  <si>
    <t>蒋铃溪</t>
    <phoneticPr fontId="3" type="noConversion"/>
  </si>
  <si>
    <t>大搜</t>
    <phoneticPr fontId="3" type="noConversion"/>
  </si>
  <si>
    <t>客户</t>
    <phoneticPr fontId="3" type="noConversion"/>
  </si>
  <si>
    <t>即冲击返</t>
    <phoneticPr fontId="3" type="noConversion"/>
  </si>
  <si>
    <t>是</t>
    <phoneticPr fontId="3" type="noConversion"/>
  </si>
  <si>
    <t>2022年8月1日~2023年7月31日</t>
    <phoneticPr fontId="3" type="noConversion"/>
  </si>
  <si>
    <t>仅大搜消费</t>
    <phoneticPr fontId="3" type="noConversion"/>
  </si>
  <si>
    <t>KOL</t>
    <phoneticPr fontId="3" type="noConversion"/>
  </si>
  <si>
    <t>郑燕森</t>
    <phoneticPr fontId="3" type="noConversion"/>
  </si>
  <si>
    <t>蒋铃溪</t>
    <phoneticPr fontId="3" type="noConversion"/>
  </si>
  <si>
    <t>年返</t>
    <phoneticPr fontId="3" type="noConversion"/>
  </si>
  <si>
    <t>厦门快乐番薯股份有限公司</t>
    <phoneticPr fontId="3" type="noConversion"/>
  </si>
  <si>
    <t>2023年1月1日~2023年12月31日</t>
    <phoneticPr fontId="3" type="noConversion"/>
  </si>
  <si>
    <t>月结</t>
    <phoneticPr fontId="3" type="noConversion"/>
  </si>
  <si>
    <t>大搜+信息流合签</t>
    <phoneticPr fontId="3" type="noConversion"/>
  </si>
  <si>
    <t>月返</t>
    <phoneticPr fontId="3" type="noConversion"/>
  </si>
  <si>
    <t>2022年10月10日~2023年10月9日</t>
    <phoneticPr fontId="4" type="noConversion"/>
  </si>
  <si>
    <t>大搜+信息流</t>
    <phoneticPr fontId="3" type="noConversion"/>
  </si>
  <si>
    <t>陈沅</t>
    <phoneticPr fontId="3" type="noConversion"/>
  </si>
  <si>
    <t>厦门快乐番薯股份有限公司</t>
    <phoneticPr fontId="4" type="noConversion"/>
  </si>
  <si>
    <t xml:space="preserve">厦门运友供应链管理有限公司  </t>
  </si>
  <si>
    <t xml:space="preserve">厦门迪超物流有限公司  </t>
  </si>
  <si>
    <t xml:space="preserve">厦门货运力科技有限公司  </t>
  </si>
  <si>
    <t xml:space="preserve">厦门货小运科技有限公司  </t>
  </si>
  <si>
    <t xml:space="preserve">厦门市湖里区万线帮货运代理服务部  </t>
  </si>
  <si>
    <t>总消费从2022年12月1日起算</t>
    <phoneticPr fontId="3" type="noConversion"/>
  </si>
  <si>
    <t>厦门雷霆网络科技股份有限公司
厦门雷霆互动网络有限公司</t>
    <phoneticPr fontId="3" type="noConversion"/>
  </si>
  <si>
    <t>同一家</t>
    <phoneticPr fontId="3" type="noConversion"/>
  </si>
  <si>
    <t>稿定（厦门）科技有限公司</t>
    <phoneticPr fontId="3" type="noConversion"/>
  </si>
  <si>
    <t>总消费从2023年1月1日起算</t>
    <phoneticPr fontId="3" type="noConversion"/>
  </si>
  <si>
    <t>总消费从2022年8月1日起算</t>
    <phoneticPr fontId="3" type="noConversion"/>
  </si>
  <si>
    <t>总消费从2023年1月1日起算</t>
    <phoneticPr fontId="3" type="noConversion"/>
  </si>
  <si>
    <t>厦门房在线科技有限公司</t>
    <phoneticPr fontId="3" type="noConversion"/>
  </si>
  <si>
    <t>总消费从2022年10月1日起算</t>
    <phoneticPr fontId="3" type="noConversion"/>
  </si>
  <si>
    <t>总消费从2023年1月1日起算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</si>
</sst>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76" formatCode="#,##0_ "/>
    <numFmt numFmtId="177" formatCode="#,##0.00_);[Red]\(#,##0.00\)"/>
    <numFmt numFmtId="178" formatCode="yyyy&quot;年&quot;m&quot;月&quot;;@"/>
    <numFmt numFmtId="179" formatCode="#,##0_);[Red]\(#,##0\)"/>
    <numFmt numFmtId="180" formatCode="0_);[Red]\(0\)"/>
    <numFmt numFmtId="181" formatCode="0.00_);[Red]\(0.00\)"/>
    <numFmt numFmtId="183" formatCode="#,##0.00_ ;[Red]\-#,##0.00\ "/>
    <numFmt numFmtId="184" formatCode="0_ ;[Red]\-0\ 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2"/>
      <scheme val="minor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0" fontId="5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9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" fillId="0" borderId="0">
      <alignment vertical="center"/>
    </xf>
    <xf numFmtId="43" fontId="7" fillId="0" borderId="0">
      <alignment vertical="center"/>
    </xf>
  </cellStyleXfs>
  <cellXfs count="16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9" fillId="5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0" fontId="2" fillId="0" borderId="0" xfId="5" applyNumberFormat="1" applyFont="1" applyAlignment="1">
      <alignment horizontal="left" vertical="center"/>
    </xf>
    <xf numFmtId="14" fontId="9" fillId="5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10" fontId="9" fillId="6" borderId="1" xfId="0" applyNumberFormat="1" applyFont="1" applyFill="1" applyBorder="1" applyAlignment="1">
      <alignment horizontal="center" vertical="center" wrapText="1"/>
    </xf>
    <xf numFmtId="10" fontId="9" fillId="5" borderId="1" xfId="0" applyNumberFormat="1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9" fillId="5" borderId="1" xfId="0" applyNumberFormat="1" applyFont="1" applyFill="1" applyBorder="1" applyAlignment="1">
      <alignment horizontal="center" vertical="center" wrapText="1"/>
    </xf>
    <xf numFmtId="9" fontId="2" fillId="0" borderId="0" xfId="5" applyFont="1" applyAlignment="1">
      <alignment horizontal="left" vertical="center"/>
    </xf>
    <xf numFmtId="9" fontId="2" fillId="0" borderId="0" xfId="5" applyFont="1" applyAlignment="1">
      <alignment horizontal="center" vertical="center"/>
    </xf>
    <xf numFmtId="9" fontId="9" fillId="6" borderId="1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10" fontId="9" fillId="5" borderId="1" xfId="5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8" fillId="3" borderId="0" xfId="3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9" fontId="2" fillId="0" borderId="1" xfId="5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76" fontId="8" fillId="4" borderId="1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left"/>
    </xf>
    <xf numFmtId="177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9" xfId="0" applyBorder="1"/>
    <xf numFmtId="9" fontId="2" fillId="0" borderId="1" xfId="5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9" fillId="6" borderId="1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2" fillId="2" borderId="1" xfId="12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10" fontId="2" fillId="0" borderId="1" xfId="5" applyNumberFormat="1" applyFont="1" applyBorder="1" applyAlignment="1">
      <alignment horizontal="center" vertical="center"/>
    </xf>
    <xf numFmtId="179" fontId="2" fillId="0" borderId="10" xfId="0" applyNumberFormat="1" applyFont="1" applyBorder="1" applyAlignment="1">
      <alignment horizontal="center" vertical="center"/>
    </xf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 applyAlignment="1"/>
    <xf numFmtId="0" fontId="2" fillId="0" borderId="10" xfId="0" applyFont="1" applyBorder="1" applyAlignment="1">
      <alignment horizontal="center" vertical="center"/>
    </xf>
    <xf numFmtId="0" fontId="6" fillId="0" borderId="1" xfId="5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center" vertical="center"/>
    </xf>
    <xf numFmtId="9" fontId="2" fillId="0" borderId="9" xfId="0" applyNumberFormat="1" applyFont="1" applyFill="1" applyBorder="1" applyAlignment="1">
      <alignment horizontal="center" vertical="center"/>
    </xf>
    <xf numFmtId="9" fontId="2" fillId="0" borderId="3" xfId="0" applyNumberFormat="1" applyFont="1" applyFill="1" applyBorder="1" applyAlignment="1">
      <alignment horizontal="center" vertical="center"/>
    </xf>
    <xf numFmtId="9" fontId="2" fillId="0" borderId="2" xfId="5" applyFont="1" applyBorder="1" applyAlignment="1">
      <alignment horizontal="center" vertical="center"/>
    </xf>
    <xf numFmtId="9" fontId="2" fillId="0" borderId="9" xfId="5" applyFont="1" applyBorder="1" applyAlignment="1">
      <alignment horizontal="center" vertical="center"/>
    </xf>
    <xf numFmtId="9" fontId="2" fillId="0" borderId="3" xfId="5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181" fontId="2" fillId="0" borderId="1" xfId="13" applyNumberFormat="1" applyFont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1" fontId="2" fillId="0" borderId="3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83" fontId="2" fillId="2" borderId="1" xfId="0" applyNumberFormat="1" applyFont="1" applyFill="1" applyBorder="1" applyAlignment="1">
      <alignment horizontal="center" vertical="center"/>
    </xf>
    <xf numFmtId="177" fontId="2" fillId="0" borderId="1" xfId="13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</cellXfs>
  <cellStyles count="14">
    <cellStyle name="百分比" xfId="5" builtinId="5"/>
    <cellStyle name="百分比 2" xfId="12"/>
    <cellStyle name="常规" xfId="0" builtinId="0"/>
    <cellStyle name="常规 2" xfId="3"/>
    <cellStyle name="常规 3" xfId="1"/>
    <cellStyle name="常规 4" xfId="2"/>
    <cellStyle name="常规 4 2" xfId="6"/>
    <cellStyle name="常规 4 3" xfId="7"/>
    <cellStyle name="常规 4 4" xfId="8"/>
    <cellStyle name="常规 4 5" xfId="9"/>
    <cellStyle name="常规 4 6" xfId="10"/>
    <cellStyle name="常规 4 7" xfId="11"/>
    <cellStyle name="常规 5" xfId="4"/>
    <cellStyle name="千位分隔" xfId="13" builtinId="3"/>
  </cellStyles>
  <dxfs count="234"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G10"/>
  <sheetViews>
    <sheetView zoomScale="96" zoomScaleNormal="96" workbookViewId="0">
      <selection activeCell="H6" sqref="H6"/>
    </sheetView>
  </sheetViews>
  <sheetFormatPr defaultRowHeight="16.5" x14ac:dyDescent="0.2"/>
  <cols>
    <col min="1" max="1" width="13.625" style="46" customWidth="1"/>
    <col min="2" max="4" width="19.875" style="46" customWidth="1"/>
    <col min="5" max="5" width="9" style="46" customWidth="1"/>
    <col min="6" max="16384" width="9" style="46"/>
  </cols>
  <sheetData>
    <row r="1" spans="1:7" ht="35.25" customHeight="1" x14ac:dyDescent="0.2">
      <c r="A1" s="36" t="s">
        <v>0</v>
      </c>
      <c r="B1" s="36" t="s">
        <v>1</v>
      </c>
      <c r="C1" s="36" t="s">
        <v>2</v>
      </c>
      <c r="D1" s="37" t="s">
        <v>3</v>
      </c>
    </row>
    <row r="2" spans="1:7" ht="27.75" customHeight="1" x14ac:dyDescent="0.2">
      <c r="A2" s="56" t="s">
        <v>4</v>
      </c>
      <c r="B2" s="35" t="s">
        <v>5</v>
      </c>
      <c r="C2" s="35">
        <v>2</v>
      </c>
      <c r="D2" s="23">
        <v>0</v>
      </c>
    </row>
    <row r="3" spans="1:7" ht="27.75" customHeight="1" x14ac:dyDescent="0.2">
      <c r="A3" s="58"/>
      <c r="B3" s="35" t="s">
        <v>6</v>
      </c>
      <c r="C3" s="35">
        <v>2</v>
      </c>
      <c r="D3" s="23">
        <v>0</v>
      </c>
    </row>
    <row r="4" spans="1:7" ht="27.75" customHeight="1" x14ac:dyDescent="0.2">
      <c r="A4" s="58"/>
      <c r="B4" s="35" t="s">
        <v>7</v>
      </c>
      <c r="C4" s="35">
        <v>0</v>
      </c>
      <c r="D4" s="23">
        <v>0</v>
      </c>
    </row>
    <row r="5" spans="1:7" ht="27.75" customHeight="1" x14ac:dyDescent="0.2">
      <c r="A5" s="57"/>
      <c r="B5" s="35" t="s">
        <v>8</v>
      </c>
      <c r="C5" s="35">
        <v>0</v>
      </c>
      <c r="D5" s="23">
        <v>0</v>
      </c>
    </row>
    <row r="6" spans="1:7" ht="27.75" customHeight="1" x14ac:dyDescent="0.2">
      <c r="A6" s="56" t="s">
        <v>9</v>
      </c>
      <c r="B6" s="35" t="s">
        <v>5</v>
      </c>
      <c r="C6" s="35">
        <v>1</v>
      </c>
      <c r="D6" s="23">
        <v>0</v>
      </c>
      <c r="E6" s="46" t="s">
        <v>10</v>
      </c>
    </row>
    <row r="7" spans="1:7" ht="27.75" customHeight="1" x14ac:dyDescent="0.2">
      <c r="A7" s="58"/>
      <c r="B7" s="35" t="s">
        <v>6</v>
      </c>
      <c r="C7" s="35">
        <v>0</v>
      </c>
      <c r="D7" s="23">
        <v>0</v>
      </c>
    </row>
    <row r="8" spans="1:7" ht="24" customHeight="1" x14ac:dyDescent="0.2">
      <c r="A8" s="57"/>
      <c r="B8" s="35" t="s">
        <v>7</v>
      </c>
      <c r="C8" s="35">
        <v>0</v>
      </c>
      <c r="D8" s="23">
        <v>0</v>
      </c>
      <c r="G8" s="19"/>
    </row>
    <row r="9" spans="1:7" ht="24" customHeight="1" x14ac:dyDescent="0.2">
      <c r="A9" s="56" t="s">
        <v>11</v>
      </c>
      <c r="B9" s="35" t="s">
        <v>7</v>
      </c>
      <c r="C9" s="35">
        <v>1</v>
      </c>
      <c r="D9" s="23">
        <v>0</v>
      </c>
    </row>
    <row r="10" spans="1:7" ht="26.25" customHeight="1" x14ac:dyDescent="0.2">
      <c r="A10" s="57"/>
      <c r="B10" s="35" t="s">
        <v>5</v>
      </c>
      <c r="C10" s="35">
        <v>2</v>
      </c>
      <c r="D10" s="118">
        <v>0</v>
      </c>
    </row>
  </sheetData>
  <mergeCells count="3">
    <mergeCell ref="A9:A10"/>
    <mergeCell ref="A6:A8"/>
    <mergeCell ref="A2:A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8"/>
  <sheetViews>
    <sheetView topLeftCell="L1" zoomScaleNormal="100" workbookViewId="0">
      <pane ySplit="2" topLeftCell="A6" activePane="bottomLeft" state="frozen"/>
      <selection pane="bottomLeft" activeCell="T15" sqref="T15:T22"/>
    </sheetView>
  </sheetViews>
  <sheetFormatPr defaultColWidth="8.875" defaultRowHeight="16.5" x14ac:dyDescent="0.2"/>
  <cols>
    <col min="1" max="1" width="11.5" style="15" customWidth="1"/>
    <col min="2" max="2" width="32.25" style="15" customWidth="1"/>
    <col min="3" max="3" width="11" style="47" customWidth="1"/>
    <col min="4" max="4" width="8" style="14" bestFit="1" customWidth="1"/>
    <col min="5" max="5" width="12.75" style="48" customWidth="1"/>
    <col min="6" max="6" width="15.75" style="13" customWidth="1"/>
    <col min="7" max="7" width="12.875" style="18" customWidth="1"/>
    <col min="8" max="8" width="11.375" style="16" customWidth="1"/>
    <col min="9" max="9" width="12.625" style="16" customWidth="1"/>
    <col min="10" max="10" width="12" style="16" customWidth="1"/>
    <col min="11" max="11" width="16.125" style="6" customWidth="1"/>
    <col min="12" max="12" width="12" style="15" customWidth="1"/>
    <col min="13" max="13" width="15.25" style="15" customWidth="1"/>
    <col min="14" max="14" width="11.5" style="15" customWidth="1"/>
    <col min="15" max="15" width="13.125" style="8" customWidth="1"/>
    <col min="16" max="16" width="9.625" style="15" customWidth="1"/>
    <col min="17" max="17" width="8" style="15" customWidth="1"/>
    <col min="18" max="18" width="8.5" style="15" customWidth="1"/>
    <col min="19" max="19" width="9.875" style="15" customWidth="1"/>
    <col min="20" max="20" width="26" style="15" customWidth="1"/>
    <col min="21" max="21" width="15.25" style="15" customWidth="1"/>
    <col min="22" max="24" width="8" style="15" customWidth="1"/>
    <col min="25" max="25" width="8.875" style="15" customWidth="1"/>
    <col min="26" max="16384" width="8.875" style="15"/>
  </cols>
  <sheetData>
    <row r="1" spans="1:24" s="46" customFormat="1" x14ac:dyDescent="0.2">
      <c r="A1" s="65" t="s">
        <v>12</v>
      </c>
      <c r="B1" s="99"/>
      <c r="C1" s="99"/>
      <c r="D1" s="100"/>
      <c r="E1" s="61" t="s">
        <v>13</v>
      </c>
      <c r="F1" s="99"/>
      <c r="G1" s="100"/>
      <c r="H1" s="66" t="s">
        <v>14</v>
      </c>
      <c r="I1" s="99"/>
      <c r="J1" s="99"/>
      <c r="K1" s="99"/>
      <c r="L1" s="99"/>
      <c r="M1" s="100"/>
      <c r="N1" s="64" t="s">
        <v>15</v>
      </c>
      <c r="O1" s="100"/>
      <c r="P1" s="64" t="s">
        <v>16</v>
      </c>
      <c r="Q1" s="99"/>
      <c r="R1" s="99"/>
      <c r="S1" s="99"/>
      <c r="T1" s="99"/>
      <c r="U1" s="99"/>
      <c r="V1" s="99"/>
      <c r="W1" s="99"/>
      <c r="X1" s="100"/>
    </row>
    <row r="2" spans="1:24" s="27" customFormat="1" ht="33" customHeight="1" x14ac:dyDescent="0.2">
      <c r="A2" s="37" t="s">
        <v>1</v>
      </c>
      <c r="B2" s="37" t="s">
        <v>17</v>
      </c>
      <c r="C2" s="49" t="s">
        <v>18</v>
      </c>
      <c r="D2" s="24" t="s">
        <v>19</v>
      </c>
      <c r="E2" s="50" t="s">
        <v>20</v>
      </c>
      <c r="F2" s="10" t="s">
        <v>21</v>
      </c>
      <c r="G2" s="20" t="s">
        <v>22</v>
      </c>
      <c r="H2" s="17" t="s">
        <v>23</v>
      </c>
      <c r="I2" s="17" t="s">
        <v>24</v>
      </c>
      <c r="J2" s="17" t="s">
        <v>25</v>
      </c>
      <c r="K2" s="25" t="s">
        <v>26</v>
      </c>
      <c r="L2" s="4" t="s">
        <v>27</v>
      </c>
      <c r="M2" s="4" t="s">
        <v>28</v>
      </c>
      <c r="N2" s="26" t="s">
        <v>29</v>
      </c>
      <c r="O2" s="5" t="s">
        <v>30</v>
      </c>
      <c r="P2" s="37" t="s">
        <v>31</v>
      </c>
      <c r="Q2" s="37" t="s">
        <v>32</v>
      </c>
      <c r="R2" s="37" t="s">
        <v>33</v>
      </c>
      <c r="S2" s="37" t="s">
        <v>34</v>
      </c>
      <c r="T2" s="37" t="s">
        <v>35</v>
      </c>
      <c r="U2" s="37" t="s">
        <v>36</v>
      </c>
      <c r="V2" s="37" t="s">
        <v>37</v>
      </c>
      <c r="W2" s="37" t="s">
        <v>38</v>
      </c>
      <c r="X2" s="37" t="s">
        <v>39</v>
      </c>
    </row>
    <row r="3" spans="1:24" ht="16.5" customHeight="1" x14ac:dyDescent="0.2">
      <c r="A3" s="102" t="s">
        <v>80</v>
      </c>
      <c r="B3" s="56" t="s">
        <v>119</v>
      </c>
      <c r="C3" s="105">
        <v>1000000</v>
      </c>
      <c r="D3" s="106">
        <v>0.17</v>
      </c>
      <c r="E3" s="80">
        <f>大搜年框客户消费明细!$C$3</f>
        <v>0</v>
      </c>
      <c r="F3" s="96">
        <f>$E$3/C3</f>
        <v>0</v>
      </c>
      <c r="G3" s="124" t="str">
        <f>IF($E$3&gt;=C4,D4,IF($E$3&gt;=C3,D3,"未达标"))</f>
        <v>未达标</v>
      </c>
      <c r="H3" s="140">
        <f>大搜年框客户消费明细!B3</f>
        <v>0</v>
      </c>
      <c r="I3" s="51">
        <f ca="1">IF($E$3&gt;=C3,"已达标",(C3-$E$3)/$N$3)</f>
        <v>2840.909090909091</v>
      </c>
      <c r="J3" s="149">
        <f ca="1">IF($E$3&gt;=C3,"已达标",$H$3-I3)</f>
        <v>-2840.909090909091</v>
      </c>
      <c r="K3" s="96" t="e">
        <f ca="1">IF($E$3&gt;=C3,"已达标",IF(J3&lt;0,I3/$H$3-1,"当前日均已达标"))</f>
        <v>#DIV/0!</v>
      </c>
      <c r="L3" s="150" t="e">
        <f>(C3-$E$3)/$H$3</f>
        <v>#DIV/0!</v>
      </c>
      <c r="M3" s="151" t="e">
        <f ca="1">TODAY()+L3</f>
        <v>#DIV/0!</v>
      </c>
      <c r="N3" s="143">
        <f ca="1">_xlfn.DAYS(O3+1,TODAY())</f>
        <v>352</v>
      </c>
      <c r="O3" s="82">
        <v>45291</v>
      </c>
      <c r="P3" s="81" t="s">
        <v>4</v>
      </c>
      <c r="Q3" s="81" t="s">
        <v>40</v>
      </c>
      <c r="R3" s="81" t="s">
        <v>46</v>
      </c>
      <c r="S3" s="81" t="s">
        <v>41</v>
      </c>
      <c r="T3" s="83" t="s">
        <v>81</v>
      </c>
      <c r="U3" s="81" t="s">
        <v>42</v>
      </c>
      <c r="V3" s="81" t="s">
        <v>44</v>
      </c>
      <c r="W3" s="81" t="s">
        <v>47</v>
      </c>
      <c r="X3" s="81" t="s">
        <v>48</v>
      </c>
    </row>
    <row r="4" spans="1:24" x14ac:dyDescent="0.2">
      <c r="A4" s="103"/>
      <c r="B4" s="56"/>
      <c r="C4" s="107">
        <v>1500000</v>
      </c>
      <c r="D4" s="108">
        <v>0.19</v>
      </c>
      <c r="E4" s="84"/>
      <c r="F4" s="96">
        <f>$E$3/C4</f>
        <v>0</v>
      </c>
      <c r="G4" s="125"/>
      <c r="H4" s="141"/>
      <c r="I4" s="51">
        <f ca="1">IF($E$3&gt;=C4,"已达标",(C4-$E$3)/$N$3)</f>
        <v>4261.363636363636</v>
      </c>
      <c r="J4" s="149">
        <f ca="1">IF($E$3&gt;=C4,"已达标",$H$3-I4)</f>
        <v>-4261.363636363636</v>
      </c>
      <c r="K4" s="96" t="e">
        <f ca="1">IF($E$3&gt;=C4,"已达标",IF(J4&lt;0,I4/$H$3-1,"当前日均已达标"))</f>
        <v>#DIV/0!</v>
      </c>
      <c r="L4" s="150" t="e">
        <f>(C4-$E$3)/$H$3</f>
        <v>#DIV/0!</v>
      </c>
      <c r="M4" s="151" t="e">
        <f t="shared" ref="M4:M22" ca="1" si="0">TODAY()+L4</f>
        <v>#DIV/0!</v>
      </c>
      <c r="N4" s="144"/>
      <c r="O4" s="86"/>
      <c r="P4" s="85"/>
      <c r="Q4" s="85"/>
      <c r="R4" s="85"/>
      <c r="S4" s="85"/>
      <c r="T4" s="87"/>
      <c r="U4" s="85"/>
      <c r="V4" s="85"/>
      <c r="W4" s="85"/>
      <c r="X4" s="85"/>
    </row>
    <row r="5" spans="1:24" x14ac:dyDescent="0.2">
      <c r="A5" s="103"/>
      <c r="B5" s="109" t="s">
        <v>82</v>
      </c>
      <c r="C5" s="110">
        <v>1000000</v>
      </c>
      <c r="D5" s="111">
        <v>0.18</v>
      </c>
      <c r="E5" s="137">
        <f>SUM(大搜年框客户消费明细!$C$4:$C$8)</f>
        <v>0</v>
      </c>
      <c r="F5" s="101">
        <f>$E$5/C5</f>
        <v>0</v>
      </c>
      <c r="G5" s="127" t="str">
        <f>IF($E$5&gt;=C6,D6,IF($E$5&gt;=C5,D5,"未达标"))</f>
        <v>未达标</v>
      </c>
      <c r="H5" s="137">
        <f>SUM(大搜年框客户消费明细!B4:$B$8)</f>
        <v>0</v>
      </c>
      <c r="I5" s="148">
        <f ca="1">IF($E$5&gt;=C5,"已达标",(C5-$E$5)/$N$5)</f>
        <v>3115.264797507788</v>
      </c>
      <c r="J5" s="149">
        <f ca="1">IF($E$5&gt;=C5,"已达标",$H$5-I5)</f>
        <v>-3115.264797507788</v>
      </c>
      <c r="K5" s="96" t="e">
        <f ca="1">IF($E$5&gt;=C5,"已达标",IF(J5&lt;0,I5/$H$5-1,"当前日均已达标"))</f>
        <v>#DIV/0!</v>
      </c>
      <c r="L5" s="150" t="e">
        <f>(C5-$E$5)/$H$5</f>
        <v>#DIV/0!</v>
      </c>
      <c r="M5" s="151" t="e">
        <f t="shared" ca="1" si="0"/>
        <v>#DIV/0!</v>
      </c>
      <c r="N5" s="145">
        <f ca="1">_xlfn.DAYS(O5+1,TODAY())</f>
        <v>321</v>
      </c>
      <c r="O5" s="88">
        <v>45260</v>
      </c>
      <c r="P5" s="56" t="s">
        <v>83</v>
      </c>
      <c r="Q5" s="89" t="s">
        <v>84</v>
      </c>
      <c r="R5" s="60" t="s">
        <v>85</v>
      </c>
      <c r="S5" s="90" t="s">
        <v>86</v>
      </c>
      <c r="T5" s="91" t="s">
        <v>87</v>
      </c>
      <c r="U5" s="90" t="s">
        <v>88</v>
      </c>
      <c r="V5" s="102" t="s">
        <v>89</v>
      </c>
      <c r="W5" s="102" t="s">
        <v>90</v>
      </c>
      <c r="X5" s="102" t="s">
        <v>91</v>
      </c>
    </row>
    <row r="6" spans="1:24" x14ac:dyDescent="0.2">
      <c r="A6" s="103"/>
      <c r="B6" s="93"/>
      <c r="C6" s="110">
        <v>2000000</v>
      </c>
      <c r="D6" s="111">
        <v>0.2</v>
      </c>
      <c r="E6" s="138"/>
      <c r="F6" s="101">
        <f>$E$5/C6</f>
        <v>0</v>
      </c>
      <c r="G6" s="128"/>
      <c r="H6" s="138"/>
      <c r="I6" s="148">
        <f ca="1">IF($E$5&gt;=C6,"已达标",(C6-$E$5)/$N$5)</f>
        <v>6230.529595015576</v>
      </c>
      <c r="J6" s="149">
        <f ca="1">IF($E$5&gt;=C6,"已达标",$H$5-I6)</f>
        <v>-6230.529595015576</v>
      </c>
      <c r="K6" s="96" t="e">
        <f ca="1">IF($E$5&gt;=C6,"已达标",IF(J6&lt;0,I6/$H$5-1,"当前日均已达标"))</f>
        <v>#DIV/0!</v>
      </c>
      <c r="L6" s="150" t="e">
        <f>(C6-$E$5)/$H$5</f>
        <v>#DIV/0!</v>
      </c>
      <c r="M6" s="151" t="e">
        <f t="shared" ca="1" si="0"/>
        <v>#DIV/0!</v>
      </c>
      <c r="N6" s="146"/>
      <c r="O6" s="88"/>
      <c r="P6" s="56"/>
      <c r="Q6" s="89"/>
      <c r="R6" s="60"/>
      <c r="S6" s="90"/>
      <c r="T6" s="91"/>
      <c r="U6" s="90"/>
      <c r="V6" s="103"/>
      <c r="W6" s="103"/>
      <c r="X6" s="103"/>
    </row>
    <row r="7" spans="1:24" x14ac:dyDescent="0.2">
      <c r="A7" s="103"/>
      <c r="B7" s="93"/>
      <c r="C7" s="101"/>
      <c r="D7" s="101"/>
      <c r="E7" s="138"/>
      <c r="F7" s="101"/>
      <c r="G7" s="128"/>
      <c r="H7" s="138"/>
      <c r="I7" s="148"/>
      <c r="J7" s="149"/>
      <c r="K7" s="96"/>
      <c r="L7" s="150"/>
      <c r="M7" s="151"/>
      <c r="N7" s="146"/>
      <c r="O7" s="88"/>
      <c r="P7" s="56"/>
      <c r="Q7" s="89"/>
      <c r="R7" s="60"/>
      <c r="S7" s="90"/>
      <c r="T7" s="91"/>
      <c r="U7" s="90"/>
      <c r="V7" s="103"/>
      <c r="W7" s="103"/>
      <c r="X7" s="103"/>
    </row>
    <row r="8" spans="1:24" x14ac:dyDescent="0.2">
      <c r="A8" s="103"/>
      <c r="B8" s="93"/>
      <c r="C8" s="101"/>
      <c r="D8" s="101"/>
      <c r="E8" s="138"/>
      <c r="F8" s="101"/>
      <c r="G8" s="128"/>
      <c r="H8" s="138"/>
      <c r="I8" s="148"/>
      <c r="J8" s="149"/>
      <c r="K8" s="96"/>
      <c r="L8" s="150"/>
      <c r="M8" s="151"/>
      <c r="N8" s="146"/>
      <c r="O8" s="88"/>
      <c r="P8" s="56"/>
      <c r="Q8" s="89"/>
      <c r="R8" s="60"/>
      <c r="S8" s="90"/>
      <c r="T8" s="91"/>
      <c r="U8" s="90"/>
      <c r="V8" s="103"/>
      <c r="W8" s="103"/>
      <c r="X8" s="103"/>
    </row>
    <row r="9" spans="1:24" x14ac:dyDescent="0.2">
      <c r="A9" s="104"/>
      <c r="B9" s="93"/>
      <c r="C9" s="101"/>
      <c r="D9" s="101"/>
      <c r="E9" s="139"/>
      <c r="F9" s="101"/>
      <c r="G9" s="129"/>
      <c r="H9" s="139"/>
      <c r="I9" s="148"/>
      <c r="J9" s="149"/>
      <c r="K9" s="96"/>
      <c r="L9" s="150"/>
      <c r="M9" s="151"/>
      <c r="N9" s="147"/>
      <c r="O9" s="88"/>
      <c r="P9" s="56"/>
      <c r="Q9" s="89"/>
      <c r="R9" s="60"/>
      <c r="S9" s="90"/>
      <c r="T9" s="91"/>
      <c r="U9" s="90"/>
      <c r="V9" s="104"/>
      <c r="W9" s="104"/>
      <c r="X9" s="104"/>
    </row>
    <row r="10" spans="1:24" x14ac:dyDescent="0.2">
      <c r="A10" s="81" t="s">
        <v>92</v>
      </c>
      <c r="B10" s="60" t="s">
        <v>126</v>
      </c>
      <c r="C10" s="94">
        <v>1000000</v>
      </c>
      <c r="D10" s="41">
        <v>0.08</v>
      </c>
      <c r="E10" s="136">
        <f>SUM(大搜年框客户消费明细!$C$9:$C$10)</f>
        <v>0</v>
      </c>
      <c r="F10" s="112">
        <f>$E$10/C10</f>
        <v>0</v>
      </c>
      <c r="G10" s="130" t="str">
        <f>IF($E$10&gt;=C14,D14,IF($E$10&gt;=C13,D13,IF($E$10&gt;=C12,D12,IF($E$10&gt;=C11,D11,IF($E$10&gt;=C10,D10,"未达标")))))</f>
        <v>未达标</v>
      </c>
      <c r="H10" s="142">
        <f>SUM(大搜年框客户消费明细!$B$9:$B$10)</f>
        <v>0</v>
      </c>
      <c r="I10" s="51">
        <f ca="1">IF($E$10&gt;=C10,"已达标",(C10-$E$10)/$N$10)</f>
        <v>2840.909090909091</v>
      </c>
      <c r="J10" s="149">
        <f ca="1">IF($E$10&gt;=C10,"已达标",$H$10-I10)</f>
        <v>-2840.909090909091</v>
      </c>
      <c r="K10" s="96" t="e">
        <f ca="1">IF($E$10&gt;=C10,"已达标",IF(J10&lt;0,I10/$H$10-1,"当前日均已达标"))</f>
        <v>#DIV/0!</v>
      </c>
      <c r="L10" s="150" t="e">
        <f>(C10-$E$10)/$H$10</f>
        <v>#DIV/0!</v>
      </c>
      <c r="M10" s="151" t="e">
        <f t="shared" ca="1" si="0"/>
        <v>#DIV/0!</v>
      </c>
      <c r="N10" s="56">
        <f ca="1">_xlfn.DAYS(O10+1,TODAY())</f>
        <v>352</v>
      </c>
      <c r="O10" s="88">
        <v>45291</v>
      </c>
      <c r="P10" s="56" t="s">
        <v>93</v>
      </c>
      <c r="Q10" s="89" t="s">
        <v>94</v>
      </c>
      <c r="R10" s="60" t="s">
        <v>95</v>
      </c>
      <c r="S10" s="90" t="s">
        <v>96</v>
      </c>
      <c r="T10" s="91" t="s">
        <v>81</v>
      </c>
      <c r="U10" s="90" t="s">
        <v>97</v>
      </c>
      <c r="V10" s="90" t="s">
        <v>98</v>
      </c>
      <c r="W10" s="90" t="s">
        <v>99</v>
      </c>
      <c r="X10" s="90" t="s">
        <v>100</v>
      </c>
    </row>
    <row r="11" spans="1:24" x14ac:dyDescent="0.2">
      <c r="A11" s="92"/>
      <c r="B11" s="60"/>
      <c r="C11" s="94">
        <v>2000000</v>
      </c>
      <c r="D11" s="41">
        <v>0.09</v>
      </c>
      <c r="E11" s="136"/>
      <c r="F11" s="112">
        <f t="shared" ref="F11:F14" si="1">$E$10/C11</f>
        <v>0</v>
      </c>
      <c r="G11" s="131"/>
      <c r="H11" s="142"/>
      <c r="I11" s="51">
        <f t="shared" ref="I11:I14" ca="1" si="2">IF($E$10&gt;=C11,"已达标",(C11-$E$10)/$N$10)</f>
        <v>5681.818181818182</v>
      </c>
      <c r="J11" s="149">
        <f t="shared" ref="J11:J15" ca="1" si="3">IF($E$10&gt;=C11,"已达标",$H$10-I11)</f>
        <v>-5681.818181818182</v>
      </c>
      <c r="K11" s="96" t="e">
        <f t="shared" ref="K11:K14" ca="1" si="4">IF($E$10&gt;=C11,"已达标",IF(J11&lt;0,I11/$H$10-1,"当前日均已达标"))</f>
        <v>#DIV/0!</v>
      </c>
      <c r="L11" s="150" t="e">
        <f t="shared" ref="L11:L14" si="5">(C11-$E$10)/$H$10</f>
        <v>#DIV/0!</v>
      </c>
      <c r="M11" s="151" t="e">
        <f t="shared" ca="1" si="0"/>
        <v>#DIV/0!</v>
      </c>
      <c r="N11" s="56"/>
      <c r="O11" s="88"/>
      <c r="P11" s="56"/>
      <c r="Q11" s="89"/>
      <c r="R11" s="60"/>
      <c r="S11" s="90"/>
      <c r="T11" s="91"/>
      <c r="U11" s="90"/>
      <c r="V11" s="90"/>
      <c r="W11" s="90"/>
      <c r="X11" s="90"/>
    </row>
    <row r="12" spans="1:24" x14ac:dyDescent="0.2">
      <c r="A12" s="92"/>
      <c r="B12" s="60"/>
      <c r="C12" s="94">
        <v>3000000</v>
      </c>
      <c r="D12" s="41">
        <v>0.11</v>
      </c>
      <c r="E12" s="136"/>
      <c r="F12" s="112">
        <f t="shared" si="1"/>
        <v>0</v>
      </c>
      <c r="G12" s="131"/>
      <c r="H12" s="142"/>
      <c r="I12" s="51">
        <f t="shared" ca="1" si="2"/>
        <v>8522.7272727272721</v>
      </c>
      <c r="J12" s="149">
        <f t="shared" ca="1" si="3"/>
        <v>-8522.7272727272721</v>
      </c>
      <c r="K12" s="96" t="e">
        <f t="shared" ca="1" si="4"/>
        <v>#DIV/0!</v>
      </c>
      <c r="L12" s="150" t="e">
        <f t="shared" si="5"/>
        <v>#DIV/0!</v>
      </c>
      <c r="M12" s="151" t="e">
        <f t="shared" ca="1" si="0"/>
        <v>#DIV/0!</v>
      </c>
      <c r="N12" s="56"/>
      <c r="O12" s="88"/>
      <c r="P12" s="56"/>
      <c r="Q12" s="89"/>
      <c r="R12" s="60"/>
      <c r="S12" s="90"/>
      <c r="T12" s="91"/>
      <c r="U12" s="90"/>
      <c r="V12" s="90"/>
      <c r="W12" s="90"/>
      <c r="X12" s="90"/>
    </row>
    <row r="13" spans="1:24" x14ac:dyDescent="0.2">
      <c r="A13" s="92"/>
      <c r="B13" s="60"/>
      <c r="C13" s="94">
        <v>4000000</v>
      </c>
      <c r="D13" s="41">
        <v>0.12</v>
      </c>
      <c r="E13" s="136"/>
      <c r="F13" s="112">
        <f t="shared" si="1"/>
        <v>0</v>
      </c>
      <c r="G13" s="131"/>
      <c r="H13" s="142"/>
      <c r="I13" s="51">
        <f t="shared" ca="1" si="2"/>
        <v>11363.636363636364</v>
      </c>
      <c r="J13" s="149">
        <f t="shared" ca="1" si="3"/>
        <v>-11363.636363636364</v>
      </c>
      <c r="K13" s="96" t="e">
        <f t="shared" ca="1" si="4"/>
        <v>#DIV/0!</v>
      </c>
      <c r="L13" s="150" t="e">
        <f t="shared" si="5"/>
        <v>#DIV/0!</v>
      </c>
      <c r="M13" s="151" t="e">
        <f t="shared" ca="1" si="0"/>
        <v>#DIV/0!</v>
      </c>
      <c r="N13" s="56"/>
      <c r="O13" s="88"/>
      <c r="P13" s="56"/>
      <c r="Q13" s="89"/>
      <c r="R13" s="60"/>
      <c r="S13" s="90"/>
      <c r="T13" s="91"/>
      <c r="U13" s="90"/>
      <c r="V13" s="90"/>
      <c r="W13" s="90"/>
      <c r="X13" s="90"/>
    </row>
    <row r="14" spans="1:24" x14ac:dyDescent="0.2">
      <c r="A14" s="92"/>
      <c r="B14" s="60"/>
      <c r="C14" s="94">
        <v>5000000</v>
      </c>
      <c r="D14" s="41">
        <v>0.13</v>
      </c>
      <c r="E14" s="136"/>
      <c r="F14" s="112">
        <f>$E$10/C14</f>
        <v>0</v>
      </c>
      <c r="G14" s="132"/>
      <c r="H14" s="142"/>
      <c r="I14" s="51">
        <f ca="1">IF($E$10&gt;=C14,"已达标",(C14-$E$10)/$N$10)</f>
        <v>14204.545454545454</v>
      </c>
      <c r="J14" s="149">
        <f t="shared" ca="1" si="3"/>
        <v>-14204.545454545454</v>
      </c>
      <c r="K14" s="96" t="e">
        <f ca="1">IF($E$10&gt;=C14,"已达标",IF(J14&lt;0,I14/$H$10-1,"当前日均已达标"))</f>
        <v>#DIV/0!</v>
      </c>
      <c r="L14" s="150" t="e">
        <f>(C14-$E$10)/$H$10</f>
        <v>#DIV/0!</v>
      </c>
      <c r="M14" s="151" t="e">
        <f t="shared" ca="1" si="0"/>
        <v>#DIV/0!</v>
      </c>
      <c r="N14" s="56"/>
      <c r="O14" s="88"/>
      <c r="P14" s="56"/>
      <c r="Q14" s="89"/>
      <c r="R14" s="60"/>
      <c r="S14" s="90"/>
      <c r="T14" s="91"/>
      <c r="U14" s="90"/>
      <c r="V14" s="90"/>
      <c r="W14" s="90"/>
      <c r="X14" s="90"/>
    </row>
    <row r="15" spans="1:24" x14ac:dyDescent="0.2">
      <c r="A15" s="92"/>
      <c r="B15" s="56" t="s">
        <v>128</v>
      </c>
      <c r="C15" s="94">
        <v>3000000</v>
      </c>
      <c r="D15" s="95">
        <v>0.14000000000000001</v>
      </c>
      <c r="E15" s="136">
        <f>大搜年框客户消费明细!$C$11</f>
        <v>0</v>
      </c>
      <c r="F15" s="96">
        <f>$E$15/C15</f>
        <v>0</v>
      </c>
      <c r="G15" s="133" t="str">
        <f>IF($E$15&gt;=C22,D22,IF($E$15&gt;=C21,D21,IF($E$15&gt;=C20,D20,IF($E$15&gt;=C19,D19,IF($E$15&gt;=C18,D18,IF($E$15&gt;=C17,D17,IF($E$15&gt;=C16,D16,IF($E$15&gt;=C15,D15,"未达标"))))))))</f>
        <v>未达标</v>
      </c>
      <c r="H15" s="142">
        <f>大搜年框客户消费明细!$B$11</f>
        <v>0</v>
      </c>
      <c r="I15" s="51">
        <f ca="1">IF($E$15&gt;=C15,"已达标",(C15-$E$15)/$N$15)</f>
        <v>15075.37688442211</v>
      </c>
      <c r="J15" s="149">
        <f ca="1">IF($E$15&gt;=C15,"已达标",$H$15-I15)</f>
        <v>-15075.37688442211</v>
      </c>
      <c r="K15" s="96" t="e">
        <f ca="1">IF($E$15&gt;=C15,"已达标",IF(J15&lt;0,I15/$H$15-1,"当前日均已达标"))</f>
        <v>#DIV/0!</v>
      </c>
      <c r="L15" s="150" t="e">
        <f>(C15-$E$15)/$H$15</f>
        <v>#DIV/0!</v>
      </c>
      <c r="M15" s="151" t="e">
        <f t="shared" ca="1" si="0"/>
        <v>#DIV/0!</v>
      </c>
      <c r="N15" s="56">
        <f ca="1">_xlfn.DAYS(O15+1,TODAY())</f>
        <v>199</v>
      </c>
      <c r="O15" s="67">
        <v>45138</v>
      </c>
      <c r="P15" s="56" t="s">
        <v>101</v>
      </c>
      <c r="Q15" s="56" t="s">
        <v>102</v>
      </c>
      <c r="R15" s="56" t="s">
        <v>103</v>
      </c>
      <c r="S15" s="56" t="s">
        <v>104</v>
      </c>
      <c r="T15" s="56" t="s">
        <v>105</v>
      </c>
      <c r="U15" s="56" t="s">
        <v>106</v>
      </c>
      <c r="V15" s="56" t="s">
        <v>107</v>
      </c>
      <c r="W15" s="56" t="s">
        <v>108</v>
      </c>
      <c r="X15" s="56" t="s">
        <v>109</v>
      </c>
    </row>
    <row r="16" spans="1:24" ht="16.5" customHeight="1" x14ac:dyDescent="0.2">
      <c r="A16" s="92"/>
      <c r="B16" s="56"/>
      <c r="C16" s="94">
        <v>5000000</v>
      </c>
      <c r="D16" s="95">
        <v>0.16</v>
      </c>
      <c r="E16" s="136"/>
      <c r="F16" s="96">
        <f t="shared" ref="F16:F22" si="6">$E$15/C16</f>
        <v>0</v>
      </c>
      <c r="G16" s="134"/>
      <c r="H16" s="142"/>
      <c r="I16" s="51">
        <f t="shared" ref="I16:I22" ca="1" si="7">IF($E$15&gt;=C16,"已达标",(C16-$E$15)/$N$15)</f>
        <v>25125.628140703517</v>
      </c>
      <c r="J16" s="149">
        <f t="shared" ref="J16:J22" ca="1" si="8">IF($E$15&gt;=C16,"已达标",$H$15-I16)</f>
        <v>-25125.628140703517</v>
      </c>
      <c r="K16" s="96" t="e">
        <f t="shared" ref="K16:K22" ca="1" si="9">IF($E$15&gt;=C16,"已达标",IF(J16&lt;0,I16/$H$15-1,"当前日均已达标"))</f>
        <v>#DIV/0!</v>
      </c>
      <c r="L16" s="150" t="e">
        <f t="shared" ref="L16:L22" si="10">(C16-$E$15)/$H$15</f>
        <v>#DIV/0!</v>
      </c>
      <c r="M16" s="151" t="e">
        <f t="shared" ca="1" si="0"/>
        <v>#DIV/0!</v>
      </c>
      <c r="N16" s="56"/>
      <c r="O16" s="67"/>
      <c r="P16" s="56"/>
      <c r="Q16" s="56"/>
      <c r="R16" s="56"/>
      <c r="S16" s="56"/>
      <c r="T16" s="56"/>
      <c r="U16" s="56"/>
      <c r="V16" s="56"/>
      <c r="W16" s="56"/>
      <c r="X16" s="56"/>
    </row>
    <row r="17" spans="1:24" x14ac:dyDescent="0.2">
      <c r="A17" s="92"/>
      <c r="B17" s="56"/>
      <c r="C17" s="94">
        <v>7000000</v>
      </c>
      <c r="D17" s="95">
        <v>0.18</v>
      </c>
      <c r="E17" s="136"/>
      <c r="F17" s="96">
        <f t="shared" si="6"/>
        <v>0</v>
      </c>
      <c r="G17" s="134"/>
      <c r="H17" s="142"/>
      <c r="I17" s="51">
        <f t="shared" ca="1" si="7"/>
        <v>35175.879396984921</v>
      </c>
      <c r="J17" s="149">
        <f t="shared" ca="1" si="8"/>
        <v>-35175.879396984921</v>
      </c>
      <c r="K17" s="96" t="e">
        <f t="shared" ca="1" si="9"/>
        <v>#DIV/0!</v>
      </c>
      <c r="L17" s="150" t="e">
        <f t="shared" si="10"/>
        <v>#DIV/0!</v>
      </c>
      <c r="M17" s="151" t="e">
        <f t="shared" ca="1" si="0"/>
        <v>#DIV/0!</v>
      </c>
      <c r="N17" s="56"/>
      <c r="O17" s="67"/>
      <c r="P17" s="56"/>
      <c r="Q17" s="56"/>
      <c r="R17" s="56"/>
      <c r="S17" s="56"/>
      <c r="T17" s="56"/>
      <c r="U17" s="56"/>
      <c r="V17" s="56"/>
      <c r="W17" s="56"/>
      <c r="X17" s="56"/>
    </row>
    <row r="18" spans="1:24" x14ac:dyDescent="0.2">
      <c r="A18" s="92"/>
      <c r="B18" s="56"/>
      <c r="C18" s="94">
        <v>10000000</v>
      </c>
      <c r="D18" s="95">
        <v>0.21</v>
      </c>
      <c r="E18" s="136"/>
      <c r="F18" s="96">
        <f t="shared" si="6"/>
        <v>0</v>
      </c>
      <c r="G18" s="134"/>
      <c r="H18" s="142"/>
      <c r="I18" s="51">
        <f t="shared" ca="1" si="7"/>
        <v>50251.256281407033</v>
      </c>
      <c r="J18" s="149">
        <f t="shared" ca="1" si="8"/>
        <v>-50251.256281407033</v>
      </c>
      <c r="K18" s="96" t="e">
        <f t="shared" ca="1" si="9"/>
        <v>#DIV/0!</v>
      </c>
      <c r="L18" s="150" t="e">
        <f t="shared" si="10"/>
        <v>#DIV/0!</v>
      </c>
      <c r="M18" s="151" t="e">
        <f t="shared" ca="1" si="0"/>
        <v>#DIV/0!</v>
      </c>
      <c r="N18" s="56"/>
      <c r="O18" s="67"/>
      <c r="P18" s="56"/>
      <c r="Q18" s="56"/>
      <c r="R18" s="56"/>
      <c r="S18" s="56"/>
      <c r="T18" s="56"/>
      <c r="U18" s="56"/>
      <c r="V18" s="56"/>
      <c r="W18" s="56"/>
      <c r="X18" s="56"/>
    </row>
    <row r="19" spans="1:24" x14ac:dyDescent="0.2">
      <c r="A19" s="92"/>
      <c r="B19" s="56"/>
      <c r="C19" s="94">
        <v>13000000</v>
      </c>
      <c r="D19" s="95">
        <v>0.22</v>
      </c>
      <c r="E19" s="136"/>
      <c r="F19" s="96">
        <f t="shared" si="6"/>
        <v>0</v>
      </c>
      <c r="G19" s="134"/>
      <c r="H19" s="142"/>
      <c r="I19" s="51">
        <f t="shared" ca="1" si="7"/>
        <v>65326.633165829146</v>
      </c>
      <c r="J19" s="149">
        <f t="shared" ca="1" si="8"/>
        <v>-65326.633165829146</v>
      </c>
      <c r="K19" s="96" t="e">
        <f t="shared" ca="1" si="9"/>
        <v>#DIV/0!</v>
      </c>
      <c r="L19" s="150" t="e">
        <f t="shared" si="10"/>
        <v>#DIV/0!</v>
      </c>
      <c r="M19" s="151" t="e">
        <f t="shared" ca="1" si="0"/>
        <v>#DIV/0!</v>
      </c>
      <c r="N19" s="56"/>
      <c r="O19" s="67"/>
      <c r="P19" s="56"/>
      <c r="Q19" s="56"/>
      <c r="R19" s="56"/>
      <c r="S19" s="56"/>
      <c r="T19" s="56"/>
      <c r="U19" s="56"/>
      <c r="V19" s="56"/>
      <c r="W19" s="56"/>
      <c r="X19" s="56"/>
    </row>
    <row r="20" spans="1:24" x14ac:dyDescent="0.2">
      <c r="A20" s="92"/>
      <c r="B20" s="56"/>
      <c r="C20" s="94">
        <v>15000000</v>
      </c>
      <c r="D20" s="95">
        <v>0.24</v>
      </c>
      <c r="E20" s="136"/>
      <c r="F20" s="96">
        <f t="shared" si="6"/>
        <v>0</v>
      </c>
      <c r="G20" s="134"/>
      <c r="H20" s="142"/>
      <c r="I20" s="51">
        <f t="shared" ca="1" si="7"/>
        <v>75376.884422110554</v>
      </c>
      <c r="J20" s="149">
        <f t="shared" ca="1" si="8"/>
        <v>-75376.884422110554</v>
      </c>
      <c r="K20" s="96" t="e">
        <f t="shared" ca="1" si="9"/>
        <v>#DIV/0!</v>
      </c>
      <c r="L20" s="150" t="e">
        <f t="shared" si="10"/>
        <v>#DIV/0!</v>
      </c>
      <c r="M20" s="151" t="e">
        <f t="shared" ca="1" si="0"/>
        <v>#DIV/0!</v>
      </c>
      <c r="N20" s="56"/>
      <c r="O20" s="67"/>
      <c r="P20" s="56"/>
      <c r="Q20" s="56"/>
      <c r="R20" s="56"/>
      <c r="S20" s="56"/>
      <c r="T20" s="56"/>
      <c r="U20" s="56"/>
      <c r="V20" s="56"/>
      <c r="W20" s="56"/>
      <c r="X20" s="56"/>
    </row>
    <row r="21" spans="1:24" x14ac:dyDescent="0.2">
      <c r="A21" s="92"/>
      <c r="B21" s="56"/>
      <c r="C21" s="94">
        <v>18000000</v>
      </c>
      <c r="D21" s="95">
        <v>0.25</v>
      </c>
      <c r="E21" s="136"/>
      <c r="F21" s="96">
        <f t="shared" si="6"/>
        <v>0</v>
      </c>
      <c r="G21" s="134"/>
      <c r="H21" s="142"/>
      <c r="I21" s="51">
        <f t="shared" ca="1" si="7"/>
        <v>90452.261306532659</v>
      </c>
      <c r="J21" s="149">
        <f t="shared" ca="1" si="8"/>
        <v>-90452.261306532659</v>
      </c>
      <c r="K21" s="96" t="e">
        <f t="shared" ca="1" si="9"/>
        <v>#DIV/0!</v>
      </c>
      <c r="L21" s="150" t="e">
        <f t="shared" si="10"/>
        <v>#DIV/0!</v>
      </c>
      <c r="M21" s="151" t="e">
        <f t="shared" ca="1" si="0"/>
        <v>#DIV/0!</v>
      </c>
      <c r="N21" s="56"/>
      <c r="O21" s="67"/>
      <c r="P21" s="56"/>
      <c r="Q21" s="56"/>
      <c r="R21" s="56"/>
      <c r="S21" s="56"/>
      <c r="T21" s="56"/>
      <c r="U21" s="56"/>
      <c r="V21" s="56"/>
      <c r="W21" s="56"/>
      <c r="X21" s="56"/>
    </row>
    <row r="22" spans="1:24" x14ac:dyDescent="0.2">
      <c r="A22" s="85"/>
      <c r="B22" s="56"/>
      <c r="C22" s="94">
        <v>20000000</v>
      </c>
      <c r="D22" s="95">
        <v>0.26</v>
      </c>
      <c r="E22" s="136"/>
      <c r="F22" s="96">
        <f t="shared" si="6"/>
        <v>0</v>
      </c>
      <c r="G22" s="135"/>
      <c r="H22" s="142"/>
      <c r="I22" s="51">
        <f ca="1">IF($E$15&gt;=C22,"已达标",(C22-$E$15)/$N$15)</f>
        <v>100502.51256281407</v>
      </c>
      <c r="J22" s="149">
        <f t="shared" ca="1" si="8"/>
        <v>-100502.51256281407</v>
      </c>
      <c r="K22" s="96" t="e">
        <f ca="1">IF($E$15&gt;=C22,"已达标",IF(J22&lt;0,I22/$H$15-1,"当前日均已达标"))</f>
        <v>#DIV/0!</v>
      </c>
      <c r="L22" s="150" t="e">
        <f>(C22-$E$15)/$H$15</f>
        <v>#DIV/0!</v>
      </c>
      <c r="M22" s="150" t="e">
        <f ca="1">TODAY()+L22</f>
        <v>#DIV/0!</v>
      </c>
      <c r="N22" s="56"/>
      <c r="O22" s="67"/>
      <c r="P22" s="56"/>
      <c r="Q22" s="56"/>
      <c r="R22" s="56"/>
      <c r="S22" s="56"/>
      <c r="T22" s="56"/>
      <c r="U22" s="56"/>
      <c r="V22" s="56"/>
      <c r="W22" s="56"/>
      <c r="X22" s="56"/>
    </row>
    <row r="24" spans="1:24" ht="82.5" customHeight="1" x14ac:dyDescent="0.2"/>
    <row r="25" spans="1:24" ht="16.5" customHeight="1" x14ac:dyDescent="0.2"/>
    <row r="28" spans="1:24" ht="16.5" customHeight="1" x14ac:dyDescent="0.2"/>
  </sheetData>
  <mergeCells count="67">
    <mergeCell ref="S10:S14"/>
    <mergeCell ref="T10:T14"/>
    <mergeCell ref="U10:U14"/>
    <mergeCell ref="V10:V14"/>
    <mergeCell ref="W10:W14"/>
    <mergeCell ref="X10:X14"/>
    <mergeCell ref="B15:B22"/>
    <mergeCell ref="E15:E22"/>
    <mergeCell ref="H15:H22"/>
    <mergeCell ref="N15:N22"/>
    <mergeCell ref="O15:O22"/>
    <mergeCell ref="P15:P22"/>
    <mergeCell ref="Q15:Q22"/>
    <mergeCell ref="R15:R22"/>
    <mergeCell ref="S15:S22"/>
    <mergeCell ref="T15:T22"/>
    <mergeCell ref="U15:U22"/>
    <mergeCell ref="V15:V22"/>
    <mergeCell ref="W15:W22"/>
    <mergeCell ref="X15:X22"/>
    <mergeCell ref="A10:A22"/>
    <mergeCell ref="G10:G14"/>
    <mergeCell ref="G15:G22"/>
    <mergeCell ref="B10:B14"/>
    <mergeCell ref="E10:E14"/>
    <mergeCell ref="H10:H14"/>
    <mergeCell ref="N10:N14"/>
    <mergeCell ref="O10:O14"/>
    <mergeCell ref="P10:P14"/>
    <mergeCell ref="Q10:Q14"/>
    <mergeCell ref="R10:R14"/>
    <mergeCell ref="R3:R4"/>
    <mergeCell ref="S3:S4"/>
    <mergeCell ref="T3:T4"/>
    <mergeCell ref="U3:U4"/>
    <mergeCell ref="V3:V4"/>
    <mergeCell ref="W3:W4"/>
    <mergeCell ref="X3:X4"/>
    <mergeCell ref="B5:B9"/>
    <mergeCell ref="O5:O9"/>
    <mergeCell ref="P5:P9"/>
    <mergeCell ref="Q5:Q9"/>
    <mergeCell ref="R5:R9"/>
    <mergeCell ref="S5:S9"/>
    <mergeCell ref="T5:T9"/>
    <mergeCell ref="U5:U9"/>
    <mergeCell ref="V5:V9"/>
    <mergeCell ref="W5:W9"/>
    <mergeCell ref="X5:X9"/>
    <mergeCell ref="A3:A9"/>
    <mergeCell ref="G3:G4"/>
    <mergeCell ref="G5:G9"/>
    <mergeCell ref="H5:H9"/>
    <mergeCell ref="E3:E4"/>
    <mergeCell ref="B3:B4"/>
    <mergeCell ref="H3:H4"/>
    <mergeCell ref="N3:N4"/>
    <mergeCell ref="O3:O4"/>
    <mergeCell ref="P3:P4"/>
    <mergeCell ref="Q3:Q4"/>
    <mergeCell ref="E5:E9"/>
    <mergeCell ref="N5:N9"/>
    <mergeCell ref="E1:G1"/>
    <mergeCell ref="N1:O1"/>
    <mergeCell ref="A1:D1"/>
    <mergeCell ref="P1:X1"/>
    <mergeCell ref="H1:M1"/>
  </mergeCells>
  <phoneticPr fontId="3" type="noConversion"/>
  <conditionalFormatting sqref="K23:M1048576">
    <cfRule type="cellIs" dxfId="233" priority="240" operator="greaterThanOrEqual">
      <formula>0</formula>
    </cfRule>
    <cfRule type="cellIs" dxfId="232" priority="241" operator="greaterThanOrEqual">
      <formula>0</formula>
    </cfRule>
    <cfRule type="cellIs" dxfId="231" priority="242" operator="lessThan">
      <formula>0</formula>
    </cfRule>
    <cfRule type="cellIs" dxfId="230" priority="243" operator="lessThan">
      <formula>0</formula>
    </cfRule>
    <cfRule type="cellIs" dxfId="229" priority="244" operator="greaterThanOrEqual">
      <formula>0</formula>
    </cfRule>
    <cfRule type="cellIs" dxfId="228" priority="245" operator="greaterThanOrEqual">
      <formula>0</formula>
    </cfRule>
  </conditionalFormatting>
  <conditionalFormatting sqref="K23:K1048576 K1:K2">
    <cfRule type="dataBar" priority="67">
      <dataBar>
        <cfvo type="min"/>
        <cfvo type="max"/>
        <color rgb="FF638EC6"/>
      </dataBar>
    </cfRule>
  </conditionalFormatting>
  <conditionalFormatting sqref="F23:F1048576 F1:F2">
    <cfRule type="dataBar" priority="68">
      <dataBar>
        <cfvo type="min"/>
        <cfvo type="max"/>
        <color rgb="FFFF555A"/>
      </dataBar>
    </cfRule>
  </conditionalFormatting>
  <conditionalFormatting sqref="K23:K1048576 K1:K2">
    <cfRule type="dataBar" priority="326">
      <dataBar>
        <cfvo type="min"/>
        <cfvo type="max"/>
        <color rgb="FFFF555A"/>
      </dataBar>
    </cfRule>
    <cfRule type="dataBar" priority="329">
      <dataBar>
        <cfvo type="min"/>
        <cfvo type="max"/>
        <color rgb="FF638EC6"/>
      </dataBar>
    </cfRule>
    <cfRule type="dataBar" priority="334">
      <dataBar>
        <cfvo type="min"/>
        <cfvo type="max"/>
        <color rgb="FF638EC6"/>
      </dataBar>
    </cfRule>
  </conditionalFormatting>
  <conditionalFormatting sqref="K23:K1048576">
    <cfRule type="dataBar" priority="332">
      <dataBar>
        <cfvo type="min"/>
        <cfvo type="max"/>
        <color rgb="FF638EC6"/>
      </dataBar>
    </cfRule>
  </conditionalFormatting>
  <conditionalFormatting sqref="F23:F1048576 F1:F2">
    <cfRule type="dataBar" priority="338">
      <dataBar>
        <cfvo type="min"/>
        <cfvo type="max"/>
        <color rgb="FFFF555A"/>
      </dataBar>
    </cfRule>
  </conditionalFormatting>
  <conditionalFormatting sqref="F3:F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{0FF83E28-890D-491B-9276-376FC634328D}</x14:id>
        </ext>
      </extLst>
    </cfRule>
  </conditionalFormatting>
  <conditionalFormatting sqref="F3:F4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{73D1F53A-8FE2-4A0B-A114-132F34B1C7F2}</x14:id>
        </ext>
      </extLst>
    </cfRule>
  </conditionalFormatting>
  <conditionalFormatting sqref="L3:L22">
    <cfRule type="cellIs" dxfId="227" priority="38" operator="greaterThanOrEqual">
      <formula>0</formula>
    </cfRule>
    <cfRule type="cellIs" dxfId="226" priority="39" operator="lessThan">
      <formula>0</formula>
    </cfRule>
    <cfRule type="cellIs" dxfId="225" priority="40" operator="lessThan">
      <formula>0</formula>
    </cfRule>
    <cfRule type="cellIs" dxfId="224" priority="41" operator="greaterThanOrEqual">
      <formula>0</formula>
    </cfRule>
    <cfRule type="cellIs" dxfId="223" priority="42" operator="greaterThanOrEqual">
      <formula>0</formula>
    </cfRule>
  </conditionalFormatting>
  <conditionalFormatting sqref="L3:L22">
    <cfRule type="cellIs" dxfId="222" priority="37" operator="greaterThanOrEqual">
      <formula>0</formula>
    </cfRule>
  </conditionalFormatting>
  <conditionalFormatting sqref="K3:K22">
    <cfRule type="cellIs" dxfId="141" priority="32" operator="greaterThanOrEqual">
      <formula>0</formula>
    </cfRule>
    <cfRule type="cellIs" dxfId="140" priority="33" operator="lessThan">
      <formula>0</formula>
    </cfRule>
    <cfRule type="cellIs" dxfId="139" priority="34" operator="lessThan">
      <formula>0</formula>
    </cfRule>
    <cfRule type="cellIs" dxfId="138" priority="35" operator="greaterThanOrEqual">
      <formula>0</formula>
    </cfRule>
    <cfRule type="cellIs" dxfId="137" priority="36" operator="greaterThanOrEqual">
      <formula>0</formula>
    </cfRule>
  </conditionalFormatting>
  <conditionalFormatting sqref="K3:K22">
    <cfRule type="cellIs" dxfId="136" priority="31" operator="greaterThanOrEqual">
      <formula>0</formula>
    </cfRule>
  </conditionalFormatting>
  <conditionalFormatting sqref="K3:L22">
    <cfRule type="cellIs" dxfId="135" priority="27" operator="greaterThanOrEqual">
      <formula>0</formula>
    </cfRule>
    <cfRule type="cellIs" dxfId="134" priority="28" operator="greaterThanOrEqual">
      <formula>0</formula>
    </cfRule>
    <cfRule type="cellIs" dxfId="133" priority="29" operator="lessThan">
      <formula>0</formula>
    </cfRule>
    <cfRule type="cellIs" dxfId="132" priority="30" operator="greaterThanOrEqual">
      <formula>0</formula>
    </cfRule>
  </conditionalFormatting>
  <conditionalFormatting sqref="K3:K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{6B183254-A34C-4A12-A8B5-ACE6A4191056}</x14:id>
        </ext>
      </extLst>
    </cfRule>
  </conditionalFormatting>
  <conditionalFormatting sqref="K3:K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{B5A270BD-3D5E-4054-8439-F229233950AE}</x14:id>
        </ext>
      </extLst>
    </cfRule>
  </conditionalFormatting>
  <conditionalFormatting sqref="F10:F14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{28208002-42FB-42ED-A239-E23CDE06C371}</x14:id>
        </ext>
      </extLst>
    </cfRule>
  </conditionalFormatting>
  <conditionalFormatting sqref="F10:F14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{A902007C-013F-441A-95EA-FA335B121832}</x14:id>
        </ext>
      </extLst>
    </cfRule>
  </conditionalFormatting>
  <conditionalFormatting sqref="K15:K2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{84F8E27D-8B5A-4F33-B950-8A2B1888783C}</x14:id>
        </ext>
      </extLst>
    </cfRule>
  </conditionalFormatting>
  <conditionalFormatting sqref="K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{95C3E041-CA31-4E76-A678-F20444668762}</x14:id>
        </ext>
      </extLst>
    </cfRule>
  </conditionalFormatting>
  <conditionalFormatting sqref="K1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{2AA79F95-1766-4C2C-84F9-7D53B868820D}</x14:id>
        </ext>
      </extLst>
    </cfRule>
  </conditionalFormatting>
  <conditionalFormatting sqref="K15:K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{F72CA299-FA14-4298-AED3-D8521E42E78D}</x14:id>
        </ext>
      </extLst>
    </cfRule>
  </conditionalFormatting>
  <conditionalFormatting sqref="F15:F2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{A7D9A300-4083-4F93-A2E4-B0AC2D21F677}</x14:id>
        </ext>
      </extLst>
    </cfRule>
  </conditionalFormatting>
  <conditionalFormatting sqref="K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{A89C5C7B-E54C-4A52-BC13-03B94E8E36FF}</x14:id>
        </ext>
      </extLst>
    </cfRule>
  </conditionalFormatting>
  <conditionalFormatting sqref="K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{E1FA993A-350F-411B-AE18-C9EF74943A91}</x14:id>
        </ext>
      </extLst>
    </cfRule>
  </conditionalFormatting>
  <conditionalFormatting sqref="F15:F2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{071866B7-BAC7-4BF3-B404-517A04FF4B46}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F83E28-890D-491B-9276-376FC63432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F3:F4</xm:sqref>
        </x14:conditionalFormatting>
        <x14:conditionalFormatting xmlns:xm="http://schemas.microsoft.com/office/excel/2006/main">
          <x14:cfRule type="dataBar" id="{73D1F53A-8FE2-4A0B-A114-132F34B1C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F3:F4</xm:sqref>
        </x14:conditionalFormatting>
        <x14:conditionalFormatting xmlns:xm="http://schemas.microsoft.com/office/excel/2006/main">
          <x14:cfRule type="dataBar" id="{6B183254-A34C-4A12-A8B5-ACE6A41910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K3:K22</xm:sqref>
        </x14:conditionalFormatting>
        <x14:conditionalFormatting xmlns:xm="http://schemas.microsoft.com/office/excel/2006/main">
          <x14:cfRule type="dataBar" id="{B5A270BD-3D5E-4054-8439-F22923395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K3:K22</xm:sqref>
        </x14:conditionalFormatting>
        <x14:conditionalFormatting xmlns:xm="http://schemas.microsoft.com/office/excel/2006/main">
          <x14:cfRule type="dataBar" id="{28208002-42FB-42ED-A239-E23CDE06C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F10:F14</xm:sqref>
        </x14:conditionalFormatting>
        <x14:conditionalFormatting xmlns:xm="http://schemas.microsoft.com/office/excel/2006/main">
          <x14:cfRule type="dataBar" id="{A902007C-013F-441A-95EA-FA335B1218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F10:F14</xm:sqref>
        </x14:conditionalFormatting>
        <x14:conditionalFormatting xmlns:xm="http://schemas.microsoft.com/office/excel/2006/main">
          <x14:cfRule type="dataBar" id="{84F8E27D-8B5A-4F33-B950-8A2B18887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K15:K22</xm:sqref>
        </x14:conditionalFormatting>
        <x14:conditionalFormatting xmlns:xm="http://schemas.microsoft.com/office/excel/2006/main">
          <x14:cfRule type="dataBar" id="{95C3E041-CA31-4E76-A678-F20444668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2AA79F95-1766-4C2C-84F9-7D53B86882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F72CA299-FA14-4298-AED3-D8521E4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K15:K22</xm:sqref>
        </x14:conditionalFormatting>
        <x14:conditionalFormatting xmlns:xm="http://schemas.microsoft.com/office/excel/2006/main">
          <x14:cfRule type="dataBar" id="{A7D9A300-4083-4F93-A2E4-B0AC2D21F6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F15:F22</xm:sqref>
        </x14:conditionalFormatting>
        <x14:conditionalFormatting xmlns:xm="http://schemas.microsoft.com/office/excel/2006/main">
          <x14:cfRule type="dataBar" id="{A89C5C7B-E54C-4A52-BC13-03B94E8E36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E1FA993A-350F-411B-AE18-C9EF74943A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071866B7-BAC7-4BF3-B404-517A04FF4B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7"/>
  <sheetViews>
    <sheetView topLeftCell="C1" workbookViewId="0">
      <selection activeCell="J4" sqref="J4"/>
    </sheetView>
  </sheetViews>
  <sheetFormatPr defaultRowHeight="16.5" x14ac:dyDescent="0.2"/>
  <cols>
    <col min="1" max="1" width="9" style="15" customWidth="1"/>
    <col min="2" max="2" width="27.25" style="15" customWidth="1"/>
    <col min="3" max="3" width="14" style="15" bestFit="1" customWidth="1"/>
    <col min="4" max="4" width="11.125" style="14" bestFit="1" customWidth="1"/>
    <col min="5" max="5" width="12.75" style="31" customWidth="1"/>
    <col min="6" max="6" width="11.5" style="13" customWidth="1"/>
    <col min="7" max="7" width="11.5" style="15" customWidth="1"/>
    <col min="8" max="8" width="11.375" style="15" customWidth="1"/>
    <col min="9" max="9" width="13.125" style="16" customWidth="1"/>
    <col min="10" max="10" width="13.5" style="16" customWidth="1"/>
    <col min="11" max="11" width="15.75" style="13" customWidth="1"/>
    <col min="12" max="12" width="12.375" style="15" customWidth="1"/>
    <col min="13" max="13" width="11.625" style="15" customWidth="1"/>
    <col min="14" max="15" width="11.375" style="15" customWidth="1"/>
    <col min="16" max="16" width="9.25" style="15" customWidth="1"/>
    <col min="17" max="17" width="8" style="15" bestFit="1" customWidth="1"/>
    <col min="18" max="18" width="8.5" style="15" bestFit="1" customWidth="1"/>
    <col min="19" max="19" width="7.25" style="2" customWidth="1"/>
    <col min="20" max="20" width="27.25" style="15" customWidth="1"/>
    <col min="21" max="21" width="9.625" style="15" bestFit="1" customWidth="1"/>
    <col min="22" max="22" width="9" style="15" customWidth="1"/>
    <col min="23" max="23" width="8" style="15" bestFit="1" customWidth="1"/>
    <col min="24" max="24" width="12.25" style="15" bestFit="1" customWidth="1"/>
    <col min="25" max="25" width="9" style="15" customWidth="1"/>
    <col min="26" max="16384" width="9" style="15"/>
  </cols>
  <sheetData>
    <row r="1" spans="1:24" s="46" customFormat="1" ht="16.5" customHeight="1" x14ac:dyDescent="0.2">
      <c r="A1" s="64" t="s">
        <v>50</v>
      </c>
      <c r="B1" s="121"/>
      <c r="C1" s="121"/>
      <c r="D1" s="122"/>
      <c r="E1" s="69" t="s">
        <v>13</v>
      </c>
      <c r="F1" s="121"/>
      <c r="G1" s="122"/>
      <c r="H1" s="66" t="s">
        <v>14</v>
      </c>
      <c r="I1" s="121"/>
      <c r="J1" s="121"/>
      <c r="K1" s="121"/>
      <c r="L1" s="121"/>
      <c r="M1" s="122"/>
      <c r="N1" s="64" t="s">
        <v>15</v>
      </c>
      <c r="O1" s="122"/>
      <c r="P1" s="64" t="s">
        <v>16</v>
      </c>
      <c r="Q1" s="121"/>
      <c r="R1" s="121"/>
      <c r="S1" s="121"/>
      <c r="T1" s="121"/>
      <c r="U1" s="121"/>
      <c r="V1" s="121"/>
      <c r="W1" s="121"/>
      <c r="X1" s="122"/>
    </row>
    <row r="2" spans="1:24" s="27" customFormat="1" ht="33" customHeight="1" x14ac:dyDescent="0.2">
      <c r="A2" s="37" t="s">
        <v>1</v>
      </c>
      <c r="B2" s="37" t="s">
        <v>17</v>
      </c>
      <c r="C2" s="37" t="s">
        <v>18</v>
      </c>
      <c r="D2" s="12" t="s">
        <v>19</v>
      </c>
      <c r="E2" s="40" t="s">
        <v>20</v>
      </c>
      <c r="F2" s="10" t="s">
        <v>21</v>
      </c>
      <c r="G2" s="40" t="s">
        <v>51</v>
      </c>
      <c r="H2" s="4" t="s">
        <v>23</v>
      </c>
      <c r="I2" s="17" t="s">
        <v>24</v>
      </c>
      <c r="J2" s="17" t="s">
        <v>25</v>
      </c>
      <c r="K2" s="11" t="s">
        <v>26</v>
      </c>
      <c r="L2" s="4" t="s">
        <v>27</v>
      </c>
      <c r="M2" s="4" t="s">
        <v>28</v>
      </c>
      <c r="N2" s="26" t="s">
        <v>29</v>
      </c>
      <c r="O2" s="5" t="s">
        <v>30</v>
      </c>
      <c r="P2" s="37" t="s">
        <v>31</v>
      </c>
      <c r="Q2" s="37" t="s">
        <v>32</v>
      </c>
      <c r="R2" s="37" t="s">
        <v>33</v>
      </c>
      <c r="S2" s="37" t="s">
        <v>34</v>
      </c>
      <c r="T2" s="37" t="s">
        <v>35</v>
      </c>
      <c r="U2" s="37" t="s">
        <v>36</v>
      </c>
      <c r="V2" s="37" t="s">
        <v>37</v>
      </c>
      <c r="W2" s="37" t="s">
        <v>39</v>
      </c>
      <c r="X2" s="37" t="s">
        <v>38</v>
      </c>
    </row>
    <row r="3" spans="1:24" s="46" customFormat="1" x14ac:dyDescent="0.2">
      <c r="A3" s="93" t="s">
        <v>110</v>
      </c>
      <c r="B3" s="56" t="s">
        <v>111</v>
      </c>
      <c r="C3" s="105">
        <v>500000</v>
      </c>
      <c r="D3" s="106">
        <v>0.3</v>
      </c>
      <c r="E3" s="56">
        <f>信息流年框客户消费明细!$C$3</f>
        <v>0</v>
      </c>
      <c r="F3" s="112">
        <f>$E$3/C3</f>
        <v>0</v>
      </c>
      <c r="G3" s="124" t="str">
        <f>IF($E$3&gt;=C4,D4,IF($E$3&gt;=C3,D3,"未达标"))</f>
        <v>未达标</v>
      </c>
      <c r="H3" s="97">
        <f>信息流年框客户消费明细!$B$3</f>
        <v>0</v>
      </c>
      <c r="I3" s="119">
        <f ca="1">IF($E$3&gt;=C3,"已达标",(C3-$E$3)/$N$3)</f>
        <v>1420.4545454545455</v>
      </c>
      <c r="J3" s="152">
        <f ca="1">IF($E$3&gt;=C3,"已达标",$H$3-I3)</f>
        <v>-1420.4545454545455</v>
      </c>
      <c r="K3" s="96" t="e">
        <f ca="1">IF($E$3&gt;=C3,"已达标",IF(J3&lt;0,I3/$H$3-1,"当前日均已达标"))</f>
        <v>#DIV/0!</v>
      </c>
      <c r="L3" s="34" t="e">
        <f>(C3-$E$3)/$H$3</f>
        <v>#DIV/0!</v>
      </c>
      <c r="M3" s="42" t="e">
        <f ca="1">L3+TODAY()</f>
        <v>#DIV/0!</v>
      </c>
      <c r="N3" s="56">
        <f ca="1">_xlfn.DAYS(O3+1,TODAY())</f>
        <v>352</v>
      </c>
      <c r="O3" s="120">
        <v>45291</v>
      </c>
      <c r="P3" s="60" t="s">
        <v>9</v>
      </c>
      <c r="Q3" s="60" t="s">
        <v>40</v>
      </c>
      <c r="R3" s="60" t="s">
        <v>46</v>
      </c>
      <c r="S3" s="60" t="s">
        <v>41</v>
      </c>
      <c r="T3" s="60" t="s">
        <v>112</v>
      </c>
      <c r="U3" s="60" t="s">
        <v>52</v>
      </c>
      <c r="V3" s="60" t="s">
        <v>44</v>
      </c>
      <c r="W3" s="60" t="s">
        <v>47</v>
      </c>
      <c r="X3" s="60" t="s">
        <v>48</v>
      </c>
    </row>
    <row r="4" spans="1:24" s="46" customFormat="1" x14ac:dyDescent="0.2">
      <c r="A4" s="93"/>
      <c r="B4" s="56"/>
      <c r="C4" s="105">
        <v>1000000</v>
      </c>
      <c r="D4" s="106">
        <v>0.36</v>
      </c>
      <c r="E4" s="56"/>
      <c r="F4" s="112">
        <f>$E$3/C4</f>
        <v>0</v>
      </c>
      <c r="G4" s="125"/>
      <c r="H4" s="97"/>
      <c r="I4" s="119">
        <f ca="1">IF($E$3&gt;=C4,"已达标",(C4-$E$3)/$N$3)</f>
        <v>2840.909090909091</v>
      </c>
      <c r="J4" s="152">
        <f ca="1">IF($E$3&gt;=C4,"已达标",$H$3-I4)</f>
        <v>-2840.909090909091</v>
      </c>
      <c r="K4" s="96" t="e">
        <f ca="1">IF($E$3&gt;=C4,"已达标",IF(J4&lt;0,I4/$H$3-1,"当前日均已达标"))</f>
        <v>#DIV/0!</v>
      </c>
      <c r="L4" s="34" t="e">
        <f>(C4-$E$3)/$H$3</f>
        <v>#DIV/0!</v>
      </c>
      <c r="M4" s="42" t="e">
        <f ca="1">L4+TODAY()</f>
        <v>#DIV/0!</v>
      </c>
      <c r="N4" s="56"/>
      <c r="O4" s="120"/>
      <c r="P4" s="60"/>
      <c r="Q4" s="60"/>
      <c r="R4" s="60"/>
      <c r="S4" s="60"/>
      <c r="T4" s="60"/>
      <c r="U4" s="60"/>
      <c r="V4" s="60"/>
      <c r="W4" s="60"/>
      <c r="X4" s="60"/>
    </row>
    <row r="7" spans="1:24" ht="16.5" customHeight="1" x14ac:dyDescent="0.2"/>
  </sheetData>
  <mergeCells count="21">
    <mergeCell ref="T3:T4"/>
    <mergeCell ref="U3:U4"/>
    <mergeCell ref="V3:V4"/>
    <mergeCell ref="W3:W4"/>
    <mergeCell ref="X3:X4"/>
    <mergeCell ref="O3:O4"/>
    <mergeCell ref="P3:P4"/>
    <mergeCell ref="Q3:Q4"/>
    <mergeCell ref="R3:R4"/>
    <mergeCell ref="S3:S4"/>
    <mergeCell ref="A3:A4"/>
    <mergeCell ref="B3:B4"/>
    <mergeCell ref="E3:E4"/>
    <mergeCell ref="H3:H4"/>
    <mergeCell ref="N3:N4"/>
    <mergeCell ref="G3:G4"/>
    <mergeCell ref="P1:X1"/>
    <mergeCell ref="A1:D1"/>
    <mergeCell ref="H1:M1"/>
    <mergeCell ref="N1:O1"/>
    <mergeCell ref="E1:G1"/>
  </mergeCells>
  <phoneticPr fontId="3" type="noConversion"/>
  <conditionalFormatting sqref="K5:M1048576">
    <cfRule type="cellIs" dxfId="209" priority="206" operator="greaterThanOrEqual">
      <formula>0</formula>
    </cfRule>
    <cfRule type="cellIs" dxfId="208" priority="207" operator="greaterThanOrEqual">
      <formula>0</formula>
    </cfRule>
    <cfRule type="cellIs" dxfId="207" priority="208" operator="lessThan">
      <formula>0</formula>
    </cfRule>
    <cfRule type="cellIs" dxfId="206" priority="209" operator="greaterThanOrEqual">
      <formula>0</formula>
    </cfRule>
  </conditionalFormatting>
  <conditionalFormatting sqref="E2:G2 E1">
    <cfRule type="dataBar" priority="233">
      <dataBar>
        <cfvo type="min"/>
        <cfvo type="max"/>
        <color rgb="FFFF555A"/>
      </dataBar>
    </cfRule>
  </conditionalFormatting>
  <conditionalFormatting sqref="K5:K1048576 K1:K2">
    <cfRule type="dataBar" priority="315">
      <dataBar>
        <cfvo type="min"/>
        <cfvo type="max"/>
        <color rgb="FF638EC6"/>
      </dataBar>
    </cfRule>
  </conditionalFormatting>
  <conditionalFormatting sqref="F5:F1048576 F1:F2">
    <cfRule type="dataBar" priority="318">
      <dataBar>
        <cfvo type="min"/>
        <cfvo type="max"/>
        <color rgb="FFFF555A"/>
      </dataBar>
    </cfRule>
  </conditionalFormatting>
  <conditionalFormatting sqref="F5:F1048576 F1:F2">
    <cfRule type="dataBar" priority="73">
      <dataBar>
        <cfvo type="min"/>
        <cfvo type="max"/>
        <color rgb="FFFF555A"/>
      </dataBar>
    </cfRule>
  </conditionalFormatting>
  <conditionalFormatting sqref="K3:M4">
    <cfRule type="cellIs" dxfId="205" priority="24" operator="greaterThanOrEqual">
      <formula>0</formula>
    </cfRule>
    <cfRule type="cellIs" dxfId="204" priority="25" operator="greaterThanOrEqual">
      <formula>0</formula>
    </cfRule>
    <cfRule type="cellIs" dxfId="203" priority="26" operator="lessThan">
      <formula>0</formula>
    </cfRule>
    <cfRule type="cellIs" dxfId="202" priority="27" operator="greaterThanOrEqual">
      <formula>0</formula>
    </cfRule>
  </conditionalFormatting>
  <conditionalFormatting sqref="L3:L4">
    <cfRule type="cellIs" dxfId="201" priority="20" operator="greaterThanOrEqual">
      <formula>0</formula>
    </cfRule>
    <cfRule type="cellIs" dxfId="200" priority="21" operator="greaterThanOrEqual">
      <formula>0</formula>
    </cfRule>
    <cfRule type="cellIs" dxfId="199" priority="22" operator="lessThan">
      <formula>0</formula>
    </cfRule>
    <cfRule type="cellIs" dxfId="198" priority="23" operator="greaterThanOrEqual">
      <formula>0</formula>
    </cfRule>
  </conditionalFormatting>
  <conditionalFormatting sqref="K3:K4">
    <cfRule type="cellIs" dxfId="197" priority="15" operator="greaterThanOrEqual">
      <formula>0</formula>
    </cfRule>
    <cfRule type="cellIs" dxfId="196" priority="16" operator="lessThan">
      <formula>0</formula>
    </cfRule>
    <cfRule type="cellIs" dxfId="195" priority="17" operator="lessThan">
      <formula>0</formula>
    </cfRule>
    <cfRule type="cellIs" dxfId="194" priority="18" operator="greaterThanOrEqual">
      <formula>0</formula>
    </cfRule>
    <cfRule type="cellIs" dxfId="193" priority="19" operator="greaterThanOrEqual">
      <formula>0</formula>
    </cfRule>
  </conditionalFormatting>
  <conditionalFormatting sqref="K3:K4">
    <cfRule type="cellIs" dxfId="192" priority="14" operator="greaterThanOrEqual">
      <formula>0</formula>
    </cfRule>
  </conditionalFormatting>
  <conditionalFormatting sqref="K3:K4">
    <cfRule type="cellIs" dxfId="191" priority="9" operator="greaterThanOrEqual">
      <formula>0</formula>
    </cfRule>
    <cfRule type="cellIs" dxfId="190" priority="10" operator="lessThan">
      <formula>0</formula>
    </cfRule>
    <cfRule type="cellIs" dxfId="189" priority="11" operator="lessThan">
      <formula>0</formula>
    </cfRule>
    <cfRule type="cellIs" dxfId="188" priority="12" operator="greaterThanOrEqual">
      <formula>0</formula>
    </cfRule>
    <cfRule type="cellIs" dxfId="187" priority="13" operator="greaterThanOrEqual">
      <formula>0</formula>
    </cfRule>
  </conditionalFormatting>
  <conditionalFormatting sqref="K3:K4">
    <cfRule type="cellIs" dxfId="186" priority="8" operator="greaterThanOrEqual">
      <formula>0</formula>
    </cfRule>
  </conditionalFormatting>
  <conditionalFormatting sqref="M3:M4">
    <cfRule type="cellIs" dxfId="185" priority="3" operator="greaterThanOrEqual">
      <formula>0</formula>
    </cfRule>
    <cfRule type="cellIs" dxfId="184" priority="4" operator="lessThan">
      <formula>0</formula>
    </cfRule>
    <cfRule type="cellIs" dxfId="183" priority="5" operator="lessThan">
      <formula>0</formula>
    </cfRule>
    <cfRule type="cellIs" dxfId="182" priority="6" operator="greaterThanOrEqual">
      <formula>0</formula>
    </cfRule>
    <cfRule type="cellIs" dxfId="181" priority="7" operator="greaterThanOrEqual">
      <formula>0</formula>
    </cfRule>
  </conditionalFormatting>
  <conditionalFormatting sqref="M3:M4">
    <cfRule type="cellIs" dxfId="180" priority="2" operator="greaterThanOrEqual">
      <formula>0</formula>
    </cfRule>
  </conditionalFormatting>
  <conditionalFormatting sqref="K3:K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{E22FE788-3297-4939-A089-88F4906C63EC}</x14:id>
        </ext>
      </extLst>
    </cfRule>
  </conditionalFormatting>
  <conditionalFormatting sqref="F3:F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{9249B954-A4F8-4F2E-AAB5-973857E86ECA}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2FE788-3297-4939-A089-88F4906C63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K3:K4</xm:sqref>
        </x14:conditionalFormatting>
        <x14:conditionalFormatting xmlns:xm="http://schemas.microsoft.com/office/excel/2006/main">
          <x14:cfRule type="dataBar" id="{9249B954-A4F8-4F2E-AAB5-973857E86E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10"/>
  <sheetViews>
    <sheetView topLeftCell="E1" workbookViewId="0">
      <selection activeCell="N11" sqref="N11"/>
    </sheetView>
  </sheetViews>
  <sheetFormatPr defaultRowHeight="16.5" x14ac:dyDescent="0.2"/>
  <cols>
    <col min="1" max="1" width="9" style="46" customWidth="1"/>
    <col min="2" max="2" width="23.625" style="15" customWidth="1"/>
    <col min="3" max="3" width="13.25" style="15" customWidth="1"/>
    <col min="4" max="4" width="10" style="14" bestFit="1" customWidth="1"/>
    <col min="5" max="5" width="13.625" style="15" customWidth="1"/>
    <col min="6" max="6" width="13.625" style="13" customWidth="1"/>
    <col min="7" max="7" width="10.875" style="15" customWidth="1"/>
    <col min="8" max="8" width="11.25" style="15" customWidth="1"/>
    <col min="9" max="9" width="10.875" style="15" customWidth="1"/>
    <col min="10" max="10" width="11.25" style="15" customWidth="1"/>
    <col min="11" max="11" width="17.25" style="13" customWidth="1"/>
    <col min="12" max="12" width="12.125" style="15" customWidth="1"/>
    <col min="13" max="13" width="11" style="8" customWidth="1"/>
    <col min="14" max="14" width="10.375" style="15" customWidth="1"/>
    <col min="15" max="15" width="13.875" style="8" customWidth="1"/>
    <col min="16" max="16" width="13.75" style="15" customWidth="1"/>
    <col min="17" max="17" width="12" style="15" bestFit="1" customWidth="1"/>
    <col min="18" max="18" width="8.5" style="15" bestFit="1" customWidth="1"/>
    <col min="19" max="19" width="7.5" style="15" customWidth="1"/>
    <col min="20" max="20" width="25.875" style="15" customWidth="1"/>
    <col min="21" max="21" width="11.25" style="15" customWidth="1"/>
    <col min="22" max="23" width="9" style="15" customWidth="1"/>
    <col min="24" max="24" width="8" style="15" bestFit="1" customWidth="1"/>
    <col min="25" max="25" width="9" style="15" customWidth="1"/>
    <col min="26" max="16384" width="9" style="15"/>
  </cols>
  <sheetData>
    <row r="1" spans="1:24" s="46" customFormat="1" x14ac:dyDescent="0.2">
      <c r="A1" s="64" t="s">
        <v>12</v>
      </c>
      <c r="B1" s="121"/>
      <c r="C1" s="121"/>
      <c r="D1" s="122"/>
      <c r="E1" s="69" t="s">
        <v>13</v>
      </c>
      <c r="F1" s="121"/>
      <c r="G1" s="122"/>
      <c r="H1" s="66" t="s">
        <v>14</v>
      </c>
      <c r="I1" s="121"/>
      <c r="J1" s="121"/>
      <c r="K1" s="121"/>
      <c r="L1" s="121"/>
      <c r="M1" s="122"/>
      <c r="N1" s="64" t="s">
        <v>15</v>
      </c>
      <c r="O1" s="122"/>
      <c r="P1" s="64" t="s">
        <v>16</v>
      </c>
      <c r="Q1" s="121"/>
      <c r="R1" s="121"/>
      <c r="S1" s="121"/>
      <c r="T1" s="121"/>
      <c r="U1" s="121"/>
      <c r="V1" s="121"/>
      <c r="W1" s="121"/>
      <c r="X1" s="122"/>
    </row>
    <row r="2" spans="1:24" s="46" customFormat="1" ht="49.5" customHeight="1" x14ac:dyDescent="0.2">
      <c r="A2" s="39" t="s">
        <v>1</v>
      </c>
      <c r="B2" s="36" t="s">
        <v>17</v>
      </c>
      <c r="C2" s="36" t="s">
        <v>18</v>
      </c>
      <c r="D2" s="12" t="s">
        <v>19</v>
      </c>
      <c r="E2" s="40" t="s">
        <v>53</v>
      </c>
      <c r="F2" s="10" t="s">
        <v>21</v>
      </c>
      <c r="G2" s="40" t="s">
        <v>51</v>
      </c>
      <c r="H2" s="4" t="s">
        <v>54</v>
      </c>
      <c r="I2" s="4" t="s">
        <v>24</v>
      </c>
      <c r="J2" s="4" t="s">
        <v>25</v>
      </c>
      <c r="K2" s="11" t="s">
        <v>26</v>
      </c>
      <c r="L2" s="4" t="s">
        <v>27</v>
      </c>
      <c r="M2" s="7" t="s">
        <v>28</v>
      </c>
      <c r="N2" s="26" t="s">
        <v>29</v>
      </c>
      <c r="O2" s="5" t="s">
        <v>30</v>
      </c>
      <c r="P2" s="37" t="s">
        <v>31</v>
      </c>
      <c r="Q2" s="36" t="s">
        <v>32</v>
      </c>
      <c r="R2" s="36" t="s">
        <v>33</v>
      </c>
      <c r="S2" s="37" t="s">
        <v>34</v>
      </c>
      <c r="T2" s="36" t="s">
        <v>35</v>
      </c>
      <c r="U2" s="37" t="s">
        <v>36</v>
      </c>
      <c r="V2" s="36" t="s">
        <v>37</v>
      </c>
      <c r="W2" s="36" t="s">
        <v>38</v>
      </c>
      <c r="X2" s="36" t="s">
        <v>39</v>
      </c>
    </row>
    <row r="3" spans="1:24" s="46" customFormat="1" x14ac:dyDescent="0.2">
      <c r="A3" s="81" t="s">
        <v>5</v>
      </c>
      <c r="B3" s="60" t="s">
        <v>58</v>
      </c>
      <c r="C3" s="94">
        <v>1500000</v>
      </c>
      <c r="D3" s="106">
        <v>0.16</v>
      </c>
      <c r="E3" s="153">
        <f>SUM('大搜+信息流年框客户消费明细'!$F$4:$F$5)</f>
        <v>522342.10000000021</v>
      </c>
      <c r="F3" s="112">
        <f>E3/C3</f>
        <v>0.34822806666666678</v>
      </c>
      <c r="G3" s="59" t="str">
        <f>IF(E3&gt;=C4,D4,IF(E3&gt;=C3,D3,"未达标"))</f>
        <v>未达标</v>
      </c>
      <c r="H3" s="97">
        <f>'大搜+信息流年框客户消费明细'!B4+'大搜+信息流年框客户消费明细'!B5+'大搜+信息流年框客户消费明细'!C4+'大搜+信息流年框客户消费明细'!C5</f>
        <v>1342.9814285714285</v>
      </c>
      <c r="I3" s="98">
        <f ca="1">(C3-E3)/N3</f>
        <v>6348.4279220779208</v>
      </c>
      <c r="J3" s="98">
        <f ca="1">H3-I3</f>
        <v>-5005.4464935064925</v>
      </c>
      <c r="K3" s="96">
        <f ca="1">IF(J3&lt;0,I3/H3-1,"当前日均可达标")</f>
        <v>3.727115198332223</v>
      </c>
      <c r="L3" s="34">
        <f>(C3-E3)/H3</f>
        <v>727.97574054316237</v>
      </c>
      <c r="M3" s="42">
        <f ca="1">TODAY()+L3</f>
        <v>45667.975740543159</v>
      </c>
      <c r="N3" s="56">
        <f ca="1">DATE(2023,6,16)-TODAY()+1</f>
        <v>154</v>
      </c>
      <c r="O3" s="67">
        <v>45093</v>
      </c>
      <c r="P3" s="67" t="s">
        <v>56</v>
      </c>
      <c r="Q3" s="67" t="s">
        <v>57</v>
      </c>
      <c r="R3" s="67" t="s">
        <v>5</v>
      </c>
      <c r="S3" s="67" t="s">
        <v>41</v>
      </c>
      <c r="T3" s="67" t="s">
        <v>59</v>
      </c>
      <c r="U3" s="67" t="s">
        <v>11</v>
      </c>
      <c r="V3" s="67" t="s">
        <v>60</v>
      </c>
      <c r="W3" s="67" t="s">
        <v>61</v>
      </c>
      <c r="X3" s="67" t="s">
        <v>62</v>
      </c>
    </row>
    <row r="4" spans="1:24" s="46" customFormat="1" x14ac:dyDescent="0.2">
      <c r="A4" s="92"/>
      <c r="B4" s="104"/>
      <c r="C4" s="94">
        <v>3500000</v>
      </c>
      <c r="D4" s="106">
        <v>0.17</v>
      </c>
      <c r="E4" s="154"/>
      <c r="F4" s="112">
        <f>E3/C4</f>
        <v>0.14924060000000006</v>
      </c>
      <c r="G4" s="104"/>
      <c r="H4" s="104"/>
      <c r="I4" s="98">
        <f ca="1">(C4-E3)/N3</f>
        <v>19335.44090909091</v>
      </c>
      <c r="J4" s="98">
        <f ca="1">H3-I4</f>
        <v>-17992.459480519483</v>
      </c>
      <c r="K4" s="96">
        <f ca="1">IF(J4&lt;0,I4/H3-1,"当前日均可达标")</f>
        <v>13.397400066550901</v>
      </c>
      <c r="L4" s="34">
        <f>(C4-E3)/H3</f>
        <v>2217.1996102488388</v>
      </c>
      <c r="M4" s="42">
        <f t="shared" ref="M3:M10" ca="1" si="0">TODAY()+L4</f>
        <v>47157.199610248841</v>
      </c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4" s="46" customFormat="1" x14ac:dyDescent="0.2">
      <c r="A5" s="92"/>
      <c r="B5" s="56" t="s">
        <v>63</v>
      </c>
      <c r="C5" s="94">
        <v>800000</v>
      </c>
      <c r="D5" s="106">
        <v>0.04</v>
      </c>
      <c r="E5" s="68">
        <f>'大搜+信息流年框客户消费明细'!$F$6</f>
        <v>159350.51999999999</v>
      </c>
      <c r="F5" s="96">
        <f>$E$5/C5</f>
        <v>0.19918814999999998</v>
      </c>
      <c r="G5" s="56" t="str">
        <f>IF(E5&gt;=C7,D7,IF(E5&gt;=C6,D6,IF(E5&gt;=C5,D5,"未达标")))</f>
        <v>未达标</v>
      </c>
      <c r="H5" s="123">
        <f>'大搜+信息流年框客户消费明细'!B6+'大搜+信息流年框客户消费明细'!C6</f>
        <v>1853.194285714286</v>
      </c>
      <c r="I5" s="98">
        <f ca="1">(C5-$E$5)/$N$5</f>
        <v>2201.5446048109966</v>
      </c>
      <c r="J5" s="98">
        <f ca="1">$H$5-I5</f>
        <v>-348.35031909671056</v>
      </c>
      <c r="K5" s="96">
        <f ca="1">IF(J5&lt;0,I5/$H$5-1,"当前日均可达标")</f>
        <v>0.18797290806583944</v>
      </c>
      <c r="L5" s="34">
        <f>(C5-$E$5)/$H$5</f>
        <v>345.70011624715926</v>
      </c>
      <c r="M5" s="42">
        <f t="shared" ca="1" si="0"/>
        <v>45285.700116247157</v>
      </c>
      <c r="N5" s="72">
        <f ca="1">DATE(2023,10,31)-TODAY()+1</f>
        <v>291</v>
      </c>
      <c r="O5" s="67">
        <v>45230</v>
      </c>
      <c r="P5" s="71" t="s">
        <v>56</v>
      </c>
      <c r="Q5" s="56" t="s">
        <v>57</v>
      </c>
      <c r="R5" s="56" t="s">
        <v>5</v>
      </c>
      <c r="S5" s="56" t="s">
        <v>41</v>
      </c>
      <c r="T5" s="70" t="s">
        <v>64</v>
      </c>
      <c r="U5" s="56" t="s">
        <v>11</v>
      </c>
      <c r="V5" s="56" t="s">
        <v>49</v>
      </c>
      <c r="W5" s="56" t="s">
        <v>65</v>
      </c>
      <c r="X5" s="56" t="s">
        <v>65</v>
      </c>
    </row>
    <row r="6" spans="1:24" s="46" customFormat="1" x14ac:dyDescent="0.2">
      <c r="A6" s="92"/>
      <c r="B6" s="103"/>
      <c r="C6" s="94">
        <v>1100000</v>
      </c>
      <c r="D6" s="106">
        <v>0.05</v>
      </c>
      <c r="E6" s="155"/>
      <c r="F6" s="96">
        <f>$E$5/C6</f>
        <v>0.14486410909090908</v>
      </c>
      <c r="G6" s="103"/>
      <c r="H6" s="103"/>
      <c r="I6" s="98">
        <f ca="1">(C6-$E$5)/$N$5</f>
        <v>3232.4724398625431</v>
      </c>
      <c r="J6" s="98">
        <f ca="1">$H$5-I6</f>
        <v>-1379.278154148257</v>
      </c>
      <c r="K6" s="96">
        <f ca="1">IF(J6&lt;0,I6/$H$5-1,"当前日均可达标")</f>
        <v>0.74427067079835885</v>
      </c>
      <c r="L6" s="34">
        <f>(C6-$E$5)/$H$5</f>
        <v>507.58276520232238</v>
      </c>
      <c r="M6" s="42">
        <f t="shared" ca="1" si="0"/>
        <v>45447.582765202322</v>
      </c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</row>
    <row r="7" spans="1:24" s="46" customFormat="1" x14ac:dyDescent="0.2">
      <c r="A7" s="85"/>
      <c r="B7" s="104"/>
      <c r="C7" s="94">
        <v>1500000</v>
      </c>
      <c r="D7" s="106">
        <v>7.0000000000000007E-2</v>
      </c>
      <c r="E7" s="154"/>
      <c r="F7" s="96">
        <f>$E$5/C7</f>
        <v>0.10623368</v>
      </c>
      <c r="G7" s="104"/>
      <c r="H7" s="104"/>
      <c r="I7" s="98">
        <f ca="1">(C7-$E$5)/$N$5</f>
        <v>4607.0428865979384</v>
      </c>
      <c r="J7" s="98">
        <f ca="1">$H$5-I7</f>
        <v>-2753.8486008836526</v>
      </c>
      <c r="K7" s="96">
        <f ca="1">IF(J7&lt;0,I7/$H$5-1,"当前日均可达标")</f>
        <v>1.4860010211083847</v>
      </c>
      <c r="L7" s="34">
        <f>(C7-$E$5)/$H$5</f>
        <v>723.42629714253985</v>
      </c>
      <c r="M7" s="42">
        <f t="shared" ca="1" si="0"/>
        <v>45663.426297142541</v>
      </c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</row>
    <row r="8" spans="1:24" s="46" customFormat="1" x14ac:dyDescent="0.2">
      <c r="A8" s="81" t="s">
        <v>113</v>
      </c>
      <c r="B8" s="56" t="s">
        <v>132</v>
      </c>
      <c r="C8" s="105">
        <v>700000</v>
      </c>
      <c r="D8" s="106">
        <v>0.17</v>
      </c>
      <c r="E8" s="156">
        <f>'大搜+信息流年框客户消费明细'!$F$7</f>
        <v>0</v>
      </c>
      <c r="F8" s="96">
        <f>$E$8/C8</f>
        <v>0</v>
      </c>
      <c r="G8" s="124" t="str">
        <f>IF($E$8&gt;=C10,D10,IF($E$8&gt;=C9,D9,IF($E$8&gt;=C8,D8,"未达标")))</f>
        <v>未达标</v>
      </c>
      <c r="H8" s="80">
        <f>'大搜+信息流年框客户消费明细'!$F$7</f>
        <v>0</v>
      </c>
      <c r="I8" s="98">
        <f ca="1">(C8-$E$8)/$N$5</f>
        <v>2405.4982817869418</v>
      </c>
      <c r="J8" s="98">
        <f ca="1">$H$8-I8</f>
        <v>-2405.4982817869418</v>
      </c>
      <c r="K8" s="96" t="e">
        <f ca="1">IF(J8&lt;0,I8/$H$8-1,"当前日均可达标")</f>
        <v>#DIV/0!</v>
      </c>
      <c r="L8" s="34" t="e">
        <f>(C8-$E$8)/$H$8</f>
        <v>#DIV/0!</v>
      </c>
      <c r="M8" s="42" t="e">
        <f t="shared" ca="1" si="0"/>
        <v>#DIV/0!</v>
      </c>
      <c r="N8" s="72">
        <f ca="1">DATE(2023,10,9)-TODAY()+1</f>
        <v>269</v>
      </c>
      <c r="O8" s="88">
        <v>45208</v>
      </c>
      <c r="P8" s="56" t="s">
        <v>114</v>
      </c>
      <c r="Q8" s="89" t="s">
        <v>40</v>
      </c>
      <c r="R8" s="60" t="s">
        <v>115</v>
      </c>
      <c r="S8" s="90" t="s">
        <v>86</v>
      </c>
      <c r="T8" s="91" t="s">
        <v>116</v>
      </c>
      <c r="U8" s="90" t="s">
        <v>117</v>
      </c>
      <c r="V8" s="90" t="s">
        <v>98</v>
      </c>
      <c r="W8" s="90" t="s">
        <v>118</v>
      </c>
      <c r="X8" s="90" t="s">
        <v>100</v>
      </c>
    </row>
    <row r="9" spans="1:24" s="46" customFormat="1" x14ac:dyDescent="0.2">
      <c r="A9" s="92"/>
      <c r="B9" s="56"/>
      <c r="C9" s="105">
        <v>800000</v>
      </c>
      <c r="D9" s="106">
        <v>0.18</v>
      </c>
      <c r="E9" s="157"/>
      <c r="F9" s="96">
        <f t="shared" ref="F9:F10" si="1">$E$8/C9</f>
        <v>0</v>
      </c>
      <c r="G9" s="126"/>
      <c r="H9" s="159"/>
      <c r="I9" s="98">
        <f t="shared" ref="I9:I10" ca="1" si="2">(C9-$E$8)/$N$5</f>
        <v>2749.1408934707902</v>
      </c>
      <c r="J9" s="98">
        <f t="shared" ref="J9:J10" ca="1" si="3">$H$8-I9</f>
        <v>-2749.1408934707902</v>
      </c>
      <c r="K9" s="96" t="e">
        <f t="shared" ref="K9:K10" ca="1" si="4">IF(J9&lt;0,I9/$H$8-1,"当前日均可达标")</f>
        <v>#DIV/0!</v>
      </c>
      <c r="L9" s="34" t="e">
        <f t="shared" ref="L9:L10" si="5">(C9-$E$8)/$H$8</f>
        <v>#DIV/0!</v>
      </c>
      <c r="M9" s="42" t="e">
        <f t="shared" ca="1" si="0"/>
        <v>#DIV/0!</v>
      </c>
      <c r="N9" s="103"/>
      <c r="O9" s="88"/>
      <c r="P9" s="56"/>
      <c r="Q9" s="89"/>
      <c r="R9" s="60"/>
      <c r="S9" s="90"/>
      <c r="T9" s="91"/>
      <c r="U9" s="90"/>
      <c r="V9" s="90"/>
      <c r="W9" s="90"/>
      <c r="X9" s="90"/>
    </row>
    <row r="10" spans="1:24" s="46" customFormat="1" x14ac:dyDescent="0.2">
      <c r="A10" s="85"/>
      <c r="B10" s="56"/>
      <c r="C10" s="94">
        <v>1000000</v>
      </c>
      <c r="D10" s="41">
        <v>0.2</v>
      </c>
      <c r="E10" s="158"/>
      <c r="F10" s="96">
        <f t="shared" si="1"/>
        <v>0</v>
      </c>
      <c r="G10" s="125"/>
      <c r="H10" s="84"/>
      <c r="I10" s="98">
        <f ca="1">(C10-$E$8)/$N$5</f>
        <v>3436.4261168384878</v>
      </c>
      <c r="J10" s="98">
        <f ca="1">$H$8-I10</f>
        <v>-3436.4261168384878</v>
      </c>
      <c r="K10" s="96" t="e">
        <f t="shared" ca="1" si="4"/>
        <v>#DIV/0!</v>
      </c>
      <c r="L10" s="34" t="e">
        <f t="shared" si="5"/>
        <v>#DIV/0!</v>
      </c>
      <c r="M10" s="42" t="e">
        <f ca="1">TODAY()+L10</f>
        <v>#DIV/0!</v>
      </c>
      <c r="N10" s="104"/>
      <c r="O10" s="88"/>
      <c r="P10" s="56"/>
      <c r="Q10" s="89"/>
      <c r="R10" s="60"/>
      <c r="S10" s="90"/>
      <c r="T10" s="91"/>
      <c r="U10" s="90"/>
      <c r="V10" s="90"/>
      <c r="W10" s="90"/>
      <c r="X10" s="90"/>
    </row>
  </sheetData>
  <mergeCells count="52">
    <mergeCell ref="W8:W10"/>
    <mergeCell ref="X8:X10"/>
    <mergeCell ref="A3:A7"/>
    <mergeCell ref="G8:G10"/>
    <mergeCell ref="E8:E10"/>
    <mergeCell ref="H8:H10"/>
    <mergeCell ref="N8:N10"/>
    <mergeCell ref="R8:R10"/>
    <mergeCell ref="S8:S10"/>
    <mergeCell ref="T8:T10"/>
    <mergeCell ref="U8:U10"/>
    <mergeCell ref="V8:V10"/>
    <mergeCell ref="A8:A10"/>
    <mergeCell ref="B8:B10"/>
    <mergeCell ref="O8:O10"/>
    <mergeCell ref="P8:P10"/>
    <mergeCell ref="Q8:Q10"/>
    <mergeCell ref="E1:G1"/>
    <mergeCell ref="P1:X1"/>
    <mergeCell ref="A1:D1"/>
    <mergeCell ref="H1:M1"/>
    <mergeCell ref="N1:O1"/>
    <mergeCell ref="U3:U4"/>
    <mergeCell ref="V3:V4"/>
    <mergeCell ref="W3:W4"/>
    <mergeCell ref="X3:X4"/>
    <mergeCell ref="O3:O4"/>
    <mergeCell ref="P3:P4"/>
    <mergeCell ref="Q3:Q4"/>
    <mergeCell ref="R3:R4"/>
    <mergeCell ref="S3:S4"/>
    <mergeCell ref="B5:B7"/>
    <mergeCell ref="E5:E7"/>
    <mergeCell ref="T5:T7"/>
    <mergeCell ref="Q5:Q7"/>
    <mergeCell ref="P5:P7"/>
    <mergeCell ref="O5:O7"/>
    <mergeCell ref="N5:N7"/>
    <mergeCell ref="H5:H7"/>
    <mergeCell ref="G5:G7"/>
    <mergeCell ref="T3:T4"/>
    <mergeCell ref="G3:G4"/>
    <mergeCell ref="H3:H4"/>
    <mergeCell ref="N3:N4"/>
    <mergeCell ref="B3:B4"/>
    <mergeCell ref="E3:E4"/>
    <mergeCell ref="U5:U7"/>
    <mergeCell ref="V5:V7"/>
    <mergeCell ref="W5:W7"/>
    <mergeCell ref="X5:X7"/>
    <mergeCell ref="R5:R7"/>
    <mergeCell ref="S5:S7"/>
  </mergeCells>
  <phoneticPr fontId="3" type="noConversion"/>
  <conditionalFormatting sqref="E2:G2">
    <cfRule type="dataBar" priority="143">
      <dataBar>
        <cfvo type="min"/>
        <cfvo type="max"/>
        <color rgb="FFFF555A"/>
      </dataBar>
    </cfRule>
  </conditionalFormatting>
  <conditionalFormatting sqref="E1">
    <cfRule type="dataBar" priority="142">
      <dataBar>
        <cfvo type="min"/>
        <cfvo type="max"/>
        <color rgb="FFFF555A"/>
      </dataBar>
    </cfRule>
  </conditionalFormatting>
  <conditionalFormatting sqref="F1:F2 F5:F1048576">
    <cfRule type="dataBar" priority="114">
      <dataBar>
        <cfvo type="min"/>
        <cfvo type="max"/>
        <color rgb="FFFF555A"/>
      </dataBar>
    </cfRule>
  </conditionalFormatting>
  <conditionalFormatting sqref="M3:M10">
    <cfRule type="cellIs" dxfId="179" priority="45" operator="greaterThanOrEqual">
      <formula>0</formula>
    </cfRule>
    <cfRule type="cellIs" dxfId="178" priority="46" operator="greaterThanOrEqual">
      <formula>0</formula>
    </cfRule>
    <cfRule type="cellIs" dxfId="177" priority="47" operator="lessThan">
      <formula>0</formula>
    </cfRule>
    <cfRule type="cellIs" dxfId="176" priority="48" operator="lessThan">
      <formula>0</formula>
    </cfRule>
    <cfRule type="cellIs" dxfId="175" priority="49" operator="greaterThanOrEqual">
      <formula>0</formula>
    </cfRule>
    <cfRule type="cellIs" dxfId="174" priority="50" operator="greaterThanOrEqual">
      <formula>0</formula>
    </cfRule>
  </conditionalFormatting>
  <conditionalFormatting sqref="K11:K1048576 K1:K4">
    <cfRule type="dataBar" priority="37">
      <dataBar>
        <cfvo type="min"/>
        <cfvo type="max"/>
        <color rgb="FF638EC6"/>
      </dataBar>
    </cfRule>
  </conditionalFormatting>
  <conditionalFormatting sqref="K5:K10">
    <cfRule type="dataBar" priority="36">
      <dataBar>
        <cfvo type="min"/>
        <cfvo type="max"/>
        <color rgb="FF638EC6"/>
      </dataBar>
    </cfRule>
  </conditionalFormatting>
  <conditionalFormatting sqref="F3:F4">
    <cfRule type="dataBar" priority="347">
      <dataBar>
        <cfvo type="min"/>
        <cfvo type="max"/>
        <color rgb="FFFF555A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97" zoomScaleNormal="97" workbookViewId="0">
      <selection activeCell="E3" sqref="E3"/>
    </sheetView>
  </sheetViews>
  <sheetFormatPr defaultRowHeight="16.5" x14ac:dyDescent="0.35"/>
  <cols>
    <col min="1" max="1" width="32.375" style="1" bestFit="1" customWidth="1"/>
    <col min="2" max="2" width="12.5" style="30" customWidth="1"/>
    <col min="3" max="3" width="21.125" style="30" customWidth="1"/>
    <col min="4" max="4" width="20" style="30" customWidth="1"/>
    <col min="5" max="5" width="23.875" style="1" customWidth="1"/>
    <col min="6" max="6" width="9" style="1" customWidth="1"/>
    <col min="7" max="16384" width="9" style="1"/>
  </cols>
  <sheetData>
    <row r="1" spans="1:7" x14ac:dyDescent="0.35">
      <c r="A1" s="74" t="s">
        <v>66</v>
      </c>
      <c r="B1" s="73" t="s">
        <v>67</v>
      </c>
      <c r="C1" s="114"/>
      <c r="D1" s="28"/>
    </row>
    <row r="2" spans="1:7" x14ac:dyDescent="0.35">
      <c r="A2" s="115"/>
      <c r="B2" s="45" t="s">
        <v>68</v>
      </c>
      <c r="C2" s="45" t="s">
        <v>69</v>
      </c>
      <c r="D2" s="29"/>
    </row>
    <row r="3" spans="1:7" ht="18" customHeight="1" x14ac:dyDescent="0.35">
      <c r="A3" s="38" t="s">
        <v>45</v>
      </c>
      <c r="B3" s="52"/>
      <c r="C3" s="52"/>
      <c r="D3" s="53"/>
      <c r="E3" s="1" t="s">
        <v>134</v>
      </c>
    </row>
    <row r="4" spans="1:7" ht="18" customHeight="1" x14ac:dyDescent="0.35">
      <c r="A4" s="38" t="s">
        <v>120</v>
      </c>
      <c r="B4" s="52"/>
      <c r="C4" s="52"/>
      <c r="D4" s="113" t="s">
        <v>127</v>
      </c>
      <c r="E4" s="78" t="s">
        <v>125</v>
      </c>
    </row>
    <row r="5" spans="1:7" ht="18" customHeight="1" x14ac:dyDescent="0.35">
      <c r="A5" s="9" t="s">
        <v>121</v>
      </c>
      <c r="B5" s="52"/>
      <c r="C5" s="52"/>
      <c r="D5" s="113"/>
      <c r="E5" s="78"/>
      <c r="G5" s="54"/>
    </row>
    <row r="6" spans="1:7" ht="18" customHeight="1" x14ac:dyDescent="0.35">
      <c r="A6" s="9" t="s">
        <v>122</v>
      </c>
      <c r="B6" s="52"/>
      <c r="C6" s="52"/>
      <c r="D6" s="113"/>
      <c r="E6" s="78"/>
      <c r="G6" s="54"/>
    </row>
    <row r="7" spans="1:7" ht="18" customHeight="1" x14ac:dyDescent="0.35">
      <c r="A7" s="9" t="s">
        <v>123</v>
      </c>
      <c r="B7" s="52"/>
      <c r="C7" s="52"/>
      <c r="D7" s="113"/>
      <c r="E7" s="78"/>
      <c r="G7" s="54"/>
    </row>
    <row r="8" spans="1:7" ht="18" customHeight="1" x14ac:dyDescent="0.35">
      <c r="A8" s="9" t="s">
        <v>124</v>
      </c>
      <c r="B8" s="52"/>
      <c r="C8" s="52"/>
      <c r="D8" s="113"/>
      <c r="E8" s="78"/>
      <c r="G8" s="54"/>
    </row>
    <row r="9" spans="1:7" ht="18" customHeight="1" x14ac:dyDescent="0.35">
      <c r="A9" s="9" t="s">
        <v>70</v>
      </c>
      <c r="B9" s="52"/>
      <c r="C9" s="52"/>
      <c r="D9" s="92" t="s">
        <v>127</v>
      </c>
      <c r="E9" s="117" t="s">
        <v>129</v>
      </c>
      <c r="G9" s="54"/>
    </row>
    <row r="10" spans="1:7" ht="18" customHeight="1" x14ac:dyDescent="0.35">
      <c r="A10" s="9" t="s">
        <v>72</v>
      </c>
      <c r="B10" s="52"/>
      <c r="C10" s="52"/>
      <c r="D10" s="92"/>
      <c r="E10" s="117"/>
      <c r="G10" s="54"/>
    </row>
    <row r="11" spans="1:7" ht="18" customHeight="1" x14ac:dyDescent="0.35">
      <c r="A11" s="9" t="s">
        <v>43</v>
      </c>
      <c r="B11" s="52"/>
      <c r="C11" s="52"/>
      <c r="D11" s="116"/>
      <c r="E11" s="43" t="s">
        <v>130</v>
      </c>
      <c r="G11" s="54"/>
    </row>
    <row r="12" spans="1:7" x14ac:dyDescent="0.35">
      <c r="E12" s="31"/>
    </row>
    <row r="13" spans="1:7" x14ac:dyDescent="0.35">
      <c r="E13" s="31"/>
    </row>
  </sheetData>
  <mergeCells count="6">
    <mergeCell ref="B1:C1"/>
    <mergeCell ref="A1:A2"/>
    <mergeCell ref="D4:D8"/>
    <mergeCell ref="E4:E8"/>
    <mergeCell ref="D9:D10"/>
    <mergeCell ref="E9:E1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3" sqref="B3"/>
    </sheetView>
  </sheetViews>
  <sheetFormatPr defaultColWidth="14.875" defaultRowHeight="14.25" x14ac:dyDescent="0.2"/>
  <cols>
    <col min="1" max="1" width="29.375" style="3" bestFit="1" customWidth="1"/>
    <col min="2" max="2" width="14.875" style="21" customWidth="1"/>
    <col min="3" max="3" width="21" style="21" customWidth="1"/>
    <col min="4" max="4" width="26.125" style="21" customWidth="1"/>
    <col min="5" max="5" width="14.875" style="21" customWidth="1"/>
    <col min="6" max="16384" width="14.875" style="21"/>
  </cols>
  <sheetData>
    <row r="1" spans="1:6" ht="16.5" customHeight="1" x14ac:dyDescent="0.35">
      <c r="A1" s="75" t="s">
        <v>66</v>
      </c>
      <c r="B1" s="73" t="s">
        <v>73</v>
      </c>
      <c r="C1" s="63"/>
    </row>
    <row r="2" spans="1:6" ht="16.5" customHeight="1" x14ac:dyDescent="0.2">
      <c r="A2" s="57"/>
      <c r="B2" s="44" t="s">
        <v>74</v>
      </c>
      <c r="C2" s="44" t="s">
        <v>69</v>
      </c>
    </row>
    <row r="3" spans="1:6" ht="16.5" customHeight="1" x14ac:dyDescent="0.35">
      <c r="A3" s="9" t="s">
        <v>45</v>
      </c>
      <c r="B3" s="52"/>
      <c r="C3" s="52"/>
      <c r="D3" s="1" t="s">
        <v>131</v>
      </c>
      <c r="F3" s="55"/>
    </row>
    <row r="4" spans="1:6" ht="16.5" customHeight="1" x14ac:dyDescent="0.2">
      <c r="A4" s="21"/>
      <c r="B4" s="55"/>
    </row>
    <row r="5" spans="1:6" ht="16.5" customHeight="1" x14ac:dyDescent="0.2">
      <c r="A5" s="21"/>
      <c r="B5" s="55"/>
    </row>
    <row r="6" spans="1:6" ht="16.5" customHeight="1" x14ac:dyDescent="0.2">
      <c r="A6" s="21"/>
      <c r="B6" s="55"/>
    </row>
    <row r="7" spans="1:6" ht="16.5" customHeight="1" x14ac:dyDescent="0.2">
      <c r="A7" s="21"/>
      <c r="B7" s="55"/>
    </row>
    <row r="8" spans="1:6" ht="16.5" customHeight="1" x14ac:dyDescent="0.2">
      <c r="A8" s="21"/>
      <c r="B8" s="55"/>
    </row>
  </sheetData>
  <mergeCells count="2">
    <mergeCell ref="B1:C1"/>
    <mergeCell ref="A1:A2"/>
  </mergeCells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Normal="100" workbookViewId="0">
      <selection activeCell="F10" sqref="F10"/>
    </sheetView>
  </sheetViews>
  <sheetFormatPr defaultRowHeight="16.5" x14ac:dyDescent="0.35"/>
  <cols>
    <col min="1" max="1" width="24.75" style="1" customWidth="1"/>
    <col min="2" max="3" width="14.25" style="22" bestFit="1" customWidth="1"/>
    <col min="4" max="4" width="12.375" style="22" customWidth="1"/>
    <col min="5" max="5" width="12" style="22" customWidth="1"/>
    <col min="6" max="6" width="12.75" style="22" customWidth="1"/>
    <col min="7" max="7" width="28.375" style="1" customWidth="1"/>
    <col min="8" max="8" width="9" style="1" customWidth="1"/>
    <col min="9" max="16384" width="9" style="1"/>
  </cols>
  <sheetData>
    <row r="1" spans="1:8" x14ac:dyDescent="0.35">
      <c r="A1" s="75" t="s">
        <v>66</v>
      </c>
      <c r="B1" s="76" t="s">
        <v>67</v>
      </c>
      <c r="C1" s="62"/>
      <c r="D1" s="62"/>
      <c r="E1" s="62"/>
      <c r="F1" s="63"/>
    </row>
    <row r="2" spans="1:8" x14ac:dyDescent="0.35">
      <c r="A2" s="58"/>
      <c r="B2" s="77" t="s">
        <v>75</v>
      </c>
      <c r="C2" s="63"/>
      <c r="D2" s="77" t="s">
        <v>69</v>
      </c>
      <c r="E2" s="62"/>
      <c r="F2" s="63"/>
    </row>
    <row r="3" spans="1:8" x14ac:dyDescent="0.35">
      <c r="A3" s="57"/>
      <c r="B3" s="44" t="s">
        <v>4</v>
      </c>
      <c r="C3" s="44" t="s">
        <v>9</v>
      </c>
      <c r="D3" s="44" t="s">
        <v>4</v>
      </c>
      <c r="E3" s="44" t="s">
        <v>9</v>
      </c>
      <c r="F3" s="44" t="s">
        <v>11</v>
      </c>
    </row>
    <row r="4" spans="1:8" x14ac:dyDescent="0.35">
      <c r="A4" s="9" t="s">
        <v>76</v>
      </c>
      <c r="B4" s="52">
        <v>849.33142857142855</v>
      </c>
      <c r="C4" s="32">
        <v>0</v>
      </c>
      <c r="D4" s="52">
        <v>231797.90000000011</v>
      </c>
      <c r="E4" s="32">
        <v>0</v>
      </c>
      <c r="F4" s="52">
        <v>231797.90000000011</v>
      </c>
      <c r="G4" s="78" t="s">
        <v>71</v>
      </c>
      <c r="H4" s="1" t="s">
        <v>77</v>
      </c>
    </row>
    <row r="5" spans="1:8" x14ac:dyDescent="0.35">
      <c r="A5" s="9" t="s">
        <v>78</v>
      </c>
      <c r="B5" s="52">
        <v>493.65</v>
      </c>
      <c r="C5" s="32">
        <v>0</v>
      </c>
      <c r="D5" s="52">
        <v>290544.20000000013</v>
      </c>
      <c r="E5" s="32">
        <v>0</v>
      </c>
      <c r="F5" s="52">
        <v>290544.20000000013</v>
      </c>
      <c r="G5" s="79"/>
      <c r="H5" s="1" t="s">
        <v>77</v>
      </c>
    </row>
    <row r="6" spans="1:8" x14ac:dyDescent="0.35">
      <c r="A6" s="9" t="s">
        <v>63</v>
      </c>
      <c r="B6" s="33">
        <v>1853.194285714286</v>
      </c>
      <c r="C6" s="32">
        <v>0</v>
      </c>
      <c r="D6" s="52">
        <v>159350.51999999999</v>
      </c>
      <c r="E6" s="32">
        <v>0</v>
      </c>
      <c r="F6" s="52">
        <v>159350.51999999999</v>
      </c>
      <c r="H6" s="1" t="s">
        <v>79</v>
      </c>
    </row>
    <row r="7" spans="1:8" x14ac:dyDescent="0.35">
      <c r="A7" s="9" t="s">
        <v>55</v>
      </c>
      <c r="B7" s="33"/>
      <c r="C7" s="32"/>
      <c r="D7" s="52"/>
      <c r="E7" s="32"/>
      <c r="F7" s="52"/>
      <c r="H7" s="1" t="s">
        <v>133</v>
      </c>
    </row>
  </sheetData>
  <mergeCells count="5">
    <mergeCell ref="B1:F1"/>
    <mergeCell ref="A1:A3"/>
    <mergeCell ref="B2:C2"/>
    <mergeCell ref="D2:F2"/>
    <mergeCell ref="G4:G5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汇总表</vt:lpstr>
      <vt:lpstr>大搜年框客户消费监控</vt:lpstr>
      <vt:lpstr>信息流年框客户消费监控</vt:lpstr>
      <vt:lpstr>大搜+信息流年框客户消费监控</vt:lpstr>
      <vt:lpstr>大搜年框客户消费明细</vt:lpstr>
      <vt:lpstr>信息流年框客户消费明细</vt:lpstr>
      <vt:lpstr>大搜+信息流年框客户消费明细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2023-01-14T03:58:28Z</dcterms:modified>
</cp:coreProperties>
</file>