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010" tabRatio="600" firstSheet="0" activeTab="0" autoFilterDateGrouping="1"/>
  </bookViews>
  <sheets>
    <sheet xmlns:r="http://schemas.openxmlformats.org/officeDocument/2006/relationships" name="数据汇总" sheetId="1" state="visible" r:id="rId1"/>
    <sheet xmlns:r="http://schemas.openxmlformats.org/officeDocument/2006/relationships" name="提单消费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0_);[Red]\(0\)"/>
    <numFmt numFmtId="165" formatCode="yyyy/m/d;@"/>
    <numFmt numFmtId="166" formatCode="0.00_);[Red]\(0.00\)"/>
    <numFmt numFmtId="167" formatCode="#,##0.00_ ;[Red]\-#,##0.00\ "/>
    <numFmt numFmtId="168" formatCode="0.0_ "/>
    <numFmt numFmtId="169" formatCode="0.00000000000_ "/>
    <numFmt numFmtId="170" formatCode="0.00_ "/>
    <numFmt numFmtId="171" formatCode="0.000_ "/>
  </numFmts>
  <fonts count="44">
    <font>
      <name val="Arial"/>
      <charset val="134"/>
      <sz val="10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FF0000"/>
      <sz val="10"/>
    </font>
    <font>
      <name val="微软雅黑"/>
      <charset val="134"/>
      <color theme="1"/>
      <sz val="10"/>
    </font>
    <font>
      <name val="微软雅黑"/>
      <charset val="134"/>
      <color rgb="FFFF0000"/>
      <sz val="10"/>
    </font>
    <font>
      <name val="微软雅黑"/>
      <charset val="134"/>
      <color rgb="FF333333"/>
      <sz val="10"/>
    </font>
    <font>
      <name val="微软雅黑"/>
      <charset val="134"/>
      <b val="1"/>
      <color theme="1"/>
      <sz val="10"/>
    </font>
    <font>
      <name val="微软雅黑"/>
      <charset val="134"/>
      <color rgb="FF000000"/>
      <sz val="10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9C0006"/>
      <sz val="11"/>
      <scheme val="minor"/>
    </font>
    <font>
      <name val="宋体"/>
      <charset val="134"/>
      <color indexed="8"/>
      <sz val="11"/>
    </font>
    <font>
      <name val="宋体"/>
      <charset val="134"/>
      <color rgb="FF0061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3F3F76"/>
      <sz val="11"/>
      <scheme val="minor"/>
    </font>
    <font>
      <name val="微软雅黑"/>
      <sz val="10"/>
    </font>
  </fonts>
  <fills count="4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00">
    <xf numFmtId="0" fontId="0" fillId="0" borderId="0"/>
    <xf numFmtId="42" fontId="13" fillId="0" borderId="0" applyAlignment="1">
      <alignment vertical="center"/>
    </xf>
    <xf numFmtId="0" fontId="12" fillId="20" borderId="0" applyAlignment="1">
      <alignment vertical="center"/>
    </xf>
    <xf numFmtId="0" fontId="11" fillId="16" borderId="34" applyAlignment="1">
      <alignment vertical="center"/>
    </xf>
    <xf numFmtId="44" fontId="13" fillId="0" borderId="0" applyAlignment="1">
      <alignment vertical="center"/>
    </xf>
    <xf numFmtId="0" fontId="16" fillId="5" borderId="0" applyAlignment="1">
      <alignment vertical="center"/>
    </xf>
    <xf numFmtId="0" fontId="13" fillId="22" borderId="0" applyAlignment="1">
      <alignment vertical="center"/>
    </xf>
    <xf numFmtId="41" fontId="13" fillId="0" borderId="0" applyAlignment="1">
      <alignment vertical="center"/>
    </xf>
    <xf numFmtId="0" fontId="13" fillId="34" borderId="0" applyAlignment="1">
      <alignment vertical="center"/>
    </xf>
    <xf numFmtId="0" fontId="12" fillId="17" borderId="0" applyAlignment="1">
      <alignment vertical="center"/>
    </xf>
    <xf numFmtId="0" fontId="19" fillId="30" borderId="34" applyAlignment="1">
      <alignment vertical="center"/>
    </xf>
    <xf numFmtId="0" fontId="15" fillId="23" borderId="0" applyAlignment="1">
      <alignment vertical="center"/>
    </xf>
    <xf numFmtId="43" fontId="13" fillId="0" borderId="0" applyAlignment="1">
      <alignment vertical="center"/>
    </xf>
    <xf numFmtId="0" fontId="9" fillId="36" borderId="0" applyAlignment="1">
      <alignment vertical="center"/>
    </xf>
    <xf numFmtId="0" fontId="22" fillId="0" borderId="0" applyAlignment="1">
      <alignment vertical="center"/>
    </xf>
    <xf numFmtId="9" fontId="0" fillId="0" borderId="0"/>
    <xf numFmtId="0" fontId="29" fillId="0" borderId="0" applyAlignment="1">
      <alignment vertical="center"/>
    </xf>
    <xf numFmtId="0" fontId="13" fillId="18" borderId="35" applyAlignment="1">
      <alignment vertical="center"/>
    </xf>
    <xf numFmtId="0" fontId="9" fillId="9" borderId="0" applyAlignment="1">
      <alignment vertical="center"/>
    </xf>
    <xf numFmtId="0" fontId="21" fillId="0" borderId="0" applyAlignment="1">
      <alignment vertical="center"/>
    </xf>
    <xf numFmtId="0" fontId="24" fillId="0" borderId="0" applyAlignment="1">
      <alignment vertical="center"/>
    </xf>
    <xf numFmtId="0" fontId="17" fillId="0" borderId="0" applyAlignment="1">
      <alignment vertical="center"/>
    </xf>
    <xf numFmtId="0" fontId="28" fillId="0" borderId="0" applyAlignment="1">
      <alignment vertical="center"/>
    </xf>
    <xf numFmtId="0" fontId="10" fillId="0" borderId="33" applyAlignment="1">
      <alignment vertical="center"/>
    </xf>
    <xf numFmtId="0" fontId="13" fillId="17" borderId="0" applyAlignment="1">
      <alignment vertical="center"/>
    </xf>
    <xf numFmtId="0" fontId="26" fillId="0" borderId="33" applyAlignment="1">
      <alignment vertical="center"/>
    </xf>
    <xf numFmtId="0" fontId="9" fillId="28" borderId="0" applyAlignment="1">
      <alignment vertical="center"/>
    </xf>
    <xf numFmtId="0" fontId="21" fillId="0" borderId="37" applyAlignment="1">
      <alignment vertical="center"/>
    </xf>
    <xf numFmtId="0" fontId="9" fillId="35" borderId="0" applyAlignment="1">
      <alignment vertical="center"/>
    </xf>
    <xf numFmtId="0" fontId="30" fillId="30" borderId="40" applyAlignment="1">
      <alignment vertical="center"/>
    </xf>
    <xf numFmtId="0" fontId="13" fillId="6" borderId="0" applyAlignment="1">
      <alignment vertical="center"/>
    </xf>
    <xf numFmtId="0" fontId="27" fillId="30" borderId="34" applyAlignment="1">
      <alignment vertical="center"/>
    </xf>
    <xf numFmtId="0" fontId="23" fillId="31" borderId="38" applyAlignment="1">
      <alignment vertical="center"/>
    </xf>
    <xf numFmtId="0" fontId="13" fillId="24" borderId="0" applyAlignment="1">
      <alignment vertical="center"/>
    </xf>
    <xf numFmtId="0" fontId="20" fillId="0" borderId="36" applyAlignment="1">
      <alignment vertical="center"/>
    </xf>
    <xf numFmtId="0" fontId="13" fillId="32" borderId="0" applyAlignment="1">
      <alignment vertical="center"/>
    </xf>
    <xf numFmtId="0" fontId="12" fillId="22" borderId="0" applyAlignment="1">
      <alignment vertical="center"/>
    </xf>
    <xf numFmtId="0" fontId="9" fillId="5" borderId="0" applyAlignment="1">
      <alignment vertical="center"/>
    </xf>
    <xf numFmtId="0" fontId="25" fillId="0" borderId="39" applyAlignment="1">
      <alignment vertical="center"/>
    </xf>
    <xf numFmtId="0" fontId="14" fillId="21" borderId="0" applyAlignment="1">
      <alignment vertical="center"/>
    </xf>
    <xf numFmtId="0" fontId="18" fillId="29" borderId="0" applyAlignment="1">
      <alignment vertical="center"/>
    </xf>
    <xf numFmtId="0" fontId="12" fillId="41" borderId="0" applyAlignment="1">
      <alignment vertical="center"/>
    </xf>
    <xf numFmtId="0" fontId="9" fillId="38" borderId="0" applyAlignment="1">
      <alignment vertical="center"/>
    </xf>
    <xf numFmtId="0" fontId="13" fillId="33" borderId="0" applyAlignment="1">
      <alignment vertical="center"/>
    </xf>
    <xf numFmtId="0" fontId="12" fillId="24" borderId="0" applyAlignment="1">
      <alignment vertical="center"/>
    </xf>
    <xf numFmtId="0" fontId="12" fillId="13" borderId="0" applyAlignment="1">
      <alignment vertical="center"/>
    </xf>
    <xf numFmtId="0" fontId="12" fillId="33" borderId="0" applyAlignment="1">
      <alignment vertical="center"/>
    </xf>
    <xf numFmtId="0" fontId="31" fillId="30" borderId="40" applyAlignment="1">
      <alignment vertical="center"/>
    </xf>
    <xf numFmtId="0" fontId="12" fillId="6" borderId="0" applyAlignment="1">
      <alignment vertical="center"/>
    </xf>
    <xf numFmtId="0" fontId="9" fillId="19" borderId="0" applyAlignment="1">
      <alignment vertical="center"/>
    </xf>
    <xf numFmtId="0" fontId="9" fillId="40" borderId="0" applyAlignment="1">
      <alignment vertical="center"/>
    </xf>
    <xf numFmtId="0" fontId="12" fillId="26" borderId="0" applyAlignment="1">
      <alignment vertical="center"/>
    </xf>
    <xf numFmtId="0" fontId="12" fillId="34" borderId="0" applyAlignment="1">
      <alignment vertical="center"/>
    </xf>
    <xf numFmtId="0" fontId="9" fillId="15" borderId="0" applyAlignment="1">
      <alignment vertical="center"/>
    </xf>
    <xf numFmtId="0" fontId="12" fillId="32" borderId="0" applyAlignment="1">
      <alignment vertical="center"/>
    </xf>
    <xf numFmtId="0" fontId="9" fillId="39" borderId="0" applyAlignment="1">
      <alignment vertical="center"/>
    </xf>
    <xf numFmtId="0" fontId="16" fillId="37" borderId="0" applyAlignment="1">
      <alignment vertical="center"/>
    </xf>
    <xf numFmtId="0" fontId="9" fillId="25" borderId="0" applyAlignment="1">
      <alignment vertical="center"/>
    </xf>
    <xf numFmtId="0" fontId="12" fillId="27" borderId="0" applyAlignment="1">
      <alignment vertical="center"/>
    </xf>
    <xf numFmtId="0" fontId="16" fillId="15" borderId="0" applyAlignment="1">
      <alignment vertical="center"/>
    </xf>
    <xf numFmtId="0" fontId="32" fillId="29" borderId="0" applyAlignment="1">
      <alignment vertical="center"/>
    </xf>
    <xf numFmtId="0" fontId="13" fillId="20" borderId="0" applyAlignment="1">
      <alignment vertical="center"/>
    </xf>
    <xf numFmtId="0" fontId="9" fillId="37" borderId="0" applyAlignment="1">
      <alignment vertical="center"/>
    </xf>
    <xf numFmtId="0" fontId="13" fillId="26" borderId="0" applyAlignment="1">
      <alignment vertical="center"/>
    </xf>
    <xf numFmtId="0" fontId="16" fillId="38" borderId="0" applyAlignment="1">
      <alignment vertical="center"/>
    </xf>
    <xf numFmtId="0" fontId="13" fillId="41" borderId="0" applyAlignment="1">
      <alignment vertical="center"/>
    </xf>
    <xf numFmtId="0" fontId="13" fillId="13" borderId="0" applyAlignment="1">
      <alignment vertical="center"/>
    </xf>
    <xf numFmtId="0" fontId="13" fillId="27" borderId="0" applyAlignment="1">
      <alignment vertical="center"/>
    </xf>
    <xf numFmtId="0" fontId="16" fillId="28" borderId="0" applyAlignment="1">
      <alignment vertical="center"/>
    </xf>
    <xf numFmtId="0" fontId="16" fillId="9" borderId="0" applyAlignment="1">
      <alignment vertical="center"/>
    </xf>
    <xf numFmtId="0" fontId="16" fillId="36" borderId="0" applyAlignment="1">
      <alignment vertical="center"/>
    </xf>
    <xf numFmtId="0" fontId="16" fillId="35" borderId="0" applyAlignment="1">
      <alignment vertical="center"/>
    </xf>
    <xf numFmtId="0" fontId="16" fillId="39" borderId="0" applyAlignment="1">
      <alignment vertical="center"/>
    </xf>
    <xf numFmtId="9" fontId="0" fillId="0" borderId="0"/>
    <xf numFmtId="0" fontId="10" fillId="0" borderId="41" applyAlignment="1">
      <alignment vertical="center"/>
    </xf>
    <xf numFmtId="0" fontId="26" fillId="0" borderId="42" applyAlignment="1">
      <alignment vertical="center"/>
    </xf>
    <xf numFmtId="0" fontId="21" fillId="0" borderId="43" applyAlignment="1">
      <alignment vertical="center"/>
    </xf>
    <xf numFmtId="0" fontId="21" fillId="0" borderId="0" applyAlignment="1">
      <alignment vertical="center"/>
    </xf>
    <xf numFmtId="0" fontId="33" fillId="0" borderId="0" applyAlignment="1">
      <alignment vertical="center"/>
    </xf>
    <xf numFmtId="0" fontId="34" fillId="23" borderId="0" applyAlignment="1">
      <alignment vertical="center"/>
    </xf>
    <xf numFmtId="0" fontId="35" fillId="0" borderId="0" applyAlignment="1">
      <alignment vertical="center"/>
    </xf>
    <xf numFmtId="0" fontId="13" fillId="0" borderId="0"/>
    <xf numFmtId="0" fontId="13" fillId="0" borderId="0"/>
    <xf numFmtId="0" fontId="35" fillId="0" borderId="0" applyAlignment="1">
      <alignment vertical="center"/>
    </xf>
    <xf numFmtId="0" fontId="0" fillId="0" borderId="0"/>
    <xf numFmtId="0" fontId="0" fillId="0" borderId="0"/>
    <xf numFmtId="0" fontId="13" fillId="0" borderId="0" applyAlignment="1">
      <alignment vertical="center"/>
    </xf>
    <xf numFmtId="0" fontId="36" fillId="21" borderId="0" applyAlignment="1">
      <alignment vertical="center"/>
    </xf>
    <xf numFmtId="0" fontId="37" fillId="0" borderId="39" applyAlignment="1">
      <alignment vertical="center"/>
    </xf>
    <xf numFmtId="0" fontId="38" fillId="31" borderId="38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36" applyAlignment="1">
      <alignment vertical="center"/>
    </xf>
    <xf numFmtId="43" fontId="13" fillId="0" borderId="0" applyAlignment="1">
      <alignment vertical="center"/>
    </xf>
    <xf numFmtId="43" fontId="13" fillId="0" borderId="0" applyAlignment="1">
      <alignment vertical="center"/>
    </xf>
    <xf numFmtId="0" fontId="42" fillId="16" borderId="34" applyAlignment="1">
      <alignment vertical="center"/>
    </xf>
    <xf numFmtId="0" fontId="16" fillId="19" borderId="0" applyAlignment="1">
      <alignment vertical="center"/>
    </xf>
    <xf numFmtId="0" fontId="16" fillId="40" borderId="0" applyAlignment="1">
      <alignment vertical="center"/>
    </xf>
    <xf numFmtId="0" fontId="16" fillId="25" borderId="0" applyAlignment="1">
      <alignment vertical="center"/>
    </xf>
    <xf numFmtId="0" fontId="13" fillId="18" borderId="35" applyAlignment="1">
      <alignment vertical="center"/>
    </xf>
  </cellStyleXfs>
  <cellXfs count="16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4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4" fontId="1" fillId="4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4" fontId="2" fillId="3" borderId="1" applyAlignment="1" pivotButton="0" quotePrefix="0" xfId="0">
      <alignment horizontal="left"/>
    </xf>
    <xf numFmtId="14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2" fillId="6" borderId="1" applyAlignment="1" pivotButton="0" quotePrefix="0" xfId="0">
      <alignment horizontal="left"/>
    </xf>
    <xf numFmtId="0" fontId="2" fillId="7" borderId="1" applyAlignment="1" pivotButton="0" quotePrefix="0" xfId="0">
      <alignment horizontal="left"/>
    </xf>
    <xf numFmtId="0" fontId="6" fillId="0" borderId="1" pivotButton="0" quotePrefix="0" xfId="0"/>
    <xf numFmtId="0" fontId="6" fillId="8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/>
    </xf>
    <xf numFmtId="0" fontId="2" fillId="0" borderId="1" pivotButton="0" quotePrefix="0" xfId="0"/>
    <xf numFmtId="0" fontId="2" fillId="0" borderId="4" applyAlignment="1" pivotButton="0" quotePrefix="0" xfId="0">
      <alignment horizontal="left"/>
    </xf>
    <xf numFmtId="14" fontId="2" fillId="0" borderId="4" applyAlignment="1" pivotButton="0" quotePrefix="0" xfId="0">
      <alignment horizontal="left"/>
    </xf>
    <xf numFmtId="0" fontId="0" fillId="0" borderId="1" pivotButton="0" quotePrefix="0" xfId="0"/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left"/>
    </xf>
    <xf numFmtId="0" fontId="4" fillId="0" borderId="0" pivotButton="0" quotePrefix="0" xfId="0"/>
    <xf numFmtId="0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left"/>
    </xf>
    <xf numFmtId="14" fontId="1" fillId="2" borderId="1" applyAlignment="1" pivotButton="0" quotePrefix="0" xfId="0">
      <alignment horizontal="left"/>
    </xf>
    <xf numFmtId="0" fontId="5" fillId="9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pivotButton="0" quotePrefix="0" xfId="0"/>
    <xf numFmtId="10" fontId="3" fillId="0" borderId="0" applyAlignment="1" pivotButton="0" quotePrefix="0" xfId="15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1" fillId="6" borderId="14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13" borderId="1" applyAlignment="1" pivotButton="0" quotePrefix="0" xfId="0">
      <alignment horizontal="center" vertical="center"/>
    </xf>
    <xf numFmtId="0" fontId="0" fillId="0" borderId="15" pivotButton="0" quotePrefix="0" xfId="0"/>
    <xf numFmtId="0" fontId="1" fillId="6" borderId="16" applyAlignment="1" pivotButton="0" quotePrefix="0" xfId="0">
      <alignment horizontal="center" vertical="center" wrapText="1"/>
    </xf>
    <xf numFmtId="0" fontId="1" fillId="13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11" borderId="1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24" pivotButton="0" quotePrefix="0" xfId="0"/>
    <xf numFmtId="0" fontId="1" fillId="14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5" fillId="0" borderId="10" applyAlignment="1" pivotButton="0" quotePrefix="0" xfId="0">
      <alignment horizontal="center" vertical="center"/>
    </xf>
    <xf numFmtId="10" fontId="5" fillId="0" borderId="1" applyAlignment="1" pivotButton="0" quotePrefix="0" xfId="15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3" fontId="3" fillId="0" borderId="0" applyAlignment="1" pivotButton="0" quotePrefix="0" xfId="15">
      <alignment horizontal="center" vertical="center"/>
    </xf>
    <xf numFmtId="3" fontId="2" fillId="0" borderId="0" pivotButton="0" quotePrefix="0" xfId="0"/>
    <xf numFmtId="9" fontId="2" fillId="0" borderId="0" pivotButton="0" quotePrefix="0" xfId="15"/>
    <xf numFmtId="0" fontId="0" fillId="0" borderId="25" pivotButton="0" quotePrefix="0" xfId="0"/>
    <xf numFmtId="0" fontId="1" fillId="0" borderId="0" applyAlignment="1" pivotButton="0" quotePrefix="0" xfId="15">
      <alignment vertical="center"/>
    </xf>
    <xf numFmtId="10" fontId="1" fillId="0" borderId="0" applyAlignment="1" pivotButton="0" quotePrefix="0" xfId="0">
      <alignment vertical="center"/>
    </xf>
    <xf numFmtId="168" fontId="2" fillId="0" borderId="0" pivotButton="0" quotePrefix="0" xfId="0"/>
    <xf numFmtId="169" fontId="2" fillId="0" borderId="0" pivotButton="0" quotePrefix="0" xfId="0"/>
    <xf numFmtId="9" fontId="1" fillId="0" borderId="0" applyAlignment="1" pivotButton="0" quotePrefix="0" xfId="0">
      <alignment vertical="center"/>
    </xf>
    <xf numFmtId="0" fontId="1" fillId="13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167" fontId="2" fillId="0" borderId="28" applyAlignment="1" pivotButton="0" quotePrefix="0" xfId="0">
      <alignment horizontal="center" vertical="center"/>
    </xf>
    <xf numFmtId="1" fontId="4" fillId="0" borderId="0" applyAlignment="1" pivotButton="0" quotePrefix="0" xfId="0">
      <alignment vertical="center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0" fontId="1" fillId="11" borderId="30" applyAlignment="1" pivotButton="0" quotePrefix="0" xfId="0">
      <alignment horizontal="center" vertical="center" wrapText="1"/>
    </xf>
    <xf numFmtId="0" fontId="0" fillId="0" borderId="31" pivotButton="0" quotePrefix="0" xfId="0"/>
    <xf numFmtId="10" fontId="2" fillId="0" borderId="22" applyAlignment="1" pivotButton="0" quotePrefix="0" xfId="15">
      <alignment horizontal="center" vertical="center"/>
    </xf>
    <xf numFmtId="0" fontId="2" fillId="0" borderId="32" applyAlignment="1" pivotButton="0" quotePrefix="0" xfId="0">
      <alignment horizontal="center" vertical="center"/>
    </xf>
    <xf numFmtId="10" fontId="2" fillId="0" borderId="1" applyAlignment="1" pivotButton="0" quotePrefix="0" xfId="15">
      <alignment horizontal="center" vertical="center"/>
    </xf>
    <xf numFmtId="0" fontId="2" fillId="0" borderId="30" applyAlignment="1" pivotButton="0" quotePrefix="0" xfId="0">
      <alignment horizontal="center" vertical="center"/>
    </xf>
    <xf numFmtId="10" fontId="1" fillId="14" borderId="16" applyAlignment="1" pivotButton="0" quotePrefix="0" xfId="15">
      <alignment horizontal="center" vertical="center"/>
    </xf>
    <xf numFmtId="0" fontId="1" fillId="14" borderId="26" applyAlignment="1" pivotButton="0" quotePrefix="0" xfId="0">
      <alignment horizontal="center" vertical="center"/>
    </xf>
    <xf numFmtId="10" fontId="2" fillId="0" borderId="8" applyAlignment="1" pivotButton="0" quotePrefix="0" xfId="15">
      <alignment horizontal="center" vertical="center"/>
    </xf>
    <xf numFmtId="0" fontId="2" fillId="0" borderId="31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 wrapText="1"/>
    </xf>
    <xf numFmtId="10" fontId="0" fillId="0" borderId="1" applyAlignment="1" pivotButton="0" quotePrefix="0" xfId="73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3" fontId="43" fillId="0" borderId="1" applyAlignment="1" pivotButton="0" quotePrefix="0" xfId="0">
      <alignment horizontal="center" vertical="center"/>
    </xf>
    <xf numFmtId="168" fontId="2" fillId="0" borderId="0" pivotButton="0" quotePrefix="0" xfId="0"/>
    <xf numFmtId="169" fontId="2" fillId="0" borderId="0" pivotButton="0" quotePrefix="0" xfId="0"/>
    <xf numFmtId="0" fontId="43" fillId="0" borderId="18" applyAlignment="1" pivotButton="0" quotePrefix="0" xfId="0">
      <alignment horizontal="center" vertical="center"/>
    </xf>
    <xf numFmtId="167" fontId="2" fillId="0" borderId="18" applyAlignment="1" pivotButton="0" quotePrefix="0" xfId="0">
      <alignment horizontal="center" vertical="center"/>
    </xf>
    <xf numFmtId="167" fontId="2" fillId="0" borderId="27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wrapText="1"/>
    </xf>
    <xf numFmtId="0" fontId="43" fillId="0" borderId="20" applyAlignment="1" pivotButton="0" quotePrefix="0" xfId="0">
      <alignment horizontal="center" vertical="center"/>
    </xf>
    <xf numFmtId="167" fontId="2" fillId="0" borderId="20" applyAlignment="1" pivotButton="0" quotePrefix="0" xfId="0">
      <alignment horizontal="center" vertical="center"/>
    </xf>
    <xf numFmtId="167" fontId="2" fillId="0" borderId="28" applyAlignment="1" pivotButton="0" quotePrefix="0" xfId="0">
      <alignment horizontal="center" vertical="center"/>
    </xf>
    <xf numFmtId="0" fontId="43" fillId="0" borderId="22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3" fillId="0" borderId="3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164" fontId="2" fillId="0" borderId="4" applyAlignment="1" pivotButton="0" quotePrefix="0" xfId="0">
      <alignment horizontal="left"/>
    </xf>
    <xf numFmtId="164" fontId="5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/>
    </xf>
    <xf numFmtId="165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0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20% - 着色 6 2" xfId="6"/>
    <cellStyle name="千位分隔[0]" xfId="7" builtinId="6"/>
    <cellStyle name="40% - 着色 4 2" xfId="8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40% - 着色 3 2" xfId="24"/>
    <cellStyle name="标题 2" xfId="25" builtinId="17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40% - 着色 2 2" xfId="30"/>
    <cellStyle name="计算" xfId="31" builtinId="22"/>
    <cellStyle name="检查单元格" xfId="32" builtinId="23"/>
    <cellStyle name="20% - 着色 1 2" xfId="33"/>
    <cellStyle name="链接单元格" xfId="34" builtinId="24"/>
    <cellStyle name="40% - 着色 5 2" xfId="35"/>
    <cellStyle name="20% - 强调文字颜色 6" xfId="36" builtinId="50"/>
    <cellStyle name="强调文字颜色 2" xfId="37" builtinId="33"/>
    <cellStyle name="汇总" xfId="38" builtinId="25"/>
    <cellStyle name="好" xfId="39" builtinId="26"/>
    <cellStyle name="适中" xfId="40" builtinId="28"/>
    <cellStyle name="20% - 强调文字颜色 5" xfId="41" builtinId="46"/>
    <cellStyle name="强调文字颜色 1" xfId="42" builtinId="29"/>
    <cellStyle name="20% - 着色 2 2" xfId="43"/>
    <cellStyle name="20% - 强调文字颜色 1" xfId="44" builtinId="30"/>
    <cellStyle name="40% - 强调文字颜色 1" xfId="45" builtinId="31"/>
    <cellStyle name="20% - 强调文字颜色 2" xfId="46" builtinId="34"/>
    <cellStyle name="输出 2" xfId="47"/>
    <cellStyle name="40% - 强调文字颜色 2" xfId="48" builtinId="35"/>
    <cellStyle name="强调文字颜色 3" xfId="49" builtinId="37"/>
    <cellStyle name="强调文字颜色 4" xfId="50" builtinId="41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60% - 着色 6 2" xfId="56"/>
    <cellStyle name="强调文字颜色 6" xfId="57" builtinId="49"/>
    <cellStyle name="40% - 强调文字颜色 6" xfId="58" builtinId="51"/>
    <cellStyle name="着色 5 2" xfId="59"/>
    <cellStyle name="适中 2" xfId="60"/>
    <cellStyle name="20% - 着色 3 2" xfId="61"/>
    <cellStyle name="60% - 强调文字颜色 6" xfId="62" builtinId="52"/>
    <cellStyle name="20% - 着色 4 2" xfId="63"/>
    <cellStyle name="着色 1 2" xfId="64"/>
    <cellStyle name="20% - 着色 5 2" xfId="65"/>
    <cellStyle name="40% - 着色 1 2" xfId="66"/>
    <cellStyle name="40% - 着色 6 2" xfId="67"/>
    <cellStyle name="60% - 着色 1 2" xfId="68"/>
    <cellStyle name="60% - 着色 2 2" xfId="69"/>
    <cellStyle name="60% - 着色 3 2" xfId="70"/>
    <cellStyle name="60% - 着色 4 2" xfId="71"/>
    <cellStyle name="60% - 着色 5 2" xfId="72"/>
    <cellStyle name="百分比 2" xfId="73"/>
    <cellStyle name="标题 1 2" xfId="74"/>
    <cellStyle name="标题 2 2" xfId="75"/>
    <cellStyle name="标题 3 2" xfId="76"/>
    <cellStyle name="标题 4 2" xfId="77"/>
    <cellStyle name="标题 5" xfId="78"/>
    <cellStyle name="差 2" xfId="79"/>
    <cellStyle name="常规 2" xfId="80"/>
    <cellStyle name="常规 2 14" xfId="81"/>
    <cellStyle name="常规 2 14 2" xfId="82"/>
    <cellStyle name="常规 2 2" xfId="83"/>
    <cellStyle name="常规 3" xfId="84"/>
    <cellStyle name="常规 4" xfId="85"/>
    <cellStyle name="常规 5" xfId="86"/>
    <cellStyle name="好 2" xfId="87"/>
    <cellStyle name="汇总 2" xfId="88"/>
    <cellStyle name="检查单元格 2" xfId="89"/>
    <cellStyle name="解释性文本 2" xfId="90"/>
    <cellStyle name="警告文本 2" xfId="91"/>
    <cellStyle name="链接单元格 2" xfId="92"/>
    <cellStyle name="千位分隔 2" xfId="93"/>
    <cellStyle name="千位分隔 2 2" xfId="94"/>
    <cellStyle name="输入 2" xfId="95"/>
    <cellStyle name="着色 3 2" xfId="96"/>
    <cellStyle name="着色 4 2" xfId="97"/>
    <cellStyle name="着色 6 2" xfId="98"/>
    <cellStyle name="注释 2" xfId="9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12t</author>
  </authors>
  <commentList>
    <comment ref="B40" authorId="0" shapeId="0">
      <text>
        <t>12t:
2019.12退款</t>
      </text>
    </comment>
    <comment ref="B99" authorId="0" shapeId="0">
      <text>
        <t>12t:
一户多开</t>
      </text>
    </comment>
    <comment ref="B107" authorId="0" shapeId="0">
      <text>
        <t>12t:
一户多开</t>
      </text>
    </comment>
    <comment ref="B108" authorId="0" shapeId="0">
      <text>
        <t>12t:
一户多开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hyperlink" Target="http://www.singamas-xpcl.com/" TargetMode="External" Id="rId1"/><Relationship Type="http://schemas.openxmlformats.org/officeDocument/2006/relationships/hyperlink" Target="http://www.e-vanport.cn/" TargetMode="External" Id="rId2"/><Relationship Type="http://schemas.openxmlformats.org/officeDocument/2006/relationships/hyperlink" Target="http://www.hizzj.com/" TargetMode="External" Id="rId3"/><Relationship Type="http://schemas.openxmlformats.org/officeDocument/2006/relationships/hyperlink" Target="http://www.huaqinyun.com/" TargetMode="External" Id="rId4"/><Relationship Type="http://schemas.openxmlformats.org/officeDocument/2006/relationships/hyperlink" Target="http://www.57iot.com/index.html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D11" sqref="D11"/>
    </sheetView>
  </sheetViews>
  <sheetFormatPr baseColWidth="8" defaultColWidth="9.142857142857141" defaultRowHeight="12.75" outlineLevelRow="3"/>
  <cols>
    <col width="11.4666666666667" customWidth="1" min="1" max="15"/>
  </cols>
  <sheetData>
    <row r="1" ht="16.5" customHeight="1">
      <c r="A1" s="54" t="inlineStr">
        <is>
          <t>更新日期2023.10.15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77" t="n"/>
    </row>
    <row r="2" ht="16.5" customHeight="1">
      <c r="A2" s="134" t="n"/>
      <c r="B2" s="54" t="inlineStr">
        <is>
          <t>提单情况</t>
        </is>
      </c>
      <c r="C2" s="55" t="n"/>
      <c r="D2" s="55" t="n"/>
      <c r="E2" s="77" t="n"/>
      <c r="F2" s="54" t="inlineStr">
        <is>
          <t>消费情况</t>
        </is>
      </c>
      <c r="G2" s="55" t="n"/>
      <c r="H2" s="55" t="n"/>
      <c r="I2" s="55" t="n"/>
      <c r="J2" s="77" t="n"/>
      <c r="K2" s="54" t="inlineStr">
        <is>
          <t>新单实到金额情况</t>
        </is>
      </c>
      <c r="L2" s="55" t="n"/>
      <c r="M2" s="55" t="n"/>
      <c r="N2" s="55" t="n"/>
      <c r="O2" s="77" t="n"/>
    </row>
    <row r="3" ht="33" customHeight="1">
      <c r="A3" s="63" t="inlineStr">
        <is>
          <t>合作伙伴</t>
        </is>
      </c>
      <c r="B3" s="63" t="inlineStr">
        <is>
          <t>Q4提单总客户数</t>
        </is>
      </c>
      <c r="C3" s="63" t="inlineStr">
        <is>
          <t>Q4审核通过</t>
        </is>
      </c>
      <c r="D3" s="63" t="inlineStr">
        <is>
          <t>Q3提单Q4审核通过</t>
        </is>
      </c>
      <c r="E3" s="63" t="inlineStr">
        <is>
          <t>Q4完成新单</t>
        </is>
      </c>
      <c r="F3" s="64" t="inlineStr">
        <is>
          <t>Q4总消费</t>
        </is>
      </c>
      <c r="G3" s="64" t="inlineStr">
        <is>
          <t>大搜消费</t>
        </is>
      </c>
      <c r="H3" s="64" t="inlineStr">
        <is>
          <t>信息流消费</t>
        </is>
      </c>
      <c r="I3" s="97" t="inlineStr">
        <is>
          <t>Q4消费任务</t>
        </is>
      </c>
      <c r="J3" s="97" t="inlineStr">
        <is>
          <t>Q4消费完成进度</t>
        </is>
      </c>
      <c r="K3" s="75" t="inlineStr">
        <is>
          <t>Q4实到金额</t>
        </is>
      </c>
      <c r="L3" s="75" t="inlineStr">
        <is>
          <t>大搜实到金额</t>
        </is>
      </c>
      <c r="M3" s="75" t="inlineStr">
        <is>
          <t>信息流实到金额</t>
        </is>
      </c>
      <c r="N3" s="98" t="inlineStr">
        <is>
          <t>Q4新单到款总额任务</t>
        </is>
      </c>
      <c r="O3" s="98" t="inlineStr">
        <is>
          <t>Q4新单总额完成进展</t>
        </is>
      </c>
    </row>
    <row r="4" ht="39" customHeight="1">
      <c r="A4" s="65" t="inlineStr">
        <is>
          <t>翼百信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136" t="n">
        <v>246323.57</v>
      </c>
      <c r="G4" s="136" t="n">
        <v>158910.84</v>
      </c>
      <c r="H4" s="136" t="n">
        <v>87412.73</v>
      </c>
      <c r="I4" s="101" t="inlineStr">
        <is>
          <t>-</t>
        </is>
      </c>
      <c r="J4" s="135" t="inlineStr">
        <is>
          <t>-</t>
        </is>
      </c>
      <c r="K4" s="101" t="n">
        <v>10900</v>
      </c>
      <c r="L4" s="101" t="n">
        <v>0</v>
      </c>
      <c r="M4" s="101" t="n">
        <v>10900</v>
      </c>
      <c r="N4" s="101" t="inlineStr">
        <is>
          <t>-</t>
        </is>
      </c>
      <c r="O4" s="135" t="inlineStr">
        <is>
          <t>-</t>
        </is>
      </c>
    </row>
  </sheetData>
  <mergeCells count="4">
    <mergeCell ref="B2:E2"/>
    <mergeCell ref="A1:O1"/>
    <mergeCell ref="F2:J2"/>
    <mergeCell ref="K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4" tint="0.399975585192419"/>
    <outlinePr summaryBelow="0" summaryRight="0"/>
    <pageSetUpPr fitToPage="1"/>
  </sheetPr>
  <dimension ref="A1:AA135"/>
  <sheetViews>
    <sheetView workbookViewId="0">
      <pane ySplit="1" topLeftCell="A119" activePane="bottomLeft" state="frozen"/>
      <selection activeCell="A1" sqref="A1"/>
      <selection pane="bottomLeft" activeCell="Y135" sqref="A1:Y135"/>
    </sheetView>
  </sheetViews>
  <sheetFormatPr baseColWidth="8" defaultColWidth="9" defaultRowHeight="16.5"/>
  <cols>
    <col width="12.1428571428571" customWidth="1" style="2" min="1" max="1"/>
    <col width="29.2857142857143" customWidth="1" style="2" min="2" max="2"/>
    <col width="27.7142857142857" customWidth="1" style="2" min="3" max="3"/>
    <col width="10.7142857142857" customWidth="1" style="2" min="4" max="4"/>
    <col width="11.8571428571429" customWidth="1" style="3" min="5" max="5"/>
    <col width="10.7142857142857" customWidth="1" style="2" min="6" max="7"/>
    <col width="14.2857142857143" customWidth="1" style="2" min="8" max="8"/>
    <col width="13.1428571428571" customWidth="1" style="2" min="9" max="10"/>
    <col width="13.4285714285714" customWidth="1" style="2" min="11" max="11"/>
    <col width="10.1428571428571" customWidth="1" style="2" min="12" max="12"/>
    <col width="10.7142857142857" customWidth="1" style="152" min="13" max="16"/>
    <col width="10.8571428571429" customWidth="1" style="152" min="17" max="19"/>
    <col width="11.8571428571429" customWidth="1" style="3" min="20" max="20"/>
    <col width="14.7142857142857" customWidth="1" style="2" min="21" max="21"/>
    <col width="9.142857142857141" customWidth="1" style="2" min="22" max="16384"/>
  </cols>
  <sheetData>
    <row r="1">
      <c r="A1" s="5" t="inlineStr">
        <is>
          <t>提单产品</t>
        </is>
      </c>
      <c r="B1" s="5" t="inlineStr">
        <is>
          <t>公司名称</t>
        </is>
      </c>
      <c r="C1" s="5" t="inlineStr">
        <is>
          <t>网址</t>
        </is>
      </c>
      <c r="D1" s="5" t="inlineStr">
        <is>
          <t>开户账号</t>
        </is>
      </c>
      <c r="E1" s="48" t="inlineStr">
        <is>
          <t>开户日期</t>
        </is>
      </c>
      <c r="F1" s="6" t="inlineStr">
        <is>
          <t>一线客服</t>
        </is>
      </c>
      <c r="G1" s="6" t="inlineStr">
        <is>
          <t>部门</t>
        </is>
      </c>
      <c r="H1" s="6" t="inlineStr">
        <is>
          <t>sf账号</t>
        </is>
      </c>
      <c r="I1" s="5" t="inlineStr">
        <is>
          <t>账户状态</t>
        </is>
      </c>
      <c r="J1" s="5" t="inlineStr">
        <is>
          <t>Q3大搜消费</t>
        </is>
      </c>
      <c r="K1" s="5" t="inlineStr">
        <is>
          <t>Q3信息流消费</t>
        </is>
      </c>
      <c r="L1" s="5" t="inlineStr">
        <is>
          <t>Q3总消费</t>
        </is>
      </c>
      <c r="M1" s="153" t="inlineStr">
        <is>
          <t>大搜到款金额</t>
        </is>
      </c>
      <c r="N1" s="153" t="inlineStr">
        <is>
          <t>信息流到款金额</t>
        </is>
      </c>
      <c r="O1" s="153" t="inlineStr">
        <is>
          <t>总到款金额</t>
        </is>
      </c>
      <c r="P1" s="153" t="inlineStr">
        <is>
          <t>服务费</t>
        </is>
      </c>
      <c r="Q1" s="153" t="inlineStr">
        <is>
          <t>加V</t>
        </is>
      </c>
      <c r="R1" s="154" t="inlineStr">
        <is>
          <t>实际到款总额</t>
        </is>
      </c>
      <c r="S1" s="154" t="inlineStr">
        <is>
          <t>近7日日均</t>
        </is>
      </c>
      <c r="T1" s="17" t="inlineStr">
        <is>
          <t>提单时间</t>
        </is>
      </c>
      <c r="U1" s="18" t="inlineStr">
        <is>
          <t>当前状态</t>
        </is>
      </c>
      <c r="V1" s="18" t="inlineStr">
        <is>
          <t>所属地区</t>
        </is>
      </c>
      <c r="W1" s="18" t="inlineStr">
        <is>
          <t>部门</t>
        </is>
      </c>
      <c r="X1" s="18" t="inlineStr">
        <is>
          <t>销售人员</t>
        </is>
      </c>
      <c r="Y1" s="18" t="inlineStr">
        <is>
          <t>备注</t>
        </is>
      </c>
    </row>
    <row r="2">
      <c r="A2" s="8" t="n"/>
      <c r="B2" s="8" t="inlineStr">
        <is>
          <t>厦门聚财信用管理有限公司</t>
        </is>
      </c>
      <c r="C2" s="8" t="inlineStr">
        <is>
          <t>http://jcc.ijcx.cn</t>
        </is>
      </c>
      <c r="D2" s="8" t="inlineStr">
        <is>
          <t>黄春伟</t>
        </is>
      </c>
      <c r="E2" s="9" t="n">
        <v>43579</v>
      </c>
      <c r="F2" s="8" t="inlineStr">
        <is>
          <t xml:space="preserve"> </t>
        </is>
      </c>
      <c r="G2" s="8" t="inlineStr">
        <is>
          <t xml:space="preserve"> </t>
        </is>
      </c>
      <c r="H2" s="8" t="inlineStr">
        <is>
          <t xml:space="preserve"> </t>
        </is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9" t="n">
        <v>43571</v>
      </c>
      <c r="U2" s="8" t="n"/>
      <c r="V2" s="8" t="inlineStr">
        <is>
          <t>厦门</t>
        </is>
      </c>
      <c r="W2" s="8" t="inlineStr">
        <is>
          <t>翼百信2</t>
        </is>
      </c>
      <c r="X2" s="8" t="inlineStr">
        <is>
          <t>连祖</t>
        </is>
      </c>
      <c r="Y2" s="8" t="n"/>
    </row>
    <row r="3">
      <c r="A3" s="8" t="inlineStr">
        <is>
          <t>信息流</t>
        </is>
      </c>
      <c r="B3" s="8" t="inlineStr">
        <is>
          <t>厦门容利洁环保科技有限公司</t>
        </is>
      </c>
      <c r="C3" s="8" t="inlineStr">
        <is>
          <t>http://www.rljpco.com</t>
        </is>
      </c>
      <c r="D3" s="8" t="inlineStr">
        <is>
          <t>容利洁</t>
        </is>
      </c>
      <c r="E3" s="9" t="n">
        <v>43572</v>
      </c>
      <c r="F3" s="8" t="inlineStr">
        <is>
          <t>林志龙</t>
        </is>
      </c>
      <c r="G3" s="8" t="inlineStr">
        <is>
          <t>失效挽救部</t>
        </is>
      </c>
      <c r="H3" s="8" t="inlineStr">
        <is>
          <t>易尔通客服二部</t>
        </is>
      </c>
      <c r="I3" s="8" t="inlineStr">
        <is>
          <t>该用户被拒绝</t>
        </is>
      </c>
      <c r="J3" s="8" t="n">
        <v>0</v>
      </c>
      <c r="K3" s="8" t="n">
        <v>0</v>
      </c>
      <c r="L3" s="8" t="n">
        <v>0</v>
      </c>
      <c r="M3" s="155" t="n">
        <v>0</v>
      </c>
      <c r="N3" s="155" t="n">
        <v>3000</v>
      </c>
      <c r="O3" s="155" t="n">
        <v>3000</v>
      </c>
      <c r="P3" s="155" t="n"/>
      <c r="Q3" s="155" t="n"/>
      <c r="R3" s="155" t="n"/>
      <c r="S3" s="8" t="n">
        <v>0</v>
      </c>
      <c r="T3" s="9" t="n">
        <v>43570</v>
      </c>
      <c r="U3" s="8" t="inlineStr">
        <is>
          <t>信息流单子，大搜为布瑞泽签单</t>
        </is>
      </c>
      <c r="V3" s="8" t="inlineStr">
        <is>
          <t>厦门</t>
        </is>
      </c>
      <c r="W3" s="8" t="inlineStr">
        <is>
          <t>翼百信2</t>
        </is>
      </c>
      <c r="X3" s="8" t="inlineStr">
        <is>
          <t>连祖</t>
        </is>
      </c>
      <c r="Y3" s="8" t="n"/>
    </row>
    <row r="4">
      <c r="A4" s="8" t="inlineStr">
        <is>
          <t>大搜</t>
        </is>
      </c>
      <c r="B4" s="8" t="inlineStr">
        <is>
          <t>厦门游互信息科技有限公司</t>
        </is>
      </c>
      <c r="C4" s="8" t="inlineStr">
        <is>
          <t>https://monicavinader.tmall.com/</t>
        </is>
      </c>
      <c r="D4" s="8" t="inlineStr">
        <is>
          <t>游互信息</t>
        </is>
      </c>
      <c r="E4" s="9" t="n">
        <v>43537.60190972222</v>
      </c>
      <c r="F4" s="8" t="inlineStr">
        <is>
          <t>林志龙</t>
        </is>
      </c>
      <c r="G4" s="8" t="inlineStr">
        <is>
          <t>失效挽救部</t>
        </is>
      </c>
      <c r="H4" s="8" t="inlineStr">
        <is>
          <t>易尔通客服二部</t>
        </is>
      </c>
      <c r="I4" s="8" t="inlineStr">
        <is>
          <t>该用户被拒绝</t>
        </is>
      </c>
      <c r="J4" s="8" t="n">
        <v>0</v>
      </c>
      <c r="K4" s="8" t="n">
        <v>0</v>
      </c>
      <c r="L4" s="8" t="n">
        <v>0</v>
      </c>
      <c r="M4" s="155" t="n">
        <v>6200</v>
      </c>
      <c r="N4" s="155" t="n">
        <v>0</v>
      </c>
      <c r="O4" s="155" t="n">
        <v>6200</v>
      </c>
      <c r="P4" s="155" t="n"/>
      <c r="Q4" s="155" t="n"/>
      <c r="R4" s="155" t="n"/>
      <c r="S4" s="8" t="n">
        <v>0</v>
      </c>
      <c r="T4" s="9" t="n">
        <v>43532.66082175926</v>
      </c>
      <c r="U4" s="8" t="inlineStr">
        <is>
          <t>完成</t>
        </is>
      </c>
      <c r="V4" s="8" t="inlineStr">
        <is>
          <t>厦门</t>
        </is>
      </c>
      <c r="W4" s="8" t="inlineStr">
        <is>
          <t>翼百信2</t>
        </is>
      </c>
      <c r="X4" s="8" t="inlineStr">
        <is>
          <t>连祖</t>
        </is>
      </c>
      <c r="Y4" s="8" t="n"/>
    </row>
    <row r="5">
      <c r="A5" s="8" t="inlineStr">
        <is>
          <t>大搜</t>
        </is>
      </c>
      <c r="B5" s="8" t="inlineStr">
        <is>
          <t>厦门市尊尚时计贸易有限公司</t>
        </is>
      </c>
      <c r="C5" s="8" t="inlineStr">
        <is>
          <t>https://tidwatches.tmall.com</t>
        </is>
      </c>
      <c r="D5" s="8" t="inlineStr">
        <is>
          <t>尊尚时计贸易</t>
        </is>
      </c>
      <c r="E5" s="9" t="n">
        <v>43536.71829861111</v>
      </c>
      <c r="F5" s="8" t="inlineStr">
        <is>
          <t>林志龙</t>
        </is>
      </c>
      <c r="G5" s="8" t="inlineStr">
        <is>
          <t>失效挽救部</t>
        </is>
      </c>
      <c r="H5" s="8" t="inlineStr">
        <is>
          <t>易尔通客服二部</t>
        </is>
      </c>
      <c r="I5" s="8" t="inlineStr">
        <is>
          <t>该用户被拒绝</t>
        </is>
      </c>
      <c r="J5" s="8" t="n">
        <v>0</v>
      </c>
      <c r="K5" s="8" t="n">
        <v>0</v>
      </c>
      <c r="L5" s="8" t="n">
        <v>0</v>
      </c>
      <c r="M5" s="155" t="n">
        <v>6200</v>
      </c>
      <c r="N5" s="155" t="n">
        <v>0</v>
      </c>
      <c r="O5" s="155" t="n">
        <v>6200</v>
      </c>
      <c r="P5" s="155" t="n"/>
      <c r="Q5" s="155" t="n"/>
      <c r="R5" s="155" t="n"/>
      <c r="S5" s="8" t="n">
        <v>0</v>
      </c>
      <c r="T5" s="9" t="n">
        <v>43535.42146990741</v>
      </c>
      <c r="U5" s="8" t="inlineStr">
        <is>
          <t>完成</t>
        </is>
      </c>
      <c r="V5" s="8" t="inlineStr">
        <is>
          <t>厦门</t>
        </is>
      </c>
      <c r="W5" s="8" t="inlineStr">
        <is>
          <t>翼百信2</t>
        </is>
      </c>
      <c r="X5" s="8" t="inlineStr">
        <is>
          <t>连祖</t>
        </is>
      </c>
      <c r="Y5" s="8" t="n"/>
    </row>
    <row r="6">
      <c r="A6" s="8" t="inlineStr">
        <is>
          <t>大搜+信息流</t>
        </is>
      </c>
      <c r="B6" s="8" t="inlineStr">
        <is>
          <t>国域股份有限公司</t>
        </is>
      </c>
      <c r="C6" s="8" t="inlineStr">
        <is>
          <t>www.8360.com</t>
        </is>
      </c>
      <c r="D6" s="8" t="inlineStr">
        <is>
          <t>国域股份</t>
        </is>
      </c>
      <c r="E6" s="9" t="n">
        <v>43537.47988425926</v>
      </c>
      <c r="F6" s="8" t="inlineStr">
        <is>
          <t>苏晨</t>
        </is>
      </c>
      <c r="G6" s="8" t="inlineStr">
        <is>
          <t>失效挽救部</t>
        </is>
      </c>
      <c r="H6" s="8" t="inlineStr">
        <is>
          <t>xm复活001</t>
        </is>
      </c>
      <c r="I6" s="8" t="inlineStr">
        <is>
          <t>该用户被拒绝</t>
        </is>
      </c>
      <c r="J6" s="8" t="n">
        <v>0</v>
      </c>
      <c r="K6" s="8" t="n">
        <v>0</v>
      </c>
      <c r="L6" s="8" t="n">
        <v>0</v>
      </c>
      <c r="M6" s="155" t="n">
        <v>13000</v>
      </c>
      <c r="N6" s="155" t="n">
        <v>10000</v>
      </c>
      <c r="O6" s="155" t="n">
        <v>23000</v>
      </c>
      <c r="P6" s="155" t="n"/>
      <c r="Q6" s="155" t="n"/>
      <c r="R6" s="155" t="n"/>
      <c r="S6" s="8" t="n">
        <v>0</v>
      </c>
      <c r="T6" s="9" t="n">
        <v>43535.47592592592</v>
      </c>
      <c r="U6" s="8" t="inlineStr">
        <is>
          <t>完成</t>
        </is>
      </c>
      <c r="V6" s="8" t="inlineStr">
        <is>
          <t>厦门</t>
        </is>
      </c>
      <c r="W6" s="8" t="inlineStr">
        <is>
          <t>翼百信1</t>
        </is>
      </c>
      <c r="X6" s="8" t="inlineStr">
        <is>
          <t>杨彩云</t>
        </is>
      </c>
      <c r="Y6" s="8" t="n"/>
    </row>
    <row r="7">
      <c r="A7" s="8" t="inlineStr">
        <is>
          <t>大搜+信息流</t>
        </is>
      </c>
      <c r="B7" s="8" t="inlineStr">
        <is>
          <t>厦门倔牛云中网络科技有限公司</t>
        </is>
      </c>
      <c r="C7" s="8" t="inlineStr">
        <is>
          <t>www.jueniubx.com</t>
        </is>
      </c>
      <c r="D7" s="8" t="inlineStr">
        <is>
          <t>倔牛云中</t>
        </is>
      </c>
      <c r="E7" s="9" t="n">
        <v>43538.71789351852</v>
      </c>
      <c r="F7" s="8" t="inlineStr">
        <is>
          <t>苏晨</t>
        </is>
      </c>
      <c r="G7" s="8" t="inlineStr">
        <is>
          <t>失效挽救部</t>
        </is>
      </c>
      <c r="H7" s="8" t="inlineStr">
        <is>
          <t>xm复活001</t>
        </is>
      </c>
      <c r="I7" s="8" t="inlineStr">
        <is>
          <t>该用户被拒绝</t>
        </is>
      </c>
      <c r="J7" s="8" t="n">
        <v>0</v>
      </c>
      <c r="K7" s="8" t="n">
        <v>0</v>
      </c>
      <c r="L7" s="8" t="n">
        <v>0</v>
      </c>
      <c r="M7" s="155" t="n">
        <v>7400</v>
      </c>
      <c r="N7" s="155" t="n">
        <v>44000</v>
      </c>
      <c r="O7" s="155" t="n">
        <v>51400</v>
      </c>
      <c r="P7" s="155" t="n"/>
      <c r="Q7" s="155" t="n"/>
      <c r="R7" s="155" t="n"/>
      <c r="S7" s="8" t="n">
        <v>0</v>
      </c>
      <c r="T7" s="9" t="n">
        <v>43537.40008101852</v>
      </c>
      <c r="U7" s="8" t="inlineStr">
        <is>
          <t>完成</t>
        </is>
      </c>
      <c r="V7" s="8" t="inlineStr">
        <is>
          <t>厦门</t>
        </is>
      </c>
      <c r="W7" s="8" t="inlineStr">
        <is>
          <t>翼百信2</t>
        </is>
      </c>
      <c r="X7" s="8" t="inlineStr">
        <is>
          <t>连祖</t>
        </is>
      </c>
      <c r="Y7" s="8" t="n"/>
    </row>
    <row r="8">
      <c r="A8" s="8" t="inlineStr">
        <is>
          <t>大搜+信息流</t>
        </is>
      </c>
      <c r="B8" s="8" t="inlineStr">
        <is>
          <t>厦门何金山生物科技有限公司</t>
        </is>
      </c>
      <c r="C8" s="8" t="inlineStr">
        <is>
          <t>http://www.hejinshan.com</t>
        </is>
      </c>
      <c r="D8" s="8" t="inlineStr">
        <is>
          <t>厦门何金山</t>
        </is>
      </c>
      <c r="E8" s="9" t="n">
        <v>43621.71184027778</v>
      </c>
      <c r="F8" s="8" t="inlineStr">
        <is>
          <t>无</t>
        </is>
      </c>
      <c r="G8" s="8" t="inlineStr">
        <is>
          <t>失效挽救部</t>
        </is>
      </c>
      <c r="H8" s="8" t="inlineStr">
        <is>
          <t>易尔通客服六部</t>
        </is>
      </c>
      <c r="I8" s="8" t="inlineStr">
        <is>
          <t>该用户被拒绝</t>
        </is>
      </c>
      <c r="J8" s="8" t="n">
        <v>0</v>
      </c>
      <c r="K8" s="8" t="n">
        <v>0</v>
      </c>
      <c r="L8" s="8" t="n">
        <v>0</v>
      </c>
      <c r="M8" s="155" t="n">
        <v>10000</v>
      </c>
      <c r="N8" s="155" t="n">
        <v>3000</v>
      </c>
      <c r="O8" s="155" t="n">
        <v>13000</v>
      </c>
      <c r="P8" s="155" t="n"/>
      <c r="Q8" s="155" t="n"/>
      <c r="R8" s="155" t="n"/>
      <c r="S8" s="8" t="n">
        <v>0</v>
      </c>
      <c r="T8" s="9" t="n">
        <v>43563.67976851852</v>
      </c>
      <c r="U8" s="8" t="inlineStr">
        <is>
          <t>完成</t>
        </is>
      </c>
      <c r="V8" s="8" t="inlineStr">
        <is>
          <t>厦门</t>
        </is>
      </c>
      <c r="W8" s="8" t="inlineStr">
        <is>
          <t>翼百信2</t>
        </is>
      </c>
      <c r="X8" s="8" t="inlineStr">
        <is>
          <t>连祖</t>
        </is>
      </c>
      <c r="Y8" s="8" t="n"/>
    </row>
    <row r="9">
      <c r="A9" s="8" t="inlineStr">
        <is>
          <t>大搜</t>
        </is>
      </c>
      <c r="B9" s="8" t="inlineStr">
        <is>
          <t>厦门笔特展览服务有限公司</t>
        </is>
      </c>
      <c r="C9" s="8" t="inlineStr">
        <is>
          <t>http://www.xmbite.com</t>
        </is>
      </c>
      <c r="D9" s="8" t="inlineStr">
        <is>
          <t>笔特展览</t>
        </is>
      </c>
      <c r="E9" s="9" t="n">
        <v>43579.65820601852</v>
      </c>
      <c r="F9" s="8" t="inlineStr">
        <is>
          <t>苏晨</t>
        </is>
      </c>
      <c r="G9" s="8" t="inlineStr">
        <is>
          <t>失效挽救部</t>
        </is>
      </c>
      <c r="H9" s="8" t="inlineStr">
        <is>
          <t>xm复活001</t>
        </is>
      </c>
      <c r="I9" s="8" t="inlineStr">
        <is>
          <t>该用户被拒绝</t>
        </is>
      </c>
      <c r="J9" s="8" t="n">
        <v>0</v>
      </c>
      <c r="K9" s="8" t="n">
        <v>0</v>
      </c>
      <c r="L9" s="8" t="n">
        <v>0</v>
      </c>
      <c r="M9" s="155" t="n">
        <v>6200</v>
      </c>
      <c r="N9" s="155" t="n">
        <v>0</v>
      </c>
      <c r="O9" s="155" t="n">
        <v>6200</v>
      </c>
      <c r="P9" s="155" t="n"/>
      <c r="Q9" s="155" t="n"/>
      <c r="R9" s="155" t="n"/>
      <c r="S9" s="8" t="n">
        <v>0</v>
      </c>
      <c r="T9" s="9" t="n">
        <v>43578.70888888889</v>
      </c>
      <c r="U9" s="8" t="inlineStr">
        <is>
          <t>完成</t>
        </is>
      </c>
      <c r="V9" s="8" t="inlineStr">
        <is>
          <t>厦门</t>
        </is>
      </c>
      <c r="W9" s="8" t="inlineStr">
        <is>
          <t>翼百信2</t>
        </is>
      </c>
      <c r="X9" s="8" t="inlineStr">
        <is>
          <t>连祖</t>
        </is>
      </c>
      <c r="Y9" s="8" t="n"/>
    </row>
    <row r="10">
      <c r="A10" s="8" t="inlineStr">
        <is>
          <t>大搜</t>
        </is>
      </c>
      <c r="B10" s="8" t="inlineStr">
        <is>
          <t>福建喜相逢汽车服务股份有限公司厦门分公司</t>
        </is>
      </c>
      <c r="C10" s="8" t="inlineStr">
        <is>
          <t>www.xxfzj.com</t>
        </is>
      </c>
      <c r="D10" s="8" t="inlineStr">
        <is>
          <t>喜相逢厦门</t>
        </is>
      </c>
      <c r="E10" s="9" t="n">
        <v>43627.47935185185</v>
      </c>
      <c r="F10" s="8" t="inlineStr">
        <is>
          <t>林志龙</t>
        </is>
      </c>
      <c r="G10" s="8" t="inlineStr">
        <is>
          <t>失效挽救部</t>
        </is>
      </c>
      <c r="H10" s="8" t="inlineStr">
        <is>
          <t>易尔通客服二部</t>
        </is>
      </c>
      <c r="I10" s="8" t="inlineStr">
        <is>
          <t>该用户被拒绝</t>
        </is>
      </c>
      <c r="J10" s="8" t="n">
        <v>0</v>
      </c>
      <c r="K10" s="8" t="n">
        <v>0</v>
      </c>
      <c r="L10" s="8" t="n">
        <v>0</v>
      </c>
      <c r="M10" s="155" t="n">
        <v>6200</v>
      </c>
      <c r="N10" s="155" t="n">
        <v>0</v>
      </c>
      <c r="O10" s="155" t="n">
        <v>6200</v>
      </c>
      <c r="P10" s="155" t="n"/>
      <c r="Q10" s="155" t="n"/>
      <c r="R10" s="155" t="n"/>
      <c r="S10" s="8" t="n">
        <v>0</v>
      </c>
      <c r="T10" s="9" t="n">
        <v>43593.61728009259</v>
      </c>
      <c r="U10" s="8" t="inlineStr">
        <is>
          <t>完成</t>
        </is>
      </c>
      <c r="V10" s="8" t="inlineStr">
        <is>
          <t>厦门</t>
        </is>
      </c>
      <c r="W10" s="8" t="inlineStr">
        <is>
          <t>翼百信2</t>
        </is>
      </c>
      <c r="X10" s="8" t="inlineStr">
        <is>
          <t>董青青</t>
        </is>
      </c>
      <c r="Y10" s="8" t="n"/>
    </row>
    <row r="11">
      <c r="A11" s="8" t="inlineStr">
        <is>
          <t>大搜</t>
        </is>
      </c>
      <c r="B11" s="8" t="inlineStr">
        <is>
          <t>福建喜相逢汽车服务股份有限公司厦门分公司</t>
        </is>
      </c>
      <c r="C11" s="8" t="inlineStr">
        <is>
          <t>www.xxfming.com</t>
        </is>
      </c>
      <c r="D11" s="8" t="inlineStr">
        <is>
          <t>喜相逢厦门2</t>
        </is>
      </c>
      <c r="E11" s="9" t="n">
        <v>43627.47494212963</v>
      </c>
      <c r="F11" s="8" t="inlineStr">
        <is>
          <t>无</t>
        </is>
      </c>
      <c r="G11" s="8" t="inlineStr">
        <is>
          <t>失效挽救部</t>
        </is>
      </c>
      <c r="H11" s="8" t="inlineStr">
        <is>
          <t>易尔通客服六部</t>
        </is>
      </c>
      <c r="I11" s="8" t="inlineStr">
        <is>
          <t>该用户被拒绝</t>
        </is>
      </c>
      <c r="J11" s="8" t="n">
        <v>0</v>
      </c>
      <c r="K11" s="8" t="n">
        <v>0</v>
      </c>
      <c r="L11" s="8" t="n">
        <v>0</v>
      </c>
      <c r="M11" s="155" t="n">
        <v>6200</v>
      </c>
      <c r="N11" s="155" t="n">
        <v>0</v>
      </c>
      <c r="O11" s="155" t="n">
        <v>6200</v>
      </c>
      <c r="P11" s="155" t="n"/>
      <c r="Q11" s="155" t="n"/>
      <c r="R11" s="155" t="n"/>
      <c r="S11" s="8" t="n">
        <v>0</v>
      </c>
      <c r="T11" s="9" t="n">
        <v>43593.63508101852</v>
      </c>
      <c r="U11" s="8" t="inlineStr">
        <is>
          <t>完成</t>
        </is>
      </c>
      <c r="V11" s="8" t="inlineStr">
        <is>
          <t>厦门</t>
        </is>
      </c>
      <c r="W11" s="8" t="inlineStr">
        <is>
          <t>翼百信2</t>
        </is>
      </c>
      <c r="X11" s="8" t="inlineStr">
        <is>
          <t>董青青</t>
        </is>
      </c>
      <c r="Y11" s="8" t="n"/>
    </row>
    <row r="12">
      <c r="A12" s="8" t="inlineStr">
        <is>
          <t>大搜</t>
        </is>
      </c>
      <c r="B12" s="8" t="inlineStr">
        <is>
          <t>福建喜相逢汽车服务股份有限公司厦门分公司</t>
        </is>
      </c>
      <c r="C12" s="8" t="inlineStr">
        <is>
          <t>www.xxfljw.com</t>
        </is>
      </c>
      <c r="D12" s="8" t="inlineStr">
        <is>
          <t>喜相逢厦门3</t>
        </is>
      </c>
      <c r="E12" s="9" t="n">
        <v>43627.4889699074</v>
      </c>
      <c r="F12" s="8" t="inlineStr">
        <is>
          <t>林志龙</t>
        </is>
      </c>
      <c r="G12" s="8" t="inlineStr">
        <is>
          <t>失效挽救部</t>
        </is>
      </c>
      <c r="H12" s="8" t="inlineStr">
        <is>
          <t>易尔通客服二部</t>
        </is>
      </c>
      <c r="I12" s="8" t="inlineStr">
        <is>
          <t>该用户被拒绝</t>
        </is>
      </c>
      <c r="J12" s="8" t="n">
        <v>0</v>
      </c>
      <c r="K12" s="8" t="n">
        <v>0</v>
      </c>
      <c r="L12" s="8" t="n">
        <v>0</v>
      </c>
      <c r="M12" s="155" t="n">
        <v>6200</v>
      </c>
      <c r="N12" s="155" t="n">
        <v>0</v>
      </c>
      <c r="O12" s="155" t="n">
        <v>6200</v>
      </c>
      <c r="P12" s="155" t="n"/>
      <c r="Q12" s="155" t="n"/>
      <c r="R12" s="155" t="n"/>
      <c r="S12" s="8" t="n">
        <v>0</v>
      </c>
      <c r="T12" s="9" t="n">
        <v>43593.67015046296</v>
      </c>
      <c r="U12" s="8" t="inlineStr">
        <is>
          <t>完成</t>
        </is>
      </c>
      <c r="V12" s="8" t="inlineStr">
        <is>
          <t>厦门</t>
        </is>
      </c>
      <c r="W12" s="8" t="inlineStr">
        <is>
          <t>翼百信2</t>
        </is>
      </c>
      <c r="X12" s="8" t="inlineStr">
        <is>
          <t>董青青</t>
        </is>
      </c>
      <c r="Y12" s="8" t="n"/>
    </row>
    <row r="13">
      <c r="A13" s="8" t="inlineStr">
        <is>
          <t>大搜</t>
        </is>
      </c>
      <c r="B13" s="8" t="inlineStr">
        <is>
          <t>泉州市劲力工程机械有限公司</t>
        </is>
      </c>
      <c r="C13" s="8" t="inlineStr">
        <is>
          <t>www.fjjgjx.com</t>
        </is>
      </c>
      <c r="D13" s="8" t="inlineStr">
        <is>
          <t>qz劲力</t>
        </is>
      </c>
      <c r="E13" s="9" t="n">
        <v>43603.62746527778</v>
      </c>
      <c r="F13" s="8" t="inlineStr">
        <is>
          <t>胡艺红</t>
        </is>
      </c>
      <c r="G13" s="8" t="inlineStr">
        <is>
          <t>泉州中小企业增值部</t>
        </is>
      </c>
      <c r="H13" s="8" t="inlineStr">
        <is>
          <t>qz维护11</t>
        </is>
      </c>
      <c r="I13" s="8" t="inlineStr">
        <is>
          <t>该用户被拒绝</t>
        </is>
      </c>
      <c r="J13" s="8" t="n">
        <v>0</v>
      </c>
      <c r="K13" s="8" t="n">
        <v>0</v>
      </c>
      <c r="L13" s="8" t="n">
        <v>0</v>
      </c>
      <c r="M13" s="155" t="n">
        <v>10000</v>
      </c>
      <c r="N13" s="155" t="n">
        <v>0</v>
      </c>
      <c r="O13" s="155" t="n">
        <v>10000</v>
      </c>
      <c r="P13" s="155" t="n"/>
      <c r="Q13" s="155" t="n"/>
      <c r="R13" s="155" t="n"/>
      <c r="S13" s="8" t="n">
        <v>0</v>
      </c>
      <c r="T13" s="9" t="n">
        <v>43595.50831018519</v>
      </c>
      <c r="U13" s="8" t="inlineStr">
        <is>
          <t>完成</t>
        </is>
      </c>
      <c r="V13" s="8" t="inlineStr">
        <is>
          <t>厦门</t>
        </is>
      </c>
      <c r="W13" s="8" t="inlineStr">
        <is>
          <t>翼百信1</t>
        </is>
      </c>
      <c r="X13" s="8" t="inlineStr">
        <is>
          <t>邱莹莹</t>
        </is>
      </c>
      <c r="Y13" s="8" t="n"/>
    </row>
    <row r="14">
      <c r="A14" s="8" t="inlineStr">
        <is>
          <t>大搜+信息流</t>
        </is>
      </c>
      <c r="B14" s="8" t="inlineStr">
        <is>
          <t>厦门忆舟电子商务有限公司</t>
        </is>
      </c>
      <c r="C14" s="8" t="inlineStr">
        <is>
          <t>www.yizhoudzsw.com</t>
        </is>
      </c>
      <c r="D14" s="8" t="inlineStr">
        <is>
          <t>忆舟电子</t>
        </is>
      </c>
      <c r="E14" s="9" t="n">
        <v>43627.4737962963</v>
      </c>
      <c r="F14" s="8" t="inlineStr">
        <is>
          <t>苏晨</t>
        </is>
      </c>
      <c r="G14" s="8" t="inlineStr">
        <is>
          <t>失效挽救部</t>
        </is>
      </c>
      <c r="H14" s="8" t="inlineStr">
        <is>
          <t>xm复活001</t>
        </is>
      </c>
      <c r="I14" s="8" t="inlineStr">
        <is>
          <t>该用户被拒绝</t>
        </is>
      </c>
      <c r="J14" s="8" t="n">
        <v>0</v>
      </c>
      <c r="K14" s="8" t="n">
        <v>0</v>
      </c>
      <c r="L14" s="8" t="n">
        <v>0</v>
      </c>
      <c r="M14" s="155" t="n">
        <v>10000</v>
      </c>
      <c r="N14" s="155" t="n">
        <v>3000</v>
      </c>
      <c r="O14" s="155" t="n">
        <v>13000</v>
      </c>
      <c r="P14" s="155" t="n"/>
      <c r="Q14" s="155" t="n"/>
      <c r="R14" s="155" t="n"/>
      <c r="S14" s="8" t="n">
        <v>0</v>
      </c>
      <c r="T14" s="9" t="n">
        <v>43595.79427083334</v>
      </c>
      <c r="U14" s="8" t="inlineStr">
        <is>
          <t>完成</t>
        </is>
      </c>
      <c r="V14" s="8" t="inlineStr">
        <is>
          <t>厦门</t>
        </is>
      </c>
      <c r="W14" s="8" t="inlineStr">
        <is>
          <t>翼百信2</t>
        </is>
      </c>
      <c r="X14" s="8" t="inlineStr">
        <is>
          <t>连祖</t>
        </is>
      </c>
      <c r="Y14" s="8" t="n"/>
    </row>
    <row r="15">
      <c r="A15" s="8" t="inlineStr">
        <is>
          <t>大搜</t>
        </is>
      </c>
      <c r="B15" s="8" t="inlineStr">
        <is>
          <t>厦门科江机电有限公司</t>
        </is>
      </c>
      <c r="C15" s="8" t="inlineStr">
        <is>
          <t>www.kjjdgs.com</t>
        </is>
      </c>
      <c r="D15" s="8" t="inlineStr">
        <is>
          <t>科江机电</t>
        </is>
      </c>
      <c r="E15" s="9" t="n">
        <v>43617.40825231482</v>
      </c>
      <c r="F15" s="8" t="inlineStr">
        <is>
          <t>柯志鸿</t>
        </is>
      </c>
      <c r="G15" s="8" t="inlineStr">
        <is>
          <t>失效挽救部</t>
        </is>
      </c>
      <c r="H15" s="8" t="inlineStr">
        <is>
          <t>易尔通客服一部</t>
        </is>
      </c>
      <c r="I15" s="8" t="inlineStr">
        <is>
          <t>该用户被拒绝</t>
        </is>
      </c>
      <c r="J15" s="8" t="n">
        <v>0</v>
      </c>
      <c r="K15" s="8" t="n">
        <v>0</v>
      </c>
      <c r="L15" s="8" t="n">
        <v>0</v>
      </c>
      <c r="M15" s="155" t="n">
        <v>6800</v>
      </c>
      <c r="N15" s="155" t="n">
        <v>0</v>
      </c>
      <c r="O15" s="155" t="n">
        <v>6800</v>
      </c>
      <c r="P15" s="155" t="n"/>
      <c r="Q15" s="155" t="n"/>
      <c r="R15" s="155" t="n"/>
      <c r="S15" s="8" t="n">
        <v>0</v>
      </c>
      <c r="T15" s="9" t="n">
        <v>43598.43828703704</v>
      </c>
      <c r="U15" s="8" t="inlineStr">
        <is>
          <t>完成</t>
        </is>
      </c>
      <c r="V15" s="8" t="inlineStr">
        <is>
          <t>厦门</t>
        </is>
      </c>
      <c r="W15" s="8" t="inlineStr">
        <is>
          <t>翼百信2</t>
        </is>
      </c>
      <c r="X15" s="8" t="inlineStr">
        <is>
          <t>许荣杰</t>
        </is>
      </c>
      <c r="Y15" s="8" t="n"/>
    </row>
    <row r="16">
      <c r="A16" s="8" t="inlineStr">
        <is>
          <t>大搜</t>
        </is>
      </c>
      <c r="B16" s="8" t="inlineStr">
        <is>
          <t>埃美特(厦门)科技有限公司</t>
        </is>
      </c>
      <c r="C16" s="8" t="inlineStr">
        <is>
          <t>www.aimicro.net</t>
        </is>
      </c>
      <c r="D16" s="8" t="inlineStr">
        <is>
          <t>埃美特</t>
        </is>
      </c>
      <c r="E16" s="9" t="n">
        <v>43634.69775462963</v>
      </c>
      <c r="F16" s="8" t="inlineStr">
        <is>
          <t>李远红</t>
        </is>
      </c>
      <c r="G16" s="8" t="inlineStr">
        <is>
          <t>维护部门</t>
        </is>
      </c>
      <c r="H16" s="8" t="inlineStr">
        <is>
          <t>xm维护33</t>
        </is>
      </c>
      <c r="I16" s="8" t="inlineStr">
        <is>
          <t>用户正常生效</t>
        </is>
      </c>
      <c r="J16" s="8" t="n">
        <v>312.01</v>
      </c>
      <c r="K16" s="8" t="n">
        <v>0</v>
      </c>
      <c r="L16" s="8" t="n">
        <v>312.01</v>
      </c>
      <c r="M16" s="155" t="n">
        <v>6200</v>
      </c>
      <c r="N16" s="155" t="n">
        <v>0</v>
      </c>
      <c r="O16" s="155" t="n">
        <v>6200</v>
      </c>
      <c r="P16" s="155" t="n"/>
      <c r="Q16" s="155" t="n"/>
      <c r="R16" s="155" t="n"/>
      <c r="S16" s="8" t="n">
        <v>19.7357142857143</v>
      </c>
      <c r="T16" s="9" t="n">
        <v>43612.65923611111</v>
      </c>
      <c r="U16" s="8" t="inlineStr">
        <is>
          <t>完成</t>
        </is>
      </c>
      <c r="V16" s="8" t="inlineStr">
        <is>
          <t>厦门</t>
        </is>
      </c>
      <c r="W16" s="8" t="inlineStr">
        <is>
          <t>翼百信2</t>
        </is>
      </c>
      <c r="X16" s="8" t="inlineStr">
        <is>
          <t>翁双武</t>
        </is>
      </c>
      <c r="Y16" s="8" t="n"/>
    </row>
    <row r="17">
      <c r="A17" s="25" t="inlineStr">
        <is>
          <t>大搜+信息流</t>
        </is>
      </c>
      <c r="B17" s="25" t="inlineStr">
        <is>
          <t>厦门千户之屋科技有限公司</t>
        </is>
      </c>
      <c r="C17" s="25" t="inlineStr">
        <is>
          <t>www.1000doors.cn</t>
        </is>
      </c>
      <c r="D17" s="25" t="inlineStr">
        <is>
          <t>招商加盟-千户之屋</t>
        </is>
      </c>
      <c r="E17" s="27" t="n">
        <v>43692.66087962963</v>
      </c>
      <c r="F17" s="8" t="inlineStr">
        <is>
          <t>柯志鸿</t>
        </is>
      </c>
      <c r="G17" s="8" t="inlineStr">
        <is>
          <t>失效挽救部</t>
        </is>
      </c>
      <c r="H17" s="8" t="inlineStr">
        <is>
          <t>易尔通客服一部</t>
        </is>
      </c>
      <c r="I17" s="8" t="inlineStr">
        <is>
          <t>该用户被拒绝</t>
        </is>
      </c>
      <c r="J17" s="8" t="n">
        <v>0</v>
      </c>
      <c r="K17" s="8" t="n">
        <v>0</v>
      </c>
      <c r="L17" s="8" t="n">
        <v>0</v>
      </c>
      <c r="M17" s="155" t="n">
        <v>6800</v>
      </c>
      <c r="N17" s="155" t="n">
        <v>5000</v>
      </c>
      <c r="O17" s="155" t="n">
        <v>11800</v>
      </c>
      <c r="P17" s="155" t="n"/>
      <c r="Q17" s="155" t="n"/>
      <c r="R17" s="155" t="n"/>
      <c r="S17" s="8" t="n">
        <v>0</v>
      </c>
      <c r="T17" s="27" t="n">
        <v>43629.64430555556</v>
      </c>
      <c r="U17" s="25" t="inlineStr">
        <is>
          <t>2019年8月开户，算8月新单</t>
        </is>
      </c>
      <c r="V17" s="25" t="inlineStr">
        <is>
          <t>厦门</t>
        </is>
      </c>
      <c r="W17" s="25" t="inlineStr">
        <is>
          <t>翼百信2</t>
        </is>
      </c>
      <c r="X17" s="25" t="inlineStr">
        <is>
          <t>陈长亮</t>
        </is>
      </c>
      <c r="Y17" s="8" t="inlineStr">
        <is>
          <t>计入Q3新单</t>
        </is>
      </c>
    </row>
    <row r="18">
      <c r="A18" s="8" t="inlineStr">
        <is>
          <t>大搜</t>
        </is>
      </c>
      <c r="B18" s="8" t="inlineStr">
        <is>
          <t>漳州宁丰贸易有限公司</t>
        </is>
      </c>
      <c r="C18" s="8" t="inlineStr">
        <is>
          <t>http://www.fjnfgd.com/</t>
        </is>
      </c>
      <c r="D18" s="8" t="inlineStr">
        <is>
          <t>宁丰贸易</t>
        </is>
      </c>
      <c r="E18" s="9" t="n">
        <v>43662.60019675926</v>
      </c>
      <c r="F18" s="8" t="inlineStr">
        <is>
          <t>无</t>
        </is>
      </c>
      <c r="G18" s="8" t="inlineStr">
        <is>
          <t>漳州客服部</t>
        </is>
      </c>
      <c r="H18" s="8" t="inlineStr">
        <is>
          <t>zz维护07</t>
        </is>
      </c>
      <c r="I18" s="8" t="inlineStr">
        <is>
          <t>该用户被拒绝</t>
        </is>
      </c>
      <c r="J18" s="8" t="n">
        <v>0</v>
      </c>
      <c r="K18" s="8" t="n">
        <v>0</v>
      </c>
      <c r="L18" s="8" t="n">
        <v>0</v>
      </c>
      <c r="M18" s="155" t="n">
        <v>6800</v>
      </c>
      <c r="N18" s="155" t="n">
        <v>0</v>
      </c>
      <c r="O18" s="155" t="n">
        <v>6800</v>
      </c>
      <c r="P18" s="155" t="n"/>
      <c r="Q18" s="155" t="n"/>
      <c r="R18" s="155" t="n"/>
      <c r="S18" s="8" t="n">
        <v>0</v>
      </c>
      <c r="T18" s="9" t="n">
        <v>43658.70849537037</v>
      </c>
      <c r="U18" s="8" t="inlineStr">
        <is>
          <t>完成</t>
        </is>
      </c>
      <c r="V18" s="8" t="inlineStr">
        <is>
          <t>厦门</t>
        </is>
      </c>
      <c r="W18" s="8" t="inlineStr">
        <is>
          <t>翼百信2</t>
        </is>
      </c>
      <c r="X18" s="8" t="inlineStr">
        <is>
          <t>连祖</t>
        </is>
      </c>
      <c r="Y18" s="8" t="n"/>
    </row>
    <row r="19">
      <c r="A19" s="8" t="inlineStr">
        <is>
          <t>大搜</t>
        </is>
      </c>
      <c r="B19" s="49" t="inlineStr">
        <is>
          <t>厦门市鑫鼎盛控股有限公司</t>
        </is>
      </c>
      <c r="C19" s="8" t="inlineStr">
        <is>
          <t>https://www.qihuobuliezhe.com</t>
        </is>
      </c>
      <c r="D19" s="8" t="inlineStr">
        <is>
          <t>xm鑫鼎盛</t>
        </is>
      </c>
      <c r="E19" s="9" t="n">
        <v>43668.46778935185</v>
      </c>
      <c r="F19" s="8" t="inlineStr">
        <is>
          <t>陈沅</t>
        </is>
      </c>
      <c r="G19" s="8" t="inlineStr">
        <is>
          <t>大客部门</t>
        </is>
      </c>
      <c r="H19" s="8" t="inlineStr">
        <is>
          <t>xmKOL05</t>
        </is>
      </c>
      <c r="I19" s="8" t="inlineStr">
        <is>
          <t>该用户被拒绝</t>
        </is>
      </c>
      <c r="J19" s="8" t="n">
        <v>0</v>
      </c>
      <c r="K19" s="8" t="n">
        <v>0</v>
      </c>
      <c r="L19" s="8" t="n">
        <v>0</v>
      </c>
      <c r="M19" s="155" t="n">
        <v>13000</v>
      </c>
      <c r="N19" s="155" t="n">
        <v>0</v>
      </c>
      <c r="O19" s="155" t="n">
        <v>13000</v>
      </c>
      <c r="P19" s="155" t="n"/>
      <c r="Q19" s="155" t="n"/>
      <c r="R19" s="155" t="n"/>
      <c r="S19" s="8" t="n">
        <v>0</v>
      </c>
      <c r="T19" s="9" t="n">
        <v>43658.71898148148</v>
      </c>
      <c r="U19" s="8" t="inlineStr">
        <is>
          <t>完成</t>
        </is>
      </c>
      <c r="V19" s="8" t="inlineStr">
        <is>
          <t>厦门</t>
        </is>
      </c>
      <c r="W19" s="8" t="inlineStr">
        <is>
          <t>翼百信2</t>
        </is>
      </c>
      <c r="X19" s="8" t="inlineStr">
        <is>
          <t>连祖</t>
        </is>
      </c>
      <c r="Y19" s="8" t="n"/>
    </row>
    <row r="20">
      <c r="A20" s="8" t="inlineStr">
        <is>
          <t>大搜+信息流</t>
        </is>
      </c>
      <c r="B20" s="8" t="inlineStr">
        <is>
          <t>厦门麦芽口腔医院有限公司</t>
        </is>
      </c>
      <c r="C20" s="8" t="inlineStr">
        <is>
          <t>www.xmmykq.com</t>
        </is>
      </c>
      <c r="D20" s="8" t="inlineStr">
        <is>
          <t>xm麦芽口腔</t>
        </is>
      </c>
      <c r="E20" s="9" t="n">
        <v>43671.47364583334</v>
      </c>
      <c r="F20" s="8" t="inlineStr">
        <is>
          <t>方秋燕</t>
        </is>
      </c>
      <c r="G20" s="8" t="inlineStr">
        <is>
          <t>医疗事业部</t>
        </is>
      </c>
      <c r="H20" s="8" t="inlineStr">
        <is>
          <t>qz医疗01</t>
        </is>
      </c>
      <c r="I20" s="8" t="inlineStr">
        <is>
          <t>用户正常生效</t>
        </is>
      </c>
      <c r="J20" s="8" t="n">
        <v>31996.86</v>
      </c>
      <c r="K20" s="8" t="n">
        <v>64619.97</v>
      </c>
      <c r="L20" s="8" t="n">
        <v>96616.83</v>
      </c>
      <c r="M20" s="155" t="n">
        <v>200000</v>
      </c>
      <c r="N20" s="155" t="n">
        <v>5000</v>
      </c>
      <c r="O20" s="155" t="n">
        <v>205000</v>
      </c>
      <c r="P20" s="155" t="n"/>
      <c r="Q20" s="155" t="n"/>
      <c r="R20" s="155" t="n"/>
      <c r="S20" s="8" t="n">
        <v>2972.24</v>
      </c>
      <c r="T20" s="9" t="n">
        <v>43668.4975</v>
      </c>
      <c r="U20" s="8" t="inlineStr">
        <is>
          <t>完成</t>
        </is>
      </c>
      <c r="V20" s="8" t="inlineStr">
        <is>
          <t>厦门</t>
        </is>
      </c>
      <c r="W20" s="8" t="inlineStr">
        <is>
          <t>翼百信1</t>
        </is>
      </c>
      <c r="X20" s="8" t="inlineStr">
        <is>
          <t>杨彩云</t>
        </is>
      </c>
      <c r="Y20" s="8" t="n"/>
    </row>
    <row r="21">
      <c r="A21" s="8" t="inlineStr">
        <is>
          <t>大搜</t>
        </is>
      </c>
      <c r="B21" s="8" t="inlineStr">
        <is>
          <t>厦门麦芽口腔医院有限公司</t>
        </is>
      </c>
      <c r="C21" s="8" t="inlineStr">
        <is>
          <t>www.xmmykq.com</t>
        </is>
      </c>
      <c r="D21" s="8" t="inlineStr">
        <is>
          <t>麦芽口腔1</t>
        </is>
      </c>
      <c r="E21" s="9" t="n">
        <v>43679</v>
      </c>
      <c r="F21" s="8" t="inlineStr">
        <is>
          <t>方秋燕</t>
        </is>
      </c>
      <c r="G21" s="8" t="inlineStr">
        <is>
          <t>医疗事业部</t>
        </is>
      </c>
      <c r="H21" s="8" t="inlineStr">
        <is>
          <t>qz医疗01</t>
        </is>
      </c>
      <c r="I21" s="8" t="inlineStr">
        <is>
          <t>用户正常生效</t>
        </is>
      </c>
      <c r="J21" s="8" t="n">
        <v>28988.32</v>
      </c>
      <c r="K21" s="8" t="n">
        <v>0</v>
      </c>
      <c r="L21" s="8" t="n">
        <v>28988.32</v>
      </c>
      <c r="M21" s="155" t="n">
        <v>0</v>
      </c>
      <c r="N21" s="155" t="n">
        <v>0</v>
      </c>
      <c r="O21" s="155" t="n">
        <v>0</v>
      </c>
      <c r="P21" s="155" t="n"/>
      <c r="Q21" s="155" t="n"/>
      <c r="R21" s="155" t="n"/>
      <c r="S21" s="8" t="n">
        <v>2114.36571428571</v>
      </c>
      <c r="T21" s="9" t="n">
        <v>43668.4975</v>
      </c>
      <c r="U21" s="8" t="inlineStr">
        <is>
          <t>一资质开三户</t>
        </is>
      </c>
      <c r="V21" s="8" t="n"/>
      <c r="W21" s="8" t="n"/>
      <c r="X21" s="8" t="n"/>
      <c r="Y21" s="8" t="n"/>
    </row>
    <row r="22">
      <c r="A22" s="8" t="inlineStr">
        <is>
          <t>大搜</t>
        </is>
      </c>
      <c r="B22" s="8" t="inlineStr">
        <is>
          <t>厦门麦芽口腔医院有限公司</t>
        </is>
      </c>
      <c r="C22" s="8" t="inlineStr">
        <is>
          <t>www.xmmykq.com</t>
        </is>
      </c>
      <c r="D22" s="8" t="inlineStr">
        <is>
          <t>麦芽口腔2</t>
        </is>
      </c>
      <c r="E22" s="9" t="n">
        <v>43680</v>
      </c>
      <c r="F22" s="8" t="inlineStr">
        <is>
          <t>方秋燕</t>
        </is>
      </c>
      <c r="G22" s="8" t="inlineStr">
        <is>
          <t>医疗事业部</t>
        </is>
      </c>
      <c r="H22" s="8" t="inlineStr">
        <is>
          <t>qz医疗01</t>
        </is>
      </c>
      <c r="I22" s="8" t="inlineStr">
        <is>
          <t>用户正常生效</t>
        </is>
      </c>
      <c r="J22" s="8" t="n">
        <v>15858.46</v>
      </c>
      <c r="K22" s="8" t="n">
        <v>0</v>
      </c>
      <c r="L22" s="8" t="n">
        <v>15858.46</v>
      </c>
      <c r="M22" s="155" t="n">
        <v>0</v>
      </c>
      <c r="N22" s="155" t="n">
        <v>0</v>
      </c>
      <c r="O22" s="155" t="n">
        <v>0</v>
      </c>
      <c r="P22" s="155" t="n"/>
      <c r="Q22" s="155" t="n"/>
      <c r="R22" s="155" t="n"/>
      <c r="S22" s="8" t="n">
        <v>733.402857142857</v>
      </c>
      <c r="T22" s="9" t="n">
        <v>43668.4975</v>
      </c>
      <c r="U22" s="8" t="inlineStr">
        <is>
          <t>一资质开三户</t>
        </is>
      </c>
      <c r="V22" s="8" t="n"/>
      <c r="W22" s="8" t="n"/>
      <c r="X22" s="8" t="n"/>
      <c r="Y22" s="8" t="n"/>
    </row>
    <row r="23">
      <c r="A23" s="8" t="inlineStr">
        <is>
          <t>大搜</t>
        </is>
      </c>
      <c r="B23" s="8" t="inlineStr">
        <is>
          <t>厦门麦芽口腔医院有限公司</t>
        </is>
      </c>
      <c r="C23" s="8" t="inlineStr">
        <is>
          <t>http://bdyd5.xmmykq.com/</t>
        </is>
      </c>
      <c r="D23" s="8" t="inlineStr">
        <is>
          <t>麦芽口腔5</t>
        </is>
      </c>
      <c r="E23" s="9" t="n">
        <v>44091</v>
      </c>
      <c r="F23" s="8" t="inlineStr">
        <is>
          <t>方秋燕</t>
        </is>
      </c>
      <c r="G23" s="8" t="inlineStr">
        <is>
          <t>医疗事业部</t>
        </is>
      </c>
      <c r="H23" s="8" t="inlineStr">
        <is>
          <t>qz医疗01</t>
        </is>
      </c>
      <c r="I23" s="8" t="inlineStr">
        <is>
          <t>用户正常生效</t>
        </is>
      </c>
      <c r="J23" s="8" t="n">
        <v>18348.07</v>
      </c>
      <c r="K23" s="8" t="n">
        <v>0</v>
      </c>
      <c r="L23" s="8" t="n">
        <v>18348.07</v>
      </c>
      <c r="M23" s="155" t="n"/>
      <c r="N23" s="155" t="n"/>
      <c r="O23" s="155" t="n"/>
      <c r="P23" s="155" t="n"/>
      <c r="Q23" s="155" t="n"/>
      <c r="R23" s="155" t="n"/>
      <c r="S23" s="8" t="n">
        <v>852.714285714286</v>
      </c>
      <c r="T23" s="9" t="n"/>
      <c r="U23" s="8" t="n"/>
      <c r="V23" s="8" t="n"/>
      <c r="W23" s="8" t="n"/>
      <c r="X23" s="8" t="n"/>
      <c r="Y23" s="8" t="inlineStr">
        <is>
          <t>20.9.27开户，只核算消费不计新单</t>
        </is>
      </c>
    </row>
    <row r="24">
      <c r="A24" s="8" t="inlineStr">
        <is>
          <t>大搜</t>
        </is>
      </c>
      <c r="B24" s="8" t="inlineStr">
        <is>
          <t>天燕堂(厦门)生物科技有限公司</t>
        </is>
      </c>
      <c r="C24" s="8" t="inlineStr">
        <is>
          <t>www.tytxm.com</t>
        </is>
      </c>
      <c r="D24" s="8" t="inlineStr">
        <is>
          <t>天燕堂生物</t>
        </is>
      </c>
      <c r="E24" s="9" t="n">
        <v>43682.72137731482</v>
      </c>
      <c r="F24" s="8" t="inlineStr">
        <is>
          <t>赖春连</t>
        </is>
      </c>
      <c r="G24" s="8" t="inlineStr">
        <is>
          <t>维护部门</t>
        </is>
      </c>
      <c r="H24" s="8" t="inlineStr">
        <is>
          <t>xm维护27</t>
        </is>
      </c>
      <c r="I24" s="8" t="inlineStr">
        <is>
          <t>该用户被拒绝</t>
        </is>
      </c>
      <c r="J24" s="8" t="n">
        <v>0</v>
      </c>
      <c r="K24" s="8" t="n">
        <v>0</v>
      </c>
      <c r="L24" s="8" t="n">
        <v>0</v>
      </c>
      <c r="M24" s="155" t="n">
        <v>8000</v>
      </c>
      <c r="N24" s="155" t="n">
        <v>0</v>
      </c>
      <c r="O24" s="155" t="n">
        <v>8000</v>
      </c>
      <c r="P24" s="155" t="n"/>
      <c r="Q24" s="155" t="n"/>
      <c r="R24" s="155" t="n"/>
      <c r="S24" s="8" t="n">
        <v>0</v>
      </c>
      <c r="T24" s="9" t="n">
        <v>43670.66274305555</v>
      </c>
      <c r="U24" s="8" t="inlineStr">
        <is>
          <t>完成</t>
        </is>
      </c>
      <c r="V24" s="8" t="inlineStr">
        <is>
          <t>厦门</t>
        </is>
      </c>
      <c r="W24" s="8" t="inlineStr">
        <is>
          <t>翼百信2</t>
        </is>
      </c>
      <c r="X24" s="8" t="inlineStr">
        <is>
          <t>连祖</t>
        </is>
      </c>
      <c r="Y24" s="8" t="n"/>
    </row>
    <row r="25">
      <c r="A25" s="8" t="inlineStr">
        <is>
          <t>大搜</t>
        </is>
      </c>
      <c r="B25" s="8" t="inlineStr">
        <is>
          <t>厦门秀邦建筑材料有限公司</t>
        </is>
      </c>
      <c r="C25" s="8" t="inlineStr">
        <is>
          <t>http://www.xmxbdp.com/</t>
        </is>
      </c>
      <c r="D25" s="8" t="inlineStr">
        <is>
          <t>厦门秀邦</t>
        </is>
      </c>
      <c r="E25" s="9" t="n">
        <v>43684.4519212963</v>
      </c>
      <c r="F25" s="8" t="inlineStr">
        <is>
          <t>朱书兰</t>
        </is>
      </c>
      <c r="G25" s="8" t="inlineStr">
        <is>
          <t>行发维护大区</t>
        </is>
      </c>
      <c r="H25" s="8" t="inlineStr">
        <is>
          <t>xm维护35</t>
        </is>
      </c>
      <c r="I25" s="8" t="inlineStr">
        <is>
          <t>用户帐面为零</t>
        </is>
      </c>
      <c r="J25" s="8" t="n">
        <v>0</v>
      </c>
      <c r="K25" s="8" t="n">
        <v>0</v>
      </c>
      <c r="L25" s="8" t="n">
        <v>0</v>
      </c>
      <c r="M25" s="155" t="n">
        <v>7400</v>
      </c>
      <c r="N25" s="155" t="n">
        <v>0</v>
      </c>
      <c r="O25" s="155" t="n">
        <v>7400</v>
      </c>
      <c r="P25" s="155" t="n"/>
      <c r="Q25" s="155" t="n"/>
      <c r="R25" s="155" t="n"/>
      <c r="S25" s="8" t="n">
        <v>0</v>
      </c>
      <c r="T25" s="9" t="n">
        <v>43670.66934027777</v>
      </c>
      <c r="U25" s="8" t="inlineStr">
        <is>
          <t>完成</t>
        </is>
      </c>
      <c r="V25" s="8" t="inlineStr">
        <is>
          <t>厦门</t>
        </is>
      </c>
      <c r="W25" s="8" t="inlineStr">
        <is>
          <t>翼百信2</t>
        </is>
      </c>
      <c r="X25" s="8" t="inlineStr">
        <is>
          <t>连祖</t>
        </is>
      </c>
      <c r="Y25" s="8" t="n"/>
    </row>
    <row r="26">
      <c r="A26" s="8" t="inlineStr">
        <is>
          <t>大搜</t>
        </is>
      </c>
      <c r="B26" s="8" t="inlineStr">
        <is>
          <t>厦门乐创多点文化创意有限公司</t>
        </is>
      </c>
      <c r="C26" s="8" t="inlineStr">
        <is>
          <t>www.lcdostudio.cn</t>
        </is>
      </c>
      <c r="D26" s="8" t="inlineStr">
        <is>
          <t>厦门乐创多点</t>
        </is>
      </c>
      <c r="E26" s="9" t="n">
        <v>43684.72150462963</v>
      </c>
      <c r="F26" s="8" t="inlineStr">
        <is>
          <t>纪荣裕</t>
        </is>
      </c>
      <c r="G26" s="8" t="inlineStr">
        <is>
          <t>失效挽救部</t>
        </is>
      </c>
      <c r="H26" s="8" t="inlineStr">
        <is>
          <t>易尔通客服五部</t>
        </is>
      </c>
      <c r="I26" s="8" t="inlineStr">
        <is>
          <t>该用户被拒绝</t>
        </is>
      </c>
      <c r="J26" s="8" t="n">
        <v>0</v>
      </c>
      <c r="K26" s="8" t="n">
        <v>0</v>
      </c>
      <c r="L26" s="8" t="n">
        <v>0</v>
      </c>
      <c r="M26" s="155" t="n">
        <v>8000</v>
      </c>
      <c r="N26" s="155" t="n">
        <v>0</v>
      </c>
      <c r="O26" s="155" t="n">
        <v>8000</v>
      </c>
      <c r="P26" s="155" t="n"/>
      <c r="Q26" s="155" t="n"/>
      <c r="R26" s="155" t="n"/>
      <c r="S26" s="8" t="n">
        <v>0</v>
      </c>
      <c r="T26" s="9" t="n">
        <v>43682.70613425926</v>
      </c>
      <c r="U26" s="8" t="inlineStr">
        <is>
          <t>完成</t>
        </is>
      </c>
      <c r="V26" s="8" t="inlineStr">
        <is>
          <t>厦门</t>
        </is>
      </c>
      <c r="W26" s="8" t="inlineStr">
        <is>
          <t>翼百信1</t>
        </is>
      </c>
      <c r="X26" s="8" t="inlineStr">
        <is>
          <t>陈鑫</t>
        </is>
      </c>
      <c r="Y26" s="8" t="n"/>
    </row>
    <row r="27">
      <c r="A27" s="8" t="inlineStr">
        <is>
          <t>大搜</t>
        </is>
      </c>
      <c r="B27" s="8" t="inlineStr">
        <is>
          <t>厦门洛克泵阀制造有限公司</t>
        </is>
      </c>
      <c r="C27" s="8" t="inlineStr">
        <is>
          <t>www.lockefm.com</t>
        </is>
      </c>
      <c r="D27" s="8" t="inlineStr">
        <is>
          <t>洛克泵阀</t>
        </is>
      </c>
      <c r="E27" s="9" t="n">
        <v>43686.71653935185</v>
      </c>
      <c r="F27" s="8" t="inlineStr">
        <is>
          <t>柯志鸿</t>
        </is>
      </c>
      <c r="G27" s="8" t="inlineStr">
        <is>
          <t>失效挽救部</t>
        </is>
      </c>
      <c r="H27" s="8" t="inlineStr">
        <is>
          <t>易尔通客服一部</t>
        </is>
      </c>
      <c r="I27" s="8" t="inlineStr">
        <is>
          <t>该用户被拒绝</t>
        </is>
      </c>
      <c r="J27" s="8" t="n">
        <v>0</v>
      </c>
      <c r="K27" s="8" t="n">
        <v>0</v>
      </c>
      <c r="L27" s="8" t="n">
        <v>0</v>
      </c>
      <c r="M27" s="155" t="n">
        <v>5000</v>
      </c>
      <c r="N27" s="155" t="n">
        <v>0</v>
      </c>
      <c r="O27" s="155" t="n">
        <v>5000</v>
      </c>
      <c r="P27" s="155" t="n"/>
      <c r="Q27" s="155" t="n"/>
      <c r="R27" s="155" t="n"/>
      <c r="S27" s="8" t="n">
        <v>0</v>
      </c>
      <c r="T27" s="9" t="n">
        <v>43684.37864583333</v>
      </c>
      <c r="U27" s="8" t="inlineStr">
        <is>
          <t>完成</t>
        </is>
      </c>
      <c r="V27" s="8" t="inlineStr">
        <is>
          <t>厦门</t>
        </is>
      </c>
      <c r="W27" s="8" t="inlineStr">
        <is>
          <t>翼百信2</t>
        </is>
      </c>
      <c r="X27" s="8" t="inlineStr">
        <is>
          <t>连祖</t>
        </is>
      </c>
      <c r="Y27" s="8" t="n"/>
    </row>
    <row r="28">
      <c r="A28" s="8" t="inlineStr">
        <is>
          <t>大搜</t>
        </is>
      </c>
      <c r="B28" s="8" t="inlineStr">
        <is>
          <t>厦门鑫梦之旅旅行社有限公司</t>
        </is>
      </c>
      <c r="C28" s="8" t="inlineStr">
        <is>
          <t>www.xmlvyouguanjia.com</t>
        </is>
      </c>
      <c r="D28" s="8" t="inlineStr">
        <is>
          <t>鑫梦之旅</t>
        </is>
      </c>
      <c r="E28" s="9" t="n">
        <v>43707</v>
      </c>
      <c r="F28" s="8" t="inlineStr">
        <is>
          <t>无</t>
        </is>
      </c>
      <c r="G28" s="8" t="inlineStr">
        <is>
          <t>失效挽救部</t>
        </is>
      </c>
      <c r="H28" s="8" t="inlineStr">
        <is>
          <t>易尔通客服六部</t>
        </is>
      </c>
      <c r="I28" s="8" t="inlineStr">
        <is>
          <t>该用户被拒绝</t>
        </is>
      </c>
      <c r="J28" s="8" t="n">
        <v>0</v>
      </c>
      <c r="K28" s="8" t="n">
        <v>0</v>
      </c>
      <c r="L28" s="8" t="n">
        <v>0</v>
      </c>
      <c r="M28" s="155" t="n">
        <v>21200</v>
      </c>
      <c r="N28" s="155" t="n">
        <v>0</v>
      </c>
      <c r="O28" s="155" t="n">
        <v>21200</v>
      </c>
      <c r="P28" s="155" t="n"/>
      <c r="Q28" s="155" t="n"/>
      <c r="R28" s="155" t="n"/>
      <c r="S28" s="8" t="n">
        <v>0</v>
      </c>
      <c r="T28" s="9" t="n">
        <v>43690.519375</v>
      </c>
      <c r="U28" s="8" t="inlineStr">
        <is>
          <t>完成</t>
        </is>
      </c>
      <c r="V28" s="8" t="inlineStr">
        <is>
          <t>厦门</t>
        </is>
      </c>
      <c r="W28" s="8" t="inlineStr">
        <is>
          <t>翼百信2</t>
        </is>
      </c>
      <c r="X28" s="8" t="inlineStr">
        <is>
          <t>连祖</t>
        </is>
      </c>
      <c r="Y28" s="8" t="n"/>
    </row>
    <row r="29">
      <c r="A29" s="8" t="inlineStr">
        <is>
          <t>大搜+信息流</t>
        </is>
      </c>
      <c r="B29" s="8" t="inlineStr">
        <is>
          <t>泉州市长兴化工材料有限公司</t>
        </is>
      </c>
      <c r="C29" s="8" t="inlineStr">
        <is>
          <t>www.townwe.com</t>
        </is>
      </c>
      <c r="D29" s="8" t="inlineStr">
        <is>
          <t>招商加盟-长兴化工</t>
        </is>
      </c>
      <c r="E29" s="9" t="n">
        <v>43697</v>
      </c>
      <c r="F29" s="8" t="inlineStr">
        <is>
          <t>吴燕红</t>
        </is>
      </c>
      <c r="G29" s="8" t="inlineStr">
        <is>
          <t>泉州中小企业增值部</t>
        </is>
      </c>
      <c r="H29" s="8" t="inlineStr">
        <is>
          <t>qz新开01</t>
        </is>
      </c>
      <c r="I29" s="8" t="inlineStr">
        <is>
          <t>该用户被拒绝</t>
        </is>
      </c>
      <c r="J29" s="8" t="n">
        <v>0</v>
      </c>
      <c r="K29" s="8" t="n">
        <v>0</v>
      </c>
      <c r="L29" s="8" t="n">
        <v>0</v>
      </c>
      <c r="M29" s="155" t="n">
        <v>29400</v>
      </c>
      <c r="N29" s="155" t="n">
        <v>3000</v>
      </c>
      <c r="O29" s="155" t="n">
        <v>32400</v>
      </c>
      <c r="P29" s="155" t="n"/>
      <c r="Q29" s="155" t="n"/>
      <c r="R29" s="155" t="n"/>
      <c r="S29" s="8" t="n">
        <v>0</v>
      </c>
      <c r="T29" s="9" t="n">
        <v>43691</v>
      </c>
      <c r="U29" s="8" t="inlineStr">
        <is>
          <t>泉州代下单</t>
        </is>
      </c>
      <c r="V29" s="8" t="n"/>
      <c r="W29" s="8" t="n"/>
      <c r="X29" s="8" t="n"/>
      <c r="Y29" s="8" t="n"/>
    </row>
    <row r="30">
      <c r="A30" s="25" t="inlineStr">
        <is>
          <t>大搜</t>
        </is>
      </c>
      <c r="B30" s="25" t="inlineStr">
        <is>
          <t>厦门华丽龙塑胶工贸有限公司</t>
        </is>
      </c>
      <c r="C30" s="25" t="inlineStr">
        <is>
          <t>www.xmhllgs.com</t>
        </is>
      </c>
      <c r="D30" s="25" t="inlineStr">
        <is>
          <t>xm华丽龙</t>
        </is>
      </c>
      <c r="E30" s="27" t="n">
        <v>43775</v>
      </c>
      <c r="F30" s="8" t="inlineStr">
        <is>
          <t>代玉</t>
        </is>
      </c>
      <c r="G30" s="8" t="inlineStr">
        <is>
          <t>维护部门</t>
        </is>
      </c>
      <c r="H30" s="8" t="inlineStr">
        <is>
          <t>xm维护37</t>
        </is>
      </c>
      <c r="I30" s="8" t="inlineStr">
        <is>
          <t>用户正常生效</t>
        </is>
      </c>
      <c r="J30" s="8" t="n">
        <v>0</v>
      </c>
      <c r="K30" s="8" t="n">
        <v>0</v>
      </c>
      <c r="L30" s="8" t="n">
        <v>0</v>
      </c>
      <c r="M30" s="155" t="n">
        <v>7400</v>
      </c>
      <c r="N30" s="155" t="n">
        <v>0</v>
      </c>
      <c r="O30" s="155" t="n">
        <v>7400</v>
      </c>
      <c r="P30" s="155" t="n"/>
      <c r="Q30" s="155" t="n"/>
      <c r="R30" s="155" t="n"/>
      <c r="S30" s="8" t="n">
        <v>280.12</v>
      </c>
      <c r="T30" s="27" t="n">
        <v>43692.73603009259</v>
      </c>
      <c r="U30" s="25" t="inlineStr">
        <is>
          <t>Q4开户</t>
        </is>
      </c>
      <c r="V30" s="25" t="inlineStr">
        <is>
          <t>厦门</t>
        </is>
      </c>
      <c r="W30" s="25" t="inlineStr">
        <is>
          <t>翼百信1</t>
        </is>
      </c>
      <c r="X30" s="25" t="inlineStr">
        <is>
          <t>陈韬</t>
        </is>
      </c>
      <c r="Y30" s="8" t="inlineStr">
        <is>
          <t>Q3未计单</t>
        </is>
      </c>
    </row>
    <row r="31">
      <c r="A31" s="8" t="inlineStr">
        <is>
          <t>大搜+信息流</t>
        </is>
      </c>
      <c r="B31" s="8" t="inlineStr">
        <is>
          <t>厦门太平货柜制造有限公司</t>
        </is>
      </c>
      <c r="C31" s="8" t="inlineStr">
        <is>
          <t>http://www.singamas-xpcl.com</t>
        </is>
      </c>
      <c r="D31" s="8" t="inlineStr">
        <is>
          <t>厦门太平</t>
        </is>
      </c>
      <c r="E31" s="9" t="n">
        <v>43711</v>
      </c>
      <c r="F31" s="8" t="inlineStr">
        <is>
          <t>苏晨</t>
        </is>
      </c>
      <c r="G31" s="8" t="inlineStr">
        <is>
          <t>失效挽救部</t>
        </is>
      </c>
      <c r="H31" s="8" t="inlineStr">
        <is>
          <t>xm复活001</t>
        </is>
      </c>
      <c r="I31" s="8" t="inlineStr">
        <is>
          <t>该用户被拒绝</t>
        </is>
      </c>
      <c r="J31" s="8" t="n">
        <v>0</v>
      </c>
      <c r="K31" s="8" t="n">
        <v>0</v>
      </c>
      <c r="L31" s="8" t="n">
        <v>0</v>
      </c>
      <c r="M31" s="155" t="n">
        <v>10000</v>
      </c>
      <c r="N31" s="155" t="n">
        <v>3000</v>
      </c>
      <c r="O31" s="155" t="n">
        <v>13000</v>
      </c>
      <c r="P31" s="155" t="n"/>
      <c r="Q31" s="155" t="n"/>
      <c r="R31" s="155" t="n"/>
      <c r="S31" s="8" t="n">
        <v>0</v>
      </c>
      <c r="T31" s="9" t="n">
        <v>43710</v>
      </c>
      <c r="U31" s="8" t="inlineStr">
        <is>
          <t>完成</t>
        </is>
      </c>
      <c r="V31" s="8" t="inlineStr">
        <is>
          <t>厦门</t>
        </is>
      </c>
      <c r="W31" s="8" t="inlineStr">
        <is>
          <t>翼百信2</t>
        </is>
      </c>
      <c r="X31" s="8" t="inlineStr">
        <is>
          <t>连祖</t>
        </is>
      </c>
      <c r="Y31" s="8" t="n"/>
    </row>
    <row r="32">
      <c r="A32" s="8" t="inlineStr">
        <is>
          <t>大搜</t>
        </is>
      </c>
      <c r="B32" s="8" t="inlineStr">
        <is>
          <t>厦门梦乾坤网络科技有限公司</t>
        </is>
      </c>
      <c r="C32" s="8" t="inlineStr">
        <is>
          <t>https://shop363741549.taobao.com/</t>
        </is>
      </c>
      <c r="D32" s="8" t="inlineStr">
        <is>
          <t>梦乾坤</t>
        </is>
      </c>
      <c r="E32" s="9" t="n">
        <v>43707</v>
      </c>
      <c r="F32" s="8" t="inlineStr">
        <is>
          <t>柯志鸿</t>
        </is>
      </c>
      <c r="G32" s="8" t="inlineStr">
        <is>
          <t>失效挽救部</t>
        </is>
      </c>
      <c r="H32" s="8" t="inlineStr">
        <is>
          <t>易尔通客服一部</t>
        </is>
      </c>
      <c r="I32" s="8" t="inlineStr">
        <is>
          <t>该用户被拒绝</t>
        </is>
      </c>
      <c r="J32" s="8" t="n">
        <v>0</v>
      </c>
      <c r="K32" s="8" t="n">
        <v>0</v>
      </c>
      <c r="L32" s="8" t="n">
        <v>0</v>
      </c>
      <c r="M32" s="155" t="n">
        <v>6000</v>
      </c>
      <c r="N32" s="155" t="n">
        <v>0</v>
      </c>
      <c r="O32" s="155" t="n">
        <v>6000</v>
      </c>
      <c r="P32" s="155" t="n"/>
      <c r="Q32" s="155" t="n"/>
      <c r="R32" s="155" t="n"/>
      <c r="S32" s="8" t="n">
        <v>0</v>
      </c>
      <c r="T32" s="9" t="n">
        <v>43710</v>
      </c>
      <c r="U32" s="8" t="inlineStr">
        <is>
          <t>完成</t>
        </is>
      </c>
      <c r="V32" s="8" t="inlineStr">
        <is>
          <t>厦门</t>
        </is>
      </c>
      <c r="W32" s="8" t="inlineStr">
        <is>
          <t>翼百信2</t>
        </is>
      </c>
      <c r="X32" s="8" t="inlineStr">
        <is>
          <t>连祖</t>
        </is>
      </c>
      <c r="Y32" s="8" t="n"/>
    </row>
    <row r="33">
      <c r="A33" s="25" t="inlineStr">
        <is>
          <t>大搜</t>
        </is>
      </c>
      <c r="B33" s="25" t="inlineStr">
        <is>
          <t>凡港(厦门)科技有限公司</t>
        </is>
      </c>
      <c r="C33" s="25" t="inlineStr">
        <is>
          <t>http://www.e-vanport.cn</t>
        </is>
      </c>
      <c r="D33" s="25" t="inlineStr">
        <is>
          <t>凡港</t>
        </is>
      </c>
      <c r="E33" s="27" t="n">
        <v>43809</v>
      </c>
      <c r="F33" s="8" t="inlineStr">
        <is>
          <t>纪荣裕</t>
        </is>
      </c>
      <c r="G33" s="8" t="inlineStr">
        <is>
          <t>失效挽救部</t>
        </is>
      </c>
      <c r="H33" s="8" t="inlineStr">
        <is>
          <t>易尔通客服五部</t>
        </is>
      </c>
      <c r="I33" s="8" t="inlineStr">
        <is>
          <t>该用户被拒绝</t>
        </is>
      </c>
      <c r="J33" s="8" t="n">
        <v>0</v>
      </c>
      <c r="K33" s="8" t="n">
        <v>0</v>
      </c>
      <c r="L33" s="8" t="n">
        <v>0</v>
      </c>
      <c r="M33" s="155" t="n">
        <v>8000</v>
      </c>
      <c r="N33" s="155" t="n">
        <v>0</v>
      </c>
      <c r="O33" s="155" t="n">
        <v>8000</v>
      </c>
      <c r="P33" s="155" t="n"/>
      <c r="Q33" s="155" t="n"/>
      <c r="R33" s="155" t="n"/>
      <c r="S33" s="8" t="n">
        <v>0</v>
      </c>
      <c r="T33" s="27" t="n">
        <v>43717</v>
      </c>
      <c r="U33" s="25" t="inlineStr">
        <is>
          <t>Q4开户</t>
        </is>
      </c>
      <c r="V33" s="25" t="inlineStr">
        <is>
          <t>厦门</t>
        </is>
      </c>
      <c r="W33" s="25" t="inlineStr">
        <is>
          <t>翼百信1</t>
        </is>
      </c>
      <c r="X33" s="25" t="inlineStr">
        <is>
          <t>吴海娟</t>
        </is>
      </c>
      <c r="Y33" s="8" t="inlineStr">
        <is>
          <t>Q3未计单</t>
        </is>
      </c>
    </row>
    <row r="34">
      <c r="A34" s="8" t="inlineStr">
        <is>
          <t>大搜</t>
        </is>
      </c>
      <c r="B34" s="8" t="inlineStr">
        <is>
          <t>厦门嘉音包装设备有限公司</t>
        </is>
      </c>
      <c r="C34" s="8" t="inlineStr">
        <is>
          <t>http://www.xmjoinpack.com.cn/</t>
        </is>
      </c>
      <c r="D34" s="8" t="inlineStr">
        <is>
          <t>xm嘉音</t>
        </is>
      </c>
      <c r="E34" s="9" t="n">
        <v>43728</v>
      </c>
      <c r="F34" s="8" t="inlineStr">
        <is>
          <t>林志龙</t>
        </is>
      </c>
      <c r="G34" s="8" t="inlineStr">
        <is>
          <t>失效挽救部</t>
        </is>
      </c>
      <c r="H34" s="8" t="inlineStr">
        <is>
          <t>易尔通客服二部</t>
        </is>
      </c>
      <c r="I34" s="8" t="inlineStr">
        <is>
          <t>该用户被拒绝</t>
        </is>
      </c>
      <c r="J34" s="8" t="n">
        <v>0</v>
      </c>
      <c r="K34" s="8" t="n">
        <v>0</v>
      </c>
      <c r="L34" s="8" t="n">
        <v>0</v>
      </c>
      <c r="M34" s="155" t="n">
        <v>20000</v>
      </c>
      <c r="N34" s="155" t="n">
        <v>0</v>
      </c>
      <c r="O34" s="155" t="n">
        <v>20000</v>
      </c>
      <c r="P34" s="155" t="n"/>
      <c r="Q34" s="155" t="n"/>
      <c r="R34" s="155" t="n"/>
      <c r="S34" s="8" t="n">
        <v>0</v>
      </c>
      <c r="T34" s="9" t="n">
        <v>43727</v>
      </c>
      <c r="U34" s="8" t="inlineStr">
        <is>
          <t>完成</t>
        </is>
      </c>
      <c r="V34" s="8" t="inlineStr">
        <is>
          <t>厦门</t>
        </is>
      </c>
      <c r="W34" s="8" t="inlineStr">
        <is>
          <t>翼百信1</t>
        </is>
      </c>
      <c r="X34" s="8" t="inlineStr">
        <is>
          <t>陈远萍</t>
        </is>
      </c>
      <c r="Y34" s="8" t="n"/>
    </row>
    <row r="35">
      <c r="A35" s="25" t="inlineStr">
        <is>
          <t>大搜+信息流</t>
        </is>
      </c>
      <c r="B35" s="25" t="inlineStr">
        <is>
          <t>厦门集才通工程管理咨询有限公司</t>
        </is>
      </c>
      <c r="C35" s="25" t="inlineStr">
        <is>
          <t>www.hizzj.com</t>
        </is>
      </c>
      <c r="D35" s="25" t="inlineStr">
        <is>
          <t>集才通</t>
        </is>
      </c>
      <c r="E35" s="27" t="n">
        <v>43748</v>
      </c>
      <c r="F35" s="8" t="inlineStr">
        <is>
          <t>陈婷</t>
        </is>
      </c>
      <c r="G35" s="8" t="inlineStr">
        <is>
          <t>大客部门</t>
        </is>
      </c>
      <c r="H35" s="8" t="inlineStr">
        <is>
          <t>xm商务04</t>
        </is>
      </c>
      <c r="I35" s="8" t="inlineStr">
        <is>
          <t>该用户被拒绝</t>
        </is>
      </c>
      <c r="J35" s="8" t="n">
        <v>0</v>
      </c>
      <c r="K35" s="8" t="n">
        <v>0</v>
      </c>
      <c r="L35" s="8" t="n">
        <v>0</v>
      </c>
      <c r="M35" s="155" t="n">
        <v>10000</v>
      </c>
      <c r="N35" s="155" t="n">
        <v>3000</v>
      </c>
      <c r="O35" s="155" t="n">
        <v>13000</v>
      </c>
      <c r="P35" s="155" t="n"/>
      <c r="Q35" s="155" t="n"/>
      <c r="R35" s="155" t="n"/>
      <c r="S35" s="8" t="n">
        <v>0</v>
      </c>
      <c r="T35" s="27" t="n">
        <v>43727</v>
      </c>
      <c r="U35" s="25" t="inlineStr">
        <is>
          <t>Q4开户</t>
        </is>
      </c>
      <c r="V35" s="25" t="inlineStr">
        <is>
          <t>厦门</t>
        </is>
      </c>
      <c r="W35" s="25" t="inlineStr">
        <is>
          <t>翼百信2</t>
        </is>
      </c>
      <c r="X35" s="25" t="inlineStr">
        <is>
          <t>连祖</t>
        </is>
      </c>
      <c r="Y35" s="8" t="inlineStr">
        <is>
          <t>Q3未计单</t>
        </is>
      </c>
    </row>
    <row r="36">
      <c r="A36" s="8" t="inlineStr">
        <is>
          <t>大搜</t>
        </is>
      </c>
      <c r="B36" s="8" t="inlineStr">
        <is>
          <t>厦门屹宏电子科技有限公司</t>
        </is>
      </c>
      <c r="C36" s="8" t="inlineStr">
        <is>
          <t>http://ic-yihong.com/</t>
        </is>
      </c>
      <c r="D36" s="8" t="inlineStr">
        <is>
          <t>屹宏电子</t>
        </is>
      </c>
      <c r="E36" s="9" t="n">
        <v>43753</v>
      </c>
      <c r="F36" s="8" t="inlineStr">
        <is>
          <t>陈丽环</t>
        </is>
      </c>
      <c r="G36" s="8" t="inlineStr">
        <is>
          <t>维护部门</t>
        </is>
      </c>
      <c r="H36" s="8" t="inlineStr">
        <is>
          <t>xm维护09</t>
        </is>
      </c>
      <c r="I36" s="8" t="inlineStr">
        <is>
          <t>该用户被拒绝</t>
        </is>
      </c>
      <c r="J36" s="8" t="n">
        <v>0</v>
      </c>
      <c r="K36" s="8" t="n">
        <v>0</v>
      </c>
      <c r="L36" s="8" t="n">
        <v>0</v>
      </c>
      <c r="M36" s="155" t="n">
        <v>7650</v>
      </c>
      <c r="N36" s="155" t="n">
        <v>0</v>
      </c>
      <c r="O36" s="155" t="n">
        <v>7650</v>
      </c>
      <c r="P36" s="155" t="n"/>
      <c r="Q36" s="155" t="n"/>
      <c r="R36" s="155" t="n"/>
      <c r="S36" s="8" t="n">
        <v>0</v>
      </c>
      <c r="T36" s="9" t="n">
        <v>43752</v>
      </c>
      <c r="U36" s="8" t="inlineStr">
        <is>
          <t>完成</t>
        </is>
      </c>
      <c r="V36" s="8" t="inlineStr">
        <is>
          <t>厦门</t>
        </is>
      </c>
      <c r="W36" s="8" t="inlineStr">
        <is>
          <t>翼百信1</t>
        </is>
      </c>
      <c r="X36" s="8" t="inlineStr">
        <is>
          <t>杨彩云</t>
        </is>
      </c>
      <c r="Y36" s="8" t="n"/>
    </row>
    <row r="37">
      <c r="A37" s="8" t="inlineStr">
        <is>
          <t>大搜</t>
        </is>
      </c>
      <c r="B37" s="8" t="inlineStr">
        <is>
          <t>厦门诺慧谦信息技术有限公司</t>
        </is>
      </c>
      <c r="C37" s="8" t="inlineStr">
        <is>
          <t>www.qiannh.cn</t>
        </is>
      </c>
      <c r="D37" s="8" t="inlineStr">
        <is>
          <t>诺慧谦</t>
        </is>
      </c>
      <c r="E37" s="9" t="n">
        <v>43763</v>
      </c>
      <c r="F37" s="8" t="inlineStr">
        <is>
          <t>无</t>
        </is>
      </c>
      <c r="G37" s="8" t="inlineStr">
        <is>
          <t>失效挽救部</t>
        </is>
      </c>
      <c r="H37" s="8" t="inlineStr">
        <is>
          <t>易尔通客服六部</t>
        </is>
      </c>
      <c r="I37" s="8" t="inlineStr">
        <is>
          <t>该用户被拒绝</t>
        </is>
      </c>
      <c r="J37" s="8" t="n">
        <v>0</v>
      </c>
      <c r="K37" s="8" t="n">
        <v>0</v>
      </c>
      <c r="L37" s="8" t="n">
        <v>0</v>
      </c>
      <c r="M37" s="155" t="n">
        <v>11200</v>
      </c>
      <c r="N37" s="155" t="n">
        <v>0</v>
      </c>
      <c r="O37" s="155" t="n">
        <v>11200</v>
      </c>
      <c r="P37" s="155" t="n"/>
      <c r="Q37" s="155" t="n"/>
      <c r="R37" s="155" t="n"/>
      <c r="S37" s="8" t="n">
        <v>0</v>
      </c>
      <c r="T37" s="9" t="n">
        <v>43762</v>
      </c>
      <c r="U37" s="8" t="inlineStr">
        <is>
          <t>完成</t>
        </is>
      </c>
      <c r="V37" s="8" t="inlineStr">
        <is>
          <t>厦门</t>
        </is>
      </c>
      <c r="W37" s="8" t="inlineStr">
        <is>
          <t>翼百信2</t>
        </is>
      </c>
      <c r="X37" s="8" t="inlineStr">
        <is>
          <t>连祖</t>
        </is>
      </c>
      <c r="Y37" s="8" t="n"/>
    </row>
    <row r="38">
      <c r="A38" s="8" t="inlineStr">
        <is>
          <t>大搜+信息流</t>
        </is>
      </c>
      <c r="B38" s="8" t="inlineStr">
        <is>
          <t>厦门市信巴信息科技有限公司</t>
        </is>
      </c>
      <c r="C38" s="8" t="inlineStr">
        <is>
          <t>www.x18188.com</t>
        </is>
      </c>
      <c r="D38" s="8" t="inlineStr">
        <is>
          <t>信巴信息</t>
        </is>
      </c>
      <c r="E38" s="9" t="n">
        <v>43767</v>
      </c>
      <c r="F38" s="8" t="inlineStr">
        <is>
          <t>柯志鸿</t>
        </is>
      </c>
      <c r="G38" s="8" t="inlineStr">
        <is>
          <t>失效挽救部</t>
        </is>
      </c>
      <c r="H38" s="8" t="inlineStr">
        <is>
          <t>易尔通客服一部</t>
        </is>
      </c>
      <c r="I38" s="8" t="inlineStr">
        <is>
          <t>该用户被拒绝</t>
        </is>
      </c>
      <c r="J38" s="8" t="n">
        <v>0</v>
      </c>
      <c r="K38" s="8" t="n">
        <v>0</v>
      </c>
      <c r="L38" s="8" t="n">
        <v>0</v>
      </c>
      <c r="M38" s="155" t="n">
        <v>10000</v>
      </c>
      <c r="N38" s="155" t="n">
        <v>3000</v>
      </c>
      <c r="O38" s="155" t="n">
        <v>13000</v>
      </c>
      <c r="P38" s="155" t="n"/>
      <c r="Q38" s="155" t="n"/>
      <c r="R38" s="155" t="n"/>
      <c r="S38" s="8" t="n">
        <v>0</v>
      </c>
      <c r="T38" s="9" t="n">
        <v>43763</v>
      </c>
      <c r="U38" s="8" t="inlineStr">
        <is>
          <t xml:space="preserve">完成 </t>
        </is>
      </c>
      <c r="V38" s="8" t="inlineStr">
        <is>
          <t>厦门</t>
        </is>
      </c>
      <c r="W38" s="8" t="inlineStr">
        <is>
          <t>翼百信2</t>
        </is>
      </c>
      <c r="X38" s="8" t="inlineStr">
        <is>
          <t>连祖</t>
        </is>
      </c>
      <c r="Y38" s="8" t="n"/>
    </row>
    <row r="39">
      <c r="A39" s="8" t="inlineStr">
        <is>
          <t>大搜+信息流</t>
        </is>
      </c>
      <c r="B39" s="8" t="inlineStr">
        <is>
          <t>厦门裕海鸿门业有限公司</t>
        </is>
      </c>
      <c r="C39" s="8" t="inlineStr">
        <is>
          <t>www.xmdaozha.com</t>
        </is>
      </c>
      <c r="D39" s="8" t="inlineStr">
        <is>
          <t>厦门裕海鸿</t>
        </is>
      </c>
      <c r="E39" s="9" t="n">
        <v>43789</v>
      </c>
      <c r="F39" s="8" t="inlineStr">
        <is>
          <t>林志龙</t>
        </is>
      </c>
      <c r="G39" s="8" t="inlineStr">
        <is>
          <t>失效挽救部</t>
        </is>
      </c>
      <c r="H39" s="8" t="inlineStr">
        <is>
          <t>易尔通客服二部</t>
        </is>
      </c>
      <c r="I39" s="8" t="inlineStr">
        <is>
          <t>该用户被拒绝</t>
        </is>
      </c>
      <c r="J39" s="8" t="n">
        <v>0</v>
      </c>
      <c r="K39" s="8" t="n">
        <v>0</v>
      </c>
      <c r="L39" s="8" t="n">
        <v>0</v>
      </c>
      <c r="M39" s="155" t="n">
        <v>8800</v>
      </c>
      <c r="N39" s="155" t="n">
        <v>3000</v>
      </c>
      <c r="O39" s="155" t="n">
        <v>11800</v>
      </c>
      <c r="P39" s="155" t="n"/>
      <c r="Q39" s="155" t="n"/>
      <c r="R39" s="155" t="n"/>
      <c r="S39" s="8" t="n">
        <v>0</v>
      </c>
      <c r="T39" s="9" t="n">
        <v>43769</v>
      </c>
      <c r="U39" s="8" t="inlineStr">
        <is>
          <t xml:space="preserve">完成 </t>
        </is>
      </c>
      <c r="V39" s="8" t="inlineStr">
        <is>
          <t>厦门</t>
        </is>
      </c>
      <c r="W39" s="8" t="inlineStr">
        <is>
          <t>翼百信2</t>
        </is>
      </c>
      <c r="X39" s="8" t="inlineStr">
        <is>
          <t>连祖</t>
        </is>
      </c>
      <c r="Y39" s="8" t="n"/>
    </row>
    <row r="40">
      <c r="A40" s="25" t="inlineStr">
        <is>
          <t>大搜+信息流</t>
        </is>
      </c>
      <c r="B40" s="25" t="inlineStr">
        <is>
          <t>厦门金玉晟电子商务有限公司</t>
        </is>
      </c>
      <c r="C40" s="25" t="inlineStr">
        <is>
          <t>qianhu.wejianzhang.com</t>
        </is>
      </c>
      <c r="D40" s="25" t="inlineStr">
        <is>
          <t>厦门金玉晟</t>
        </is>
      </c>
      <c r="E40" s="27" t="n">
        <v>43783</v>
      </c>
      <c r="F40" s="8" t="inlineStr">
        <is>
          <t>无</t>
        </is>
      </c>
      <c r="G40" s="8" t="inlineStr">
        <is>
          <t>失效挽救部</t>
        </is>
      </c>
      <c r="H40" s="8" t="inlineStr">
        <is>
          <t>易尔通客服六部</t>
        </is>
      </c>
      <c r="I40" s="8" t="inlineStr">
        <is>
          <t>该用户被拒绝</t>
        </is>
      </c>
      <c r="J40" s="8" t="n">
        <v>0</v>
      </c>
      <c r="K40" s="8" t="n">
        <v>0</v>
      </c>
      <c r="L40" s="8" t="n">
        <v>0</v>
      </c>
      <c r="M40" s="155" t="n">
        <v>30000</v>
      </c>
      <c r="N40" s="155" t="n">
        <v>3000</v>
      </c>
      <c r="O40" s="155" t="n">
        <v>33000</v>
      </c>
      <c r="P40" s="155" t="n"/>
      <c r="Q40" s="155" t="n"/>
      <c r="R40" s="155" t="n"/>
      <c r="S40" s="8" t="n">
        <v>0</v>
      </c>
      <c r="T40" s="27" t="n">
        <v>43780</v>
      </c>
      <c r="U40" s="8" t="inlineStr">
        <is>
          <t xml:space="preserve">完成 </t>
        </is>
      </c>
      <c r="V40" s="8" t="inlineStr">
        <is>
          <t>厦门</t>
        </is>
      </c>
      <c r="W40" s="8" t="inlineStr">
        <is>
          <t>翼百信2</t>
        </is>
      </c>
      <c r="X40" s="8" t="inlineStr">
        <is>
          <t>连祖</t>
        </is>
      </c>
      <c r="Y40" s="8" t="n"/>
    </row>
    <row r="41">
      <c r="A41" s="8" t="inlineStr">
        <is>
          <t>信息流</t>
        </is>
      </c>
      <c r="B41" s="8" t="inlineStr">
        <is>
          <t>厦门望江南网络科技有限公司</t>
        </is>
      </c>
      <c r="C41" s="8" t="inlineStr">
        <is>
          <t>www.baoxianhai.com</t>
        </is>
      </c>
      <c r="D41" s="8" t="inlineStr">
        <is>
          <t>厦门望江南</t>
        </is>
      </c>
      <c r="E41" s="9" t="n">
        <v>43797</v>
      </c>
      <c r="F41" s="8" t="inlineStr">
        <is>
          <t>萧月梅</t>
        </is>
      </c>
      <c r="G41" s="8" t="inlineStr">
        <is>
          <t>行发维护大区</t>
        </is>
      </c>
      <c r="H41" s="8" t="inlineStr">
        <is>
          <t>xm维护38</t>
        </is>
      </c>
      <c r="I41" s="8" t="inlineStr">
        <is>
          <t>用户帐面为零</t>
        </is>
      </c>
      <c r="J41" s="8" t="n">
        <v>0</v>
      </c>
      <c r="K41" s="8" t="n">
        <v>0</v>
      </c>
      <c r="L41" s="8" t="n">
        <v>0</v>
      </c>
      <c r="M41" s="155" t="n">
        <v>0</v>
      </c>
      <c r="N41" s="155" t="n">
        <v>10600</v>
      </c>
      <c r="O41" s="155" t="n">
        <v>10600</v>
      </c>
      <c r="P41" s="155" t="n"/>
      <c r="Q41" s="155" t="n"/>
      <c r="R41" s="155" t="n"/>
      <c r="S41" s="8" t="n">
        <v>232.17</v>
      </c>
      <c r="T41" s="9" t="n">
        <v>43795</v>
      </c>
      <c r="U41" s="8" t="inlineStr">
        <is>
          <t xml:space="preserve">完成 </t>
        </is>
      </c>
      <c r="V41" s="8" t="inlineStr">
        <is>
          <t>厦门</t>
        </is>
      </c>
      <c r="W41" s="8" t="inlineStr">
        <is>
          <t>翼百信1</t>
        </is>
      </c>
      <c r="X41" s="8" t="inlineStr">
        <is>
          <t>杨彩云</t>
        </is>
      </c>
      <c r="Y41" s="8" t="n"/>
    </row>
    <row r="42">
      <c r="A42" s="8" t="inlineStr">
        <is>
          <t>大搜</t>
        </is>
      </c>
      <c r="B42" s="8" t="inlineStr">
        <is>
          <t>厦门塑影文化传媒有限公司</t>
        </is>
      </c>
      <c r="C42" s="8" t="inlineStr">
        <is>
          <t>www.suyingphoto.com</t>
        </is>
      </c>
      <c r="D42" s="8" t="inlineStr">
        <is>
          <t>塑影文化</t>
        </is>
      </c>
      <c r="E42" s="9" t="n">
        <v>43829</v>
      </c>
      <c r="F42" s="8" t="inlineStr">
        <is>
          <t>柯志鸿</t>
        </is>
      </c>
      <c r="G42" s="8" t="inlineStr">
        <is>
          <t>失效挽救部</t>
        </is>
      </c>
      <c r="H42" s="8" t="inlineStr">
        <is>
          <t>易尔通客服一部</t>
        </is>
      </c>
      <c r="I42" s="8" t="inlineStr">
        <is>
          <t>该用户被拒绝</t>
        </is>
      </c>
      <c r="J42" s="8" t="n">
        <v>0</v>
      </c>
      <c r="K42" s="8" t="n">
        <v>0</v>
      </c>
      <c r="L42" s="8" t="n">
        <v>0</v>
      </c>
      <c r="M42" s="155" t="n">
        <v>6800</v>
      </c>
      <c r="N42" s="155" t="n">
        <v>0</v>
      </c>
      <c r="O42" s="155" t="n">
        <v>6800</v>
      </c>
      <c r="P42" s="155" t="n"/>
      <c r="Q42" s="155" t="n"/>
      <c r="R42" s="155" t="n"/>
      <c r="S42" s="8" t="n">
        <v>0</v>
      </c>
      <c r="T42" s="9" t="n">
        <v>43802</v>
      </c>
      <c r="U42" s="8" t="inlineStr">
        <is>
          <t>财务核对中</t>
        </is>
      </c>
      <c r="V42" s="8" t="inlineStr">
        <is>
          <t>厦门</t>
        </is>
      </c>
      <c r="W42" s="8" t="inlineStr">
        <is>
          <t>翼百信2</t>
        </is>
      </c>
      <c r="X42" s="8" t="inlineStr">
        <is>
          <t>连祖</t>
        </is>
      </c>
      <c r="Y42" s="8" t="n"/>
    </row>
    <row r="43">
      <c r="A43" s="8" t="inlineStr">
        <is>
          <t>大搜</t>
        </is>
      </c>
      <c r="B43" s="8" t="inlineStr">
        <is>
          <t>厦门顺顺十月网络科技有限公司</t>
        </is>
      </c>
      <c r="C43" s="8" t="inlineStr">
        <is>
          <t>www.aqiangui.com/</t>
        </is>
      </c>
      <c r="D43" s="8" t="inlineStr">
        <is>
          <t>厦门顺顺十月</t>
        </is>
      </c>
      <c r="E43" s="9" t="n">
        <v>43818</v>
      </c>
      <c r="F43" s="8" t="inlineStr">
        <is>
          <t>无</t>
        </is>
      </c>
      <c r="G43" s="8" t="inlineStr">
        <is>
          <t>失效挽救部</t>
        </is>
      </c>
      <c r="H43" s="8" t="inlineStr">
        <is>
          <t>易尔通客服六部</t>
        </is>
      </c>
      <c r="I43" s="8" t="inlineStr">
        <is>
          <t>该用户被拒绝</t>
        </is>
      </c>
      <c r="J43" s="8" t="n">
        <v>0</v>
      </c>
      <c r="K43" s="8" t="n">
        <v>0</v>
      </c>
      <c r="L43" s="8" t="n">
        <v>0</v>
      </c>
      <c r="M43" s="155" t="n">
        <v>13000</v>
      </c>
      <c r="N43" s="155" t="n">
        <v>0</v>
      </c>
      <c r="O43" s="155" t="n">
        <v>13000</v>
      </c>
      <c r="P43" s="155" t="n"/>
      <c r="Q43" s="155" t="n"/>
      <c r="R43" s="155" t="n"/>
      <c r="S43" s="8" t="n">
        <v>0</v>
      </c>
      <c r="T43" s="9" t="n">
        <v>43816</v>
      </c>
      <c r="U43" s="8" t="inlineStr">
        <is>
          <t>完成</t>
        </is>
      </c>
      <c r="V43" s="8" t="inlineStr">
        <is>
          <t>厦门</t>
        </is>
      </c>
      <c r="W43" s="8" t="inlineStr">
        <is>
          <t>翼百信1</t>
        </is>
      </c>
      <c r="X43" s="8" t="inlineStr">
        <is>
          <t>杨彩云</t>
        </is>
      </c>
      <c r="Y43" s="8" t="n"/>
    </row>
    <row r="44">
      <c r="A44" s="8" t="inlineStr">
        <is>
          <t>大搜+信息流</t>
        </is>
      </c>
      <c r="B44" s="8" t="inlineStr">
        <is>
          <t>晋江市仙梅建陶有限公司</t>
        </is>
      </c>
      <c r="C44" s="8" t="inlineStr">
        <is>
          <t>www.xmtiles.com</t>
        </is>
      </c>
      <c r="D44" s="8" t="inlineStr">
        <is>
          <t>-</t>
        </is>
      </c>
      <c r="E44" s="9" t="n"/>
      <c r="F44" s="8" t="inlineStr">
        <is>
          <t xml:space="preserve"> </t>
        </is>
      </c>
      <c r="G44" s="8" t="inlineStr">
        <is>
          <t xml:space="preserve"> </t>
        </is>
      </c>
      <c r="H44" s="8" t="inlineStr">
        <is>
          <t xml:space="preserve"> </t>
        </is>
      </c>
      <c r="I44" s="8" t="inlineStr"/>
      <c r="J44" s="8" t="inlineStr"/>
      <c r="K44" s="8" t="inlineStr"/>
      <c r="L44" s="8" t="inlineStr"/>
      <c r="M44" s="155" t="n">
        <v>8800</v>
      </c>
      <c r="N44" s="155" t="n">
        <v>3000</v>
      </c>
      <c r="O44" s="155" t="n">
        <v>11800</v>
      </c>
      <c r="P44" s="155" t="n"/>
      <c r="Q44" s="155" t="n"/>
      <c r="R44" s="155" t="n"/>
      <c r="S44" s="8" t="n">
        <v>0</v>
      </c>
      <c r="T44" s="9" t="n">
        <v>43802.47849537037</v>
      </c>
      <c r="U44" s="8" t="inlineStr">
        <is>
          <t>泉州代下单</t>
        </is>
      </c>
      <c r="V44" s="8" t="inlineStr">
        <is>
          <t>厦门</t>
        </is>
      </c>
      <c r="W44" s="8" t="inlineStr">
        <is>
          <t>翼百信2</t>
        </is>
      </c>
      <c r="X44" s="8" t="inlineStr">
        <is>
          <t>连祖</t>
        </is>
      </c>
      <c r="Y44" s="8" t="inlineStr">
        <is>
          <t>Q4未计单，已退款</t>
        </is>
      </c>
    </row>
    <row r="45">
      <c r="A45" s="8" t="inlineStr">
        <is>
          <t>大搜+信息流</t>
        </is>
      </c>
      <c r="B45" s="8" t="inlineStr">
        <is>
          <t>厦门汇净康环保科技有限公司</t>
        </is>
      </c>
      <c r="C45" s="8" t="inlineStr">
        <is>
          <t>www.huijingk.com</t>
        </is>
      </c>
      <c r="D45" s="8" t="inlineStr">
        <is>
          <t>汇净康</t>
        </is>
      </c>
      <c r="E45" s="9" t="n">
        <v>43844</v>
      </c>
      <c r="F45" s="8" t="inlineStr">
        <is>
          <t>夏皖鹭</t>
        </is>
      </c>
      <c r="G45" s="8" t="inlineStr">
        <is>
          <t>大客部门</t>
        </is>
      </c>
      <c r="H45" s="8" t="inlineStr">
        <is>
          <t>xm大客05</t>
        </is>
      </c>
      <c r="I45" s="8" t="inlineStr">
        <is>
          <t>用户正常生效</t>
        </is>
      </c>
      <c r="J45" s="8" t="n">
        <v>20533.52</v>
      </c>
      <c r="K45" s="8" t="n">
        <v>0</v>
      </c>
      <c r="L45" s="8" t="n">
        <v>20533.52</v>
      </c>
      <c r="M45" s="155" t="n">
        <v>8800</v>
      </c>
      <c r="N45" s="155" t="n">
        <v>3000</v>
      </c>
      <c r="O45" s="155" t="n">
        <v>11800</v>
      </c>
      <c r="P45" s="155" t="n"/>
      <c r="Q45" s="155" t="n"/>
      <c r="R45" s="155" t="n"/>
      <c r="S45" s="8" t="n">
        <v>1731.39285714286</v>
      </c>
      <c r="T45" s="9" t="n">
        <v>43843</v>
      </c>
      <c r="U45" s="8" t="n"/>
      <c r="V45" s="8" t="inlineStr">
        <is>
          <t>厦门</t>
        </is>
      </c>
      <c r="W45" s="8" t="inlineStr">
        <is>
          <t>翼百信1</t>
        </is>
      </c>
      <c r="X45" s="8" t="inlineStr">
        <is>
          <t>杨彩云</t>
        </is>
      </c>
      <c r="Y45" s="8" t="n"/>
    </row>
    <row r="46">
      <c r="A46" s="8" t="inlineStr">
        <is>
          <t>大搜</t>
        </is>
      </c>
      <c r="B46" s="8" t="inlineStr">
        <is>
          <t>厦门宝数网络科技有限公司</t>
        </is>
      </c>
      <c r="C46" s="8" t="inlineStr">
        <is>
          <t>dianchacha.com</t>
        </is>
      </c>
      <c r="D46" s="8" t="inlineStr">
        <is>
          <t>宝数网络</t>
        </is>
      </c>
      <c r="E46" s="9" t="n">
        <v>43850</v>
      </c>
      <c r="F46" s="8" t="inlineStr">
        <is>
          <t>纪荣裕</t>
        </is>
      </c>
      <c r="G46" s="8" t="inlineStr">
        <is>
          <t>失效挽救部</t>
        </is>
      </c>
      <c r="H46" s="8" t="inlineStr">
        <is>
          <t>易尔通客服五部</t>
        </is>
      </c>
      <c r="I46" s="8" t="inlineStr">
        <is>
          <t>该用户被拒绝</t>
        </is>
      </c>
      <c r="J46" s="8" t="n">
        <v>0</v>
      </c>
      <c r="K46" s="8" t="n">
        <v>0</v>
      </c>
      <c r="L46" s="8" t="n">
        <v>0</v>
      </c>
      <c r="M46" s="155" t="n">
        <v>53000</v>
      </c>
      <c r="N46" s="155" t="n">
        <v>0</v>
      </c>
      <c r="O46" s="155" t="n">
        <v>53000</v>
      </c>
      <c r="P46" s="155" t="n"/>
      <c r="Q46" s="155" t="n"/>
      <c r="R46" s="155" t="n"/>
      <c r="S46" s="8" t="n">
        <v>0</v>
      </c>
      <c r="T46" s="9" t="n">
        <v>43846</v>
      </c>
      <c r="U46" s="8" t="inlineStr">
        <is>
          <t>完成</t>
        </is>
      </c>
      <c r="V46" s="8" t="inlineStr">
        <is>
          <t>厦门</t>
        </is>
      </c>
      <c r="W46" s="8" t="inlineStr">
        <is>
          <t>翼百信1</t>
        </is>
      </c>
      <c r="X46" s="8" t="inlineStr">
        <is>
          <t>杨彩云</t>
        </is>
      </c>
      <c r="Y46" s="8" t="n"/>
    </row>
    <row r="47">
      <c r="A47" s="8" t="inlineStr">
        <is>
          <t>大搜</t>
        </is>
      </c>
      <c r="B47" s="8" t="inlineStr">
        <is>
          <t>厦门快乐番薯食品有限公司</t>
        </is>
      </c>
      <c r="C47" s="8" t="inlineStr">
        <is>
          <t>qianhu.wejianzhan.com</t>
        </is>
      </c>
      <c r="D47" s="8" t="inlineStr">
        <is>
          <t>招商加盟-快乐番薯</t>
        </is>
      </c>
      <c r="E47" s="9" t="n">
        <v>43875</v>
      </c>
      <c r="F47" s="8" t="inlineStr">
        <is>
          <t>苏晨</t>
        </is>
      </c>
      <c r="G47" s="8" t="inlineStr">
        <is>
          <t>失效挽救部</t>
        </is>
      </c>
      <c r="H47" s="8" t="inlineStr">
        <is>
          <t>xm复活001</t>
        </is>
      </c>
      <c r="I47" s="8" t="inlineStr">
        <is>
          <t>该用户被拒绝</t>
        </is>
      </c>
      <c r="J47" s="8" t="n">
        <v>0</v>
      </c>
      <c r="K47" s="8" t="n">
        <v>0</v>
      </c>
      <c r="L47" s="8" t="n">
        <v>0</v>
      </c>
      <c r="M47" s="155" t="n">
        <v>13000</v>
      </c>
      <c r="N47" s="155" t="n">
        <v>0</v>
      </c>
      <c r="O47" s="155" t="n">
        <v>13000</v>
      </c>
      <c r="P47" s="155" t="n"/>
      <c r="Q47" s="155" t="n"/>
      <c r="R47" s="155" t="n"/>
      <c r="S47" s="8" t="n">
        <v>0</v>
      </c>
      <c r="T47" s="9" t="n">
        <v>43847</v>
      </c>
      <c r="U47" s="8" t="inlineStr">
        <is>
          <t>完成</t>
        </is>
      </c>
      <c r="V47" s="8" t="inlineStr">
        <is>
          <t>厦门</t>
        </is>
      </c>
      <c r="W47" s="8" t="inlineStr">
        <is>
          <t>翼百信1</t>
        </is>
      </c>
      <c r="X47" s="8" t="inlineStr">
        <is>
          <t>杨彩云</t>
        </is>
      </c>
      <c r="Y47" s="8" t="n"/>
    </row>
    <row r="48">
      <c r="A48" s="8" t="inlineStr">
        <is>
          <t>大搜</t>
        </is>
      </c>
      <c r="B48" s="8" t="inlineStr">
        <is>
          <t>厦门知晓物联技术服务有限公司</t>
        </is>
      </c>
      <c r="C48" s="8" t="inlineStr">
        <is>
          <t>http://lmlm.cn/</t>
        </is>
      </c>
      <c r="D48" s="8" t="inlineStr">
        <is>
          <t>招商加盟-知晓物联</t>
        </is>
      </c>
      <c r="E48" s="9" t="n">
        <v>43894</v>
      </c>
      <c r="F48" s="8" t="inlineStr">
        <is>
          <t>柯志鸿</t>
        </is>
      </c>
      <c r="G48" s="8" t="inlineStr">
        <is>
          <t>失效挽救部</t>
        </is>
      </c>
      <c r="H48" s="8" t="inlineStr">
        <is>
          <t>易尔通客服一部</t>
        </is>
      </c>
      <c r="I48" s="8" t="inlineStr">
        <is>
          <t>该用户被拒绝</t>
        </is>
      </c>
      <c r="J48" s="8" t="n">
        <v>0</v>
      </c>
      <c r="K48" s="8" t="n">
        <v>0</v>
      </c>
      <c r="L48" s="8" t="n">
        <v>0</v>
      </c>
      <c r="M48" s="155" t="n">
        <v>13000</v>
      </c>
      <c r="N48" s="155" t="n">
        <v>0</v>
      </c>
      <c r="O48" s="155" t="n">
        <v>13000</v>
      </c>
      <c r="P48" s="155" t="n"/>
      <c r="Q48" s="155" t="n"/>
      <c r="R48" s="155" t="n"/>
      <c r="S48" s="8" t="n">
        <v>0</v>
      </c>
      <c r="T48" s="9" t="n">
        <v>43892</v>
      </c>
      <c r="U48" s="8" t="inlineStr">
        <is>
          <t>完成</t>
        </is>
      </c>
      <c r="V48" s="8" t="inlineStr">
        <is>
          <t>厦门</t>
        </is>
      </c>
      <c r="W48" s="8" t="inlineStr">
        <is>
          <t>翼百信1</t>
        </is>
      </c>
      <c r="X48" s="8" t="inlineStr">
        <is>
          <t>杨彩云</t>
        </is>
      </c>
      <c r="Y48" s="8" t="n"/>
    </row>
    <row r="49">
      <c r="A49" s="8" t="inlineStr">
        <is>
          <t>信息流</t>
        </is>
      </c>
      <c r="B49" s="8" t="inlineStr">
        <is>
          <t>厦门伍聚网络科技有限公司</t>
        </is>
      </c>
      <c r="C49" s="8" t="inlineStr">
        <is>
          <t>qianhu.wejianzhan.com</t>
        </is>
      </c>
      <c r="D49" s="8" t="inlineStr">
        <is>
          <t>厦门伍聚</t>
        </is>
      </c>
      <c r="E49" s="9" t="n">
        <v>43936</v>
      </c>
      <c r="F49" s="8" t="inlineStr">
        <is>
          <t>无</t>
        </is>
      </c>
      <c r="G49" s="8" t="inlineStr">
        <is>
          <t>失效挽救部</t>
        </is>
      </c>
      <c r="H49" s="8" t="inlineStr">
        <is>
          <t>易尔通客服六部</t>
        </is>
      </c>
      <c r="I49" s="8" t="inlineStr">
        <is>
          <t>该用户被拒绝</t>
        </is>
      </c>
      <c r="J49" s="8" t="n">
        <v>0</v>
      </c>
      <c r="K49" s="8" t="n">
        <v>0</v>
      </c>
      <c r="L49" s="8" t="n">
        <v>0</v>
      </c>
      <c r="M49" s="155" t="n">
        <v>0</v>
      </c>
      <c r="N49" s="155" t="n">
        <v>13000</v>
      </c>
      <c r="O49" s="155" t="n">
        <v>13000</v>
      </c>
      <c r="P49" s="155" t="n"/>
      <c r="Q49" s="155" t="n"/>
      <c r="R49" s="155" t="n"/>
      <c r="S49" s="8" t="n">
        <v>0</v>
      </c>
      <c r="T49" s="9" t="n">
        <v>43934</v>
      </c>
      <c r="U49" s="8" t="inlineStr">
        <is>
          <t>完成</t>
        </is>
      </c>
      <c r="V49" s="8" t="inlineStr">
        <is>
          <t>厦门</t>
        </is>
      </c>
      <c r="W49" s="8" t="inlineStr">
        <is>
          <t>翼百信1</t>
        </is>
      </c>
      <c r="X49" s="8" t="inlineStr">
        <is>
          <t>杨彩云</t>
        </is>
      </c>
      <c r="Y49" s="8" t="n"/>
    </row>
    <row r="50">
      <c r="A50" s="8" t="inlineStr">
        <is>
          <t>大搜</t>
        </is>
      </c>
      <c r="B50" s="8" t="inlineStr">
        <is>
          <t>福建中农力强建筑工程有限公司</t>
        </is>
      </c>
      <c r="C50" s="8" t="inlineStr">
        <is>
          <t>http://fjznlq.com.bdy.5067.org</t>
        </is>
      </c>
      <c r="D50" s="8" t="inlineStr">
        <is>
          <t>福建中农力强</t>
        </is>
      </c>
      <c r="E50" s="9" t="n">
        <v>43950</v>
      </c>
      <c r="F50" s="8" t="inlineStr">
        <is>
          <t>朱书兰</t>
        </is>
      </c>
      <c r="G50" s="8" t="inlineStr">
        <is>
          <t>行发维护大区</t>
        </is>
      </c>
      <c r="H50" s="8" t="inlineStr">
        <is>
          <t>xm维护35</t>
        </is>
      </c>
      <c r="I50" s="8" t="inlineStr">
        <is>
          <t>该用户被拒绝</t>
        </is>
      </c>
      <c r="J50" s="8" t="n">
        <v>0</v>
      </c>
      <c r="K50" s="8" t="n">
        <v>0</v>
      </c>
      <c r="L50" s="8" t="n">
        <v>0</v>
      </c>
      <c r="M50" s="155" t="n">
        <v>13000</v>
      </c>
      <c r="N50" s="155" t="n">
        <v>0</v>
      </c>
      <c r="O50" s="155" t="n">
        <v>13000</v>
      </c>
      <c r="P50" s="155" t="n"/>
      <c r="Q50" s="155" t="n"/>
      <c r="R50" s="155" t="n"/>
      <c r="S50" s="8" t="n">
        <v>0</v>
      </c>
      <c r="T50" s="9" t="n">
        <v>43947</v>
      </c>
      <c r="U50" s="8" t="inlineStr">
        <is>
          <t>完成</t>
        </is>
      </c>
      <c r="V50" s="8" t="inlineStr">
        <is>
          <t>厦门</t>
        </is>
      </c>
      <c r="W50" s="8" t="inlineStr">
        <is>
          <t>翼百信2</t>
        </is>
      </c>
      <c r="X50" s="8" t="inlineStr">
        <is>
          <t>连祖</t>
        </is>
      </c>
      <c r="Y50" s="8" t="n"/>
    </row>
    <row r="51">
      <c r="A51" s="8" t="inlineStr">
        <is>
          <t>大搜</t>
        </is>
      </c>
      <c r="B51" s="8" t="inlineStr">
        <is>
          <t>厦门市源古制冷设备有限公司</t>
        </is>
      </c>
      <c r="C51" s="8" t="inlineStr">
        <is>
          <t>www.ygz6.com</t>
        </is>
      </c>
      <c r="D51" s="8" t="inlineStr">
        <is>
          <t>源古制冷设备</t>
        </is>
      </c>
      <c r="E51" s="9" t="n">
        <v>43958</v>
      </c>
      <c r="F51" s="8" t="inlineStr">
        <is>
          <t>朱晓婷</t>
        </is>
      </c>
      <c r="G51" s="8" t="inlineStr">
        <is>
          <t>失效挽救部</t>
        </is>
      </c>
      <c r="H51" s="8" t="inlineStr">
        <is>
          <t>易尔通客服四部</t>
        </is>
      </c>
      <c r="I51" s="8" t="inlineStr">
        <is>
          <t>该用户被拒绝</t>
        </is>
      </c>
      <c r="J51" s="8" t="n">
        <v>0</v>
      </c>
      <c r="K51" s="8" t="n">
        <v>0</v>
      </c>
      <c r="L51" s="8" t="n">
        <v>0</v>
      </c>
      <c r="M51" s="155" t="n">
        <v>13500</v>
      </c>
      <c r="N51" s="155" t="n">
        <v>0</v>
      </c>
      <c r="O51" s="155" t="n">
        <v>13500</v>
      </c>
      <c r="P51" s="155" t="n"/>
      <c r="Q51" s="155" t="n"/>
      <c r="R51" s="155" t="n"/>
      <c r="S51" s="8" t="n">
        <v>88.5014285714286</v>
      </c>
      <c r="T51" s="9" t="n">
        <v>43951</v>
      </c>
      <c r="U51" s="8" t="inlineStr">
        <is>
          <t>完成</t>
        </is>
      </c>
      <c r="V51" s="8" t="inlineStr">
        <is>
          <t>厦门</t>
        </is>
      </c>
      <c r="W51" s="8" t="inlineStr">
        <is>
          <t>翼百信1</t>
        </is>
      </c>
      <c r="X51" s="8" t="inlineStr">
        <is>
          <t>杨彩云</t>
        </is>
      </c>
      <c r="Y51" s="8" t="n"/>
    </row>
    <row r="52">
      <c r="A52" s="8" t="inlineStr">
        <is>
          <t>大搜</t>
        </is>
      </c>
      <c r="B52" s="8" t="inlineStr">
        <is>
          <t>厦门宜锐机械制造有限公司</t>
        </is>
      </c>
      <c r="C52" s="8" t="inlineStr">
        <is>
          <t>qianhu.wejianzhan.com</t>
        </is>
      </c>
      <c r="D52" s="8" t="inlineStr">
        <is>
          <t>宜锐机械</t>
        </is>
      </c>
      <c r="E52" s="28" t="n">
        <v>43980</v>
      </c>
      <c r="F52" s="8" t="inlineStr">
        <is>
          <t>李远红</t>
        </is>
      </c>
      <c r="G52" s="8" t="inlineStr">
        <is>
          <t>维护部门</t>
        </is>
      </c>
      <c r="H52" s="8" t="inlineStr">
        <is>
          <t>xm维护33</t>
        </is>
      </c>
      <c r="I52" s="8" t="inlineStr">
        <is>
          <t>该用户被拒绝</t>
        </is>
      </c>
      <c r="J52" s="8" t="n">
        <v>0</v>
      </c>
      <c r="K52" s="8" t="n">
        <v>0</v>
      </c>
      <c r="L52" s="8" t="n">
        <v>0</v>
      </c>
      <c r="M52" s="155" t="n">
        <v>13000</v>
      </c>
      <c r="N52" s="155" t="n">
        <v>0</v>
      </c>
      <c r="O52" s="155" t="n">
        <v>13000</v>
      </c>
      <c r="P52" s="155" t="n"/>
      <c r="Q52" s="155" t="n"/>
      <c r="R52" s="155" t="n"/>
      <c r="S52" s="8" t="n">
        <v>0</v>
      </c>
      <c r="T52" s="9" t="n">
        <v>43957</v>
      </c>
      <c r="U52" s="8" t="inlineStr">
        <is>
          <t>完成</t>
        </is>
      </c>
      <c r="V52" s="8" t="inlineStr">
        <is>
          <t>厦门</t>
        </is>
      </c>
      <c r="W52" s="8" t="inlineStr">
        <is>
          <t>翼百信1</t>
        </is>
      </c>
      <c r="X52" s="8" t="inlineStr">
        <is>
          <t>杨彩云</t>
        </is>
      </c>
      <c r="Y52" s="8" t="n"/>
    </row>
    <row r="53">
      <c r="A53" s="8" t="inlineStr">
        <is>
          <t>大搜</t>
        </is>
      </c>
      <c r="B53" s="8" t="inlineStr">
        <is>
          <t>厦门科瑞斯通风降温设备有限公司</t>
        </is>
      </c>
      <c r="C53" s="8" t="inlineStr">
        <is>
          <t>www.krshb.cn</t>
        </is>
      </c>
      <c r="D53" s="8" t="inlineStr">
        <is>
          <t>科瑞斯通风</t>
        </is>
      </c>
      <c r="E53" s="9" t="n">
        <v>43987</v>
      </c>
      <c r="F53" s="8" t="inlineStr">
        <is>
          <t>林霖</t>
        </is>
      </c>
      <c r="G53" s="8" t="inlineStr">
        <is>
          <t>新开部门</t>
        </is>
      </c>
      <c r="H53" s="8" t="inlineStr">
        <is>
          <t>xm新开05</t>
        </is>
      </c>
      <c r="I53" s="8" t="inlineStr">
        <is>
          <t>用户正常生效</t>
        </is>
      </c>
      <c r="J53" s="8" t="n">
        <v>0</v>
      </c>
      <c r="K53" s="8" t="n">
        <v>0</v>
      </c>
      <c r="L53" s="8" t="n">
        <v>0</v>
      </c>
      <c r="M53" s="155" t="n">
        <v>8000</v>
      </c>
      <c r="N53" s="155" t="n">
        <v>0</v>
      </c>
      <c r="O53" s="155" t="n">
        <v>8000</v>
      </c>
      <c r="P53" s="155" t="n"/>
      <c r="Q53" s="155" t="n"/>
      <c r="R53" s="155" t="n"/>
      <c r="S53" s="8" t="n">
        <v>0</v>
      </c>
      <c r="T53" s="9" t="n">
        <v>43986</v>
      </c>
      <c r="U53" s="8" t="inlineStr">
        <is>
          <t>完成</t>
        </is>
      </c>
      <c r="V53" s="8" t="inlineStr">
        <is>
          <t>厦门</t>
        </is>
      </c>
      <c r="W53" s="8" t="inlineStr">
        <is>
          <t>翼百信1</t>
        </is>
      </c>
      <c r="X53" s="8" t="inlineStr">
        <is>
          <t>杨彩云</t>
        </is>
      </c>
      <c r="Y53" s="8" t="n"/>
    </row>
    <row r="54">
      <c r="A54" s="8" t="inlineStr">
        <is>
          <t>大搜+信息流</t>
        </is>
      </c>
      <c r="B54" s="8" t="inlineStr">
        <is>
          <t>厦门云铸科技有限公司</t>
        </is>
      </c>
      <c r="C54" s="8" t="inlineStr">
        <is>
          <t>www.yunzhu100.cn</t>
        </is>
      </c>
      <c r="D54" s="8" t="inlineStr">
        <is>
          <t>云铸科技</t>
        </is>
      </c>
      <c r="E54" s="9" t="n">
        <v>43994</v>
      </c>
      <c r="F54" s="8" t="inlineStr">
        <is>
          <t>苏晨</t>
        </is>
      </c>
      <c r="G54" s="8" t="inlineStr">
        <is>
          <t>失效挽救部</t>
        </is>
      </c>
      <c r="H54" s="8" t="inlineStr">
        <is>
          <t>xm复活001</t>
        </is>
      </c>
      <c r="I54" s="8" t="inlineStr">
        <is>
          <t>该用户被拒绝</t>
        </is>
      </c>
      <c r="J54" s="8" t="n">
        <v>0</v>
      </c>
      <c r="K54" s="8" t="n">
        <v>0</v>
      </c>
      <c r="L54" s="8" t="n">
        <v>0</v>
      </c>
      <c r="M54" s="155" t="n">
        <v>4800</v>
      </c>
      <c r="N54" s="155" t="n">
        <v>2000</v>
      </c>
      <c r="O54" s="155" t="n">
        <v>6800</v>
      </c>
      <c r="P54" s="155" t="n"/>
      <c r="Q54" s="155" t="n"/>
      <c r="R54" s="155" t="n"/>
      <c r="S54" s="8" t="n">
        <v>0</v>
      </c>
      <c r="T54" s="9" t="n">
        <v>43992</v>
      </c>
      <c r="U54" s="8" t="inlineStr">
        <is>
          <t>财务核对中</t>
        </is>
      </c>
      <c r="V54" s="8" t="inlineStr">
        <is>
          <t>厦门</t>
        </is>
      </c>
      <c r="W54" s="8" t="inlineStr">
        <is>
          <t>翼百信</t>
        </is>
      </c>
      <c r="X54" s="8" t="inlineStr">
        <is>
          <t>黄群清</t>
        </is>
      </c>
      <c r="Y54" s="8" t="n"/>
    </row>
    <row r="55">
      <c r="A55" s="8" t="inlineStr">
        <is>
          <t>大搜</t>
        </is>
      </c>
      <c r="B55" s="8" t="inlineStr">
        <is>
          <t>厦门华秦信息科技有限公司</t>
        </is>
      </c>
      <c r="C55" s="8" t="inlineStr">
        <is>
          <t>www.huaqinyun.com</t>
        </is>
      </c>
      <c r="D55" s="8" t="inlineStr">
        <is>
          <t>厦门华秦</t>
        </is>
      </c>
      <c r="E55" s="9" t="n">
        <v>44006</v>
      </c>
      <c r="F55" s="8" t="inlineStr">
        <is>
          <t>柯志鸿</t>
        </is>
      </c>
      <c r="G55" s="8" t="inlineStr">
        <is>
          <t>失效挽救部</t>
        </is>
      </c>
      <c r="H55" s="8" t="inlineStr">
        <is>
          <t>易尔通客服一部</t>
        </is>
      </c>
      <c r="I55" s="8" t="inlineStr">
        <is>
          <t>该用户被拒绝</t>
        </is>
      </c>
      <c r="J55" s="8" t="n">
        <v>0</v>
      </c>
      <c r="K55" s="8" t="n">
        <v>0</v>
      </c>
      <c r="L55" s="8" t="n">
        <v>0</v>
      </c>
      <c r="M55" s="155" t="n">
        <v>4800</v>
      </c>
      <c r="N55" s="155" t="n">
        <v>0</v>
      </c>
      <c r="O55" s="155" t="n">
        <v>4800</v>
      </c>
      <c r="P55" s="155" t="n"/>
      <c r="Q55" s="155" t="n"/>
      <c r="R55" s="155" t="n"/>
      <c r="S55" s="8" t="n">
        <v>0</v>
      </c>
      <c r="T55" s="9" t="n">
        <v>44000</v>
      </c>
      <c r="U55" s="8" t="inlineStr">
        <is>
          <t>完成</t>
        </is>
      </c>
      <c r="V55" s="8" t="inlineStr">
        <is>
          <t>厦门</t>
        </is>
      </c>
      <c r="W55" s="8" t="inlineStr">
        <is>
          <t>翼百信</t>
        </is>
      </c>
      <c r="X55" s="8" t="inlineStr">
        <is>
          <t>黄群清</t>
        </is>
      </c>
      <c r="Y55" s="8" t="n"/>
    </row>
    <row r="56">
      <c r="A56" s="8" t="inlineStr">
        <is>
          <t>大搜</t>
        </is>
      </c>
      <c r="B56" s="8" t="inlineStr">
        <is>
          <t>厦门延真网络科技有限公司</t>
        </is>
      </c>
      <c r="C56" s="8" t="inlineStr">
        <is>
          <t>www.jianzhantx.com</t>
        </is>
      </c>
      <c r="D56" s="8" t="inlineStr">
        <is>
          <t>延真网络</t>
        </is>
      </c>
      <c r="E56" s="9" t="n"/>
      <c r="F56" s="8" t="inlineStr">
        <is>
          <t>夏皖鹭</t>
        </is>
      </c>
      <c r="G56" s="8" t="inlineStr">
        <is>
          <t>大客部门</t>
        </is>
      </c>
      <c r="H56" s="8" t="inlineStr">
        <is>
          <t>xm大客05</t>
        </is>
      </c>
      <c r="I56" s="8" t="inlineStr">
        <is>
          <t>该用户被拒绝</t>
        </is>
      </c>
      <c r="J56" s="8" t="n">
        <v>0</v>
      </c>
      <c r="K56" s="8" t="n">
        <v>0</v>
      </c>
      <c r="L56" s="8" t="n">
        <v>0</v>
      </c>
      <c r="M56" s="155" t="n">
        <v>11700</v>
      </c>
      <c r="N56" s="155" t="n">
        <v>0</v>
      </c>
      <c r="O56" s="155" t="n">
        <v>11700</v>
      </c>
      <c r="P56" s="155" t="n"/>
      <c r="Q56" s="155" t="n"/>
      <c r="R56" s="155" t="n"/>
      <c r="S56" s="8" t="n">
        <v>0</v>
      </c>
      <c r="T56" s="9" t="n">
        <v>44010</v>
      </c>
      <c r="U56" s="8" t="inlineStr">
        <is>
          <t>完成</t>
        </is>
      </c>
      <c r="V56" s="8" t="inlineStr">
        <is>
          <t>厦门</t>
        </is>
      </c>
      <c r="W56" s="8" t="inlineStr">
        <is>
          <t>翼百信1</t>
        </is>
      </c>
      <c r="X56" s="8" t="inlineStr">
        <is>
          <t>杨彩云</t>
        </is>
      </c>
      <c r="Y56" s="8" t="n"/>
    </row>
    <row r="57">
      <c r="A57" s="8" t="inlineStr">
        <is>
          <t>信息流</t>
        </is>
      </c>
      <c r="B57" s="8" t="inlineStr">
        <is>
          <t>福建畅享假期国际旅行社有限公司</t>
        </is>
      </c>
      <c r="C57" s="35" t="inlineStr">
        <is>
          <t>www.fjcxjq.com</t>
        </is>
      </c>
      <c r="D57" s="8" t="inlineStr">
        <is>
          <t>畅享假期</t>
        </is>
      </c>
      <c r="E57" s="9" t="n"/>
      <c r="F57" s="8" t="inlineStr">
        <is>
          <t>无</t>
        </is>
      </c>
      <c r="G57" s="8" t="inlineStr">
        <is>
          <t>失效挽救部</t>
        </is>
      </c>
      <c r="H57" s="8" t="inlineStr">
        <is>
          <t>易尔通客服六部</t>
        </is>
      </c>
      <c r="I57" s="8" t="inlineStr">
        <is>
          <t>该用户被拒绝</t>
        </is>
      </c>
      <c r="J57" s="8" t="n">
        <v>0</v>
      </c>
      <c r="K57" s="8" t="n">
        <v>0</v>
      </c>
      <c r="L57" s="8" t="n">
        <v>0</v>
      </c>
      <c r="M57" s="155" t="n">
        <v>0</v>
      </c>
      <c r="N57" s="155" t="n">
        <v>11800</v>
      </c>
      <c r="O57" s="155" t="n">
        <v>11800</v>
      </c>
      <c r="P57" s="155" t="n"/>
      <c r="Q57" s="155" t="n"/>
      <c r="R57" s="155" t="n"/>
      <c r="S57" s="8" t="n">
        <v>0</v>
      </c>
      <c r="T57" s="9" t="n">
        <v>44005</v>
      </c>
      <c r="U57" s="8" t="inlineStr">
        <is>
          <t>完成</t>
        </is>
      </c>
      <c r="V57" s="8" t="inlineStr">
        <is>
          <t>厦门</t>
        </is>
      </c>
      <c r="W57" s="8" t="inlineStr">
        <is>
          <t>翼百信</t>
        </is>
      </c>
      <c r="X57" s="8" t="inlineStr">
        <is>
          <t>黄群清</t>
        </is>
      </c>
      <c r="Y57" s="8" t="n"/>
    </row>
    <row r="58">
      <c r="A58" s="8" t="inlineStr">
        <is>
          <t>大搜</t>
        </is>
      </c>
      <c r="B58" s="8" t="inlineStr">
        <is>
          <t>厦门仑昌硕生物科技有限公司</t>
        </is>
      </c>
      <c r="C58" s="35" t="inlineStr">
        <is>
          <t>www.lcskit.com</t>
        </is>
      </c>
      <c r="D58" s="35" t="inlineStr">
        <is>
          <t>仑昌硕</t>
        </is>
      </c>
      <c r="E58" s="9" t="n">
        <v>44022</v>
      </c>
      <c r="F58" s="8" t="inlineStr">
        <is>
          <t>林志龙</t>
        </is>
      </c>
      <c r="G58" s="8" t="inlineStr">
        <is>
          <t>失效挽救部</t>
        </is>
      </c>
      <c r="H58" s="8" t="inlineStr">
        <is>
          <t>易尔通客服二部</t>
        </is>
      </c>
      <c r="I58" s="8" t="inlineStr">
        <is>
          <t>该用户被拒绝</t>
        </is>
      </c>
      <c r="J58" s="8" t="n">
        <v>0</v>
      </c>
      <c r="K58" s="8" t="n">
        <v>0</v>
      </c>
      <c r="L58" s="8" t="n">
        <v>0</v>
      </c>
      <c r="M58" s="155" t="n">
        <v>13000</v>
      </c>
      <c r="N58" s="155" t="n">
        <v>0</v>
      </c>
      <c r="O58" s="155">
        <f>M58+N58</f>
        <v/>
      </c>
      <c r="P58" s="8" t="n">
        <v>2400</v>
      </c>
      <c r="Q58" s="155" t="n">
        <v>600</v>
      </c>
      <c r="R58" s="155">
        <f>O58-Q58</f>
        <v/>
      </c>
      <c r="S58" s="8" t="n">
        <v>0</v>
      </c>
      <c r="T58" s="9" t="n">
        <v>44020</v>
      </c>
      <c r="U58" s="8" t="inlineStr">
        <is>
          <t>完成</t>
        </is>
      </c>
      <c r="V58" s="8" t="inlineStr">
        <is>
          <t>厦门</t>
        </is>
      </c>
      <c r="W58" s="8" t="inlineStr">
        <is>
          <t>翼百信1</t>
        </is>
      </c>
      <c r="X58" s="8" t="inlineStr">
        <is>
          <t>杨彩云</t>
        </is>
      </c>
      <c r="Y58" s="8" t="n"/>
    </row>
    <row r="59">
      <c r="A59" s="8" t="inlineStr">
        <is>
          <t>大搜</t>
        </is>
      </c>
      <c r="B59" s="8" t="inlineStr">
        <is>
          <t>厦门其恒投资管理有限公司</t>
        </is>
      </c>
      <c r="C59" s="35" t="inlineStr">
        <is>
          <t>www.feigeluyan.com</t>
        </is>
      </c>
      <c r="D59" s="35" t="inlineStr">
        <is>
          <t>其恒</t>
        </is>
      </c>
      <c r="E59" s="9" t="n">
        <v>44025</v>
      </c>
      <c r="F59" s="8" t="inlineStr">
        <is>
          <t>林志龙</t>
        </is>
      </c>
      <c r="G59" s="8" t="inlineStr">
        <is>
          <t>失效挽救部</t>
        </is>
      </c>
      <c r="H59" s="8" t="inlineStr">
        <is>
          <t>易尔通客服二部</t>
        </is>
      </c>
      <c r="I59" s="8" t="inlineStr">
        <is>
          <t>该用户被拒绝</t>
        </is>
      </c>
      <c r="J59" s="8" t="n">
        <v>0</v>
      </c>
      <c r="K59" s="8" t="n">
        <v>0</v>
      </c>
      <c r="L59" s="8" t="n">
        <v>0</v>
      </c>
      <c r="M59" s="155" t="n">
        <v>6800</v>
      </c>
      <c r="N59" s="155" t="n">
        <v>0</v>
      </c>
      <c r="O59" s="155">
        <f>M59+N59</f>
        <v/>
      </c>
      <c r="P59" s="8" t="n">
        <v>1200</v>
      </c>
      <c r="Q59" s="155" t="n">
        <v>600</v>
      </c>
      <c r="R59" s="155">
        <f>O59-Q59</f>
        <v/>
      </c>
      <c r="S59" s="8" t="n">
        <v>0</v>
      </c>
      <c r="T59" s="9" t="n">
        <v>44022</v>
      </c>
      <c r="U59" s="8" t="inlineStr">
        <is>
          <t>完成</t>
        </is>
      </c>
      <c r="V59" s="8" t="inlineStr">
        <is>
          <t>厦门</t>
        </is>
      </c>
      <c r="W59" s="8" t="inlineStr">
        <is>
          <t>翼百信1</t>
        </is>
      </c>
      <c r="X59" s="8" t="inlineStr">
        <is>
          <t>杨彩云</t>
        </is>
      </c>
      <c r="Y59" s="8" t="n"/>
    </row>
    <row r="60">
      <c r="A60" s="8" t="inlineStr">
        <is>
          <t>大搜</t>
        </is>
      </c>
      <c r="B60" s="8" t="inlineStr">
        <is>
          <t>厦门神州美景光学科技有限公司</t>
        </is>
      </c>
      <c r="C60" s="8" t="inlineStr">
        <is>
          <t>www.sinoenjoy.com</t>
        </is>
      </c>
      <c r="D60" s="8" t="inlineStr">
        <is>
          <t>神州美景</t>
        </is>
      </c>
      <c r="E60" s="28" t="n">
        <v>44042</v>
      </c>
      <c r="F60" s="8" t="inlineStr">
        <is>
          <t>柯志鸿</t>
        </is>
      </c>
      <c r="G60" s="8" t="inlineStr">
        <is>
          <t>失效挽救部</t>
        </is>
      </c>
      <c r="H60" s="8" t="inlineStr">
        <is>
          <t>易尔通客服一部</t>
        </is>
      </c>
      <c r="I60" s="8" t="inlineStr">
        <is>
          <t>该用户被拒绝</t>
        </is>
      </c>
      <c r="J60" s="8" t="n">
        <v>0</v>
      </c>
      <c r="K60" s="8" t="n">
        <v>0</v>
      </c>
      <c r="L60" s="8" t="n">
        <v>0</v>
      </c>
      <c r="M60" s="155" t="n">
        <v>13600</v>
      </c>
      <c r="N60" s="155" t="n">
        <v>0</v>
      </c>
      <c r="O60" s="155">
        <f>M60+N60</f>
        <v/>
      </c>
      <c r="P60" s="8" t="n">
        <v>2400</v>
      </c>
      <c r="Q60" s="155" t="n">
        <v>600</v>
      </c>
      <c r="R60" s="155">
        <f>O60-Q60</f>
        <v/>
      </c>
      <c r="S60" s="8" t="n">
        <v>0</v>
      </c>
      <c r="T60" s="9" t="n">
        <v>44041</v>
      </c>
      <c r="U60" s="8" t="inlineStr">
        <is>
          <t>完成</t>
        </is>
      </c>
      <c r="V60" s="8" t="inlineStr">
        <is>
          <t>厦门</t>
        </is>
      </c>
      <c r="W60" s="8" t="inlineStr">
        <is>
          <t>翼百信1</t>
        </is>
      </c>
      <c r="X60" s="8" t="inlineStr">
        <is>
          <t>杨彩云</t>
        </is>
      </c>
      <c r="Y60" s="8" t="n"/>
    </row>
    <row r="61">
      <c r="A61" s="8" t="inlineStr">
        <is>
          <t>信息流</t>
        </is>
      </c>
      <c r="B61" s="8" t="inlineStr">
        <is>
          <t>林如娜</t>
        </is>
      </c>
      <c r="C61" s="8" t="inlineStr">
        <is>
          <t>qianhu.wejianzhan.com</t>
        </is>
      </c>
      <c r="D61" s="8" t="inlineStr">
        <is>
          <t>林如娜律师</t>
        </is>
      </c>
      <c r="E61" s="9" t="n">
        <v>44048</v>
      </c>
      <c r="F61" s="8" t="inlineStr">
        <is>
          <t>无</t>
        </is>
      </c>
      <c r="G61" s="8" t="inlineStr">
        <is>
          <t>失效挽救部</t>
        </is>
      </c>
      <c r="H61" s="8" t="inlineStr">
        <is>
          <t>易尔通客服六部</t>
        </is>
      </c>
      <c r="I61" s="8" t="inlineStr">
        <is>
          <t>该用户被拒绝</t>
        </is>
      </c>
      <c r="J61" s="8" t="n">
        <v>0</v>
      </c>
      <c r="K61" s="8" t="n">
        <v>0</v>
      </c>
      <c r="L61" s="8" t="n">
        <v>0</v>
      </c>
      <c r="M61" s="155" t="n">
        <v>0</v>
      </c>
      <c r="N61" s="155" t="n">
        <v>13000</v>
      </c>
      <c r="O61" s="155">
        <f>M61+N61</f>
        <v/>
      </c>
      <c r="P61" s="155" t="n">
        <v>2400</v>
      </c>
      <c r="Q61" s="155" t="n">
        <v>600</v>
      </c>
      <c r="R61" s="155">
        <f>O61-Q61</f>
        <v/>
      </c>
      <c r="S61" s="8" t="n">
        <v>0</v>
      </c>
      <c r="T61" s="9" t="n">
        <v>44040</v>
      </c>
      <c r="U61" s="8" t="inlineStr">
        <is>
          <t>完成</t>
        </is>
      </c>
      <c r="V61" s="8" t="inlineStr">
        <is>
          <t>厦门</t>
        </is>
      </c>
      <c r="W61" s="8" t="inlineStr">
        <is>
          <t>翼百信1</t>
        </is>
      </c>
      <c r="X61" s="8" t="inlineStr">
        <is>
          <t>杨彩云</t>
        </is>
      </c>
      <c r="Y61" s="8" t="n"/>
    </row>
    <row r="62">
      <c r="A62" s="8" t="inlineStr">
        <is>
          <t>大搜</t>
        </is>
      </c>
      <c r="B62" s="8" t="inlineStr">
        <is>
          <t>厦门科汛软件有限公司</t>
        </is>
      </c>
      <c r="C62" s="8" t="inlineStr">
        <is>
          <t>http://www.kesion.com</t>
        </is>
      </c>
      <c r="D62" s="8" t="inlineStr">
        <is>
          <t>招商加盟-科汛</t>
        </is>
      </c>
      <c r="E62" s="9" t="n">
        <v>44054</v>
      </c>
      <c r="F62" s="8" t="inlineStr">
        <is>
          <t>林志龙</t>
        </is>
      </c>
      <c r="G62" s="8" t="inlineStr">
        <is>
          <t>失效挽救部</t>
        </is>
      </c>
      <c r="H62" s="8" t="inlineStr">
        <is>
          <t>易尔通客服二部</t>
        </is>
      </c>
      <c r="I62" s="8" t="inlineStr">
        <is>
          <t>该用户被拒绝</t>
        </is>
      </c>
      <c r="J62" s="8" t="n">
        <v>0</v>
      </c>
      <c r="K62" s="8" t="n">
        <v>0</v>
      </c>
      <c r="L62" s="8" t="n">
        <v>0</v>
      </c>
      <c r="M62" s="155" t="n">
        <v>13000</v>
      </c>
      <c r="N62" s="155" t="n">
        <v>0</v>
      </c>
      <c r="O62" s="155">
        <f>M62+N62</f>
        <v/>
      </c>
      <c r="P62" s="8" t="n">
        <v>2400</v>
      </c>
      <c r="Q62" s="155" t="n">
        <v>600</v>
      </c>
      <c r="R62" s="155">
        <f>O62-Q62</f>
        <v/>
      </c>
      <c r="S62" s="8" t="n">
        <v>0</v>
      </c>
      <c r="T62" s="9" t="n">
        <v>44050</v>
      </c>
      <c r="U62" s="8" t="inlineStr">
        <is>
          <t>完成</t>
        </is>
      </c>
      <c r="V62" s="8" t="inlineStr">
        <is>
          <t>厦门</t>
        </is>
      </c>
      <c r="W62" s="8" t="inlineStr">
        <is>
          <t>翼百信1</t>
        </is>
      </c>
      <c r="X62" s="8" t="inlineStr">
        <is>
          <t>吴海娟</t>
        </is>
      </c>
      <c r="Y62" s="8" t="n"/>
    </row>
    <row r="63">
      <c r="A63" s="8" t="inlineStr">
        <is>
          <t>大搜</t>
        </is>
      </c>
      <c r="B63" s="8" t="inlineStr">
        <is>
          <t>厦门南新生代软件有限公司</t>
        </is>
      </c>
      <c r="C63" s="8" t="inlineStr">
        <is>
          <t>0592qn.com</t>
        </is>
      </c>
      <c r="D63" s="8" t="inlineStr">
        <is>
          <t>xm南新生代</t>
        </is>
      </c>
      <c r="E63" s="9" t="n">
        <v>44058</v>
      </c>
      <c r="F63" s="8" t="inlineStr">
        <is>
          <t>林志龙</t>
        </is>
      </c>
      <c r="G63" s="8" t="inlineStr">
        <is>
          <t>失效挽救部</t>
        </is>
      </c>
      <c r="H63" s="8" t="inlineStr">
        <is>
          <t>易尔通客服二部</t>
        </is>
      </c>
      <c r="I63" s="8" t="inlineStr">
        <is>
          <t>该用户被拒绝</t>
        </is>
      </c>
      <c r="J63" s="8" t="n">
        <v>0</v>
      </c>
      <c r="K63" s="8" t="n">
        <v>0</v>
      </c>
      <c r="L63" s="8" t="n">
        <v>0</v>
      </c>
      <c r="M63" s="155" t="n">
        <v>23000</v>
      </c>
      <c r="N63" s="155" t="n">
        <v>0</v>
      </c>
      <c r="O63" s="155">
        <f>M63+N63</f>
        <v/>
      </c>
      <c r="P63" s="8" t="n">
        <v>2400</v>
      </c>
      <c r="Q63" s="8" t="n">
        <v>600</v>
      </c>
      <c r="R63" s="155">
        <f>O63-Q63</f>
        <v/>
      </c>
      <c r="S63" s="8" t="n">
        <v>0</v>
      </c>
      <c r="T63" s="9" t="n">
        <v>44056</v>
      </c>
      <c r="U63" s="8" t="inlineStr">
        <is>
          <t>完成</t>
        </is>
      </c>
      <c r="V63" s="8" t="inlineStr">
        <is>
          <t>厦门</t>
        </is>
      </c>
      <c r="W63" s="8" t="inlineStr">
        <is>
          <t>翼百信3</t>
        </is>
      </c>
      <c r="X63" s="8" t="inlineStr">
        <is>
          <t>王珍妹</t>
        </is>
      </c>
      <c r="Y63" s="8" t="n"/>
    </row>
    <row r="64">
      <c r="A64" s="8" t="inlineStr">
        <is>
          <t>大搜</t>
        </is>
      </c>
      <c r="B64" s="8" t="inlineStr">
        <is>
          <t>厦门水豚网络科技有限公司</t>
        </is>
      </c>
      <c r="C64" s="8" t="inlineStr">
        <is>
          <t>www.zhichantx.com</t>
        </is>
      </c>
      <c r="D64" s="8" t="inlineStr">
        <is>
          <t>厦门水豚</t>
        </is>
      </c>
      <c r="E64" s="9" t="n">
        <v>44060</v>
      </c>
      <c r="F64" s="8" t="inlineStr">
        <is>
          <t>柯志鸿</t>
        </is>
      </c>
      <c r="G64" s="8" t="inlineStr">
        <is>
          <t>失效挽救部</t>
        </is>
      </c>
      <c r="H64" s="8" t="inlineStr">
        <is>
          <t>易尔通客服一部</t>
        </is>
      </c>
      <c r="I64" s="8" t="inlineStr">
        <is>
          <t>该用户被拒绝</t>
        </is>
      </c>
      <c r="J64" s="8" t="n">
        <v>0</v>
      </c>
      <c r="K64" s="8" t="n">
        <v>0</v>
      </c>
      <c r="L64" s="8" t="n">
        <v>0</v>
      </c>
      <c r="M64" s="155" t="n">
        <v>25000</v>
      </c>
      <c r="N64" s="155" t="n">
        <v>0</v>
      </c>
      <c r="O64" s="155">
        <f>M64+N64</f>
        <v/>
      </c>
      <c r="P64" s="8" t="n">
        <v>2400</v>
      </c>
      <c r="Q64" s="8" t="n">
        <v>600</v>
      </c>
      <c r="R64" s="155">
        <f>O64-Q64</f>
        <v/>
      </c>
      <c r="S64" s="8" t="n">
        <v>0</v>
      </c>
      <c r="T64" s="9" t="n">
        <v>44057</v>
      </c>
      <c r="U64" s="8" t="inlineStr">
        <is>
          <t>完成</t>
        </is>
      </c>
      <c r="V64" s="8" t="inlineStr">
        <is>
          <t>厦门</t>
        </is>
      </c>
      <c r="W64" s="8" t="inlineStr">
        <is>
          <t>翼百信3</t>
        </is>
      </c>
      <c r="X64" s="8" t="inlineStr">
        <is>
          <t>王珍妹</t>
        </is>
      </c>
      <c r="Y64" s="8" t="n"/>
    </row>
    <row r="65">
      <c r="A65" s="8" t="inlineStr">
        <is>
          <t>大搜</t>
        </is>
      </c>
      <c r="B65" s="8" t="inlineStr">
        <is>
          <t>漳州鹭翔叉车技术咨询服务有限公司</t>
        </is>
      </c>
      <c r="C65" s="8" t="inlineStr">
        <is>
          <t>http://www.zzlxcc.com</t>
        </is>
      </c>
      <c r="D65" s="8" t="inlineStr">
        <is>
          <t>漳州鹭翔</t>
        </is>
      </c>
      <c r="E65" s="9" t="n">
        <v>44060</v>
      </c>
      <c r="F65" s="8" t="inlineStr">
        <is>
          <t>陈雪梅</t>
        </is>
      </c>
      <c r="G65" s="8" t="inlineStr">
        <is>
          <t>行发维护大区</t>
        </is>
      </c>
      <c r="H65" s="8" t="inlineStr">
        <is>
          <t>xm维护02</t>
        </is>
      </c>
      <c r="I65" s="8" t="inlineStr">
        <is>
          <t>用户正常生效</t>
        </is>
      </c>
      <c r="J65" s="8" t="n">
        <v>0</v>
      </c>
      <c r="K65" s="8" t="n">
        <v>0</v>
      </c>
      <c r="L65" s="8" t="n">
        <v>0</v>
      </c>
      <c r="M65" s="155" t="n">
        <v>8000</v>
      </c>
      <c r="N65" s="155" t="n">
        <v>0</v>
      </c>
      <c r="O65" s="155">
        <f>M65+N65</f>
        <v/>
      </c>
      <c r="P65" s="8" t="n">
        <v>2400</v>
      </c>
      <c r="Q65" s="8" t="n">
        <v>600</v>
      </c>
      <c r="R65" s="155">
        <f>O65-Q65</f>
        <v/>
      </c>
      <c r="S65" s="8" t="n">
        <v>4.43571428571429</v>
      </c>
      <c r="T65" s="9" t="n">
        <v>44058</v>
      </c>
      <c r="U65" s="8" t="inlineStr">
        <is>
          <t>完成</t>
        </is>
      </c>
      <c r="V65" s="8" t="inlineStr">
        <is>
          <t>厦门</t>
        </is>
      </c>
      <c r="W65" s="8" t="inlineStr">
        <is>
          <t>翼百信1</t>
        </is>
      </c>
      <c r="X65" s="8" t="inlineStr">
        <is>
          <t>杨彩云</t>
        </is>
      </c>
      <c r="Y65" s="8" t="n"/>
    </row>
    <row r="66">
      <c r="A66" s="8" t="inlineStr">
        <is>
          <t>大搜</t>
        </is>
      </c>
      <c r="B66" s="8" t="inlineStr">
        <is>
          <t>厦门定制先生门窗有限公司</t>
        </is>
      </c>
      <c r="C66" s="8" t="inlineStr">
        <is>
          <t>http://www.diysir.net/</t>
        </is>
      </c>
      <c r="D66" s="8" t="inlineStr">
        <is>
          <t>厦门定制</t>
        </is>
      </c>
      <c r="E66" s="9" t="n">
        <v>44068</v>
      </c>
      <c r="F66" s="8" t="inlineStr">
        <is>
          <t>纪荣裕</t>
        </is>
      </c>
      <c r="G66" s="8" t="inlineStr">
        <is>
          <t>失效挽救部</t>
        </is>
      </c>
      <c r="H66" s="8" t="inlineStr">
        <is>
          <t>易尔通客服五部</t>
        </is>
      </c>
      <c r="I66" s="8" t="inlineStr">
        <is>
          <t>该用户被拒绝</t>
        </is>
      </c>
      <c r="J66" s="8" t="n">
        <v>0</v>
      </c>
      <c r="K66" s="8" t="n">
        <v>0</v>
      </c>
      <c r="L66" s="8" t="n">
        <v>0</v>
      </c>
      <c r="M66" s="155" t="n">
        <v>9000</v>
      </c>
      <c r="N66" s="155" t="n">
        <v>0</v>
      </c>
      <c r="O66" s="155">
        <f>M66+N66</f>
        <v/>
      </c>
      <c r="P66" s="8" t="n">
        <v>2400</v>
      </c>
      <c r="Q66" s="8" t="n">
        <v>600</v>
      </c>
      <c r="R66" s="155">
        <f>O66-Q66</f>
        <v/>
      </c>
      <c r="S66" s="8" t="n">
        <v>0</v>
      </c>
      <c r="T66" s="9" t="n">
        <v>44063</v>
      </c>
      <c r="U66" s="8" t="inlineStr">
        <is>
          <t>完成</t>
        </is>
      </c>
      <c r="V66" s="8" t="inlineStr">
        <is>
          <t>厦门</t>
        </is>
      </c>
      <c r="W66" s="8" t="inlineStr">
        <is>
          <t>翼百信</t>
        </is>
      </c>
      <c r="X66" s="8" t="inlineStr">
        <is>
          <t>黄群清</t>
        </is>
      </c>
      <c r="Y66" s="8" t="n"/>
    </row>
    <row r="67">
      <c r="A67" s="8" t="inlineStr">
        <is>
          <t>信息流</t>
        </is>
      </c>
      <c r="B67" s="8" t="inlineStr">
        <is>
          <t>厦门特卤多餐饮管理有限公司</t>
        </is>
      </c>
      <c r="C67" s="8" t="inlineStr">
        <is>
          <t>qianhu.wejianzhan.com</t>
        </is>
      </c>
      <c r="D67" s="8" t="inlineStr">
        <is>
          <t>招商加盟-特卤多</t>
        </is>
      </c>
      <c r="E67" s="9" t="n">
        <v>44068</v>
      </c>
      <c r="F67" s="8" t="inlineStr">
        <is>
          <t>林志龙</t>
        </is>
      </c>
      <c r="G67" s="8" t="inlineStr">
        <is>
          <t>失效挽救部</t>
        </is>
      </c>
      <c r="H67" s="8" t="inlineStr">
        <is>
          <t>易尔通客服二部</t>
        </is>
      </c>
      <c r="I67" s="8" t="inlineStr">
        <is>
          <t>该用户被拒绝</t>
        </is>
      </c>
      <c r="J67" s="8" t="n">
        <v>0</v>
      </c>
      <c r="K67" s="8" t="n">
        <v>0</v>
      </c>
      <c r="L67" s="8" t="n">
        <v>0</v>
      </c>
      <c r="M67" s="155" t="n">
        <v>0</v>
      </c>
      <c r="N67" s="155" t="n">
        <v>14000</v>
      </c>
      <c r="O67" s="155">
        <f>M67+N67</f>
        <v/>
      </c>
      <c r="P67" s="155" t="n">
        <v>2400</v>
      </c>
      <c r="Q67" s="155" t="n">
        <v>600</v>
      </c>
      <c r="R67" s="155">
        <f>O67-Q67</f>
        <v/>
      </c>
      <c r="S67" s="8" t="n">
        <v>0</v>
      </c>
      <c r="T67" s="9" t="n">
        <v>44062</v>
      </c>
      <c r="U67" s="8" t="inlineStr">
        <is>
          <t>完成</t>
        </is>
      </c>
      <c r="V67" s="8" t="inlineStr">
        <is>
          <t>厦门</t>
        </is>
      </c>
      <c r="W67" s="8" t="inlineStr">
        <is>
          <t>翼百信1</t>
        </is>
      </c>
      <c r="X67" s="8" t="inlineStr">
        <is>
          <t>杨彩云</t>
        </is>
      </c>
      <c r="Y67" s="8" t="n"/>
    </row>
    <row r="68">
      <c r="A68" s="8" t="inlineStr">
        <is>
          <t>大搜</t>
        </is>
      </c>
      <c r="B68" s="8" t="inlineStr">
        <is>
          <t>五赫兹(厦门)医疗用品有限公司</t>
        </is>
      </c>
      <c r="C68" s="8" t="inlineStr">
        <is>
          <t>www.5hz-medical.com</t>
        </is>
      </c>
      <c r="D68" s="8" t="inlineStr">
        <is>
          <t>招商加盟-五赫兹</t>
        </is>
      </c>
      <c r="E68" s="9" t="n">
        <v>44078</v>
      </c>
      <c r="F68" s="8" t="inlineStr">
        <is>
          <t>郑淑敏</t>
        </is>
      </c>
      <c r="G68" s="8" t="inlineStr">
        <is>
          <t>维护部门</t>
        </is>
      </c>
      <c r="H68" s="8" t="inlineStr">
        <is>
          <t>xm维护42</t>
        </is>
      </c>
      <c r="I68" s="8" t="inlineStr">
        <is>
          <t>该用户被拒绝</t>
        </is>
      </c>
      <c r="J68" s="8" t="n">
        <v>0</v>
      </c>
      <c r="K68" s="8" t="n">
        <v>0</v>
      </c>
      <c r="L68" s="8" t="n">
        <v>0</v>
      </c>
      <c r="M68" s="155" t="n">
        <v>13000</v>
      </c>
      <c r="N68" s="155" t="n">
        <v>0</v>
      </c>
      <c r="O68" s="155">
        <f>M68+N68</f>
        <v/>
      </c>
      <c r="P68" s="8" t="n">
        <v>2400</v>
      </c>
      <c r="Q68" s="8" t="n">
        <v>600</v>
      </c>
      <c r="R68" s="155">
        <f>O68-Q68</f>
        <v/>
      </c>
      <c r="S68" s="8" t="n">
        <v>0</v>
      </c>
      <c r="T68" s="9" t="n">
        <v>44075</v>
      </c>
      <c r="U68" s="8" t="inlineStr">
        <is>
          <t>完成</t>
        </is>
      </c>
      <c r="V68" s="8" t="inlineStr">
        <is>
          <t>厦门</t>
        </is>
      </c>
      <c r="W68" s="8" t="inlineStr">
        <is>
          <t>翼百信3</t>
        </is>
      </c>
      <c r="X68" s="8" t="inlineStr">
        <is>
          <t>陈长亮</t>
        </is>
      </c>
      <c r="Y68" s="8" t="n"/>
    </row>
    <row r="69">
      <c r="A69" s="8" t="inlineStr">
        <is>
          <t>大搜</t>
        </is>
      </c>
      <c r="B69" s="8" t="inlineStr">
        <is>
          <t>厦门汇净康环保科技有限公司</t>
        </is>
      </c>
      <c r="C69" s="8" t="inlineStr">
        <is>
          <t>qianhu.wejianzhan.com</t>
        </is>
      </c>
      <c r="D69" s="8" t="inlineStr">
        <is>
          <t>招商加盟-汇净康</t>
        </is>
      </c>
      <c r="E69" s="9" t="n">
        <v>44088</v>
      </c>
      <c r="F69" s="8" t="inlineStr">
        <is>
          <t>夏皖鹭</t>
        </is>
      </c>
      <c r="G69" s="8" t="inlineStr">
        <is>
          <t>大客部门</t>
        </is>
      </c>
      <c r="H69" s="8" t="inlineStr">
        <is>
          <t>xm大客05</t>
        </is>
      </c>
      <c r="I69" s="8" t="inlineStr">
        <is>
          <t>用户正常生效</t>
        </is>
      </c>
      <c r="J69" s="8" t="n">
        <v>0</v>
      </c>
      <c r="K69" s="8" t="n">
        <v>12769.5</v>
      </c>
      <c r="L69" s="8" t="n">
        <v>12769.5</v>
      </c>
      <c r="M69" s="155" t="n">
        <v>12400</v>
      </c>
      <c r="N69" s="155" t="n">
        <v>0</v>
      </c>
      <c r="O69" s="155">
        <f>M69+N69</f>
        <v/>
      </c>
      <c r="P69" s="8" t="n">
        <v>2400</v>
      </c>
      <c r="Q69" s="155" t="n">
        <v>0</v>
      </c>
      <c r="R69" s="155">
        <f>O69-Q69</f>
        <v/>
      </c>
      <c r="S69" s="8" t="n">
        <v>519.174285714286</v>
      </c>
      <c r="T69" s="9" t="n">
        <v>44082</v>
      </c>
      <c r="U69" s="8" t="inlineStr">
        <is>
          <t>完成</t>
        </is>
      </c>
      <c r="V69" s="8" t="inlineStr">
        <is>
          <t>厦门</t>
        </is>
      </c>
      <c r="W69" s="8" t="inlineStr">
        <is>
          <t>翼百信2</t>
        </is>
      </c>
      <c r="X69" s="8" t="inlineStr">
        <is>
          <t>吴海娟</t>
        </is>
      </c>
      <c r="Y69" s="8" t="n"/>
    </row>
    <row r="70">
      <c r="A70" s="8" t="inlineStr">
        <is>
          <t>大搜</t>
        </is>
      </c>
      <c r="B70" s="8" t="inlineStr">
        <is>
          <t>厦门兴达意环境技术有限公司</t>
        </is>
      </c>
      <c r="C70" s="8" t="inlineStr">
        <is>
          <t>www.xm-xdy.com</t>
        </is>
      </c>
      <c r="D70" s="8" t="inlineStr">
        <is>
          <t>兴达意</t>
        </is>
      </c>
      <c r="E70" s="9" t="n">
        <v>44088</v>
      </c>
      <c r="F70" s="8" t="inlineStr">
        <is>
          <t>郑博萱</t>
        </is>
      </c>
      <c r="G70" s="8" t="inlineStr">
        <is>
          <t>维护部门</t>
        </is>
      </c>
      <c r="H70" s="8" t="inlineStr">
        <is>
          <t>xm维护06</t>
        </is>
      </c>
      <c r="I70" s="8" t="inlineStr">
        <is>
          <t>该用户被拒绝</t>
        </is>
      </c>
      <c r="J70" s="8" t="n">
        <v>0</v>
      </c>
      <c r="K70" s="8" t="n">
        <v>0</v>
      </c>
      <c r="L70" s="8" t="n">
        <v>0</v>
      </c>
      <c r="M70" s="155" t="n">
        <v>8600</v>
      </c>
      <c r="N70" s="155" t="n">
        <v>0</v>
      </c>
      <c r="O70" s="155">
        <f>M70+N70</f>
        <v/>
      </c>
      <c r="P70" s="8" t="n">
        <v>1200</v>
      </c>
      <c r="Q70" s="8" t="n">
        <v>600</v>
      </c>
      <c r="R70" s="155">
        <f>O70-Q70</f>
        <v/>
      </c>
      <c r="S70" s="8" t="n">
        <v>0</v>
      </c>
      <c r="T70" s="9" t="n">
        <v>44084</v>
      </c>
      <c r="U70" s="8" t="inlineStr">
        <is>
          <t>完成</t>
        </is>
      </c>
      <c r="V70" s="8" t="inlineStr">
        <is>
          <t>厦门</t>
        </is>
      </c>
      <c r="W70" s="8" t="inlineStr">
        <is>
          <t>翼百信2</t>
        </is>
      </c>
      <c r="X70" s="8" t="inlineStr">
        <is>
          <t>邱毅文</t>
        </is>
      </c>
      <c r="Y70" s="8" t="n"/>
    </row>
    <row r="71">
      <c r="A71" s="8" t="inlineStr">
        <is>
          <t>大搜</t>
        </is>
      </c>
      <c r="B71" s="8" t="inlineStr">
        <is>
          <t>厦门酷森网络科技有限公司</t>
        </is>
      </c>
      <c r="C71" s="8" t="inlineStr">
        <is>
          <t>zxs.5laoban.com</t>
        </is>
      </c>
      <c r="D71" s="8" t="inlineStr">
        <is>
          <t>厦门酷森</t>
        </is>
      </c>
      <c r="E71" s="9" t="n">
        <v>44092</v>
      </c>
      <c r="F71" s="8" t="inlineStr">
        <is>
          <t>无</t>
        </is>
      </c>
      <c r="G71" s="8" t="inlineStr">
        <is>
          <t>失效挽救部</t>
        </is>
      </c>
      <c r="H71" s="8" t="inlineStr">
        <is>
          <t>易尔通客服六部</t>
        </is>
      </c>
      <c r="I71" s="8" t="inlineStr">
        <is>
          <t>该用户被拒绝</t>
        </is>
      </c>
      <c r="J71" s="8" t="n">
        <v>0</v>
      </c>
      <c r="K71" s="8" t="n">
        <v>0</v>
      </c>
      <c r="L71" s="8" t="n">
        <v>0</v>
      </c>
      <c r="M71" s="155" t="n">
        <v>8000</v>
      </c>
      <c r="N71" s="155" t="n">
        <v>0</v>
      </c>
      <c r="O71" s="155">
        <f>M71+N71</f>
        <v/>
      </c>
      <c r="P71" s="155" t="n">
        <v>2400</v>
      </c>
      <c r="Q71" s="155" t="n">
        <v>600</v>
      </c>
      <c r="R71" s="155">
        <f>O71-Q71</f>
        <v/>
      </c>
      <c r="S71" s="8" t="n">
        <v>0</v>
      </c>
      <c r="T71" s="9" t="n">
        <v>44091</v>
      </c>
      <c r="U71" s="8" t="inlineStr">
        <is>
          <t>完成</t>
        </is>
      </c>
      <c r="V71" s="8" t="inlineStr">
        <is>
          <t>厦门</t>
        </is>
      </c>
      <c r="W71" s="8" t="inlineStr">
        <is>
          <t>翼百信</t>
        </is>
      </c>
      <c r="X71" s="8" t="inlineStr">
        <is>
          <t>黄群清</t>
        </is>
      </c>
      <c r="Y71" s="8" t="n"/>
    </row>
    <row r="72">
      <c r="A72" s="8" t="inlineStr">
        <is>
          <t>大搜</t>
        </is>
      </c>
      <c r="B72" s="8" t="inlineStr">
        <is>
          <t>厦门赞国文化传播有限公司</t>
        </is>
      </c>
      <c r="C72" s="8" t="inlineStr">
        <is>
          <t>qianhu.wejianzhan.com</t>
        </is>
      </c>
      <c r="D72" s="8" t="inlineStr">
        <is>
          <t>厦门赞国</t>
        </is>
      </c>
      <c r="E72" s="9" t="n">
        <v>44096</v>
      </c>
      <c r="F72" s="8" t="inlineStr">
        <is>
          <t>苏晨</t>
        </is>
      </c>
      <c r="G72" s="8" t="inlineStr">
        <is>
          <t>失效挽救部</t>
        </is>
      </c>
      <c r="H72" s="8" t="inlineStr">
        <is>
          <t>xm复活001</t>
        </is>
      </c>
      <c r="I72" s="8" t="inlineStr">
        <is>
          <t>该用户被拒绝</t>
        </is>
      </c>
      <c r="J72" s="8" t="n">
        <v>0</v>
      </c>
      <c r="K72" s="8" t="n">
        <v>0</v>
      </c>
      <c r="L72" s="8" t="n">
        <v>0</v>
      </c>
      <c r="M72" s="155" t="n">
        <v>12400</v>
      </c>
      <c r="N72" s="155" t="n">
        <v>0</v>
      </c>
      <c r="O72" s="155">
        <f>M72+N72</f>
        <v/>
      </c>
      <c r="P72" s="155" t="n">
        <v>2400</v>
      </c>
      <c r="Q72" s="155" t="n">
        <v>600</v>
      </c>
      <c r="R72" s="155">
        <f>O72-Q72</f>
        <v/>
      </c>
      <c r="S72" s="8" t="n">
        <v>0</v>
      </c>
      <c r="T72" s="9" t="n">
        <v>44091</v>
      </c>
      <c r="U72" s="8" t="inlineStr">
        <is>
          <t>完成</t>
        </is>
      </c>
      <c r="V72" s="8" t="inlineStr">
        <is>
          <t>厦门</t>
        </is>
      </c>
      <c r="W72" s="8" t="inlineStr">
        <is>
          <t>翼百信</t>
        </is>
      </c>
      <c r="X72" s="8" t="inlineStr">
        <is>
          <t>黄群清</t>
        </is>
      </c>
      <c r="Y72" s="8" t="n"/>
    </row>
    <row r="73">
      <c r="A73" s="8" t="inlineStr">
        <is>
          <t>大搜</t>
        </is>
      </c>
      <c r="B73" s="8" t="inlineStr">
        <is>
          <t>厦门四海搬家服务有限公司</t>
        </is>
      </c>
      <c r="C73" s="8" t="inlineStr">
        <is>
          <t>http://qianhu.wejianzhan.com</t>
        </is>
      </c>
      <c r="D73" s="8" t="inlineStr">
        <is>
          <t>厦门四海搬家</t>
        </is>
      </c>
      <c r="E73" s="9" t="n">
        <v>44099</v>
      </c>
      <c r="F73" s="8" t="inlineStr">
        <is>
          <t>郑博萱</t>
        </is>
      </c>
      <c r="G73" s="8" t="inlineStr">
        <is>
          <t>维护部门</t>
        </is>
      </c>
      <c r="H73" s="8" t="inlineStr">
        <is>
          <t>xm维护06</t>
        </is>
      </c>
      <c r="I73" s="8" t="inlineStr">
        <is>
          <t>该用户被拒绝</t>
        </is>
      </c>
      <c r="J73" s="8" t="n">
        <v>0</v>
      </c>
      <c r="K73" s="8" t="n">
        <v>0</v>
      </c>
      <c r="L73" s="8" t="n">
        <v>0</v>
      </c>
      <c r="M73" s="155" t="n">
        <v>12400</v>
      </c>
      <c r="N73" s="155" t="n">
        <v>0</v>
      </c>
      <c r="O73" s="155">
        <f>M73+N73</f>
        <v/>
      </c>
      <c r="P73" s="155" t="n">
        <v>1800</v>
      </c>
      <c r="Q73" s="155" t="n">
        <v>600</v>
      </c>
      <c r="R73" s="155">
        <f>O73-Q73</f>
        <v/>
      </c>
      <c r="S73" s="8" t="n">
        <v>0</v>
      </c>
      <c r="T73" s="9" t="n">
        <v>44097</v>
      </c>
      <c r="U73" s="8" t="inlineStr">
        <is>
          <t>完成</t>
        </is>
      </c>
      <c r="V73" s="8" t="inlineStr">
        <is>
          <t>翼百信</t>
        </is>
      </c>
      <c r="W73" s="8" t="inlineStr">
        <is>
          <t>翼百信2</t>
        </is>
      </c>
      <c r="X73" s="8" t="inlineStr">
        <is>
          <t>邱毅文</t>
        </is>
      </c>
      <c r="Y73" s="8" t="n"/>
    </row>
    <row r="74">
      <c r="A74" s="8" t="inlineStr">
        <is>
          <t>大搜</t>
        </is>
      </c>
      <c r="B74" s="8" t="inlineStr">
        <is>
          <t>福建景鸿非急救转运服务有限责任公司</t>
        </is>
      </c>
      <c r="C74" s="8" t="inlineStr">
        <is>
          <t>www.jhylzy.com</t>
        </is>
      </c>
      <c r="D74" s="8" t="inlineStr">
        <is>
          <t>福建景鸿</t>
        </is>
      </c>
      <c r="E74" s="9" t="n">
        <v>44103</v>
      </c>
      <c r="F74" s="8" t="inlineStr">
        <is>
          <t>胡艺红</t>
        </is>
      </c>
      <c r="G74" s="8" t="inlineStr">
        <is>
          <t>泉州中小企业增值部</t>
        </is>
      </c>
      <c r="H74" s="8" t="inlineStr">
        <is>
          <t>qz维护11</t>
        </is>
      </c>
      <c r="I74" s="8" t="inlineStr">
        <is>
          <t>该用户被拒绝</t>
        </is>
      </c>
      <c r="J74" s="8" t="n">
        <v>0</v>
      </c>
      <c r="K74" s="8" t="n">
        <v>0</v>
      </c>
      <c r="L74" s="8" t="n">
        <v>0</v>
      </c>
      <c r="M74" s="155" t="n">
        <v>13000</v>
      </c>
      <c r="N74" s="155" t="n">
        <v>0</v>
      </c>
      <c r="O74" s="155">
        <f>M74+N74</f>
        <v/>
      </c>
      <c r="P74" s="155" t="n">
        <v>2400</v>
      </c>
      <c r="Q74" s="155" t="n">
        <v>600</v>
      </c>
      <c r="R74" s="155">
        <f>O74-Q74</f>
        <v/>
      </c>
      <c r="S74" s="8" t="n">
        <v>0</v>
      </c>
      <c r="T74" s="9" t="n">
        <v>44102</v>
      </c>
      <c r="U74" s="8" t="inlineStr">
        <is>
          <t>泉州涂世方代下单</t>
        </is>
      </c>
      <c r="V74" s="8" t="inlineStr">
        <is>
          <t>翼百信</t>
        </is>
      </c>
      <c r="W74" s="8" t="inlineStr">
        <is>
          <t>翼百信</t>
        </is>
      </c>
      <c r="X74" s="8" t="inlineStr">
        <is>
          <t>庄泽新</t>
        </is>
      </c>
      <c r="Y74" s="8" t="n"/>
    </row>
    <row r="75">
      <c r="A75" s="8" t="inlineStr">
        <is>
          <t>大搜</t>
        </is>
      </c>
      <c r="B75" s="8" t="inlineStr">
        <is>
          <t>厦门南新生代软件有限公司</t>
        </is>
      </c>
      <c r="C75" s="8" t="inlineStr">
        <is>
          <t>xmp.rjitxy.com</t>
        </is>
      </c>
      <c r="D75" s="8" t="inlineStr">
        <is>
          <t>南新生代xm</t>
        </is>
      </c>
      <c r="E75" s="9" t="n">
        <v>44126</v>
      </c>
      <c r="F75" s="8" t="inlineStr">
        <is>
          <t>苏晨</t>
        </is>
      </c>
      <c r="G75" s="8" t="inlineStr">
        <is>
          <t>失效挽救部</t>
        </is>
      </c>
      <c r="H75" s="8" t="inlineStr">
        <is>
          <t>xm复活001</t>
        </is>
      </c>
      <c r="I75" s="8" t="inlineStr">
        <is>
          <t>该用户被拒绝</t>
        </is>
      </c>
      <c r="J75" s="8" t="n">
        <v>0</v>
      </c>
      <c r="K75" s="8" t="n">
        <v>0</v>
      </c>
      <c r="L75" s="8" t="n">
        <v>0</v>
      </c>
      <c r="M75" s="155" t="n">
        <v>12185</v>
      </c>
      <c r="N75" s="155" t="n">
        <v>0</v>
      </c>
      <c r="O75" s="155">
        <f>M75+N75</f>
        <v/>
      </c>
      <c r="P75" s="155" t="n">
        <v>2400</v>
      </c>
      <c r="Q75" s="155" t="n">
        <v>0</v>
      </c>
      <c r="R75" s="155">
        <f>O75-Q75</f>
        <v/>
      </c>
      <c r="S75" s="8" t="n">
        <v>0</v>
      </c>
      <c r="T75" s="9" t="n">
        <v>44123</v>
      </c>
      <c r="U75" s="8" t="inlineStr">
        <is>
          <t>完成</t>
        </is>
      </c>
      <c r="V75" s="8" t="inlineStr">
        <is>
          <t>厦门</t>
        </is>
      </c>
      <c r="W75" s="8" t="inlineStr">
        <is>
          <t>翼百信3</t>
        </is>
      </c>
      <c r="X75" s="8" t="inlineStr">
        <is>
          <t>王珍妹</t>
        </is>
      </c>
      <c r="Y75" s="8" t="n"/>
    </row>
    <row r="76">
      <c r="A76" s="8" t="inlineStr">
        <is>
          <t>大搜</t>
        </is>
      </c>
      <c r="B76" s="8" t="inlineStr">
        <is>
          <t>福建东立集成房屋有限责任公司</t>
        </is>
      </c>
      <c r="C76" s="8" t="inlineStr">
        <is>
          <t>www.fjdljt.cn</t>
        </is>
      </c>
      <c r="D76" s="8" t="inlineStr">
        <is>
          <t>福建东立</t>
        </is>
      </c>
      <c r="E76" s="9" t="n">
        <v>44146</v>
      </c>
      <c r="F76" s="8" t="inlineStr">
        <is>
          <t>苏晨</t>
        </is>
      </c>
      <c r="G76" s="8" t="inlineStr">
        <is>
          <t>失效挽救部</t>
        </is>
      </c>
      <c r="H76" s="8" t="inlineStr">
        <is>
          <t>xm复活001</t>
        </is>
      </c>
      <c r="I76" s="8" t="inlineStr">
        <is>
          <t>该用户被拒绝</t>
        </is>
      </c>
      <c r="J76" s="8" t="n">
        <v>0</v>
      </c>
      <c r="K76" s="8" t="n">
        <v>0</v>
      </c>
      <c r="L76" s="8" t="n">
        <v>0</v>
      </c>
      <c r="M76" s="155" t="n">
        <v>13000</v>
      </c>
      <c r="N76" s="155" t="n">
        <v>0</v>
      </c>
      <c r="O76" s="155">
        <f>M76+N76</f>
        <v/>
      </c>
      <c r="P76" s="155" t="n">
        <v>2400</v>
      </c>
      <c r="Q76" s="155" t="n">
        <v>600</v>
      </c>
      <c r="R76" s="155">
        <f>O76-Q76</f>
        <v/>
      </c>
      <c r="S76" s="8" t="n">
        <v>0</v>
      </c>
      <c r="T76" s="9" t="n">
        <v>44144</v>
      </c>
      <c r="U76" s="8" t="inlineStr">
        <is>
          <t>完成</t>
        </is>
      </c>
      <c r="V76" s="8" t="inlineStr">
        <is>
          <t>厦门</t>
        </is>
      </c>
      <c r="W76" s="8" t="inlineStr">
        <is>
          <t>翼百信1</t>
        </is>
      </c>
      <c r="X76" s="8" t="inlineStr">
        <is>
          <t>杨彩云</t>
        </is>
      </c>
      <c r="Y76" s="8" t="n"/>
    </row>
    <row r="77">
      <c r="A77" s="8" t="inlineStr">
        <is>
          <t>大搜</t>
        </is>
      </c>
      <c r="B77" s="8" t="inlineStr">
        <is>
          <t>厦门初三科技有限公司</t>
        </is>
      </c>
      <c r="C77" s="8" t="inlineStr">
        <is>
          <t>www.12-one.cn</t>
        </is>
      </c>
      <c r="D77" s="8" t="inlineStr">
        <is>
          <t>初三科技</t>
        </is>
      </c>
      <c r="E77" s="9" t="n">
        <v>44148</v>
      </c>
      <c r="F77" s="8" t="inlineStr">
        <is>
          <t>林志龙</t>
        </is>
      </c>
      <c r="G77" s="8" t="inlineStr">
        <is>
          <t>失效挽救部</t>
        </is>
      </c>
      <c r="H77" s="8" t="inlineStr">
        <is>
          <t>易尔通客服二部</t>
        </is>
      </c>
      <c r="I77" s="8" t="inlineStr">
        <is>
          <t>该用户被拒绝</t>
        </is>
      </c>
      <c r="J77" s="8" t="n">
        <v>0</v>
      </c>
      <c r="K77" s="8" t="n">
        <v>0</v>
      </c>
      <c r="L77" s="8" t="n">
        <v>0</v>
      </c>
      <c r="M77" s="155" t="n">
        <v>13600</v>
      </c>
      <c r="N77" s="155" t="n">
        <v>0</v>
      </c>
      <c r="O77" s="155">
        <f>M77+N77</f>
        <v/>
      </c>
      <c r="P77" s="155" t="n">
        <v>2400</v>
      </c>
      <c r="Q77" s="155" t="n">
        <v>600</v>
      </c>
      <c r="R77" s="155">
        <f>O77-Q77</f>
        <v/>
      </c>
      <c r="S77" s="8" t="n">
        <v>0</v>
      </c>
      <c r="T77" s="9" t="n">
        <v>44146</v>
      </c>
      <c r="U77" s="8" t="inlineStr">
        <is>
          <t>完成</t>
        </is>
      </c>
      <c r="V77" s="8" t="inlineStr">
        <is>
          <t>厦门</t>
        </is>
      </c>
      <c r="W77" s="8" t="inlineStr">
        <is>
          <t>翼百信1</t>
        </is>
      </c>
      <c r="X77" s="8" t="inlineStr">
        <is>
          <t>杨彩云</t>
        </is>
      </c>
      <c r="Y77" s="8" t="n"/>
    </row>
    <row r="78">
      <c r="A78" s="8" t="inlineStr">
        <is>
          <t>信息流</t>
        </is>
      </c>
      <c r="B78" s="8" t="inlineStr">
        <is>
          <t>易展秀(厦门)网络科技有限公司</t>
        </is>
      </c>
      <c r="C78" s="8" t="inlineStr">
        <is>
          <t>www.yunzhanyun.com</t>
        </is>
      </c>
      <c r="D78" s="8" t="inlineStr">
        <is>
          <t>易展秀</t>
        </is>
      </c>
      <c r="E78" s="9" t="n">
        <v>44148</v>
      </c>
      <c r="F78" s="8" t="inlineStr">
        <is>
          <t>柯志鸿</t>
        </is>
      </c>
      <c r="G78" s="8" t="inlineStr">
        <is>
          <t>失效挽救部</t>
        </is>
      </c>
      <c r="H78" s="8" t="inlineStr">
        <is>
          <t>易尔通客服一部</t>
        </is>
      </c>
      <c r="I78" s="8" t="inlineStr">
        <is>
          <t>该用户被拒绝</t>
        </is>
      </c>
      <c r="J78" s="8" t="n">
        <v>0</v>
      </c>
      <c r="K78" s="8" t="n">
        <v>0</v>
      </c>
      <c r="L78" s="8" t="n">
        <v>0</v>
      </c>
      <c r="M78" s="155" t="n">
        <v>0</v>
      </c>
      <c r="N78" s="155" t="n">
        <v>11800</v>
      </c>
      <c r="O78" s="155">
        <f>M78+N78</f>
        <v/>
      </c>
      <c r="P78" s="155" t="n">
        <v>1200</v>
      </c>
      <c r="Q78" s="155" t="n">
        <v>600</v>
      </c>
      <c r="R78" s="155">
        <f>O78-Q78</f>
        <v/>
      </c>
      <c r="S78" s="8" t="n">
        <v>0</v>
      </c>
      <c r="T78" s="9" t="n">
        <v>44146</v>
      </c>
      <c r="U78" s="8" t="inlineStr">
        <is>
          <t>完成</t>
        </is>
      </c>
      <c r="V78" s="8" t="inlineStr">
        <is>
          <t>厦门</t>
        </is>
      </c>
      <c r="W78" s="8" t="inlineStr">
        <is>
          <t>翼百信2</t>
        </is>
      </c>
      <c r="X78" s="8" t="inlineStr">
        <is>
          <t>邱毅文</t>
        </is>
      </c>
      <c r="Y78" s="8" t="n"/>
    </row>
    <row r="79">
      <c r="A79" s="8" t="inlineStr">
        <is>
          <t>大搜</t>
        </is>
      </c>
      <c r="B79" s="8" t="inlineStr">
        <is>
          <t>厦门喜摄摄影服务有限公司</t>
        </is>
      </c>
      <c r="C79" s="8" t="inlineStr">
        <is>
          <t>alvin-gallery.cn</t>
        </is>
      </c>
      <c r="D79" s="8" t="inlineStr">
        <is>
          <t>喜摄摄影</t>
        </is>
      </c>
      <c r="E79" s="28" t="n">
        <v>44166</v>
      </c>
      <c r="F79" s="8" t="inlineStr">
        <is>
          <t>李珍珍</t>
        </is>
      </c>
      <c r="G79" s="8" t="inlineStr">
        <is>
          <t>行发维护大区</t>
        </is>
      </c>
      <c r="H79" s="8" t="inlineStr">
        <is>
          <t>xm维护16</t>
        </is>
      </c>
      <c r="I79" s="8" t="inlineStr">
        <is>
          <t>该用户被拒绝</t>
        </is>
      </c>
      <c r="J79" s="8" t="n">
        <v>0</v>
      </c>
      <c r="K79" s="8" t="n">
        <v>0</v>
      </c>
      <c r="L79" s="8" t="n">
        <v>0</v>
      </c>
      <c r="M79" s="155" t="n">
        <v>52400</v>
      </c>
      <c r="N79" s="155" t="n">
        <v>0</v>
      </c>
      <c r="O79" s="155">
        <f>M79+N79</f>
        <v/>
      </c>
      <c r="P79" s="155" t="n">
        <v>2400</v>
      </c>
      <c r="Q79" s="155" t="n">
        <v>600</v>
      </c>
      <c r="R79" s="155">
        <f>O79-Q79</f>
        <v/>
      </c>
      <c r="S79" s="8" t="n">
        <v>0</v>
      </c>
      <c r="T79" s="9" t="n">
        <v>44152</v>
      </c>
      <c r="U79" s="8" t="inlineStr">
        <is>
          <t>完成</t>
        </is>
      </c>
      <c r="V79" s="8" t="inlineStr">
        <is>
          <t>厦门</t>
        </is>
      </c>
      <c r="W79" s="8" t="inlineStr">
        <is>
          <t>翼百信2</t>
        </is>
      </c>
      <c r="X79" s="8" t="inlineStr">
        <is>
          <t>庄泽新</t>
        </is>
      </c>
      <c r="Y79" s="8" t="n"/>
    </row>
    <row r="80">
      <c r="A80" s="8" t="inlineStr">
        <is>
          <t>大搜</t>
        </is>
      </c>
      <c r="B80" s="8" t="inlineStr">
        <is>
          <t>平和县龙腾苗木有限公司</t>
        </is>
      </c>
      <c r="C80" s="8" t="inlineStr">
        <is>
          <t>http://www.phltmy.com</t>
        </is>
      </c>
      <c r="D80" s="8" t="inlineStr">
        <is>
          <t>平和龙腾1</t>
        </is>
      </c>
      <c r="E80" s="9" t="n">
        <v>44176</v>
      </c>
      <c r="F80" s="8" t="inlineStr">
        <is>
          <t>林志龙</t>
        </is>
      </c>
      <c r="G80" s="8" t="inlineStr">
        <is>
          <t>失效挽救部</t>
        </is>
      </c>
      <c r="H80" s="8" t="inlineStr">
        <is>
          <t>易尔通客服二部</t>
        </is>
      </c>
      <c r="I80" s="8" t="inlineStr">
        <is>
          <t>该用户被拒绝</t>
        </is>
      </c>
      <c r="J80" s="8" t="n">
        <v>0</v>
      </c>
      <c r="K80" s="8" t="n">
        <v>0</v>
      </c>
      <c r="L80" s="8" t="n">
        <v>0</v>
      </c>
      <c r="M80" s="155" t="n">
        <v>13600</v>
      </c>
      <c r="N80" s="155" t="n">
        <v>0</v>
      </c>
      <c r="O80" s="155">
        <f>M80+N80</f>
        <v/>
      </c>
      <c r="P80" s="155" t="n">
        <v>1200</v>
      </c>
      <c r="Q80" s="155" t="n">
        <v>600</v>
      </c>
      <c r="R80" s="155">
        <f>O80-Q80</f>
        <v/>
      </c>
      <c r="S80" s="8" t="n">
        <v>0</v>
      </c>
      <c r="T80" s="9" t="n">
        <v>44166</v>
      </c>
      <c r="U80" s="8" t="inlineStr">
        <is>
          <t>完成</t>
        </is>
      </c>
      <c r="V80" s="8" t="inlineStr">
        <is>
          <t>厦门</t>
        </is>
      </c>
      <c r="W80" s="8" t="inlineStr">
        <is>
          <t>翼百信1</t>
        </is>
      </c>
      <c r="X80" s="8" t="inlineStr">
        <is>
          <t>廖晶晶</t>
        </is>
      </c>
      <c r="Y80" s="8" t="n"/>
    </row>
    <row r="81">
      <c r="A81" s="8" t="inlineStr">
        <is>
          <t>大搜</t>
        </is>
      </c>
      <c r="B81" s="8" t="inlineStr">
        <is>
          <t>厦门欣鹭洁环境工程有限公司</t>
        </is>
      </c>
      <c r="C81" s="8" t="inlineStr">
        <is>
          <t>www.xljhjgc.com</t>
        </is>
      </c>
      <c r="D81" s="8" t="inlineStr">
        <is>
          <t>欣鹭洁</t>
        </is>
      </c>
      <c r="E81" s="9" t="n">
        <v>44174</v>
      </c>
      <c r="F81" s="8" t="inlineStr">
        <is>
          <t>林华卿</t>
        </is>
      </c>
      <c r="G81" s="8" t="inlineStr">
        <is>
          <t>新开部门</t>
        </is>
      </c>
      <c r="H81" s="8" t="inlineStr">
        <is>
          <t>xm新开13</t>
        </is>
      </c>
      <c r="I81" s="8" t="inlineStr">
        <is>
          <t>该用户被拒绝</t>
        </is>
      </c>
      <c r="J81" s="8" t="n">
        <v>0</v>
      </c>
      <c r="K81" s="8" t="n">
        <v>0</v>
      </c>
      <c r="L81" s="8" t="n">
        <v>0</v>
      </c>
      <c r="M81" s="155" t="n">
        <v>8000</v>
      </c>
      <c r="N81" s="155" t="n">
        <v>0</v>
      </c>
      <c r="O81" s="155">
        <f>M81+N81</f>
        <v/>
      </c>
      <c r="P81" s="155" t="n">
        <v>2400</v>
      </c>
      <c r="Q81" s="155" t="n">
        <v>600</v>
      </c>
      <c r="R81" s="155">
        <f>O81-Q81</f>
        <v/>
      </c>
      <c r="S81" s="8" t="n">
        <v>0</v>
      </c>
      <c r="T81" s="9" t="n">
        <v>44169</v>
      </c>
      <c r="U81" s="8" t="inlineStr">
        <is>
          <t>完成</t>
        </is>
      </c>
      <c r="V81" s="8" t="inlineStr">
        <is>
          <t>厦门</t>
        </is>
      </c>
      <c r="W81" s="8" t="inlineStr">
        <is>
          <t>翼百信1</t>
        </is>
      </c>
      <c r="X81" s="8" t="inlineStr">
        <is>
          <t>杨彩云</t>
        </is>
      </c>
      <c r="Y81" s="8" t="n"/>
    </row>
    <row r="82">
      <c r="A82" s="8" t="inlineStr">
        <is>
          <t>大搜+信息流</t>
        </is>
      </c>
      <c r="B82" s="8" t="inlineStr">
        <is>
          <t>海外说(厦门)科技有限公司</t>
        </is>
      </c>
      <c r="C82" s="8" t="inlineStr">
        <is>
          <t>www.lehibay.com</t>
        </is>
      </c>
      <c r="D82" s="8" t="inlineStr">
        <is>
          <t>海外说</t>
        </is>
      </c>
      <c r="E82" s="9" t="n">
        <v>44183</v>
      </c>
      <c r="F82" s="8" t="inlineStr">
        <is>
          <t>萧月梅</t>
        </is>
      </c>
      <c r="G82" s="8" t="inlineStr">
        <is>
          <t>行发维护大区</t>
        </is>
      </c>
      <c r="H82" s="8" t="inlineStr">
        <is>
          <t>xm维护38</t>
        </is>
      </c>
      <c r="I82" s="8" t="inlineStr">
        <is>
          <t>用户正常生效</t>
        </is>
      </c>
      <c r="J82" s="8" t="n">
        <v>0</v>
      </c>
      <c r="K82" s="8" t="n">
        <v>9941.82</v>
      </c>
      <c r="L82" s="8" t="n">
        <v>9941.82</v>
      </c>
      <c r="M82" s="155" t="n">
        <v>8000</v>
      </c>
      <c r="N82" s="155" t="n">
        <v>5000</v>
      </c>
      <c r="O82" s="155">
        <f>M82+N82</f>
        <v/>
      </c>
      <c r="P82" s="155" t="n">
        <v>2400</v>
      </c>
      <c r="Q82" s="155" t="n">
        <v>600</v>
      </c>
      <c r="R82" s="155">
        <f>O82-Q82</f>
        <v/>
      </c>
      <c r="S82" s="8" t="n">
        <v>126.638571428571</v>
      </c>
      <c r="T82" s="9" t="n">
        <v>44182</v>
      </c>
      <c r="U82" s="8" t="inlineStr">
        <is>
          <t>完成</t>
        </is>
      </c>
      <c r="V82" s="8" t="inlineStr">
        <is>
          <t>厦门</t>
        </is>
      </c>
      <c r="W82" s="8" t="inlineStr">
        <is>
          <t>翼百信3</t>
        </is>
      </c>
      <c r="X82" s="8" t="inlineStr">
        <is>
          <t>陈长亮</t>
        </is>
      </c>
      <c r="Y82" s="8" t="n"/>
    </row>
    <row r="83">
      <c r="A83" s="8" t="inlineStr">
        <is>
          <t>大搜+信息流</t>
        </is>
      </c>
      <c r="B83" s="8" t="inlineStr">
        <is>
          <t>厦门海川润泽物联网科技有限公司</t>
        </is>
      </c>
      <c r="C83" s="8" t="inlineStr">
        <is>
          <t xml:space="preserve">http://www.57iot.com/index.html </t>
        </is>
      </c>
      <c r="D83" s="8" t="inlineStr">
        <is>
          <t>海川润泽</t>
        </is>
      </c>
      <c r="E83" s="9" t="n">
        <v>44187</v>
      </c>
      <c r="F83" s="8" t="inlineStr">
        <is>
          <t>池紫婷</t>
        </is>
      </c>
      <c r="G83" s="8" t="inlineStr">
        <is>
          <t>维护部门</t>
        </is>
      </c>
      <c r="H83" s="8" t="inlineStr">
        <is>
          <t>xm维护43</t>
        </is>
      </c>
      <c r="I83" s="8" t="inlineStr">
        <is>
          <t>用户正常生效</t>
        </is>
      </c>
      <c r="J83" s="8" t="n">
        <v>20833.26</v>
      </c>
      <c r="K83" s="8" t="n">
        <v>0</v>
      </c>
      <c r="L83" s="8" t="n">
        <v>20833.26</v>
      </c>
      <c r="M83" s="155" t="n">
        <v>13000</v>
      </c>
      <c r="N83" s="155" t="n">
        <v>11200</v>
      </c>
      <c r="O83" s="155">
        <f>M83+N83</f>
        <v/>
      </c>
      <c r="P83" s="155" t="n">
        <v>2400</v>
      </c>
      <c r="Q83" s="155" t="n">
        <v>600</v>
      </c>
      <c r="R83" s="155">
        <f>O83-Q83</f>
        <v/>
      </c>
      <c r="S83" s="8" t="n">
        <v>347.4</v>
      </c>
      <c r="T83" s="9" t="n">
        <v>44183</v>
      </c>
      <c r="U83" s="8" t="inlineStr">
        <is>
          <t>完成</t>
        </is>
      </c>
      <c r="V83" s="8" t="inlineStr">
        <is>
          <t>翼百信</t>
        </is>
      </c>
      <c r="W83" s="8" t="inlineStr">
        <is>
          <t>翼百信</t>
        </is>
      </c>
      <c r="X83" s="8" t="inlineStr">
        <is>
          <t>庄泽新</t>
        </is>
      </c>
      <c r="Y83" s="8" t="n"/>
    </row>
    <row r="84">
      <c r="A84" s="8" t="inlineStr">
        <is>
          <t>大搜</t>
        </is>
      </c>
      <c r="B84" s="8" t="inlineStr">
        <is>
          <t>厦门悦游网络科技有限公司</t>
        </is>
      </c>
      <c r="C84" s="8" t="inlineStr">
        <is>
          <t>http://j.3733.com/sg09/</t>
        </is>
      </c>
      <c r="D84" s="8" t="inlineStr">
        <is>
          <t>厦门悦游</t>
        </is>
      </c>
      <c r="E84" s="9" t="n">
        <v>44229</v>
      </c>
      <c r="F84" s="8" t="inlineStr">
        <is>
          <t>杨晶晶</t>
        </is>
      </c>
      <c r="G84" s="8" t="inlineStr">
        <is>
          <t>大客部门</t>
        </is>
      </c>
      <c r="H84" s="8" t="inlineStr">
        <is>
          <t>xmKOL01</t>
        </is>
      </c>
      <c r="I84" s="8" t="inlineStr">
        <is>
          <t>用户正常生效</t>
        </is>
      </c>
      <c r="J84" s="8" t="n">
        <v>0</v>
      </c>
      <c r="K84" s="8" t="n">
        <v>0</v>
      </c>
      <c r="L84" s="8" t="n">
        <v>0</v>
      </c>
      <c r="M84" s="155" t="n">
        <v>502400</v>
      </c>
      <c r="N84" s="155" t="n">
        <v>0</v>
      </c>
      <c r="O84" s="155">
        <f>M84+N84</f>
        <v/>
      </c>
      <c r="P84" s="155" t="n">
        <v>2400</v>
      </c>
      <c r="Q84" s="155" t="n">
        <v>600</v>
      </c>
      <c r="R84" s="155">
        <f>O84-Q84</f>
        <v/>
      </c>
      <c r="S84" s="8" t="n">
        <v>9756.209999999999</v>
      </c>
      <c r="T84" s="9" t="n">
        <v>44222</v>
      </c>
      <c r="U84" s="8" t="inlineStr">
        <is>
          <t>完成</t>
        </is>
      </c>
      <c r="V84" s="8" t="inlineStr">
        <is>
          <t>厦门</t>
        </is>
      </c>
      <c r="W84" s="8" t="inlineStr">
        <is>
          <t>翼百信1</t>
        </is>
      </c>
      <c r="X84" s="8" t="inlineStr">
        <is>
          <t>杨彩云</t>
        </is>
      </c>
      <c r="Y84" s="8" t="n"/>
    </row>
    <row r="85">
      <c r="A85" s="8" t="inlineStr">
        <is>
          <t>大搜</t>
        </is>
      </c>
      <c r="B85" s="8" t="inlineStr">
        <is>
          <t>厦门悦游网络科技有限公司</t>
        </is>
      </c>
      <c r="C85" s="8" t="inlineStr">
        <is>
          <t>http://j.3733.com/sg09/</t>
        </is>
      </c>
      <c r="D85" s="8" t="inlineStr">
        <is>
          <t>厦门悦游1</t>
        </is>
      </c>
      <c r="E85" s="9" t="n">
        <v>44230</v>
      </c>
      <c r="F85" s="8" t="inlineStr">
        <is>
          <t>杨晶晶</t>
        </is>
      </c>
      <c r="G85" s="8" t="inlineStr">
        <is>
          <t>大客部门</t>
        </is>
      </c>
      <c r="H85" s="8" t="inlineStr">
        <is>
          <t>xmKOL01</t>
        </is>
      </c>
      <c r="I85" s="8" t="inlineStr">
        <is>
          <t>用户正常生效</t>
        </is>
      </c>
      <c r="J85" s="8" t="n">
        <v>0</v>
      </c>
      <c r="K85" s="8" t="n">
        <v>0</v>
      </c>
      <c r="L85" s="8" t="n">
        <v>0</v>
      </c>
      <c r="M85" s="155" t="n">
        <v>0</v>
      </c>
      <c r="N85" s="155" t="n">
        <v>0</v>
      </c>
      <c r="O85" s="155">
        <f>M85+N85</f>
        <v/>
      </c>
      <c r="P85" s="155" t="n">
        <v>0</v>
      </c>
      <c r="Q85" s="155" t="n">
        <v>0</v>
      </c>
      <c r="R85" s="155">
        <f>O85-Q85</f>
        <v/>
      </c>
      <c r="S85" s="8" t="n">
        <v>3005.62714285714</v>
      </c>
      <c r="T85" s="9" t="n">
        <v>44222</v>
      </c>
      <c r="U85" s="8" t="inlineStr">
        <is>
          <t>完成</t>
        </is>
      </c>
      <c r="V85" s="8" t="inlineStr">
        <is>
          <t>厦门</t>
        </is>
      </c>
      <c r="W85" s="8" t="inlineStr">
        <is>
          <t>翼百信1</t>
        </is>
      </c>
      <c r="X85" s="8" t="inlineStr">
        <is>
          <t>杨彩云</t>
        </is>
      </c>
      <c r="Y85" s="50" t="inlineStr">
        <is>
          <t>一户多开</t>
        </is>
      </c>
    </row>
    <row r="86">
      <c r="A86" s="8" t="inlineStr">
        <is>
          <t>大搜</t>
        </is>
      </c>
      <c r="B86" s="8" t="inlineStr">
        <is>
          <t>厦门悦游网络科技有限公司</t>
        </is>
      </c>
      <c r="C86" s="8" t="inlineStr">
        <is>
          <t>http://j.3733.com/sg09/</t>
        </is>
      </c>
      <c r="D86" s="8" t="inlineStr">
        <is>
          <t>厦门悦游2</t>
        </is>
      </c>
      <c r="E86" s="9" t="n">
        <v>44230</v>
      </c>
      <c r="F86" s="8" t="inlineStr">
        <is>
          <t>杨晶晶</t>
        </is>
      </c>
      <c r="G86" s="8" t="inlineStr">
        <is>
          <t>大客部门</t>
        </is>
      </c>
      <c r="H86" s="8" t="inlineStr">
        <is>
          <t>xmKOL01</t>
        </is>
      </c>
      <c r="I86" s="8" t="inlineStr">
        <is>
          <t>用户正常生效</t>
        </is>
      </c>
      <c r="J86" s="8" t="n">
        <v>0</v>
      </c>
      <c r="K86" s="8" t="n">
        <v>0</v>
      </c>
      <c r="L86" s="8" t="n">
        <v>0</v>
      </c>
      <c r="M86" s="155" t="n">
        <v>0</v>
      </c>
      <c r="N86" s="155" t="n">
        <v>0</v>
      </c>
      <c r="O86" s="155">
        <f>M86+N86</f>
        <v/>
      </c>
      <c r="P86" s="155" t="n">
        <v>0</v>
      </c>
      <c r="Q86" s="155" t="n">
        <v>0</v>
      </c>
      <c r="R86" s="155">
        <f>O86-Q86</f>
        <v/>
      </c>
      <c r="S86" s="8" t="n">
        <v>3007.20428571429</v>
      </c>
      <c r="T86" s="9" t="n">
        <v>44222</v>
      </c>
      <c r="U86" s="8" t="inlineStr">
        <is>
          <t>完成</t>
        </is>
      </c>
      <c r="V86" s="8" t="inlineStr">
        <is>
          <t>厦门</t>
        </is>
      </c>
      <c r="W86" s="8" t="inlineStr">
        <is>
          <t>翼百信1</t>
        </is>
      </c>
      <c r="X86" s="8" t="inlineStr">
        <is>
          <t>杨彩云</t>
        </is>
      </c>
      <c r="Y86" s="50" t="n"/>
    </row>
    <row r="87">
      <c r="A87" s="8" t="inlineStr">
        <is>
          <t>大搜</t>
        </is>
      </c>
      <c r="B87" s="8" t="inlineStr">
        <is>
          <t>厦门悦游网络科技有限公司</t>
        </is>
      </c>
      <c r="C87" s="8" t="inlineStr">
        <is>
          <t>http://j.3733.com/sg09/</t>
        </is>
      </c>
      <c r="D87" s="8" t="inlineStr">
        <is>
          <t>厦门悦游3</t>
        </is>
      </c>
      <c r="E87" s="9" t="n">
        <v>44230</v>
      </c>
      <c r="F87" s="8" t="inlineStr">
        <is>
          <t>无</t>
        </is>
      </c>
      <c r="G87" s="8" t="inlineStr">
        <is>
          <t>大客部门</t>
        </is>
      </c>
      <c r="H87" s="8" t="inlineStr">
        <is>
          <t>易尔通客服十部</t>
        </is>
      </c>
      <c r="I87" s="8" t="inlineStr">
        <is>
          <t>该用户被拒绝</t>
        </is>
      </c>
      <c r="J87" s="8" t="n">
        <v>0</v>
      </c>
      <c r="K87" s="8" t="n">
        <v>0</v>
      </c>
      <c r="L87" s="8" t="n">
        <v>0</v>
      </c>
      <c r="M87" s="155" t="n">
        <v>0</v>
      </c>
      <c r="N87" s="155" t="n">
        <v>0</v>
      </c>
      <c r="O87" s="155">
        <f>M87+N87</f>
        <v/>
      </c>
      <c r="P87" s="155" t="n">
        <v>0</v>
      </c>
      <c r="Q87" s="155" t="n">
        <v>0</v>
      </c>
      <c r="R87" s="155">
        <f>O87-Q87</f>
        <v/>
      </c>
      <c r="S87" s="8" t="n">
        <v>0</v>
      </c>
      <c r="T87" s="9" t="n">
        <v>44222</v>
      </c>
      <c r="U87" s="8" t="inlineStr">
        <is>
          <t>完成</t>
        </is>
      </c>
      <c r="V87" s="8" t="inlineStr">
        <is>
          <t>厦门</t>
        </is>
      </c>
      <c r="W87" s="8" t="inlineStr">
        <is>
          <t>翼百信1</t>
        </is>
      </c>
      <c r="X87" s="8" t="inlineStr">
        <is>
          <t>杨彩云</t>
        </is>
      </c>
      <c r="Y87" s="50" t="n"/>
    </row>
    <row r="88">
      <c r="A88" s="8" t="inlineStr">
        <is>
          <t>大搜</t>
        </is>
      </c>
      <c r="B88" s="8" t="inlineStr">
        <is>
          <t>厦门悦游网络科技有限公司</t>
        </is>
      </c>
      <c r="C88" s="8" t="inlineStr">
        <is>
          <t>http://j.8979.com/sg09/</t>
        </is>
      </c>
      <c r="D88" s="8" t="inlineStr">
        <is>
          <t>厦门悦游4</t>
        </is>
      </c>
      <c r="E88" s="9" t="n">
        <v>44230</v>
      </c>
      <c r="F88" s="8" t="inlineStr">
        <is>
          <t>杨晶晶</t>
        </is>
      </c>
      <c r="G88" s="8" t="inlineStr">
        <is>
          <t>大客部门</t>
        </is>
      </c>
      <c r="H88" s="8" t="inlineStr">
        <is>
          <t>xmKOL01</t>
        </is>
      </c>
      <c r="I88" s="8" t="inlineStr">
        <is>
          <t>用户正常生效</t>
        </is>
      </c>
      <c r="J88" s="8" t="n">
        <v>0</v>
      </c>
      <c r="K88" s="8" t="n">
        <v>0</v>
      </c>
      <c r="L88" s="8" t="n">
        <v>0</v>
      </c>
      <c r="M88" s="155" t="n">
        <v>0</v>
      </c>
      <c r="N88" s="155" t="n">
        <v>0</v>
      </c>
      <c r="O88" s="155">
        <f>M88+N88</f>
        <v/>
      </c>
      <c r="P88" s="155" t="n">
        <v>0</v>
      </c>
      <c r="Q88" s="155" t="n">
        <v>0</v>
      </c>
      <c r="R88" s="155">
        <f>O88-Q88</f>
        <v/>
      </c>
      <c r="S88" s="8" t="n">
        <v>2046.07714285714</v>
      </c>
      <c r="T88" s="9" t="n">
        <v>44222</v>
      </c>
      <c r="U88" s="8" t="inlineStr">
        <is>
          <t>完成</t>
        </is>
      </c>
      <c r="V88" s="8" t="inlineStr">
        <is>
          <t>厦门</t>
        </is>
      </c>
      <c r="W88" s="8" t="inlineStr">
        <is>
          <t>翼百信1</t>
        </is>
      </c>
      <c r="X88" s="8" t="inlineStr">
        <is>
          <t>杨彩云</t>
        </is>
      </c>
      <c r="Y88" s="50" t="n"/>
    </row>
    <row r="89">
      <c r="A89" s="8" t="inlineStr">
        <is>
          <t>大搜</t>
        </is>
      </c>
      <c r="B89" s="8" t="inlineStr">
        <is>
          <t>厦门悦游网络科技有限公司</t>
        </is>
      </c>
      <c r="C89" s="8" t="inlineStr">
        <is>
          <t>http://j.8979.com/sg09/</t>
        </is>
      </c>
      <c r="D89" s="8" t="inlineStr">
        <is>
          <t>厦门悦游5</t>
        </is>
      </c>
      <c r="E89" s="9" t="n">
        <v>44230</v>
      </c>
      <c r="F89" s="8" t="inlineStr">
        <is>
          <t>无</t>
        </is>
      </c>
      <c r="G89" s="8" t="inlineStr">
        <is>
          <t>大客部门</t>
        </is>
      </c>
      <c r="H89" s="8" t="inlineStr">
        <is>
          <t>易尔通客服十部</t>
        </is>
      </c>
      <c r="I89" s="8" t="inlineStr">
        <is>
          <t>该用户被拒绝</t>
        </is>
      </c>
      <c r="J89" s="8" t="n">
        <v>0</v>
      </c>
      <c r="K89" s="8" t="n">
        <v>0</v>
      </c>
      <c r="L89" s="8" t="n">
        <v>0</v>
      </c>
      <c r="M89" s="155" t="n">
        <v>0</v>
      </c>
      <c r="N89" s="155" t="n">
        <v>0</v>
      </c>
      <c r="O89" s="155">
        <f>M89+N89</f>
        <v/>
      </c>
      <c r="P89" s="155" t="n">
        <v>0</v>
      </c>
      <c r="Q89" s="155" t="n">
        <v>0</v>
      </c>
      <c r="R89" s="155">
        <f>O89-Q89</f>
        <v/>
      </c>
      <c r="S89" s="8" t="n">
        <v>0</v>
      </c>
      <c r="T89" s="9" t="n">
        <v>44222</v>
      </c>
      <c r="U89" s="8" t="inlineStr">
        <is>
          <t>完成</t>
        </is>
      </c>
      <c r="V89" s="8" t="inlineStr">
        <is>
          <t>厦门</t>
        </is>
      </c>
      <c r="W89" s="8" t="inlineStr">
        <is>
          <t>翼百信1</t>
        </is>
      </c>
      <c r="X89" s="8" t="inlineStr">
        <is>
          <t>杨彩云</t>
        </is>
      </c>
      <c r="Y89" s="50" t="n"/>
    </row>
    <row r="90">
      <c r="A90" s="8" t="inlineStr">
        <is>
          <t>大搜</t>
        </is>
      </c>
      <c r="B90" s="8" t="inlineStr">
        <is>
          <t>厦门捷豹空压设备有限公司</t>
        </is>
      </c>
      <c r="C90" s="8" t="inlineStr">
        <is>
          <t>www.xmjbkyj.com</t>
        </is>
      </c>
      <c r="D90" s="8" t="inlineStr">
        <is>
          <t>厦门捷豹</t>
        </is>
      </c>
      <c r="E90" s="28" t="n">
        <v>44256</v>
      </c>
      <c r="F90" s="8" t="inlineStr">
        <is>
          <t>陈丽环</t>
        </is>
      </c>
      <c r="G90" s="8" t="inlineStr">
        <is>
          <t>维护部门</t>
        </is>
      </c>
      <c r="H90" s="8" t="inlineStr">
        <is>
          <t>xm维护09</t>
        </is>
      </c>
      <c r="I90" s="8" t="inlineStr">
        <is>
          <t>该用户被拒绝</t>
        </is>
      </c>
      <c r="J90" s="8" t="n">
        <v>0</v>
      </c>
      <c r="K90" s="8" t="n">
        <v>0</v>
      </c>
      <c r="L90" s="8" t="n">
        <v>0</v>
      </c>
      <c r="M90" s="155" t="n">
        <v>13000</v>
      </c>
      <c r="N90" s="155" t="n">
        <v>0</v>
      </c>
      <c r="O90" s="155">
        <f>M90+N90</f>
        <v/>
      </c>
      <c r="P90" s="155" t="n">
        <v>2400</v>
      </c>
      <c r="Q90" s="155" t="n">
        <v>600</v>
      </c>
      <c r="R90" s="155">
        <f>O90-Q90</f>
        <v/>
      </c>
      <c r="S90" s="8" t="n">
        <v>0</v>
      </c>
      <c r="T90" s="9" t="n">
        <v>44230</v>
      </c>
      <c r="U90" s="8" t="inlineStr">
        <is>
          <t>完成</t>
        </is>
      </c>
      <c r="V90" s="8" t="inlineStr">
        <is>
          <t>翼百信</t>
        </is>
      </c>
      <c r="W90" s="8" t="inlineStr">
        <is>
          <t>翼百信</t>
        </is>
      </c>
      <c r="X90" s="8" t="inlineStr">
        <is>
          <t>庄泽新</t>
        </is>
      </c>
      <c r="Y90" s="8" t="n"/>
    </row>
    <row r="91">
      <c r="A91" s="8" t="inlineStr">
        <is>
          <t>大搜</t>
        </is>
      </c>
      <c r="B91" s="30" t="inlineStr">
        <is>
          <t>厦门万基生物科技有限公司</t>
        </is>
      </c>
      <c r="C91" s="8" t="inlineStr">
        <is>
          <t>qianhu.wejianzhan.com</t>
        </is>
      </c>
      <c r="D91" s="8" t="inlineStr">
        <is>
          <t>-</t>
        </is>
      </c>
      <c r="E91" s="9" t="n"/>
      <c r="F91" s="8" t="inlineStr">
        <is>
          <t xml:space="preserve"> </t>
        </is>
      </c>
      <c r="G91" s="8" t="inlineStr">
        <is>
          <t xml:space="preserve"> </t>
        </is>
      </c>
      <c r="H91" s="8" t="inlineStr">
        <is>
          <t xml:space="preserve"> </t>
        </is>
      </c>
      <c r="I91" s="8" t="inlineStr"/>
      <c r="J91" s="8" t="inlineStr"/>
      <c r="K91" s="8" t="inlineStr"/>
      <c r="L91" s="8" t="inlineStr"/>
      <c r="M91" s="155" t="n">
        <v>13000</v>
      </c>
      <c r="N91" s="155" t="n">
        <v>0</v>
      </c>
      <c r="O91" s="155">
        <f>M91+N91</f>
        <v/>
      </c>
      <c r="P91" s="155" t="n">
        <v>2400</v>
      </c>
      <c r="Q91" s="155" t="n">
        <v>600</v>
      </c>
      <c r="R91" s="155">
        <f>O91-Q91</f>
        <v/>
      </c>
      <c r="S91" s="8" t="n">
        <v>0</v>
      </c>
      <c r="T91" s="9" t="n">
        <v>44260</v>
      </c>
      <c r="U91" s="8" t="inlineStr">
        <is>
          <t>Q1质控审核不通过</t>
        </is>
      </c>
      <c r="V91" s="8" t="inlineStr">
        <is>
          <t>翼百信</t>
        </is>
      </c>
      <c r="W91" s="8" t="inlineStr">
        <is>
          <t>翼百信</t>
        </is>
      </c>
      <c r="X91" s="8" t="inlineStr">
        <is>
          <t>庄泽新</t>
        </is>
      </c>
      <c r="Y91" s="8" t="inlineStr">
        <is>
          <t>2021.5.20已退款</t>
        </is>
      </c>
    </row>
    <row r="92">
      <c r="A92" s="8" t="inlineStr">
        <is>
          <t>大搜</t>
        </is>
      </c>
      <c r="B92" s="8" t="inlineStr">
        <is>
          <t>章老三(福建)生物科技有限公司</t>
        </is>
      </c>
      <c r="C92" s="8" t="inlineStr">
        <is>
          <t>qianhu.wejianzhan.com</t>
        </is>
      </c>
      <c r="D92" s="8" t="inlineStr">
        <is>
          <t>章老三</t>
        </is>
      </c>
      <c r="E92" s="9" t="n">
        <v>44280</v>
      </c>
      <c r="F92" s="8" t="inlineStr">
        <is>
          <t>陈雅倩</t>
        </is>
      </c>
      <c r="G92" s="8" t="inlineStr">
        <is>
          <t>维护部门</t>
        </is>
      </c>
      <c r="H92" s="8" t="inlineStr">
        <is>
          <t>xm维护36</t>
        </is>
      </c>
      <c r="I92" s="8" t="inlineStr">
        <is>
          <t>用户正常生效</t>
        </is>
      </c>
      <c r="J92" s="8" t="n">
        <v>739.42</v>
      </c>
      <c r="K92" s="8" t="n">
        <v>0</v>
      </c>
      <c r="L92" s="8" t="n">
        <v>739.42</v>
      </c>
      <c r="M92" s="155" t="n">
        <v>13000</v>
      </c>
      <c r="N92" s="155" t="n">
        <v>0</v>
      </c>
      <c r="O92" s="155">
        <f>M92+N92</f>
        <v/>
      </c>
      <c r="P92" s="155" t="n">
        <v>2400</v>
      </c>
      <c r="Q92" s="155" t="n">
        <v>600</v>
      </c>
      <c r="R92" s="155">
        <f>O92-Q92</f>
        <v/>
      </c>
      <c r="S92" s="8" t="n">
        <v>41.4585714285714</v>
      </c>
      <c r="T92" s="9" t="n">
        <v>44263</v>
      </c>
      <c r="U92" s="8" t="inlineStr">
        <is>
          <t>完成</t>
        </is>
      </c>
      <c r="V92" s="8" t="inlineStr">
        <is>
          <t>翼百信</t>
        </is>
      </c>
      <c r="W92" s="8" t="inlineStr">
        <is>
          <t>翼百信3</t>
        </is>
      </c>
      <c r="X92" s="8" t="inlineStr">
        <is>
          <t>刘衍彪</t>
        </is>
      </c>
      <c r="Y92" s="8" t="n"/>
    </row>
    <row r="93">
      <c r="A93" s="8" t="inlineStr">
        <is>
          <t>大搜</t>
        </is>
      </c>
      <c r="B93" s="30" t="inlineStr">
        <is>
          <t>厦门陆威工程机械有限公司</t>
        </is>
      </c>
      <c r="C93" s="8" t="inlineStr">
        <is>
          <t>www.xmlwjx.cn</t>
        </is>
      </c>
      <c r="D93" s="8" t="inlineStr">
        <is>
          <t>厦门陆威</t>
        </is>
      </c>
      <c r="E93" s="9" t="n">
        <v>44288</v>
      </c>
      <c r="F93" s="8" t="inlineStr">
        <is>
          <t>苏晨</t>
        </is>
      </c>
      <c r="G93" s="8" t="inlineStr">
        <is>
          <t>失效挽救部</t>
        </is>
      </c>
      <c r="H93" s="8" t="inlineStr">
        <is>
          <t>xm复活001</t>
        </is>
      </c>
      <c r="I93" s="8" t="inlineStr">
        <is>
          <t>该用户被拒绝</t>
        </is>
      </c>
      <c r="J93" s="8" t="n">
        <v>0</v>
      </c>
      <c r="K93" s="8" t="n">
        <v>0</v>
      </c>
      <c r="L93" s="8" t="n">
        <v>0</v>
      </c>
      <c r="M93" s="155" t="n">
        <v>13000</v>
      </c>
      <c r="N93" s="155" t="n">
        <v>0</v>
      </c>
      <c r="O93" s="155">
        <f>M93+N93</f>
        <v/>
      </c>
      <c r="P93" s="155" t="n">
        <v>2400</v>
      </c>
      <c r="Q93" s="155" t="n">
        <v>600</v>
      </c>
      <c r="R93" s="155">
        <f>O93-Q93</f>
        <v/>
      </c>
      <c r="S93" s="8" t="n">
        <v>0</v>
      </c>
      <c r="T93" s="9" t="n">
        <v>44277</v>
      </c>
      <c r="U93" s="8" t="inlineStr">
        <is>
          <t>完成</t>
        </is>
      </c>
      <c r="V93" s="8" t="inlineStr">
        <is>
          <t>翼百信</t>
        </is>
      </c>
      <c r="W93" s="8" t="inlineStr">
        <is>
          <t>翼百信3</t>
        </is>
      </c>
      <c r="X93" s="8" t="inlineStr">
        <is>
          <t>刘衍彪</t>
        </is>
      </c>
      <c r="Y93" s="8" t="inlineStr">
        <is>
          <t>2021Q1未审核通过，计入2021Q2</t>
        </is>
      </c>
    </row>
    <row r="94">
      <c r="A94" s="8" t="inlineStr">
        <is>
          <t>大搜</t>
        </is>
      </c>
      <c r="B94" s="8" t="inlineStr">
        <is>
          <t>厦门康电动力设备有限公司</t>
        </is>
      </c>
      <c r="C94" s="8" t="inlineStr">
        <is>
          <t>www.xmfdj1688.com</t>
        </is>
      </c>
      <c r="D94" s="8" t="inlineStr">
        <is>
          <t>厦门康电</t>
        </is>
      </c>
      <c r="E94" s="9" t="n">
        <v>44285</v>
      </c>
      <c r="F94" s="8" t="inlineStr">
        <is>
          <t>陈碧云</t>
        </is>
      </c>
      <c r="G94" s="8" t="inlineStr">
        <is>
          <t>维护部门</t>
        </is>
      </c>
      <c r="H94" s="8" t="inlineStr">
        <is>
          <t>xm维护17</t>
        </is>
      </c>
      <c r="I94" s="8" t="inlineStr">
        <is>
          <t>该用户被拒绝</t>
        </is>
      </c>
      <c r="J94" s="8" t="n">
        <v>0</v>
      </c>
      <c r="K94" s="8" t="n">
        <v>0</v>
      </c>
      <c r="L94" s="8" t="n">
        <v>0</v>
      </c>
      <c r="M94" s="155" t="n">
        <v>13000</v>
      </c>
      <c r="N94" s="155" t="n">
        <v>0</v>
      </c>
      <c r="O94" s="155">
        <f>M94+N94</f>
        <v/>
      </c>
      <c r="P94" s="155" t="n">
        <v>2400</v>
      </c>
      <c r="Q94" s="155" t="n">
        <v>600</v>
      </c>
      <c r="R94" s="155">
        <f>O94-Q94</f>
        <v/>
      </c>
      <c r="S94" s="8" t="n">
        <v>0</v>
      </c>
      <c r="T94" s="9" t="n">
        <v>44279</v>
      </c>
      <c r="U94" s="8" t="inlineStr">
        <is>
          <t>完成</t>
        </is>
      </c>
      <c r="V94" s="8" t="inlineStr">
        <is>
          <t>翼百信</t>
        </is>
      </c>
      <c r="W94" s="8" t="inlineStr">
        <is>
          <t>翼百信3</t>
        </is>
      </c>
      <c r="X94" s="8" t="inlineStr">
        <is>
          <t>何君萍</t>
        </is>
      </c>
      <c r="Y94" s="8" t="n"/>
    </row>
    <row r="95">
      <c r="A95" s="8" t="inlineStr">
        <is>
          <t>大搜</t>
        </is>
      </c>
      <c r="B95" s="8" t="inlineStr">
        <is>
          <t>厦门万历财务集团有限公司</t>
        </is>
      </c>
      <c r="C95" s="8" t="inlineStr">
        <is>
          <t>www.wanlijituan.com</t>
        </is>
      </c>
      <c r="D95" s="8" t="inlineStr">
        <is>
          <t>-</t>
        </is>
      </c>
      <c r="E95" s="9" t="n"/>
      <c r="F95" s="8" t="inlineStr">
        <is>
          <t xml:space="preserve"> </t>
        </is>
      </c>
      <c r="G95" s="8" t="inlineStr">
        <is>
          <t xml:space="preserve"> </t>
        </is>
      </c>
      <c r="H95" s="8" t="inlineStr">
        <is>
          <t xml:space="preserve"> </t>
        </is>
      </c>
      <c r="I95" s="8" t="inlineStr"/>
      <c r="J95" s="8" t="inlineStr"/>
      <c r="K95" s="8" t="inlineStr"/>
      <c r="L95" s="8" t="inlineStr"/>
      <c r="M95" s="155" t="n">
        <v>6800</v>
      </c>
      <c r="N95" s="155" t="n">
        <v>0</v>
      </c>
      <c r="O95" s="155">
        <f>M95+N95</f>
        <v/>
      </c>
      <c r="P95" s="155" t="n">
        <v>1200</v>
      </c>
      <c r="Q95" s="155" t="n">
        <v>600</v>
      </c>
      <c r="R95" s="155">
        <f>O95-Q95</f>
        <v/>
      </c>
      <c r="S95" s="8" t="n">
        <v>0</v>
      </c>
      <c r="T95" s="9" t="n">
        <v>44287</v>
      </c>
      <c r="U95" s="8" t="inlineStr">
        <is>
          <t>质控审核不通过</t>
        </is>
      </c>
      <c r="V95" s="8" t="inlineStr">
        <is>
          <t>翼百信</t>
        </is>
      </c>
      <c r="W95" s="8" t="inlineStr">
        <is>
          <t>翼百信</t>
        </is>
      </c>
      <c r="X95" s="8" t="inlineStr">
        <is>
          <t>颜哲熙</t>
        </is>
      </c>
      <c r="Y95" s="8" t="n"/>
    </row>
    <row r="96">
      <c r="A96" s="8" t="inlineStr">
        <is>
          <t>信息流</t>
        </is>
      </c>
      <c r="B96" s="8" t="inlineStr">
        <is>
          <t>舒达迈眼镜(厦门)有限公司</t>
        </is>
      </c>
      <c r="C96" s="8" t="inlineStr">
        <is>
          <t>https://oneoneyj.tmall.com</t>
        </is>
      </c>
      <c r="D96" s="8" t="inlineStr">
        <is>
          <t>舒达迈眼镜</t>
        </is>
      </c>
      <c r="E96" s="9" t="n">
        <v>44316</v>
      </c>
      <c r="F96" s="8" t="inlineStr">
        <is>
          <t>萧月梅</t>
        </is>
      </c>
      <c r="G96" s="8" t="inlineStr">
        <is>
          <t>行发维护大区</t>
        </is>
      </c>
      <c r="H96" s="8" t="inlineStr">
        <is>
          <t>xm维护38</t>
        </is>
      </c>
      <c r="I96" s="8" t="inlineStr">
        <is>
          <t>该用户被拒绝</t>
        </is>
      </c>
      <c r="J96" s="8" t="n">
        <v>0</v>
      </c>
      <c r="K96" s="8" t="n">
        <v>0</v>
      </c>
      <c r="L96" s="8" t="n">
        <v>0</v>
      </c>
      <c r="M96" s="155" t="n">
        <v>0</v>
      </c>
      <c r="N96" s="155" t="n">
        <v>21200</v>
      </c>
      <c r="O96" s="155">
        <f>M96+N96</f>
        <v/>
      </c>
      <c r="P96" s="155" t="n">
        <v>600</v>
      </c>
      <c r="Q96" s="155" t="n">
        <v>600</v>
      </c>
      <c r="R96" s="155">
        <f>O96-Q96</f>
        <v/>
      </c>
      <c r="S96" s="8" t="n">
        <v>377.474285714286</v>
      </c>
      <c r="T96" s="9" t="n">
        <v>44313</v>
      </c>
      <c r="U96" s="8" t="inlineStr">
        <is>
          <t>完成</t>
        </is>
      </c>
      <c r="V96" s="8" t="inlineStr">
        <is>
          <t>厦门</t>
        </is>
      </c>
      <c r="W96" s="8" t="inlineStr">
        <is>
          <t>翼百信</t>
        </is>
      </c>
      <c r="X96" s="8" t="inlineStr">
        <is>
          <t>黄群清</t>
        </is>
      </c>
      <c r="Y96" s="8" t="n"/>
    </row>
    <row r="97">
      <c r="A97" s="8" t="inlineStr">
        <is>
          <t>大搜</t>
        </is>
      </c>
      <c r="B97" s="8" t="inlineStr">
        <is>
          <t>厦门艾美新科机电设备有限公司</t>
        </is>
      </c>
      <c r="C97" s="8" t="inlineStr">
        <is>
          <t>www.aimei1688.com</t>
        </is>
      </c>
      <c r="D97" s="8" t="inlineStr">
        <is>
          <t>厦门艾美</t>
        </is>
      </c>
      <c r="E97" s="9" t="n">
        <v>44336</v>
      </c>
      <c r="F97" s="8" t="inlineStr">
        <is>
          <t>陈碧云</t>
        </is>
      </c>
      <c r="G97" s="8" t="inlineStr">
        <is>
          <t>维护部门</t>
        </is>
      </c>
      <c r="H97" s="8" t="inlineStr">
        <is>
          <t>xm维护17</t>
        </is>
      </c>
      <c r="I97" s="8" t="inlineStr">
        <is>
          <t>该用户被拒绝</t>
        </is>
      </c>
      <c r="J97" s="8" t="n">
        <v>0</v>
      </c>
      <c r="K97" s="8" t="n">
        <v>0</v>
      </c>
      <c r="L97" s="8" t="n">
        <v>0</v>
      </c>
      <c r="M97" s="155" t="n">
        <v>6800</v>
      </c>
      <c r="N97" s="155" t="n">
        <v>0</v>
      </c>
      <c r="O97" s="155">
        <f>M97+N97</f>
        <v/>
      </c>
      <c r="P97" s="155" t="n">
        <v>1200</v>
      </c>
      <c r="Q97" s="155" t="n">
        <v>600</v>
      </c>
      <c r="R97" s="155">
        <f>O97-Q97</f>
        <v/>
      </c>
      <c r="S97" s="8" t="n">
        <v>0</v>
      </c>
      <c r="T97" s="9" t="n">
        <v>44330</v>
      </c>
      <c r="U97" s="8" t="inlineStr">
        <is>
          <t>完成</t>
        </is>
      </c>
      <c r="V97" s="8" t="inlineStr">
        <is>
          <t>厦门</t>
        </is>
      </c>
      <c r="W97" s="8" t="inlineStr">
        <is>
          <t>翼百信</t>
        </is>
      </c>
      <c r="X97" s="8" t="inlineStr">
        <is>
          <t>王珍妹</t>
        </is>
      </c>
      <c r="Y97" s="8" t="n"/>
    </row>
    <row r="98">
      <c r="A98" s="8" t="inlineStr">
        <is>
          <t>大搜</t>
        </is>
      </c>
      <c r="B98" s="8" t="inlineStr">
        <is>
          <t>厦门货运力科技有限公司</t>
        </is>
      </c>
      <c r="C98" s="8" t="inlineStr">
        <is>
          <t>qianhu.wejianzhan.com</t>
        </is>
      </c>
      <c r="D98" s="8" t="inlineStr">
        <is>
          <t>货运力</t>
        </is>
      </c>
      <c r="E98" s="9" t="n">
        <v>44363</v>
      </c>
      <c r="F98" s="8" t="inlineStr">
        <is>
          <t>夏皖鹭</t>
        </is>
      </c>
      <c r="G98" s="8" t="inlineStr">
        <is>
          <t>大客部门</t>
        </is>
      </c>
      <c r="H98" s="8" t="inlineStr">
        <is>
          <t>xm大客05</t>
        </is>
      </c>
      <c r="I98" s="8" t="inlineStr">
        <is>
          <t>用户正常生效</t>
        </is>
      </c>
      <c r="J98" s="8" t="n">
        <v>3873.72</v>
      </c>
      <c r="K98" s="8" t="n">
        <v>0</v>
      </c>
      <c r="L98" s="8" t="n">
        <v>3873.72</v>
      </c>
      <c r="M98" s="155" t="n">
        <v>21800</v>
      </c>
      <c r="N98" s="155" t="n">
        <v>0</v>
      </c>
      <c r="O98" s="155">
        <f>M98+N98</f>
        <v/>
      </c>
      <c r="P98" s="155" t="n">
        <v>1200</v>
      </c>
      <c r="Q98" s="155" t="n">
        <v>600</v>
      </c>
      <c r="R98" s="155">
        <f>O98-Q98</f>
        <v/>
      </c>
      <c r="S98" s="8" t="n">
        <v>483.61</v>
      </c>
      <c r="T98" s="9" t="n">
        <v>44333</v>
      </c>
      <c r="U98" s="8" t="inlineStr">
        <is>
          <t>完成</t>
        </is>
      </c>
      <c r="V98" s="8" t="inlineStr">
        <is>
          <t>厦门</t>
        </is>
      </c>
      <c r="W98" s="8" t="inlineStr">
        <is>
          <t>翼百信</t>
        </is>
      </c>
      <c r="X98" s="8" t="inlineStr">
        <is>
          <t>杨彩云</t>
        </is>
      </c>
      <c r="Y98" s="8" t="n"/>
    </row>
    <row r="99">
      <c r="A99" s="8" t="inlineStr">
        <is>
          <t>大搜</t>
        </is>
      </c>
      <c r="B99" s="8" t="inlineStr">
        <is>
          <t>厦门货运力科技有限公司</t>
        </is>
      </c>
      <c r="C99" s="8" t="inlineStr">
        <is>
          <t>qianhu.wejianzhan.com</t>
        </is>
      </c>
      <c r="D99" s="8" t="inlineStr">
        <is>
          <t>厦门货运力</t>
        </is>
      </c>
      <c r="E99" s="9" t="n">
        <v>44363</v>
      </c>
      <c r="F99" s="8" t="inlineStr">
        <is>
          <t>夏皖鹭</t>
        </is>
      </c>
      <c r="G99" s="8" t="inlineStr">
        <is>
          <t>大客部门</t>
        </is>
      </c>
      <c r="H99" s="8" t="inlineStr">
        <is>
          <t>xm大客05</t>
        </is>
      </c>
      <c r="I99" s="8" t="inlineStr">
        <is>
          <t>用户正常生效</t>
        </is>
      </c>
      <c r="J99" s="8" t="n">
        <v>5253.01</v>
      </c>
      <c r="K99" s="8" t="n">
        <v>0</v>
      </c>
      <c r="L99" s="8" t="n">
        <v>5253.01</v>
      </c>
      <c r="M99" s="155" t="n">
        <v>0</v>
      </c>
      <c r="N99" s="155" t="n">
        <v>0</v>
      </c>
      <c r="O99" s="155">
        <f>M99+N99</f>
        <v/>
      </c>
      <c r="P99" s="155" t="n">
        <v>0</v>
      </c>
      <c r="Q99" s="155" t="n">
        <v>0</v>
      </c>
      <c r="R99" s="155">
        <f>O99-Q99</f>
        <v/>
      </c>
      <c r="S99" s="8" t="n">
        <v>135.918571428571</v>
      </c>
      <c r="T99" s="9" t="n">
        <v>44333</v>
      </c>
      <c r="U99" s="8" t="inlineStr">
        <is>
          <t>完成</t>
        </is>
      </c>
      <c r="V99" s="8" t="inlineStr">
        <is>
          <t>厦门</t>
        </is>
      </c>
      <c r="W99" s="8" t="inlineStr">
        <is>
          <t>翼百信</t>
        </is>
      </c>
      <c r="X99" s="8" t="inlineStr">
        <is>
          <t>杨彩云</t>
        </is>
      </c>
      <c r="Y99" s="8" t="inlineStr">
        <is>
          <t>一户多开</t>
        </is>
      </c>
    </row>
    <row r="100">
      <c r="A100" s="8" t="inlineStr">
        <is>
          <t>大搜</t>
        </is>
      </c>
      <c r="B100" s="8" t="inlineStr">
        <is>
          <t>厦门澳飞特思体育推广有限公司</t>
        </is>
      </c>
      <c r="C100" s="8" t="inlineStr">
        <is>
          <t>qianhu.wejianzhan.com</t>
        </is>
      </c>
      <c r="D100" s="8" t="inlineStr">
        <is>
          <t>厦门澳飞特思</t>
        </is>
      </c>
      <c r="E100" s="9" t="n">
        <v>44355</v>
      </c>
      <c r="F100" s="8" t="inlineStr">
        <is>
          <t>无</t>
        </is>
      </c>
      <c r="G100" s="8" t="inlineStr">
        <is>
          <t>失效挽救部</t>
        </is>
      </c>
      <c r="H100" s="8" t="inlineStr">
        <is>
          <t>易尔通客服六部</t>
        </is>
      </c>
      <c r="I100" s="8" t="inlineStr">
        <is>
          <t>该用户被拒绝</t>
        </is>
      </c>
      <c r="J100" s="8" t="n">
        <v>0</v>
      </c>
      <c r="K100" s="8" t="n">
        <v>0</v>
      </c>
      <c r="L100" s="8" t="n">
        <v>0</v>
      </c>
      <c r="M100" s="155" t="n">
        <v>13000</v>
      </c>
      <c r="N100" s="155" t="n">
        <v>0</v>
      </c>
      <c r="O100" s="155">
        <f>M100+N100</f>
        <v/>
      </c>
      <c r="P100" s="155" t="n">
        <v>2400</v>
      </c>
      <c r="Q100" s="155" t="n">
        <v>600</v>
      </c>
      <c r="R100" s="155">
        <f>O100-Q100</f>
        <v/>
      </c>
      <c r="S100" s="8" t="n">
        <v>0</v>
      </c>
      <c r="T100" s="9" t="n">
        <v>44350</v>
      </c>
      <c r="U100" s="8" t="inlineStr">
        <is>
          <t>完成</t>
        </is>
      </c>
      <c r="V100" s="8" t="inlineStr">
        <is>
          <t>翼百信</t>
        </is>
      </c>
      <c r="W100" s="8" t="inlineStr">
        <is>
          <t>翼百信</t>
        </is>
      </c>
      <c r="X100" s="8" t="inlineStr">
        <is>
          <t>颜哲熙</t>
        </is>
      </c>
      <c r="Y100" s="8" t="n"/>
      <c r="Z100" s="20" t="n"/>
      <c r="AA100" s="20" t="n"/>
    </row>
    <row r="101">
      <c r="A101" s="8" t="inlineStr">
        <is>
          <t>大搜</t>
        </is>
      </c>
      <c r="B101" s="8" t="inlineStr">
        <is>
          <t>赫利森(厦门)生物科技有限公司</t>
        </is>
      </c>
      <c r="C101" s="8" t="inlineStr">
        <is>
          <t>www.heliosense.com</t>
        </is>
      </c>
      <c r="D101" s="8" t="inlineStr">
        <is>
          <t>赫利森生物</t>
        </is>
      </c>
      <c r="E101" s="9" t="n">
        <v>44362</v>
      </c>
      <c r="F101" s="8" t="inlineStr">
        <is>
          <t>陈碧云</t>
        </is>
      </c>
      <c r="G101" s="8" t="inlineStr">
        <is>
          <t>维护部门</t>
        </is>
      </c>
      <c r="H101" s="8" t="inlineStr">
        <is>
          <t>xm维护17</t>
        </is>
      </c>
      <c r="I101" s="8" t="inlineStr">
        <is>
          <t>用户正常生效</t>
        </is>
      </c>
      <c r="J101" s="8" t="n">
        <v>293.68</v>
      </c>
      <c r="K101" s="8" t="n">
        <v>0</v>
      </c>
      <c r="L101" s="8" t="n">
        <v>293.68</v>
      </c>
      <c r="M101" s="155" t="n">
        <v>12400</v>
      </c>
      <c r="N101" s="155" t="n">
        <v>0</v>
      </c>
      <c r="O101" s="155">
        <f>M101+N101</f>
        <v/>
      </c>
      <c r="P101" s="155" t="n">
        <v>1800</v>
      </c>
      <c r="Q101" s="155" t="n">
        <v>600</v>
      </c>
      <c r="R101" s="155">
        <f>O101-Q101</f>
        <v/>
      </c>
      <c r="S101" s="8" t="n">
        <v>36.31</v>
      </c>
      <c r="T101" s="9" t="n">
        <v>44351</v>
      </c>
      <c r="U101" s="8" t="inlineStr">
        <is>
          <t>完成</t>
        </is>
      </c>
      <c r="V101" s="8" t="inlineStr">
        <is>
          <t>翼百信</t>
        </is>
      </c>
      <c r="W101" s="8" t="inlineStr">
        <is>
          <t>翼百信2</t>
        </is>
      </c>
      <c r="X101" s="8" t="inlineStr">
        <is>
          <t>邱毅文</t>
        </is>
      </c>
      <c r="Y101" s="8" t="n"/>
    </row>
    <row r="102">
      <c r="A102" s="8" t="inlineStr">
        <is>
          <t>大搜</t>
        </is>
      </c>
      <c r="B102" s="8" t="inlineStr">
        <is>
          <t>厦门凡宸科技有限公司</t>
        </is>
      </c>
      <c r="C102" s="8" t="inlineStr">
        <is>
          <t>www.fanchensoft.com</t>
        </is>
      </c>
      <c r="D102" s="8" t="inlineStr">
        <is>
          <t>凡宸</t>
        </is>
      </c>
      <c r="E102" s="9" t="n">
        <v>44382</v>
      </c>
      <c r="F102" s="8" t="inlineStr">
        <is>
          <t>苏晨</t>
        </is>
      </c>
      <c r="G102" s="8" t="inlineStr">
        <is>
          <t>失效挽救部</t>
        </is>
      </c>
      <c r="H102" s="8" t="inlineStr">
        <is>
          <t>xm复活001</t>
        </is>
      </c>
      <c r="I102" s="8" t="inlineStr">
        <is>
          <t>用户帐面为零</t>
        </is>
      </c>
      <c r="J102" s="8" t="n">
        <v>0</v>
      </c>
      <c r="K102" s="8" t="n">
        <v>0</v>
      </c>
      <c r="L102" s="8" t="n">
        <v>0</v>
      </c>
      <c r="M102" s="155" t="n">
        <v>10000</v>
      </c>
      <c r="N102" s="155" t="n">
        <v>0</v>
      </c>
      <c r="O102" s="155">
        <f>M102+N102</f>
        <v/>
      </c>
      <c r="P102" s="155" t="n">
        <v>1200</v>
      </c>
      <c r="Q102" s="155" t="n">
        <v>600</v>
      </c>
      <c r="R102" s="155">
        <f>O102-Q102</f>
        <v/>
      </c>
      <c r="S102" s="8" t="n">
        <v>0</v>
      </c>
      <c r="T102" s="9" t="n">
        <v>44363</v>
      </c>
      <c r="U102" s="8" t="inlineStr">
        <is>
          <t>完成</t>
        </is>
      </c>
      <c r="V102" s="8" t="inlineStr">
        <is>
          <t>厦门</t>
        </is>
      </c>
      <c r="W102" s="8" t="inlineStr">
        <is>
          <t>翼百信</t>
        </is>
      </c>
      <c r="X102" s="8" t="inlineStr">
        <is>
          <t>杨彩云</t>
        </is>
      </c>
      <c r="Y102" s="8" t="n"/>
    </row>
    <row r="103">
      <c r="A103" s="8" t="inlineStr">
        <is>
          <t>大搜</t>
        </is>
      </c>
      <c r="B103" s="8" t="inlineStr">
        <is>
          <t>厦门奥图美讯贸易有限公司</t>
        </is>
      </c>
      <c r="C103" s="8" t="inlineStr">
        <is>
          <t>qianhu.wejianzhan.com</t>
        </is>
      </c>
      <c r="D103" s="8" t="inlineStr">
        <is>
          <t>奥图美讯</t>
        </is>
      </c>
      <c r="E103" s="9" t="n">
        <v>44414</v>
      </c>
      <c r="F103" s="8" t="inlineStr">
        <is>
          <t>无</t>
        </is>
      </c>
      <c r="G103" s="8" t="inlineStr">
        <is>
          <t>失效挽救部</t>
        </is>
      </c>
      <c r="H103" s="8" t="inlineStr">
        <is>
          <t>易尔通客服六部</t>
        </is>
      </c>
      <c r="I103" s="8" t="inlineStr">
        <is>
          <t>该用户被拒绝</t>
        </is>
      </c>
      <c r="J103" s="8" t="n">
        <v>0</v>
      </c>
      <c r="K103" s="8" t="n">
        <v>0</v>
      </c>
      <c r="L103" s="8" t="n">
        <v>0</v>
      </c>
      <c r="M103" s="155" t="n">
        <v>11800</v>
      </c>
      <c r="N103" s="155" t="n">
        <v>0</v>
      </c>
      <c r="O103" s="155">
        <f>M103+N103</f>
        <v/>
      </c>
      <c r="P103" s="155" t="n">
        <v>1200</v>
      </c>
      <c r="Q103" s="155" t="n">
        <v>600</v>
      </c>
      <c r="R103" s="155">
        <f>O103-Q103</f>
        <v/>
      </c>
      <c r="S103" s="8" t="n">
        <v>0</v>
      </c>
      <c r="T103" s="9" t="n">
        <v>44397</v>
      </c>
      <c r="U103" s="8" t="inlineStr">
        <is>
          <t>复审中</t>
        </is>
      </c>
      <c r="V103" s="8" t="inlineStr">
        <is>
          <t>厦门</t>
        </is>
      </c>
      <c r="W103" s="8" t="inlineStr">
        <is>
          <t>翼百信3</t>
        </is>
      </c>
      <c r="X103" s="8" t="inlineStr">
        <is>
          <t>林城芳</t>
        </is>
      </c>
      <c r="Y103" s="8" t="n"/>
    </row>
    <row r="104">
      <c r="A104" s="8" t="inlineStr">
        <is>
          <t>大搜</t>
        </is>
      </c>
      <c r="B104" s="8" t="inlineStr">
        <is>
          <t xml:space="preserve">厦门自定义网络科技有限公司 </t>
        </is>
      </c>
      <c r="C104" s="8" t="inlineStr">
        <is>
          <t>qianhu.wejianzhan.com</t>
        </is>
      </c>
      <c r="D104" s="8" t="inlineStr">
        <is>
          <t>厦门自定义</t>
        </is>
      </c>
      <c r="E104" s="9" t="n">
        <v>44406</v>
      </c>
      <c r="F104" s="8" t="inlineStr">
        <is>
          <t>苏晨</t>
        </is>
      </c>
      <c r="G104" s="8" t="inlineStr">
        <is>
          <t>失效挽救部</t>
        </is>
      </c>
      <c r="H104" s="8" t="inlineStr">
        <is>
          <t>xm复活001</t>
        </is>
      </c>
      <c r="I104" s="8" t="inlineStr">
        <is>
          <t>用户帐面为零</t>
        </is>
      </c>
      <c r="J104" s="8" t="n">
        <v>0</v>
      </c>
      <c r="K104" s="8" t="n">
        <v>0</v>
      </c>
      <c r="L104" s="8" t="n">
        <v>0</v>
      </c>
      <c r="M104" s="155" t="n">
        <v>13600</v>
      </c>
      <c r="N104" s="155" t="n">
        <v>0</v>
      </c>
      <c r="O104" s="155">
        <f>M104+N104</f>
        <v/>
      </c>
      <c r="P104" s="155" t="n">
        <v>2400</v>
      </c>
      <c r="Q104" s="155" t="n">
        <v>600</v>
      </c>
      <c r="R104" s="155">
        <f>O104-Q104</f>
        <v/>
      </c>
      <c r="S104" s="8" t="n">
        <v>0</v>
      </c>
      <c r="T104" s="9" t="n">
        <v>44398</v>
      </c>
      <c r="U104" s="8" t="inlineStr">
        <is>
          <t>完成</t>
        </is>
      </c>
      <c r="V104" s="8" t="inlineStr">
        <is>
          <t>厦门</t>
        </is>
      </c>
      <c r="W104" s="8" t="inlineStr">
        <is>
          <t>翼百信</t>
        </is>
      </c>
      <c r="X104" s="8" t="inlineStr">
        <is>
          <t>杨彩云</t>
        </is>
      </c>
      <c r="Y104" s="8" t="n"/>
    </row>
    <row r="105">
      <c r="A105" s="8" t="inlineStr">
        <is>
          <t>大搜+信息流</t>
        </is>
      </c>
      <c r="B105" s="8" t="inlineStr">
        <is>
          <t>厦门彩邦智能科技有限公司</t>
        </is>
      </c>
      <c r="C105" s="8" t="inlineStr">
        <is>
          <t>qianhu.wejianzhan.com</t>
        </is>
      </c>
      <c r="D105" s="8" t="inlineStr">
        <is>
          <t>彩邦智能</t>
        </is>
      </c>
      <c r="E105" s="9" t="n">
        <v>44489</v>
      </c>
      <c r="F105" s="8" t="inlineStr">
        <is>
          <t>夏皖鹭</t>
        </is>
      </c>
      <c r="G105" s="8" t="inlineStr">
        <is>
          <t>大客部门</t>
        </is>
      </c>
      <c r="H105" s="8" t="inlineStr">
        <is>
          <t>xm大客05</t>
        </is>
      </c>
      <c r="I105" s="8" t="inlineStr">
        <is>
          <t>该用户被拒绝</t>
        </is>
      </c>
      <c r="J105" s="8" t="n">
        <v>0</v>
      </c>
      <c r="K105" s="8" t="n">
        <v>0</v>
      </c>
      <c r="L105" s="8" t="n">
        <v>0</v>
      </c>
      <c r="M105" s="155" t="n">
        <v>32400</v>
      </c>
      <c r="N105" s="155" t="n">
        <v>30000</v>
      </c>
      <c r="O105" s="155">
        <f>M105+N105</f>
        <v/>
      </c>
      <c r="P105" s="155" t="n">
        <v>2400</v>
      </c>
      <c r="Q105" s="155" t="n">
        <v>600</v>
      </c>
      <c r="R105" s="155">
        <f>O105-Q105</f>
        <v/>
      </c>
      <c r="S105" s="8" t="n">
        <v>0</v>
      </c>
      <c r="T105" s="9" t="n">
        <v>44487</v>
      </c>
      <c r="U105" s="8" t="inlineStr">
        <is>
          <t>完成</t>
        </is>
      </c>
      <c r="V105" s="8" t="inlineStr">
        <is>
          <t>厦门</t>
        </is>
      </c>
      <c r="W105" s="8" t="inlineStr">
        <is>
          <t>翼百信1</t>
        </is>
      </c>
      <c r="X105" s="8" t="inlineStr">
        <is>
          <t>陈宝霞</t>
        </is>
      </c>
      <c r="Y105" s="8" t="n"/>
    </row>
    <row r="106">
      <c r="A106" s="8" t="inlineStr">
        <is>
          <t>大搜</t>
        </is>
      </c>
      <c r="B106" s="8" t="inlineStr">
        <is>
          <t>厦门酷森网络科技有限公司</t>
        </is>
      </c>
      <c r="C106" s="8" t="inlineStr">
        <is>
          <t>qianhu.wejianzhan.com</t>
        </is>
      </c>
      <c r="D106" s="8" t="inlineStr">
        <is>
          <t>酷森网络</t>
        </is>
      </c>
      <c r="E106" s="9" t="n">
        <v>44202</v>
      </c>
      <c r="F106" s="8" t="inlineStr">
        <is>
          <t>郑淑敏</t>
        </is>
      </c>
      <c r="G106" s="8" t="inlineStr">
        <is>
          <t>维护部门</t>
        </is>
      </c>
      <c r="H106" s="8" t="inlineStr">
        <is>
          <t>xm维护42</t>
        </is>
      </c>
      <c r="I106" s="8" t="inlineStr">
        <is>
          <t>用户正常生效</t>
        </is>
      </c>
      <c r="J106" s="8" t="n">
        <v>4841.12</v>
      </c>
      <c r="K106" s="8" t="n">
        <v>0</v>
      </c>
      <c r="L106" s="8" t="n">
        <v>4841.12</v>
      </c>
      <c r="M106" s="155" t="n">
        <v>7400</v>
      </c>
      <c r="N106" s="155" t="n">
        <v>0</v>
      </c>
      <c r="O106" s="155">
        <f>M106+N106</f>
        <v/>
      </c>
      <c r="P106" s="155" t="n">
        <v>2400</v>
      </c>
      <c r="Q106" s="155" t="n">
        <v>0</v>
      </c>
      <c r="R106" s="155">
        <f>O106-Q106</f>
        <v/>
      </c>
      <c r="S106" s="8" t="n">
        <v>180.57</v>
      </c>
      <c r="T106" s="9" t="n">
        <v>44561</v>
      </c>
      <c r="U106" s="8" t="inlineStr">
        <is>
          <t>完成</t>
        </is>
      </c>
      <c r="V106" s="8" t="inlineStr">
        <is>
          <t>厦门</t>
        </is>
      </c>
      <c r="W106" s="8" t="inlineStr">
        <is>
          <t>翼百信</t>
        </is>
      </c>
      <c r="X106" s="8" t="inlineStr">
        <is>
          <t>黄群清</t>
        </is>
      </c>
      <c r="Y106" s="8" t="inlineStr">
        <is>
          <t>2020Q4未审核通过，计入2021Q1</t>
        </is>
      </c>
    </row>
    <row r="107">
      <c r="A107" s="8" t="inlineStr">
        <is>
          <t>大搜+信息流</t>
        </is>
      </c>
      <c r="B107" s="8" t="inlineStr">
        <is>
          <t>厦门彩邦智能科技有限公司</t>
        </is>
      </c>
      <c r="C107" s="8" t="inlineStr">
        <is>
          <t>qianhu.wejianzhan.com</t>
        </is>
      </c>
      <c r="D107" s="8" t="inlineStr">
        <is>
          <t>彩邦智能1</t>
        </is>
      </c>
      <c r="E107" s="9" t="n">
        <v>44489</v>
      </c>
      <c r="F107" s="8" t="inlineStr">
        <is>
          <t>夏皖鹭</t>
        </is>
      </c>
      <c r="G107" s="8" t="inlineStr">
        <is>
          <t>大客部门</t>
        </is>
      </c>
      <c r="H107" s="8" t="inlineStr">
        <is>
          <t>xm大客05</t>
        </is>
      </c>
      <c r="I107" s="8" t="inlineStr">
        <is>
          <t>该用户被拒绝</t>
        </is>
      </c>
      <c r="J107" s="8" t="n">
        <v>0</v>
      </c>
      <c r="K107" s="8" t="n">
        <v>0</v>
      </c>
      <c r="L107" s="8" t="n">
        <v>0</v>
      </c>
      <c r="M107" s="155" t="n"/>
      <c r="N107" s="155" t="n"/>
      <c r="O107" s="155" t="n"/>
      <c r="P107" s="155" t="n"/>
      <c r="Q107" s="155" t="n"/>
      <c r="R107" s="155">
        <f>O107-Q107</f>
        <v/>
      </c>
      <c r="S107" s="8" t="n">
        <v>0</v>
      </c>
      <c r="T107" s="9" t="n"/>
      <c r="U107" s="8" t="n"/>
      <c r="V107" s="8" t="n"/>
      <c r="W107" s="8" t="n"/>
      <c r="X107" s="8" t="n"/>
      <c r="Y107" s="8" t="n"/>
    </row>
    <row r="108">
      <c r="A108" s="8" t="inlineStr">
        <is>
          <t>大搜+信息流</t>
        </is>
      </c>
      <c r="B108" s="8" t="inlineStr">
        <is>
          <t>厦门彩邦智能科技有限公司</t>
        </is>
      </c>
      <c r="C108" s="8" t="inlineStr">
        <is>
          <t>qianhu.wejianzhan.com</t>
        </is>
      </c>
      <c r="D108" s="8" t="inlineStr">
        <is>
          <t>彩邦智能2</t>
        </is>
      </c>
      <c r="E108" s="9" t="n">
        <v>44489</v>
      </c>
      <c r="F108" s="8" t="inlineStr">
        <is>
          <t>夏皖鹭</t>
        </is>
      </c>
      <c r="G108" s="8" t="inlineStr">
        <is>
          <t>大客部门</t>
        </is>
      </c>
      <c r="H108" s="8" t="inlineStr">
        <is>
          <t>xm大客05</t>
        </is>
      </c>
      <c r="I108" s="8" t="inlineStr">
        <is>
          <t>该用户被拒绝</t>
        </is>
      </c>
      <c r="J108" s="8" t="n">
        <v>0</v>
      </c>
      <c r="K108" s="8" t="n">
        <v>0</v>
      </c>
      <c r="L108" s="8" t="n">
        <v>0</v>
      </c>
      <c r="M108" s="155" t="n">
        <v>7400</v>
      </c>
      <c r="N108" s="155" t="n">
        <v>5000</v>
      </c>
      <c r="O108" s="155">
        <f>M108+N108</f>
        <v/>
      </c>
      <c r="P108" s="155" t="n">
        <v>2400</v>
      </c>
      <c r="Q108" s="155" t="n">
        <v>0</v>
      </c>
      <c r="R108" s="155">
        <f>O108-Q108</f>
        <v/>
      </c>
      <c r="S108" s="8" t="n">
        <v>0</v>
      </c>
      <c r="T108" s="9" t="n"/>
      <c r="U108" s="8" t="n"/>
      <c r="V108" s="8" t="n"/>
      <c r="W108" s="8" t="n"/>
      <c r="X108" s="8" t="n"/>
      <c r="Y108" s="8" t="n"/>
    </row>
    <row r="109">
      <c r="A109" s="8" t="inlineStr">
        <is>
          <t>大搜</t>
        </is>
      </c>
      <c r="B109" s="8" t="inlineStr">
        <is>
          <t>厦门全运机械设备有限公司</t>
        </is>
      </c>
      <c r="C109" s="8" t="inlineStr">
        <is>
          <t>http://qianhu.wejianzhan.com</t>
        </is>
      </c>
      <c r="D109" s="8" t="inlineStr">
        <is>
          <t>厦门全运</t>
        </is>
      </c>
      <c r="E109" s="9" t="n">
        <v>44623</v>
      </c>
      <c r="F109" s="8" t="inlineStr">
        <is>
          <t>林华卿</t>
        </is>
      </c>
      <c r="G109" s="8" t="inlineStr">
        <is>
          <t>新开部门</t>
        </is>
      </c>
      <c r="H109" s="8" t="inlineStr">
        <is>
          <t>xm新开13</t>
        </is>
      </c>
      <c r="I109" s="8" t="inlineStr">
        <is>
          <t>该用户被拒绝</t>
        </is>
      </c>
      <c r="J109" s="8" t="n">
        <v>0</v>
      </c>
      <c r="K109" s="8" t="n">
        <v>0</v>
      </c>
      <c r="L109" s="8" t="n">
        <v>0</v>
      </c>
      <c r="M109" s="155" t="n">
        <v>13000</v>
      </c>
      <c r="N109" s="155" t="n">
        <v>0</v>
      </c>
      <c r="O109" s="155">
        <f>M109+N109</f>
        <v/>
      </c>
      <c r="P109" s="155" t="n">
        <v>2400</v>
      </c>
      <c r="Q109" s="155" t="n">
        <v>600</v>
      </c>
      <c r="R109" s="155">
        <f>O109-Q109</f>
        <v/>
      </c>
      <c r="S109" s="8" t="n">
        <v>27.3457142857143</v>
      </c>
      <c r="T109" s="9" t="n">
        <v>44617</v>
      </c>
      <c r="U109" s="8" t="inlineStr">
        <is>
          <t>完成</t>
        </is>
      </c>
      <c r="V109" s="8" t="inlineStr">
        <is>
          <t>厦门</t>
        </is>
      </c>
      <c r="W109" s="8" t="inlineStr">
        <is>
          <t>翼百信3</t>
        </is>
      </c>
      <c r="X109" s="8" t="inlineStr">
        <is>
          <t>聂林强</t>
        </is>
      </c>
      <c r="Y109" s="8" t="n"/>
    </row>
    <row r="110">
      <c r="A110" s="8" t="inlineStr">
        <is>
          <t>大搜</t>
        </is>
      </c>
      <c r="B110" s="8" t="inlineStr">
        <is>
          <t>厦门随身科技有限公司</t>
        </is>
      </c>
      <c r="C110" s="8" t="inlineStr">
        <is>
          <t>www.xzyx.com</t>
        </is>
      </c>
      <c r="D110" s="8" t="inlineStr">
        <is>
          <t>随身科技</t>
        </is>
      </c>
      <c r="E110" s="9" t="n">
        <v>44636</v>
      </c>
      <c r="F110" s="8" t="inlineStr">
        <is>
          <t>童莺莺</t>
        </is>
      </c>
      <c r="G110" s="8" t="inlineStr">
        <is>
          <t>新开部门</t>
        </is>
      </c>
      <c r="H110" s="8" t="inlineStr">
        <is>
          <t>xm新开06</t>
        </is>
      </c>
      <c r="I110" s="8" t="inlineStr">
        <is>
          <t>该用户被拒绝</t>
        </is>
      </c>
      <c r="J110" s="8" t="n">
        <v>0</v>
      </c>
      <c r="K110" s="8" t="n">
        <v>0</v>
      </c>
      <c r="L110" s="8" t="n">
        <v>0</v>
      </c>
      <c r="M110" s="155" t="n">
        <v>13000</v>
      </c>
      <c r="N110" s="155" t="n">
        <v>0</v>
      </c>
      <c r="O110" s="155">
        <f>M110+N110</f>
        <v/>
      </c>
      <c r="P110" s="155" t="n">
        <v>1200</v>
      </c>
      <c r="Q110" s="155" t="n">
        <v>600</v>
      </c>
      <c r="R110" s="155">
        <f>O110-Q110</f>
        <v/>
      </c>
      <c r="S110" s="8" t="n">
        <v>31.1328571428571</v>
      </c>
      <c r="T110" s="9" t="n">
        <v>44634</v>
      </c>
      <c r="U110" s="8" t="inlineStr">
        <is>
          <t>完成</t>
        </is>
      </c>
      <c r="V110" s="8" t="inlineStr">
        <is>
          <t>厦门</t>
        </is>
      </c>
      <c r="W110" s="8" t="inlineStr">
        <is>
          <t>翼百信3</t>
        </is>
      </c>
      <c r="X110" s="8" t="inlineStr">
        <is>
          <t>陈远萍</t>
        </is>
      </c>
      <c r="Y110" s="8" t="n"/>
    </row>
    <row r="111">
      <c r="A111" s="8" t="inlineStr">
        <is>
          <t>大搜</t>
        </is>
      </c>
      <c r="B111" s="8" t="inlineStr">
        <is>
          <t>厦门图扑软件科技有限公司</t>
        </is>
      </c>
      <c r="C111" s="8" t="inlineStr">
        <is>
          <t>http://qianhu.wejianzhan.com</t>
        </is>
      </c>
      <c r="D111" s="8" t="inlineStr">
        <is>
          <t>图扑软件</t>
        </is>
      </c>
      <c r="E111" s="9" t="n">
        <v>44641</v>
      </c>
      <c r="F111" s="8" t="inlineStr">
        <is>
          <t>郑秀东</t>
        </is>
      </c>
      <c r="G111" s="8" t="inlineStr">
        <is>
          <t>新开部门</t>
        </is>
      </c>
      <c r="H111" s="8" t="inlineStr">
        <is>
          <t>xm新开09</t>
        </is>
      </c>
      <c r="I111" s="8" t="inlineStr">
        <is>
          <t>该用户被拒绝</t>
        </is>
      </c>
      <c r="J111" s="8" t="n">
        <v>0</v>
      </c>
      <c r="K111" s="8" t="n">
        <v>0</v>
      </c>
      <c r="L111" s="8" t="n">
        <v>0</v>
      </c>
      <c r="M111" s="155" t="n">
        <v>35400</v>
      </c>
      <c r="N111" s="155" t="n">
        <v>0</v>
      </c>
      <c r="O111" s="155">
        <f>M111+N111</f>
        <v/>
      </c>
      <c r="P111" s="155" t="n">
        <v>2400</v>
      </c>
      <c r="Q111" s="155" t="n">
        <v>600</v>
      </c>
      <c r="R111" s="155">
        <f>O111-Q111</f>
        <v/>
      </c>
      <c r="S111" s="8" t="n">
        <v>869.282857142857</v>
      </c>
      <c r="T111" s="9" t="n">
        <v>44637</v>
      </c>
      <c r="U111" s="8" t="inlineStr">
        <is>
          <t>完成</t>
        </is>
      </c>
      <c r="V111" s="8" t="inlineStr">
        <is>
          <t>厦门</t>
        </is>
      </c>
      <c r="W111" s="8" t="inlineStr">
        <is>
          <t>翼百信3</t>
        </is>
      </c>
      <c r="X111" s="8" t="inlineStr">
        <is>
          <t>陈长亮</t>
        </is>
      </c>
      <c r="Y111" s="8" t="n"/>
    </row>
    <row r="112">
      <c r="A112" s="8" t="inlineStr">
        <is>
          <t>大搜</t>
        </is>
      </c>
      <c r="B112" s="8" t="inlineStr">
        <is>
          <t>福建国贸智谷投资发展有限公司</t>
        </is>
      </c>
      <c r="C112" s="8" t="inlineStr">
        <is>
          <t>http://qianhu.wejianzhan.com</t>
        </is>
      </c>
      <c r="D112" s="8" t="inlineStr">
        <is>
          <t>国贸智谷</t>
        </is>
      </c>
      <c r="E112" s="9" t="n">
        <v>44537</v>
      </c>
      <c r="F112" s="8" t="inlineStr">
        <is>
          <t>郑色艳</t>
        </is>
      </c>
      <c r="G112" s="8" t="inlineStr">
        <is>
          <t>行发维护大区</t>
        </is>
      </c>
      <c r="H112" s="8" t="inlineStr">
        <is>
          <t>xm维护11</t>
        </is>
      </c>
      <c r="I112" s="8" t="inlineStr">
        <is>
          <t>用户正常生效</t>
        </is>
      </c>
      <c r="J112" s="8" t="n">
        <v>967.04</v>
      </c>
      <c r="K112" s="8" t="n">
        <v>81.44</v>
      </c>
      <c r="L112" s="8" t="n">
        <v>1048.48</v>
      </c>
      <c r="M112" s="155" t="n">
        <v>15000</v>
      </c>
      <c r="N112" s="155" t="n">
        <v>0</v>
      </c>
      <c r="O112" s="155">
        <f>M112+N112</f>
        <v/>
      </c>
      <c r="P112" s="155" t="n">
        <v>0</v>
      </c>
      <c r="Q112" s="155" t="n">
        <v>0</v>
      </c>
      <c r="R112" s="155">
        <f>O112-Q112</f>
        <v/>
      </c>
      <c r="S112" s="8" t="n">
        <v>0</v>
      </c>
      <c r="T112" s="9" t="n"/>
      <c r="U112" s="8" t="n"/>
      <c r="V112" s="8" t="n"/>
      <c r="W112" s="8" t="n"/>
      <c r="X112" s="8" t="n"/>
      <c r="Y112" s="8" t="inlineStr">
        <is>
          <t>此户为泉龙报备，1.5w预存核算翼百信，计入2022Q1</t>
        </is>
      </c>
    </row>
    <row r="113">
      <c r="A113" s="8" t="inlineStr">
        <is>
          <t>大搜</t>
        </is>
      </c>
      <c r="B113" s="8" t="inlineStr">
        <is>
          <t>厦门美图网科技有限公司</t>
        </is>
      </c>
      <c r="C113" s="8" t="inlineStr">
        <is>
          <t>http://yunxiu.meitu.com</t>
        </is>
      </c>
      <c r="D113" s="8" t="inlineStr">
        <is>
          <t>美图网1</t>
        </is>
      </c>
      <c r="E113" s="9" t="n">
        <v>44658</v>
      </c>
      <c r="F113" s="8" t="inlineStr">
        <is>
          <t>张唯唯</t>
        </is>
      </c>
      <c r="G113" s="8" t="inlineStr">
        <is>
          <t>新开部门</t>
        </is>
      </c>
      <c r="H113" s="8" t="inlineStr">
        <is>
          <t>xm新开15</t>
        </is>
      </c>
      <c r="I113" s="8" t="inlineStr">
        <is>
          <t>该用户被拒绝</t>
        </is>
      </c>
      <c r="J113" s="8" t="n">
        <v>0</v>
      </c>
      <c r="K113" s="8" t="n">
        <v>0</v>
      </c>
      <c r="L113" s="8" t="n">
        <v>0</v>
      </c>
      <c r="M113" s="155" t="n">
        <v>10000</v>
      </c>
      <c r="N113" s="155" t="n">
        <v>0</v>
      </c>
      <c r="O113" s="155">
        <f>M113+N113</f>
        <v/>
      </c>
      <c r="P113" s="155" t="n">
        <v>2400</v>
      </c>
      <c r="Q113" s="155" t="n">
        <v>600</v>
      </c>
      <c r="R113" s="155">
        <f>O113-Q113</f>
        <v/>
      </c>
      <c r="S113" s="8" t="n">
        <v>0</v>
      </c>
      <c r="T113" s="9" t="n">
        <v>44641</v>
      </c>
      <c r="U113" s="8" t="inlineStr">
        <is>
          <t>完成</t>
        </is>
      </c>
      <c r="V113" s="8" t="inlineStr">
        <is>
          <t>厦门</t>
        </is>
      </c>
      <c r="W113" s="8" t="inlineStr">
        <is>
          <t>翼百信3</t>
        </is>
      </c>
      <c r="X113" s="8" t="inlineStr">
        <is>
          <t>陈长亮</t>
        </is>
      </c>
      <c r="Y113" s="8" t="inlineStr">
        <is>
          <t>2022Q1未计，计入2022Q2</t>
        </is>
      </c>
    </row>
    <row r="114">
      <c r="A114" s="8" t="inlineStr">
        <is>
          <t>大搜</t>
        </is>
      </c>
      <c r="B114" s="8" t="inlineStr">
        <is>
          <t>厦门翔兴安达汽车运输有限公司</t>
        </is>
      </c>
      <c r="C114" s="8" t="inlineStr">
        <is>
          <t>http://qianhu.wejianzhan.com</t>
        </is>
      </c>
      <c r="D114" s="8" t="inlineStr">
        <is>
          <t>翔兴安达</t>
        </is>
      </c>
      <c r="E114" s="9" t="n">
        <v>44670</v>
      </c>
      <c r="F114" s="8" t="inlineStr">
        <is>
          <t>徐林萍</t>
        </is>
      </c>
      <c r="G114" s="8" t="inlineStr">
        <is>
          <t>新开部门</t>
        </is>
      </c>
      <c r="H114" s="8" t="inlineStr">
        <is>
          <t>xm新开11</t>
        </is>
      </c>
      <c r="I114" s="8" t="inlineStr">
        <is>
          <t>该用户被拒绝</t>
        </is>
      </c>
      <c r="J114" s="8" t="n">
        <v>0</v>
      </c>
      <c r="K114" s="8" t="n">
        <v>0</v>
      </c>
      <c r="L114" s="8" t="n">
        <v>0</v>
      </c>
      <c r="M114" s="155" t="n">
        <v>6800</v>
      </c>
      <c r="N114" s="155" t="n">
        <v>0</v>
      </c>
      <c r="O114" s="155">
        <f>M114+N114</f>
        <v/>
      </c>
      <c r="P114" s="155" t="n">
        <v>1200</v>
      </c>
      <c r="Q114" s="155" t="n">
        <v>600</v>
      </c>
      <c r="R114" s="155">
        <f>O114-Q114</f>
        <v/>
      </c>
      <c r="S114" s="8" t="n">
        <v>53.2214285714286</v>
      </c>
      <c r="T114" s="9" t="n">
        <v>44652</v>
      </c>
      <c r="U114" s="8" t="inlineStr">
        <is>
          <t>完成</t>
        </is>
      </c>
      <c r="V114" s="8" t="inlineStr">
        <is>
          <t>厦门</t>
        </is>
      </c>
      <c r="W114" s="8" t="inlineStr">
        <is>
          <t>翼百信2</t>
        </is>
      </c>
      <c r="X114" s="8" t="inlineStr">
        <is>
          <t>邱毅文</t>
        </is>
      </c>
      <c r="Y114" s="8" t="n"/>
    </row>
    <row r="115">
      <c r="A115" s="8" t="inlineStr">
        <is>
          <t>大搜</t>
        </is>
      </c>
      <c r="B115" s="8" t="inlineStr">
        <is>
          <t>厦门优莱柏网络科技有限公司</t>
        </is>
      </c>
      <c r="C115" s="8" t="inlineStr">
        <is>
          <t>www.udongman.cn</t>
        </is>
      </c>
      <c r="D115" s="8" t="inlineStr">
        <is>
          <t>优莱柏网络</t>
        </is>
      </c>
      <c r="E115" s="9" t="n">
        <v>44658</v>
      </c>
      <c r="F115" s="9" t="inlineStr">
        <is>
          <t>林华卿</t>
        </is>
      </c>
      <c r="G115" s="8" t="inlineStr">
        <is>
          <t>新开部门</t>
        </is>
      </c>
      <c r="H115" s="8" t="inlineStr">
        <is>
          <t>xm新开13</t>
        </is>
      </c>
      <c r="I115" s="8" t="inlineStr">
        <is>
          <t>该用户被拒绝</t>
        </is>
      </c>
      <c r="J115" s="8" t="n">
        <v>0</v>
      </c>
      <c r="K115" s="8" t="n">
        <v>0</v>
      </c>
      <c r="L115" s="8" t="n">
        <v>0</v>
      </c>
      <c r="M115" s="155" t="n">
        <v>13000</v>
      </c>
      <c r="N115" s="155" t="n">
        <v>0</v>
      </c>
      <c r="O115" s="155">
        <f>M115+N115</f>
        <v/>
      </c>
      <c r="P115" s="155" t="n">
        <v>2400</v>
      </c>
      <c r="Q115" s="155" t="n">
        <v>600</v>
      </c>
      <c r="R115" s="155">
        <f>O115-Q115</f>
        <v/>
      </c>
      <c r="S115" s="8" t="n">
        <v>140.865714285714</v>
      </c>
      <c r="T115" s="9" t="n">
        <v>44652</v>
      </c>
      <c r="U115" s="8" t="inlineStr">
        <is>
          <t>完成</t>
        </is>
      </c>
      <c r="V115" s="8" t="inlineStr">
        <is>
          <t>厦门</t>
        </is>
      </c>
      <c r="W115" s="8" t="inlineStr">
        <is>
          <t>翼百信3</t>
        </is>
      </c>
      <c r="X115" s="8" t="inlineStr">
        <is>
          <t>陈远萍</t>
        </is>
      </c>
      <c r="Y115" s="8" t="n"/>
    </row>
    <row r="116">
      <c r="A116" s="8" t="inlineStr">
        <is>
          <t>大搜</t>
        </is>
      </c>
      <c r="B116" s="8" t="inlineStr">
        <is>
          <t>欣旺捷标识设备(厦门)有限公司</t>
        </is>
      </c>
      <c r="C116" s="8" t="inlineStr">
        <is>
          <t>http://www.xwj-xm.com</t>
        </is>
      </c>
      <c r="D116" s="8" t="inlineStr">
        <is>
          <t>欣旺捷1</t>
        </is>
      </c>
      <c r="E116" s="9" t="n">
        <v>44663</v>
      </c>
      <c r="F116" s="8" t="inlineStr">
        <is>
          <t>张唯唯</t>
        </is>
      </c>
      <c r="G116" s="8" t="inlineStr">
        <is>
          <t>新开部门</t>
        </is>
      </c>
      <c r="H116" s="8" t="inlineStr">
        <is>
          <t>xm新开15</t>
        </is>
      </c>
      <c r="I116" s="8" t="inlineStr">
        <is>
          <t>用户正常生效</t>
        </is>
      </c>
      <c r="J116" s="8" t="n">
        <v>239.15</v>
      </c>
      <c r="K116" s="8" t="n">
        <v>0</v>
      </c>
      <c r="L116" s="8" t="n">
        <v>239.15</v>
      </c>
      <c r="M116" s="155" t="n">
        <v>6800</v>
      </c>
      <c r="N116" s="155" t="n">
        <v>0</v>
      </c>
      <c r="O116" s="155">
        <f>M116+N116</f>
        <v/>
      </c>
      <c r="P116" s="155" t="n">
        <v>1200</v>
      </c>
      <c r="Q116" s="155" t="n">
        <v>600</v>
      </c>
      <c r="R116" s="155">
        <f>O116-Q116</f>
        <v/>
      </c>
      <c r="S116" s="8" t="n">
        <v>21.3142857142857</v>
      </c>
      <c r="T116" s="9" t="n">
        <v>44659</v>
      </c>
      <c r="U116" s="8" t="inlineStr">
        <is>
          <t>完成</t>
        </is>
      </c>
      <c r="V116" s="8" t="inlineStr">
        <is>
          <t>厦门</t>
        </is>
      </c>
      <c r="W116" s="8" t="inlineStr">
        <is>
          <t>翼百信</t>
        </is>
      </c>
      <c r="X116" s="8" t="inlineStr">
        <is>
          <t>杨彩云</t>
        </is>
      </c>
      <c r="Y116" s="8" t="n"/>
    </row>
    <row r="117">
      <c r="A117" s="8" t="inlineStr">
        <is>
          <t>大搜</t>
        </is>
      </c>
      <c r="B117" s="8" t="inlineStr">
        <is>
          <t>厦门通创检测技术有限公司</t>
        </is>
      </c>
      <c r="C117" s="8" t="inlineStr">
        <is>
          <t>www.xmtct.com</t>
        </is>
      </c>
      <c r="D117" s="8" t="inlineStr">
        <is>
          <t>厦门通创</t>
        </is>
      </c>
      <c r="E117" s="9" t="n">
        <v>44688</v>
      </c>
      <c r="F117" s="8" t="inlineStr">
        <is>
          <t>林裕芳</t>
        </is>
      </c>
      <c r="G117" s="8" t="inlineStr">
        <is>
          <t>新开部门</t>
        </is>
      </c>
      <c r="H117" s="8" t="inlineStr">
        <is>
          <t>xm新开10</t>
        </is>
      </c>
      <c r="I117" s="8" t="inlineStr">
        <is>
          <t>该用户被拒绝</t>
        </is>
      </c>
      <c r="J117" s="8" t="n">
        <v>0</v>
      </c>
      <c r="K117" s="8" t="n">
        <v>0</v>
      </c>
      <c r="L117" s="8" t="n">
        <v>0</v>
      </c>
      <c r="M117" s="155" t="n">
        <v>10000</v>
      </c>
      <c r="N117" s="155" t="n">
        <v>0</v>
      </c>
      <c r="O117" s="155">
        <f>M117+N117</f>
        <v/>
      </c>
      <c r="P117" s="155" t="n">
        <v>2400</v>
      </c>
      <c r="Q117" s="155" t="n">
        <v>600</v>
      </c>
      <c r="R117" s="155">
        <f>O117-Q117</f>
        <v/>
      </c>
      <c r="S117" s="8" t="n">
        <v>0</v>
      </c>
      <c r="T117" s="9" t="n">
        <v>44672</v>
      </c>
      <c r="U117" s="8" t="inlineStr">
        <is>
          <t>完成</t>
        </is>
      </c>
      <c r="V117" s="8" t="inlineStr">
        <is>
          <t>厦门</t>
        </is>
      </c>
      <c r="W117" s="8" t="inlineStr">
        <is>
          <t>翼百信2</t>
        </is>
      </c>
      <c r="X117" s="8" t="inlineStr">
        <is>
          <t>廖晶晶</t>
        </is>
      </c>
      <c r="Y117" s="8" t="n"/>
    </row>
    <row r="118">
      <c r="A118" s="8" t="inlineStr">
        <is>
          <t>大搜</t>
        </is>
      </c>
      <c r="B118" s="8" t="inlineStr">
        <is>
          <t>厦门森工包装设备有限公司</t>
        </is>
      </c>
      <c r="C118" s="8" t="inlineStr">
        <is>
          <t>www.sanjiaobao.com</t>
        </is>
      </c>
      <c r="D118" s="8" t="inlineStr">
        <is>
          <t>xm森工</t>
        </is>
      </c>
      <c r="E118" s="9" t="n">
        <v>44701</v>
      </c>
      <c r="F118" s="8" t="inlineStr">
        <is>
          <t>张新朝</t>
        </is>
      </c>
      <c r="G118" s="8" t="inlineStr">
        <is>
          <t>新开部门</t>
        </is>
      </c>
      <c r="H118" s="8" t="inlineStr">
        <is>
          <t>xm新开07</t>
        </is>
      </c>
      <c r="I118" s="8" t="inlineStr">
        <is>
          <t>用户正常生效</t>
        </is>
      </c>
      <c r="J118" s="8" t="n">
        <v>1125.71</v>
      </c>
      <c r="K118" s="8" t="n">
        <v>0</v>
      </c>
      <c r="L118" s="8" t="n">
        <v>1125.71</v>
      </c>
      <c r="M118" s="155" t="n">
        <v>22100</v>
      </c>
      <c r="N118" s="155" t="n">
        <v>0</v>
      </c>
      <c r="O118" s="155">
        <f>M118+N118</f>
        <v/>
      </c>
      <c r="P118" s="155" t="n">
        <v>1500</v>
      </c>
      <c r="Q118" s="155" t="n">
        <v>600</v>
      </c>
      <c r="R118" s="155">
        <f>O118-Q118</f>
        <v/>
      </c>
      <c r="S118" s="155" t="n"/>
      <c r="T118" s="9" t="n">
        <v>44690</v>
      </c>
      <c r="U118" s="8" t="inlineStr">
        <is>
          <t>完成</t>
        </is>
      </c>
      <c r="V118" s="8" t="inlineStr">
        <is>
          <t>厦门</t>
        </is>
      </c>
      <c r="W118" s="8" t="inlineStr">
        <is>
          <t>翼百信3</t>
        </is>
      </c>
      <c r="X118" s="8" t="inlineStr">
        <is>
          <t>陈长亮</t>
        </is>
      </c>
      <c r="Y118" s="8" t="n"/>
    </row>
    <row r="119" customFormat="1" s="2">
      <c r="A119" s="8" t="inlineStr">
        <is>
          <t>大搜</t>
        </is>
      </c>
      <c r="B119" s="8" t="inlineStr">
        <is>
          <t>厦门球传天下网络科技有限公司</t>
        </is>
      </c>
      <c r="C119" s="8" t="inlineStr">
        <is>
          <t>http://yunxiu.meitu.com</t>
        </is>
      </c>
      <c r="D119" s="8" t="n"/>
      <c r="E119" s="9" t="n"/>
      <c r="F119" s="8" t="n"/>
      <c r="G119" s="8" t="n"/>
      <c r="H119" s="8" t="n"/>
      <c r="I119" s="8" t="inlineStr"/>
      <c r="J119" s="8" t="n">
        <v>0</v>
      </c>
      <c r="K119" s="8" t="n">
        <v>0</v>
      </c>
      <c r="L119" s="8" t="n">
        <v>0</v>
      </c>
      <c r="M119" s="155" t="n">
        <v>13500</v>
      </c>
      <c r="N119" s="155" t="n">
        <v>0</v>
      </c>
      <c r="O119" s="155">
        <f>M119+N119</f>
        <v/>
      </c>
      <c r="P119" s="155" t="n">
        <v>2400</v>
      </c>
      <c r="Q119" s="155" t="n">
        <v>600</v>
      </c>
      <c r="R119" s="155">
        <f>O119-Q119</f>
        <v/>
      </c>
      <c r="S119" s="155" t="n"/>
      <c r="T119" s="9" t="n">
        <v>44713</v>
      </c>
      <c r="U119" s="8" t="inlineStr">
        <is>
          <t>质控审核不通过</t>
        </is>
      </c>
      <c r="V119" s="8" t="inlineStr">
        <is>
          <t>厦门</t>
        </is>
      </c>
      <c r="W119" s="8" t="inlineStr">
        <is>
          <t>翼百信</t>
        </is>
      </c>
      <c r="X119" s="8" t="inlineStr">
        <is>
          <t>杨彩云</t>
        </is>
      </c>
      <c r="Y119" s="8" t="inlineStr">
        <is>
          <t>2022Q2未审核通过，计入2022Q3</t>
        </is>
      </c>
    </row>
    <row r="120" customFormat="1" s="2">
      <c r="A120" s="8" t="inlineStr">
        <is>
          <t>大搜</t>
        </is>
      </c>
      <c r="B120" s="8" t="inlineStr">
        <is>
          <t>厦门汇净康环保科技有限公司</t>
        </is>
      </c>
      <c r="C120" s="8" t="inlineStr">
        <is>
          <t>http://qianhu.wejianzhan.com</t>
        </is>
      </c>
      <c r="D120" s="8" t="n"/>
      <c r="E120" s="9" t="n"/>
      <c r="F120" s="8" t="n"/>
      <c r="G120" s="8" t="n"/>
      <c r="H120" s="8" t="n"/>
      <c r="I120" s="8" t="inlineStr"/>
      <c r="J120" s="8" t="n">
        <v>0</v>
      </c>
      <c r="K120" s="8" t="n">
        <v>0</v>
      </c>
      <c r="L120" s="8" t="n">
        <v>0</v>
      </c>
      <c r="M120" s="155" t="n">
        <v>53000</v>
      </c>
      <c r="N120" s="155" t="n">
        <v>0</v>
      </c>
      <c r="O120" s="155">
        <f>M120+N120</f>
        <v/>
      </c>
      <c r="P120" s="155" t="n">
        <v>2400</v>
      </c>
      <c r="Q120" s="155" t="n">
        <v>600</v>
      </c>
      <c r="R120" s="155">
        <f>O120-Q120</f>
        <v/>
      </c>
      <c r="S120" s="155" t="n"/>
      <c r="T120" s="9" t="n">
        <v>44722</v>
      </c>
      <c r="U120" s="8" t="inlineStr">
        <is>
          <t>复审中</t>
        </is>
      </c>
      <c r="V120" s="8" t="inlineStr">
        <is>
          <t>厦门</t>
        </is>
      </c>
      <c r="W120" s="8" t="inlineStr">
        <is>
          <t>翼百信</t>
        </is>
      </c>
      <c r="X120" s="8" t="inlineStr">
        <is>
          <t>杨彩云</t>
        </is>
      </c>
      <c r="Y120" s="8" t="inlineStr">
        <is>
          <t>2022Q2未审核通过，计入2022Q3</t>
        </is>
      </c>
    </row>
    <row r="121" customFormat="1" s="2">
      <c r="A121" s="36" t="inlineStr">
        <is>
          <t>大搜</t>
        </is>
      </c>
      <c r="B121" s="36" t="inlineStr">
        <is>
          <t>厦门湖里小贝壳口腔门诊部</t>
        </is>
      </c>
      <c r="C121" s="36" t="inlineStr">
        <is>
          <t>qianhu.wejianzhan.com</t>
        </is>
      </c>
      <c r="D121" s="36" t="inlineStr">
        <is>
          <t>小贝壳口腔</t>
        </is>
      </c>
      <c r="E121" s="37" t="n">
        <v>44743.41028935185</v>
      </c>
      <c r="F121" s="36" t="inlineStr">
        <is>
          <t>陈玉云</t>
        </is>
      </c>
      <c r="G121" s="36" t="inlineStr">
        <is>
          <t>医疗事业部</t>
        </is>
      </c>
      <c r="H121" s="36" t="inlineStr">
        <is>
          <t>qz医疗07</t>
        </is>
      </c>
      <c r="I121" s="8" t="inlineStr">
        <is>
          <t>该用户被拒绝</t>
        </is>
      </c>
      <c r="J121" s="8" t="n">
        <v>0</v>
      </c>
      <c r="K121" s="8" t="n">
        <v>0</v>
      </c>
      <c r="L121" s="8" t="n">
        <v>0</v>
      </c>
      <c r="M121" s="155" t="n">
        <v>13000</v>
      </c>
      <c r="N121" s="156" t="n">
        <v>0</v>
      </c>
      <c r="O121" s="155">
        <f>M121+N121</f>
        <v/>
      </c>
      <c r="P121" s="36" t="n">
        <v>2400</v>
      </c>
      <c r="Q121" s="36" t="n">
        <v>600</v>
      </c>
      <c r="R121" s="156">
        <f>O121-Q121</f>
        <v/>
      </c>
      <c r="S121" s="156" t="n"/>
      <c r="T121" s="37" t="n">
        <v>44726</v>
      </c>
      <c r="U121" s="36" t="inlineStr">
        <is>
          <t>完成</t>
        </is>
      </c>
      <c r="V121" s="36" t="inlineStr">
        <is>
          <t>厦门</t>
        </is>
      </c>
      <c r="W121" s="36" t="inlineStr">
        <is>
          <t>翼百信</t>
        </is>
      </c>
      <c r="X121" s="36" t="inlineStr">
        <is>
          <t>黄群清</t>
        </is>
      </c>
      <c r="Y121" s="36" t="inlineStr">
        <is>
          <t>2022Q2未审核通过，计入2022Q3</t>
        </is>
      </c>
    </row>
    <row r="122" customFormat="1" s="2">
      <c r="A122" s="8" t="inlineStr">
        <is>
          <t>信息流</t>
        </is>
      </c>
      <c r="B122" s="8" t="inlineStr">
        <is>
          <t>厦门建致有限公司</t>
        </is>
      </c>
      <c r="C122" s="8" t="inlineStr">
        <is>
          <t>qianhu.wejianzhan.com</t>
        </is>
      </c>
      <c r="D122" s="8" t="inlineStr">
        <is>
          <t>厦门建致</t>
        </is>
      </c>
      <c r="E122" s="9" t="n">
        <v>44740.45379629629</v>
      </c>
      <c r="F122" s="8" t="inlineStr">
        <is>
          <t>萧月梅</t>
        </is>
      </c>
      <c r="G122" s="8" t="inlineStr">
        <is>
          <t>行发维护大区</t>
        </is>
      </c>
      <c r="H122" s="8" t="inlineStr">
        <is>
          <t>xm维护38</t>
        </is>
      </c>
      <c r="I122" s="8" t="inlineStr">
        <is>
          <t>该用户被拒绝</t>
        </is>
      </c>
      <c r="J122" s="8" t="n">
        <v>0</v>
      </c>
      <c r="K122" s="8" t="n">
        <v>0</v>
      </c>
      <c r="L122" s="8" t="n">
        <v>0</v>
      </c>
      <c r="M122" s="155" t="n">
        <v>0</v>
      </c>
      <c r="N122" s="8" t="n">
        <v>100000</v>
      </c>
      <c r="O122" s="155">
        <f>M122+N122</f>
        <v/>
      </c>
      <c r="P122" s="8" t="n">
        <v>9400</v>
      </c>
      <c r="Q122" s="8" t="n">
        <v>600</v>
      </c>
      <c r="R122" s="155">
        <f>O122-Q122</f>
        <v/>
      </c>
      <c r="S122" s="155" t="n"/>
      <c r="T122" s="9" t="n">
        <v>44733</v>
      </c>
      <c r="U122" s="8" t="inlineStr">
        <is>
          <t>完成</t>
        </is>
      </c>
      <c r="V122" s="8" t="inlineStr">
        <is>
          <t>厦门</t>
        </is>
      </c>
      <c r="W122" s="8" t="inlineStr">
        <is>
          <t>翼百信</t>
        </is>
      </c>
      <c r="X122" s="10" t="inlineStr">
        <is>
          <t>黄群清</t>
        </is>
      </c>
      <c r="Y122" s="8" t="n"/>
    </row>
    <row r="123">
      <c r="A123" s="8" t="inlineStr">
        <is>
          <t>信息流</t>
        </is>
      </c>
      <c r="B123" s="8" t="inlineStr">
        <is>
          <t>厦门市岛之原生物科技有限公司</t>
        </is>
      </c>
      <c r="C123" s="8" t="inlineStr">
        <is>
          <t>qianhu.wejianzhan.com</t>
        </is>
      </c>
      <c r="D123" s="8" t="inlineStr">
        <is>
          <t>岛之原</t>
        </is>
      </c>
      <c r="E123" s="9" t="n">
        <v>44910</v>
      </c>
      <c r="F123" s="8" t="inlineStr">
        <is>
          <t>靓靓</t>
        </is>
      </c>
      <c r="G123" s="8" t="inlineStr">
        <is>
          <t>xm维护38</t>
        </is>
      </c>
      <c r="H123" s="8" t="inlineStr">
        <is>
          <t>xm026</t>
        </is>
      </c>
      <c r="I123" s="8" t="inlineStr">
        <is>
          <t>用户正常生效</t>
        </is>
      </c>
      <c r="J123" s="8" t="n">
        <v>0</v>
      </c>
      <c r="K123" s="8" t="n">
        <v>0</v>
      </c>
      <c r="L123" s="8" t="n">
        <v>0</v>
      </c>
      <c r="M123" s="155" t="n">
        <v>0</v>
      </c>
      <c r="N123" s="8" t="n">
        <v>27000</v>
      </c>
      <c r="O123" s="155">
        <f>M123+N123</f>
        <v/>
      </c>
      <c r="P123" s="8" t="n">
        <v>2400</v>
      </c>
      <c r="Q123" s="8" t="n">
        <v>600</v>
      </c>
      <c r="R123" s="155">
        <f>O123-Q123</f>
        <v/>
      </c>
      <c r="S123" s="155" t="n"/>
      <c r="T123" s="9" t="n">
        <v>44908</v>
      </c>
      <c r="U123" s="8" t="inlineStr">
        <is>
          <t>完成</t>
        </is>
      </c>
      <c r="V123" s="8" t="inlineStr">
        <is>
          <t>厦门</t>
        </is>
      </c>
      <c r="W123" s="8" t="inlineStr">
        <is>
          <t>翼百信</t>
        </is>
      </c>
      <c r="X123" s="8" t="inlineStr">
        <is>
          <t>黄群清</t>
        </is>
      </c>
      <c r="Y123" s="8" t="n"/>
    </row>
    <row r="124">
      <c r="A124" s="8" t="inlineStr">
        <is>
          <t>大搜</t>
        </is>
      </c>
      <c r="B124" s="8" t="inlineStr">
        <is>
          <t>厦门云凡生物科技有限公司</t>
        </is>
      </c>
      <c r="C124" s="8" t="inlineStr">
        <is>
          <t>www.yfpharm.com</t>
        </is>
      </c>
      <c r="D124" s="8" t="inlineStr">
        <is>
          <t>厦门云凡生物</t>
        </is>
      </c>
      <c r="E124" s="9" t="n">
        <v>44966</v>
      </c>
      <c r="F124" s="8" t="n"/>
      <c r="G124" s="8" t="inlineStr">
        <is>
          <t>新开部门</t>
        </is>
      </c>
      <c r="H124" s="8" t="inlineStr">
        <is>
          <t>xm新开12</t>
        </is>
      </c>
      <c r="I124" s="8" t="inlineStr">
        <is>
          <t>用户正常生效</t>
        </is>
      </c>
      <c r="J124" s="8" t="n">
        <v>115.51</v>
      </c>
      <c r="K124" s="8" t="n">
        <v>0</v>
      </c>
      <c r="L124" s="8" t="n">
        <v>115.51</v>
      </c>
      <c r="M124" s="8" t="n">
        <v>13000</v>
      </c>
      <c r="N124" s="155" t="n">
        <v>0</v>
      </c>
      <c r="O124" s="155">
        <f>M124+N124</f>
        <v/>
      </c>
      <c r="P124" s="8" t="n">
        <v>2400</v>
      </c>
      <c r="Q124" s="8" t="n">
        <v>600</v>
      </c>
      <c r="R124" s="155">
        <f>O124-Q124</f>
        <v/>
      </c>
      <c r="S124" s="155" t="n"/>
      <c r="T124" s="9" t="n">
        <v>44958</v>
      </c>
      <c r="U124" s="8" t="inlineStr">
        <is>
          <t>完成</t>
        </is>
      </c>
      <c r="V124" s="8" t="inlineStr">
        <is>
          <t>厦门</t>
        </is>
      </c>
      <c r="W124" s="8" t="inlineStr">
        <is>
          <t>翼百信1</t>
        </is>
      </c>
      <c r="X124" s="8" t="inlineStr">
        <is>
          <t>杨彩云</t>
        </is>
      </c>
      <c r="Y124" s="8" t="n"/>
    </row>
    <row r="125">
      <c r="A125" s="8" t="inlineStr">
        <is>
          <t>大搜+信息流</t>
        </is>
      </c>
      <c r="B125" s="8" t="inlineStr">
        <is>
          <t>厦门白大师科技有限公司</t>
        </is>
      </c>
      <c r="C125" s="8" t="inlineStr">
        <is>
          <t>qianhu.wejianzhan.com</t>
        </is>
      </c>
      <c r="D125" s="8" t="inlineStr">
        <is>
          <t>厦门白大师</t>
        </is>
      </c>
      <c r="E125" s="9" t="n">
        <v>45036.57671296296</v>
      </c>
      <c r="F125" s="8" t="inlineStr">
        <is>
          <t>李华东</t>
        </is>
      </c>
      <c r="G125" s="8" t="inlineStr">
        <is>
          <t>新开部门</t>
        </is>
      </c>
      <c r="H125" s="8" t="inlineStr">
        <is>
          <t>xm新开15</t>
        </is>
      </c>
      <c r="I125" s="8" t="inlineStr">
        <is>
          <t>用户帐面为零</t>
        </is>
      </c>
      <c r="J125" s="8" t="n">
        <v>0</v>
      </c>
      <c r="K125" s="8" t="n">
        <v>0</v>
      </c>
      <c r="L125" s="8" t="n">
        <v>0</v>
      </c>
      <c r="M125" s="155" t="n">
        <v>16800</v>
      </c>
      <c r="N125" s="155" t="inlineStr">
        <is>
          <t>6200</t>
        </is>
      </c>
      <c r="O125" s="155">
        <f>M125+N125</f>
        <v/>
      </c>
      <c r="P125" s="8" t="n">
        <v>2400</v>
      </c>
      <c r="Q125" s="8" t="n">
        <v>600</v>
      </c>
      <c r="R125" s="155">
        <f>O125-Q125</f>
        <v/>
      </c>
      <c r="S125" s="155" t="n"/>
      <c r="T125" s="9" t="n">
        <v>45013</v>
      </c>
      <c r="U125" s="8" t="inlineStr">
        <is>
          <t>完成</t>
        </is>
      </c>
      <c r="V125" s="8" t="inlineStr">
        <is>
          <t>厦门</t>
        </is>
      </c>
      <c r="W125" s="8" t="inlineStr">
        <is>
          <t>翼百信1</t>
        </is>
      </c>
      <c r="X125" s="8" t="inlineStr">
        <is>
          <t>杨彩云</t>
        </is>
      </c>
      <c r="Y125" s="8" t="n"/>
    </row>
    <row r="126">
      <c r="A126" s="8" t="inlineStr">
        <is>
          <t>大搜</t>
        </is>
      </c>
      <c r="B126" s="8" t="inlineStr">
        <is>
          <t>厦门圣宜达科技有限公司</t>
        </is>
      </c>
      <c r="C126" s="8" t="inlineStr">
        <is>
          <t>wejianzhan.com</t>
        </is>
      </c>
      <c r="D126" s="8" t="inlineStr">
        <is>
          <t>圣宜达</t>
        </is>
      </c>
      <c r="E126" s="9" t="n">
        <v>45040.59793981481</v>
      </c>
      <c r="F126" s="8" t="inlineStr">
        <is>
          <t>林俊鹏</t>
        </is>
      </c>
      <c r="G126" s="8" t="inlineStr">
        <is>
          <t>新开部门</t>
        </is>
      </c>
      <c r="H126" s="8" t="inlineStr">
        <is>
          <t>xm新开16</t>
        </is>
      </c>
      <c r="I126" s="8" t="inlineStr">
        <is>
          <t>用户正常生效</t>
        </is>
      </c>
      <c r="J126" s="8" t="n">
        <v>0</v>
      </c>
      <c r="K126" s="8" t="n">
        <v>0</v>
      </c>
      <c r="L126" s="8" t="n">
        <v>0</v>
      </c>
      <c r="M126" s="155" t="n">
        <v>13000</v>
      </c>
      <c r="N126" s="155" t="n">
        <v>0</v>
      </c>
      <c r="O126" s="155">
        <f>M126+N126</f>
        <v/>
      </c>
      <c r="P126" s="155" t="n">
        <v>2400</v>
      </c>
      <c r="Q126" s="155" t="n">
        <v>600</v>
      </c>
      <c r="R126" s="155">
        <f>O126-Q126</f>
        <v/>
      </c>
      <c r="S126" s="155" t="n"/>
      <c r="T126" s="9" t="n">
        <v>45019</v>
      </c>
      <c r="U126" s="8" t="inlineStr">
        <is>
          <t>完成</t>
        </is>
      </c>
      <c r="V126" s="8" t="inlineStr">
        <is>
          <t>厦门</t>
        </is>
      </c>
      <c r="W126" s="8" t="inlineStr">
        <is>
          <t>翼百信2</t>
        </is>
      </c>
      <c r="X126" s="8" t="inlineStr">
        <is>
          <t>廖晶晶</t>
        </is>
      </c>
      <c r="Y126" s="8" t="n"/>
    </row>
    <row r="127">
      <c r="A127" s="8" t="inlineStr">
        <is>
          <t>大搜</t>
        </is>
      </c>
      <c r="B127" s="8" t="inlineStr">
        <is>
          <t>深南联合（厦门）产业服务有限公司</t>
        </is>
      </c>
      <c r="C127" s="8" t="inlineStr">
        <is>
          <t>qianhu.wejianzhan.com</t>
        </is>
      </c>
      <c r="D127" s="8" t="inlineStr">
        <is>
          <t>深南联合</t>
        </is>
      </c>
      <c r="E127" s="9" t="n">
        <v>45054</v>
      </c>
      <c r="F127" s="8" t="inlineStr">
        <is>
          <t>张哲</t>
        </is>
      </c>
      <c r="G127" s="8" t="inlineStr">
        <is>
          <t>泉州中小企业增值部</t>
        </is>
      </c>
      <c r="H127" s="8" t="inlineStr">
        <is>
          <t>qz新开10</t>
        </is>
      </c>
      <c r="I127" s="8" t="inlineStr">
        <is>
          <t>用户帐面为零</t>
        </is>
      </c>
      <c r="J127" s="8" t="n">
        <v>0</v>
      </c>
      <c r="K127" s="8" t="n">
        <v>0</v>
      </c>
      <c r="L127" s="8" t="n">
        <v>0</v>
      </c>
      <c r="M127" s="155" t="n">
        <v>13800</v>
      </c>
      <c r="N127" s="155" t="n">
        <v>0</v>
      </c>
      <c r="O127" s="155">
        <f>M127+N127</f>
        <v/>
      </c>
      <c r="P127" s="155" t="inlineStr">
        <is>
          <t>1200</t>
        </is>
      </c>
      <c r="Q127" s="155" t="inlineStr">
        <is>
          <t>600</t>
        </is>
      </c>
      <c r="R127" s="155">
        <f>O127-Q127</f>
        <v/>
      </c>
      <c r="S127" s="155" t="n"/>
      <c r="T127" s="9" t="n">
        <v>45039</v>
      </c>
      <c r="U127" s="8" t="inlineStr">
        <is>
          <t>完成</t>
        </is>
      </c>
      <c r="V127" s="8" t="inlineStr">
        <is>
          <t>厦门</t>
        </is>
      </c>
      <c r="W127" s="8" t="inlineStr">
        <is>
          <t>翼百信1</t>
        </is>
      </c>
      <c r="X127" s="8" t="inlineStr">
        <is>
          <t>陈宝霞</t>
        </is>
      </c>
      <c r="Y127" s="8" t="n"/>
    </row>
    <row r="128">
      <c r="A128" s="8" t="inlineStr">
        <is>
          <t>信息流</t>
        </is>
      </c>
      <c r="B128" s="8" t="inlineStr">
        <is>
          <t>厦门铸远人才服务有限公司</t>
        </is>
      </c>
      <c r="C128" s="8" t="inlineStr">
        <is>
          <t>https://sortlink.zdl100.com/h5/landingPage.html?id=146</t>
        </is>
      </c>
      <c r="D128" s="8" t="inlineStr">
        <is>
          <t>厦门铸远</t>
        </is>
      </c>
      <c r="E128" s="9" t="n">
        <v>45075.41380787037</v>
      </c>
      <c r="F128" s="8" t="inlineStr">
        <is>
          <t>赖总</t>
        </is>
      </c>
      <c r="G128" s="8" t="inlineStr">
        <is>
          <t>泉州中小企业增值部</t>
        </is>
      </c>
      <c r="H128" s="8" t="inlineStr">
        <is>
          <t>qz新开10</t>
        </is>
      </c>
      <c r="I128" s="8" t="inlineStr">
        <is>
          <t>用户正常生效</t>
        </is>
      </c>
      <c r="J128" s="8" t="n">
        <v>0</v>
      </c>
      <c r="K128" s="8" t="n">
        <v>0</v>
      </c>
      <c r="L128" s="8" t="n">
        <v>0</v>
      </c>
      <c r="M128" s="155" t="n">
        <v>0</v>
      </c>
      <c r="N128" s="155" t="inlineStr">
        <is>
          <t>13000</t>
        </is>
      </c>
      <c r="O128" s="155">
        <f>M128+N128</f>
        <v/>
      </c>
      <c r="P128" s="155" t="inlineStr">
        <is>
          <t>1200</t>
        </is>
      </c>
      <c r="Q128" s="155" t="inlineStr">
        <is>
          <t>600</t>
        </is>
      </c>
      <c r="R128" s="155">
        <f>O128-Q128</f>
        <v/>
      </c>
      <c r="S128" s="155" t="n"/>
      <c r="T128" s="9" t="n">
        <v>45069</v>
      </c>
      <c r="U128" s="8" t="inlineStr">
        <is>
          <t>完成</t>
        </is>
      </c>
      <c r="V128" s="8" t="inlineStr">
        <is>
          <t>厦门</t>
        </is>
      </c>
      <c r="W128" s="38" t="inlineStr">
        <is>
          <t>翼百信1</t>
        </is>
      </c>
      <c r="X128" s="38" t="inlineStr">
        <is>
          <t>杨彩云</t>
        </is>
      </c>
      <c r="Y128" s="8" t="n"/>
    </row>
    <row r="129">
      <c r="A129" s="8" t="inlineStr">
        <is>
          <t>大搜</t>
        </is>
      </c>
      <c r="B129" s="8" t="inlineStr">
        <is>
          <t>厦门立林科技有限公司</t>
        </is>
      </c>
      <c r="C129" s="8" t="inlineStr">
        <is>
          <t>qianhu.wejianzhan.com</t>
        </is>
      </c>
      <c r="D129" s="8" t="inlineStr">
        <is>
          <t>厦门立林科技</t>
        </is>
      </c>
      <c r="E129" s="9" t="n">
        <v>45058.59725694444</v>
      </c>
      <c r="F129" s="8" t="inlineStr">
        <is>
          <t>陈先生</t>
        </is>
      </c>
      <c r="G129" s="8" t="inlineStr">
        <is>
          <t>新开部门</t>
        </is>
      </c>
      <c r="H129" s="8" t="inlineStr">
        <is>
          <t>xm新开12</t>
        </is>
      </c>
      <c r="I129" s="8" t="inlineStr">
        <is>
          <t>用户帐面为零</t>
        </is>
      </c>
      <c r="J129" s="8" t="n">
        <v>0</v>
      </c>
      <c r="K129" s="8" t="n">
        <v>0</v>
      </c>
      <c r="L129" s="8" t="n">
        <v>0</v>
      </c>
      <c r="M129" s="155">
        <f>36480</f>
        <v/>
      </c>
      <c r="N129" s="155" t="n">
        <v>0</v>
      </c>
      <c r="O129" s="155">
        <f>M129+N129</f>
        <v/>
      </c>
      <c r="P129" s="155" t="inlineStr">
        <is>
          <t>600</t>
        </is>
      </c>
      <c r="Q129" s="155" t="inlineStr">
        <is>
          <t>600</t>
        </is>
      </c>
      <c r="R129" s="155">
        <f>O129-Q129</f>
        <v/>
      </c>
      <c r="S129" s="155" t="n"/>
      <c r="T129" s="9" t="n">
        <v>44884</v>
      </c>
      <c r="U129" s="8" t="inlineStr">
        <is>
          <t>完成</t>
        </is>
      </c>
      <c r="V129" s="8" t="inlineStr">
        <is>
          <t>厦门</t>
        </is>
      </c>
      <c r="W129" s="8" t="inlineStr">
        <is>
          <t>翼百信3</t>
        </is>
      </c>
      <c r="X129" s="8" t="inlineStr">
        <is>
          <t>陈长亮</t>
        </is>
      </c>
      <c r="Y129" s="8" t="inlineStr">
        <is>
          <t>业绩算到2023Q2</t>
        </is>
      </c>
    </row>
    <row r="130">
      <c r="A130" s="8" t="inlineStr">
        <is>
          <t>大搜</t>
        </is>
      </c>
      <c r="B130" s="8" t="inlineStr">
        <is>
          <t>厦门邦唱网络科技有限公司</t>
        </is>
      </c>
      <c r="C130" s="8" t="inlineStr">
        <is>
          <t>qianhu.wejianzhan.com</t>
        </is>
      </c>
      <c r="D130" s="8" t="inlineStr">
        <is>
          <t>邦唱网络科技</t>
        </is>
      </c>
      <c r="E130" s="9" t="n">
        <v>45102</v>
      </c>
      <c r="F130" s="8" t="inlineStr">
        <is>
          <t>陈总</t>
        </is>
      </c>
      <c r="G130" s="8" t="n"/>
      <c r="H130" s="8" t="n"/>
      <c r="I130" s="8" t="inlineStr">
        <is>
          <t>用户正常生效</t>
        </is>
      </c>
      <c r="J130" s="8" t="n">
        <v>141.5</v>
      </c>
      <c r="K130" s="8" t="n">
        <v>0</v>
      </c>
      <c r="L130" s="8" t="n">
        <v>141.5</v>
      </c>
      <c r="M130" s="155" t="n">
        <v>8000</v>
      </c>
      <c r="N130" s="155" t="n">
        <v>0</v>
      </c>
      <c r="O130" s="155">
        <f>M130+N130</f>
        <v/>
      </c>
      <c r="P130" s="155" t="inlineStr">
        <is>
          <t>2400</t>
        </is>
      </c>
      <c r="Q130" s="155" t="inlineStr">
        <is>
          <t>600</t>
        </is>
      </c>
      <c r="R130" s="155">
        <f>O130-Q130</f>
        <v/>
      </c>
      <c r="S130" s="155" t="n"/>
      <c r="T130" s="9" t="n">
        <v>45102</v>
      </c>
      <c r="U130" s="8" t="inlineStr">
        <is>
          <t>完成</t>
        </is>
      </c>
      <c r="V130" s="8" t="inlineStr">
        <is>
          <t>厦门</t>
        </is>
      </c>
      <c r="W130" s="8" t="inlineStr">
        <is>
          <t>翼百信2</t>
        </is>
      </c>
      <c r="X130" s="8" t="inlineStr">
        <is>
          <t>廖晶晶</t>
        </is>
      </c>
      <c r="Y130" s="8" t="n"/>
    </row>
    <row r="131">
      <c r="A131" s="8" t="inlineStr">
        <is>
          <t>大搜+信息流</t>
        </is>
      </c>
      <c r="B131" s="8" t="inlineStr">
        <is>
          <t>厦门市杏林闽粤涂料工业有限公司</t>
        </is>
      </c>
      <c r="C131" s="8" t="inlineStr">
        <is>
          <t>qianhu.wejianzhan.com</t>
        </is>
      </c>
      <c r="D131" s="8" t="inlineStr">
        <is>
          <t>闽粤涂料</t>
        </is>
      </c>
      <c r="E131" s="9" t="n">
        <v>45133</v>
      </c>
      <c r="F131" s="8" t="inlineStr">
        <is>
          <t>王先生</t>
        </is>
      </c>
      <c r="G131" s="8" t="inlineStr">
        <is>
          <t>新开部门</t>
        </is>
      </c>
      <c r="H131" s="8" t="inlineStr">
        <is>
          <t>xm新开06</t>
        </is>
      </c>
      <c r="I131" s="8" t="inlineStr">
        <is>
          <t>用户正常生效</t>
        </is>
      </c>
      <c r="J131" s="8" t="n">
        <v>0</v>
      </c>
      <c r="K131" s="8" t="n">
        <v>0</v>
      </c>
      <c r="L131" s="8" t="n">
        <v>0</v>
      </c>
      <c r="M131" s="157" t="n">
        <v>21200</v>
      </c>
      <c r="N131" s="157" t="n">
        <v>11200</v>
      </c>
      <c r="O131" s="155">
        <f>M131+N131</f>
        <v/>
      </c>
      <c r="P131" s="155" t="n">
        <v>1200</v>
      </c>
      <c r="Q131" s="155" t="inlineStr">
        <is>
          <t>600</t>
        </is>
      </c>
      <c r="R131" s="155">
        <f>O131-Q131</f>
        <v/>
      </c>
      <c r="S131" s="155" t="n"/>
      <c r="T131" s="9" t="n">
        <v>45117</v>
      </c>
      <c r="U131" s="8" t="inlineStr">
        <is>
          <t>财务核对中</t>
        </is>
      </c>
      <c r="V131" s="8" t="inlineStr">
        <is>
          <t>厦门</t>
        </is>
      </c>
      <c r="W131" s="8" t="inlineStr">
        <is>
          <t>翼百信1</t>
        </is>
      </c>
      <c r="X131" s="8" t="inlineStr">
        <is>
          <t>杨彩云</t>
        </is>
      </c>
      <c r="Y131" s="8" t="n"/>
    </row>
    <row r="132">
      <c r="A132" s="8" t="inlineStr">
        <is>
          <t>大搜</t>
        </is>
      </c>
      <c r="B132" s="8" t="inlineStr">
        <is>
          <t>厦门优莱柏网络科技有限公司</t>
        </is>
      </c>
      <c r="C132" s="8" t="inlineStr">
        <is>
          <t>www.udongman.cn</t>
        </is>
      </c>
      <c r="D132" s="8" t="inlineStr">
        <is>
          <t>厦门优莱柏</t>
        </is>
      </c>
      <c r="E132" s="9" t="n">
        <v>45148</v>
      </c>
      <c r="F132" s="8" t="inlineStr">
        <is>
          <t>蔡经理</t>
        </is>
      </c>
      <c r="G132" s="8" t="inlineStr">
        <is>
          <t>新开部门</t>
        </is>
      </c>
      <c r="H132" s="8" t="inlineStr">
        <is>
          <t>xm新开05</t>
        </is>
      </c>
      <c r="I132" s="8" t="inlineStr">
        <is>
          <t>用户正常生效</t>
        </is>
      </c>
      <c r="J132" s="8" t="n">
        <v>2183.94</v>
      </c>
      <c r="K132" s="8" t="n">
        <v>0</v>
      </c>
      <c r="L132" s="8" t="n">
        <v>2183.94</v>
      </c>
      <c r="M132" s="8" t="n">
        <v>13000</v>
      </c>
      <c r="N132" s="8" t="inlineStr">
        <is>
          <t>0</t>
        </is>
      </c>
      <c r="O132" s="8" t="inlineStr">
        <is>
          <t>13000</t>
        </is>
      </c>
      <c r="P132" s="8" t="inlineStr">
        <is>
          <t>2400</t>
        </is>
      </c>
      <c r="Q132" s="8" t="inlineStr">
        <is>
          <t>600</t>
        </is>
      </c>
      <c r="R132" s="8">
        <f>O132-Q132</f>
        <v/>
      </c>
      <c r="S132" s="8" t="n"/>
      <c r="T132" s="9" t="n">
        <v>45146</v>
      </c>
      <c r="U132" s="8" t="inlineStr">
        <is>
          <t>完成</t>
        </is>
      </c>
      <c r="V132" s="8" t="inlineStr">
        <is>
          <t>厦门</t>
        </is>
      </c>
      <c r="W132" s="8" t="inlineStr">
        <is>
          <t>翼百信2</t>
        </is>
      </c>
      <c r="X132" s="8" t="inlineStr">
        <is>
          <t>廖晶晶</t>
        </is>
      </c>
      <c r="Y132" s="8" t="n"/>
    </row>
    <row r="133">
      <c r="A133" s="8" t="inlineStr">
        <is>
          <t>大搜</t>
        </is>
      </c>
      <c r="B133" s="8" t="inlineStr">
        <is>
          <t>厦门贝科新碳进出口有限公司</t>
        </is>
      </c>
      <c r="C133" s="8" t="inlineStr">
        <is>
          <t>www.radiocarbon.cn</t>
        </is>
      </c>
      <c r="D133" s="8" t="inlineStr">
        <is>
          <t>厦门贝科</t>
        </is>
      </c>
      <c r="E133" s="9" t="n">
        <v>45153</v>
      </c>
      <c r="F133" s="10" t="inlineStr">
        <is>
          <t>陈悦琪</t>
        </is>
      </c>
      <c r="G133" s="8" t="inlineStr">
        <is>
          <t>新开部门</t>
        </is>
      </c>
      <c r="H133" s="51" t="inlineStr">
        <is>
          <t>xm新开15</t>
        </is>
      </c>
      <c r="I133" s="8" t="inlineStr">
        <is>
          <t>用户正常生效</t>
        </is>
      </c>
      <c r="J133" s="8" t="n">
        <v>144.8</v>
      </c>
      <c r="K133" s="8" t="n">
        <v>0</v>
      </c>
      <c r="L133" s="8" t="n">
        <v>144.8</v>
      </c>
      <c r="M133" s="8" t="n">
        <v>13000</v>
      </c>
      <c r="N133" s="8" t="inlineStr">
        <is>
          <t>0</t>
        </is>
      </c>
      <c r="O133" s="8" t="inlineStr">
        <is>
          <t>13000</t>
        </is>
      </c>
      <c r="P133" s="8" t="inlineStr">
        <is>
          <t>2400</t>
        </is>
      </c>
      <c r="Q133" s="8" t="inlineStr">
        <is>
          <t>600</t>
        </is>
      </c>
      <c r="R133" s="8">
        <f>O133-Q133</f>
        <v/>
      </c>
      <c r="S133" s="8" t="n"/>
      <c r="T133" s="9" t="n">
        <v>45149</v>
      </c>
      <c r="U133" s="8" t="inlineStr">
        <is>
          <t>完成</t>
        </is>
      </c>
      <c r="V133" s="8" t="inlineStr">
        <is>
          <t>厦门</t>
        </is>
      </c>
      <c r="W133" s="8" t="inlineStr">
        <is>
          <t>翼百信3</t>
        </is>
      </c>
      <c r="X133" s="8" t="inlineStr">
        <is>
          <t>陈长亮</t>
        </is>
      </c>
      <c r="Y133" s="8" t="n"/>
    </row>
    <row r="134">
      <c r="A134" s="8" t="inlineStr">
        <is>
          <t>大搜</t>
        </is>
      </c>
      <c r="B134" s="8" t="inlineStr">
        <is>
          <t>赞童（厦门）科技有限公司</t>
        </is>
      </c>
      <c r="C134" s="8" t="inlineStr">
        <is>
          <t>qianhu.wejianzhan.com</t>
        </is>
      </c>
      <c r="D134" s="8" t="inlineStr">
        <is>
          <t>厦门赞童</t>
        </is>
      </c>
      <c r="E134" s="9" t="n">
        <v>45176</v>
      </c>
      <c r="F134" s="8" t="inlineStr">
        <is>
          <t>张俊</t>
        </is>
      </c>
      <c r="G134" s="8" t="inlineStr">
        <is>
          <t>新开部门</t>
        </is>
      </c>
      <c r="H134" s="8" t="inlineStr">
        <is>
          <t>xm新开16</t>
        </is>
      </c>
      <c r="I134" s="8" t="inlineStr">
        <is>
          <t>用户正常生效</t>
        </is>
      </c>
      <c r="J134" s="8" t="n">
        <v>2121.74</v>
      </c>
      <c r="K134" s="8" t="n">
        <v>0</v>
      </c>
      <c r="L134" s="8" t="n">
        <v>2121.74</v>
      </c>
      <c r="M134" s="8" t="inlineStr">
        <is>
          <t>8400</t>
        </is>
      </c>
      <c r="N134" s="8" t="n">
        <v>0</v>
      </c>
      <c r="O134" s="8" t="inlineStr">
        <is>
          <t>8400</t>
        </is>
      </c>
      <c r="P134" s="8" t="inlineStr">
        <is>
          <t>2400</t>
        </is>
      </c>
      <c r="Q134" s="8" t="inlineStr">
        <is>
          <t>600</t>
        </is>
      </c>
      <c r="R134" s="8">
        <f>O134-Q134</f>
        <v/>
      </c>
      <c r="S134" s="8" t="n"/>
      <c r="T134" s="9" t="n">
        <v>45169</v>
      </c>
      <c r="U134" s="8" t="inlineStr">
        <is>
          <t>完成</t>
        </is>
      </c>
      <c r="V134" s="8" t="inlineStr">
        <is>
          <t>厦门</t>
        </is>
      </c>
      <c r="W134" s="8" t="inlineStr">
        <is>
          <t>翼百信1</t>
        </is>
      </c>
      <c r="X134" s="8" t="inlineStr">
        <is>
          <t>杨彩云</t>
        </is>
      </c>
      <c r="Y134" s="8" t="n"/>
    </row>
    <row r="135">
      <c r="A135" s="155" t="inlineStr">
        <is>
          <t>信息流</t>
        </is>
      </c>
      <c r="B135" s="155" t="inlineStr">
        <is>
          <t>厦门推闻网络科技有限公司</t>
        </is>
      </c>
      <c r="C135" s="155" t="inlineStr">
        <is>
          <t>qianhu.wejianzhan.com</t>
        </is>
      </c>
      <c r="D135" s="155" t="n"/>
      <c r="E135" s="155" t="n"/>
      <c r="F135" s="155" t="inlineStr">
        <is>
          <t>黄总</t>
        </is>
      </c>
      <c r="G135" s="155" t="n"/>
      <c r="H135" s="155" t="n"/>
      <c r="I135" s="8" t="inlineStr"/>
      <c r="J135" s="8" t="n">
        <v>0</v>
      </c>
      <c r="K135" s="8" t="n">
        <v>0</v>
      </c>
      <c r="L135" s="8" t="n">
        <v>0</v>
      </c>
      <c r="M135" s="155" t="n">
        <v>0</v>
      </c>
      <c r="N135" s="155" t="inlineStr">
        <is>
          <t>11500</t>
        </is>
      </c>
      <c r="O135" s="155" t="inlineStr">
        <is>
          <t>11500</t>
        </is>
      </c>
      <c r="P135" s="155" t="inlineStr">
        <is>
          <t>2400</t>
        </is>
      </c>
      <c r="Q135" s="155" t="inlineStr">
        <is>
          <t>600</t>
        </is>
      </c>
      <c r="R135" s="155" t="n">
        <v>10900</v>
      </c>
      <c r="S135" s="155" t="n"/>
      <c r="T135" s="9" t="n">
        <v>45194</v>
      </c>
      <c r="U135" s="8" t="inlineStr">
        <is>
          <t>分配客服中</t>
        </is>
      </c>
      <c r="V135" s="8" t="inlineStr">
        <is>
          <t>厦门</t>
        </is>
      </c>
      <c r="W135" s="8" t="inlineStr">
        <is>
          <t>翼百信1</t>
        </is>
      </c>
      <c r="X135" s="8" t="inlineStr">
        <is>
          <t>杨彩云</t>
        </is>
      </c>
      <c r="Y135" s="8" t="inlineStr">
        <is>
          <t>2023Q3未审核通过，计入2022Q4</t>
        </is>
      </c>
    </row>
  </sheetData>
  <hyperlinks>
    <hyperlink xmlns:r="http://schemas.openxmlformats.org/officeDocument/2006/relationships" ref="C31" display="http://www.singamas-xpcl.com" r:id="rId1"/>
    <hyperlink xmlns:r="http://schemas.openxmlformats.org/officeDocument/2006/relationships" ref="C33" display="http://www.e-vanport.cn" r:id="rId2"/>
    <hyperlink xmlns:r="http://schemas.openxmlformats.org/officeDocument/2006/relationships" ref="C35" display="www.hizzj.com" r:id="rId3"/>
    <hyperlink xmlns:r="http://schemas.openxmlformats.org/officeDocument/2006/relationships" ref="C55" display="www.huaqinyun.com" r:id="rId4"/>
    <hyperlink xmlns:r="http://schemas.openxmlformats.org/officeDocument/2006/relationships" ref="C83" display="http://www.57iot.com/index.html " r:id="rId5"/>
  </hyperlinks>
  <pageMargins left="0.75" right="0.75" top="1" bottom="1" header="0.5" footer="0.5"/>
  <pageSetup orientation="portrait" paperSize="1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唯C_唐</dc:creator>
  <dcterms:created xmlns:dcterms="http://purl.org/dc/terms/" xmlns:xsi="http://www.w3.org/2001/XMLSchema-instance" xsi:type="dcterms:W3CDTF">2019-08-22T03:39:00Z</dcterms:created>
  <dcterms:modified xmlns:dcterms="http://purl.org/dc/terms/" xmlns:xsi="http://www.w3.org/2001/XMLSchema-instance" xsi:type="dcterms:W3CDTF">2023-10-20T06:37:19Z</dcterms:modified>
  <cp:lastModifiedBy>user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2.1.3</vt:lpwstr>
  </property>
  <property name="KSOProductBuildVer" fmtid="{D5CDD505-2E9C-101B-9397-08002B2CF9AE}" pid="4">
    <vt:lpwstr xmlns:vt="http://schemas.openxmlformats.org/officeDocument/2006/docPropsVTypes">2052-11.8.2.8053</vt:lpwstr>
  </property>
  <property name="ICV" fmtid="{D5CDD505-2E9C-101B-9397-08002B2CF9AE}" pid="5">
    <vt:lpwstr xmlns:vt="http://schemas.openxmlformats.org/officeDocument/2006/docPropsVTypes">66520D2E6F404F03B01B9569255B64B7</vt:lpwstr>
  </property>
</Properties>
</file>